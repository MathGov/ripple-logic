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ables/table1.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ables/table2.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0b5f8010ee548fe" /></Relationships>
</file>

<file path=xl/workbook.xml><?xml version="1.0" encoding="utf-8"?>
<x:workbook xmlns:x="http://schemas.openxmlformats.org/spreadsheetml/2006/main">
  <x:sheets>
    <x:sheet xmlns:r="http://schemas.openxmlformats.org/officeDocument/2006/relationships" name="Release_Notes" sheetId="1" r:id="R07d9a6f738714737"/>
    <x:sheet xmlns:r="http://schemas.openxmlformats.org/officeDocument/2006/relationships" name="CANON" sheetId="2" r:id="Ref97cfa29cd048f2"/>
    <x:sheet xmlns:r="http://schemas.openxmlformats.org/officeDocument/2006/relationships" name="Sanity_Checklist" sheetId="3" r:id="Recf6d8855d72479c"/>
    <x:sheet xmlns:r="http://schemas.openxmlformats.org/officeDocument/2006/relationships" name="Config" sheetId="4" r:id="R30cb947d710a4d6c"/>
    <x:sheet xmlns:r="http://schemas.openxmlformats.org/officeDocument/2006/relationships" name="Parameters" sheetId="5" r:id="R736618f635c441c6"/>
    <x:sheet xmlns:r="http://schemas.openxmlformats.org/officeDocument/2006/relationships" name="PLSS_Local_Scope" sheetId="6" r:id="R42d4c29891554157"/>
    <x:sheet xmlns:r="http://schemas.openxmlformats.org/officeDocument/2006/relationships" name="Rights_Coverage" sheetId="7" r:id="Rf841e67fca174c54"/>
    <x:sheet xmlns:r="http://schemas.openxmlformats.org/officeDocument/2006/relationships" name="Rights_Coverage_View" sheetId="8" r:id="Rdc249cffdd6e4b80"/>
    <x:sheet xmlns:r="http://schemas.openxmlformats.org/officeDocument/2006/relationships" name="C_cat" sheetId="9" r:id="R31f3ee2b4859421a"/>
    <x:sheet xmlns:r="http://schemas.openxmlformats.org/officeDocument/2006/relationships" name="WTSL_Categories" sheetId="10" r:id="Rb6fd3808dbf940a7"/>
    <x:sheet xmlns:r="http://schemas.openxmlformats.org/officeDocument/2006/relationships" name="Impact_Input" sheetId="11" r:id="Ra4477b3fc0684811"/>
    <x:sheet xmlns:r="http://schemas.openxmlformats.org/officeDocument/2006/relationships" name="Scenario_Impacts" sheetId="12" r:id="R71e5b013638c4a50"/>
    <x:sheet xmlns:r="http://schemas.openxmlformats.org/officeDocument/2006/relationships" name="I_prop" sheetId="13" r:id="R8cd1509bba8b42bb"/>
    <x:sheet xmlns:r="http://schemas.openxmlformats.org/officeDocument/2006/relationships" name="NCRC" sheetId="14" r:id="R744c7e7dd3cf444e"/>
    <x:sheet xmlns:r="http://schemas.openxmlformats.org/officeDocument/2006/relationships" name="TRC" sheetId="15" r:id="R6fd2ca1c7a144165"/>
    <x:sheet xmlns:r="http://schemas.openxmlformats.org/officeDocument/2006/relationships" name="Containment" sheetId="16" r:id="R13dcd5144ffa48ff"/>
    <x:sheet xmlns:r="http://schemas.openxmlformats.org/officeDocument/2006/relationships" name="RLS" sheetId="17" r:id="R7c48483976d44eec"/>
    <x:sheet xmlns:r="http://schemas.openxmlformats.org/officeDocument/2006/relationships" name="UCI_HOI" sheetId="18" r:id="Rce01db1b527543c9"/>
    <x:sheet xmlns:r="http://schemas.openxmlformats.org/officeDocument/2006/relationships" name="Dashboard" sheetId="19" r:id="R1356442862774b39"/>
    <x:sheet xmlns:r="http://schemas.openxmlformats.org/officeDocument/2006/relationships" name="Audit_Flags" sheetId="20" r:id="Ra8a5b05ff9484060"/>
    <x:sheet xmlns:r="http://schemas.openxmlformats.org/officeDocument/2006/relationships" name="PCC" sheetId="21" r:id="Rc9bd05aabe8d4939"/>
    <x:sheet xmlns:r="http://schemas.openxmlformats.org/officeDocument/2006/relationships" name="Sensitivity_Analysis" sheetId="22" r:id="R4a255ff6cc8040c3"/>
    <x:sheet xmlns:r="http://schemas.openxmlformats.org/officeDocument/2006/relationships" name="Subgroup_Analysis" sheetId="23" r:id="Rcfb867f5431d4852"/>
    <x:sheet xmlns:r="http://schemas.openxmlformats.org/officeDocument/2006/relationships" name="Subgroup_Overrides" sheetId="24" r:id="R39a5e27246e04833"/>
    <x:sheet xmlns:r="http://schemas.openxmlformats.org/officeDocument/2006/relationships" name="SGP_Input" sheetId="25" r:id="R7be5e9a152fd4a2d"/>
    <x:sheet xmlns:r="http://schemas.openxmlformats.org/officeDocument/2006/relationships" name="SGP_Integration" sheetId="26" r:id="R0e8b154a1c884f1b"/>
    <x:sheet xmlns:r="http://schemas.openxmlformats.org/officeDocument/2006/relationships" name="User_Guide" sheetId="27" r:id="R31996e5ea41544e0"/>
    <x:sheet xmlns:r="http://schemas.openxmlformats.org/officeDocument/2006/relationships" name="Version_Control" sheetId="28" r:id="Re8c7373da2614c99"/>
    <x:sheet xmlns:r="http://schemas.openxmlformats.org/officeDocument/2006/relationships" name="ProjectionPreRegistration" sheetId="29" r:id="Rf0af77820eb0423b"/>
    <x:sheet xmlns:r="http://schemas.openxmlformats.org/officeDocument/2006/relationships" name="ExecutionStability" sheetId="30" r:id="Rf66631c8552a40da"/>
    <x:sheet xmlns:r="http://schemas.openxmlformats.org/officeDocument/2006/relationships" name="PrimitiveTrace" sheetId="31" r:id="Re5b483765b584475"/>
    <x:sheet xmlns:r="http://schemas.openxmlformats.org/officeDocument/2006/relationships" name="ObservableConsequences" sheetId="32" r:id="R7d235e2f569a4b2d"/>
    <x:sheet xmlns:r="http://schemas.openxmlformats.org/officeDocument/2006/relationships" name="FalsificationPlan" sheetId="33" r:id="R65d28b87283b4bc3"/>
    <x:sheet xmlns:r="http://schemas.openxmlformats.org/officeDocument/2006/relationships" name="MethodologyMaturity" sheetId="34" r:id="Ra32b0930f84848ae"/>
    <x:sheet xmlns:r="http://schemas.openxmlformats.org/officeDocument/2006/relationships" name="v10_Sanity_Checklist" sheetId="35" r:id="R43bbf14b89e94938"/>
    <x:sheet xmlns:r="http://schemas.openxmlformats.org/officeDocument/2006/relationships" name="TransitionAdmissibility" sheetId="36" r:id="Raf906e86135c4a5c"/>
    <x:sheet xmlns:r="http://schemas.openxmlformats.org/officeDocument/2006/relationships" name="UCI_Maturity" sheetId="37" r:id="R86173e6e8f0549dd"/>
    <x:sheet xmlns:r="http://schemas.openxmlformats.org/officeDocument/2006/relationships" name="Kernel_Posture" sheetId="38" r:id="Rb312102e09d94717"/>
    <x:sheet xmlns:r="http://schemas.openxmlformats.org/officeDocument/2006/relationships" name="HDW_Capture_Audit" sheetId="39" r:id="Rf3b9066957c34ed0"/>
    <x:sheet xmlns:r="http://schemas.openxmlformats.org/officeDocument/2006/relationships" name="PLSS_Escalation" sheetId="40" r:id="Rbe7c0da34ba0486d"/>
    <x:sheet xmlns:r="http://schemas.openxmlformats.org/officeDocument/2006/relationships" name="BioSGP_Maturity" sheetId="41" r:id="R81c94909eca74c4a"/>
    <x:sheet xmlns:r="http://schemas.openxmlformats.org/officeDocument/2006/relationships" name="Deployment_Context" sheetId="42" r:id="Rbf0dbfd824d6498a"/>
    <x:sheet xmlns:r="http://schemas.openxmlformats.org/officeDocument/2006/relationships" name="Machine_Readiness" sheetId="43" r:id="Re3068a7555364a21"/>
    <x:sheet xmlns:r="http://schemas.openxmlformats.org/officeDocument/2006/relationships" name="Display_Clarity" sheetId="44" r:id="R91d059e813e241e2"/>
    <x:sheet xmlns:r="http://schemas.openxmlformats.org/officeDocument/2006/relationships" name="Boundary_Risk_Register" sheetId="45" r:id="Rd706a050634e4148"/>
    <x:sheet xmlns:r="http://schemas.openxmlformats.org/officeDocument/2006/relationships" name="Evidence_Status_Tokens" sheetId="46" r:id="Rb8ac3c7618804635"/>
    <x:sheet xmlns:r="http://schemas.openxmlformats.org/officeDocument/2006/relationships" name="Compact_Profiles" sheetId="47" r:id="R729db91a29454cad"/>
    <x:sheet xmlns:r="http://schemas.openxmlformats.org/officeDocument/2006/relationships" name="SGP_Split_Guardrail" sheetId="48" r:id="R5614d1e4f2a642d5"/>
    <x:sheet xmlns:r="http://schemas.openxmlformats.org/officeDocument/2006/relationships" name="Validation_Roadmap" sheetId="49" r:id="R9e3c430c388c4a4a"/>
    <x:sheet xmlns:r="http://schemas.openxmlformats.org/officeDocument/2006/relationships" name="Triple_Pass_Audit" sheetId="50" r:id="R834eb97e26284c89"/>
    <x:sheet xmlns:r="http://schemas.openxmlformats.org/officeDocument/2006/relationships" name="Release_Boundaries" sheetId="51" r:id="Rdf059b016f9e4013"/>
    <x:sheet xmlns:r="http://schemas.openxmlformats.org/officeDocument/2006/relationships" name="ReferenceStructureRecord" sheetId="52" r:id="R9a3ec6074b1f4ce5"/>
    <x:sheet xmlns:r="http://schemas.openxmlformats.org/officeDocument/2006/relationships" name="v10_7_History" sheetId="53" r:id="Rf94a5e4ea6cf47da"/>
    <x:sheet xmlns:r="http://schemas.openxmlformats.org/officeDocument/2006/relationships" name="Layer_Falsification" sheetId="54" r:id="R509313d167d340c9"/>
    <x:sheet xmlns:r="http://schemas.openxmlformats.org/officeDocument/2006/relationships" name="Adaptive_Reserve" sheetId="55" r:id="R1bff804ed03e45c6"/>
    <x:sheet xmlns:r="http://schemas.openxmlformats.org/officeDocument/2006/relationships" name="Verdict_Hardening" sheetId="56" r:id="Rc364e69716234f28"/>
    <x:sheet xmlns:r="http://schemas.openxmlformats.org/officeDocument/2006/relationships" name="Version_Semantics" sheetId="57" r:id="R8a45243858fe4077"/>
    <x:sheet xmlns:r="http://schemas.openxmlformats.org/officeDocument/2006/relationships" name="Reality_Grounding" sheetId="58" r:id="Rfd25b81775d54d0e"/>
    <x:sheet xmlns:r="http://schemas.openxmlformats.org/officeDocument/2006/relationships" name="v10_8_Update" sheetId="59" r:id="R420f13973b1641bc"/>
    <x:sheet xmlns:r="http://schemas.openxmlformats.org/officeDocument/2006/relationships" name="Category_Grounding" sheetId="60" r:id="Rdaf735a1bd274da6"/>
  </x:sheets>
  <x:definedNames>
    <x:definedName name="AUDIT_REVIEW_COUNT" hidden="0" function="0" vbProcedure="0">Audit_Flags!$B$23</x:definedName>
    <x:definedName name="CANON_CLAIMABLE_RUN" hidden="0" function="0" vbProcedure="0">CANON!$B$81</x:definedName>
    <x:definedName name="CANON_INVALID_FLAGS_COUNT" hidden="0" function="0" vbProcedure="0">CANON!$B$80</x:definedName>
    <x:definedName name="CANON_PLACEHOLDER_COUNT" hidden="0" function="0" vbProcedure="0">CANON!$B$117</x:definedName>
    <x:definedName name="CANON_PUBLISH_READY" hidden="0" function="0" vbProcedure="0">CANON!$B$83</x:definedName>
    <x:definedName name="CANON_SCHEMA_FAIL_COUNT" hidden="0" function="0" vbProcedure="0">CANON!$B$116</x:definedName>
    <x:definedName name="SIGMA_EST" hidden="0" function="0" vbProcedure="0">Config!$B$20</x:definedName>
  </x:definedNames>
</x:workbook>
</file>

<file path=xl/comments1.xml><?xml version="1.0" encoding="utf-8"?>
<x:comments xmlns:x="http://schemas.openxmlformats.org/spreadsheetml/2006/main">
  <x:authors>
    <x:author>Unknown Author</x:author>
  </x:authors>
  <x:commentList>
    <x:comment ref="B81" authorId="0">
      <x:text>
        <x:r>
          <x:t>Deterministic claimability gate for the selected option. INVALID_FLAGS_COUNT is computed from Audit_Flags INVALID-severity tokens, including NORMATIVE_INPUT_PROVENANCE_MISSING where triggered.</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9">
    <x:numFmt numFmtId="164" formatCode="mm/dd/yy"/>
    <x:numFmt numFmtId="165" formatCode="0.000"/>
    <x:numFmt numFmtId="166" formatCode="0.000000"/>
    <x:numFmt numFmtId="167" formatCode="0.0000"/>
    <x:numFmt numFmtId="168" formatCode="0.00000"/>
    <x:numFmt numFmtId="169" formatCode="_(* #,##0.00_);_(* \(#,##0.00\);_(* \-??_);_(@_)"/>
    <x:numFmt numFmtId="170" formatCode="_(* #,##0_);_(* \(#,##0\);_(* \-_);_(@_)"/>
    <x:numFmt numFmtId="171" formatCode="_(\$* #,##0.00_);_(\$* \(#,##0.00\);_(\$* \-??_);_(@_)"/>
    <x:numFmt numFmtId="172" formatCode="_(\$* #,##0_);_(\$* \(#,##0\);_(\$* \-_);_(@_)"/>
  </x:numFmts>
  <x:fonts count="30">
    <x:font>
      <x:sz val="10"/>
      <x:name val="Arial"/>
    </x:font>
    <x:font>
      <x:sz val="10"/>
      <x:name val="Arial"/>
    </x:font>
    <x:font>
      <x:sz val="10"/>
      <x:name val="Arial"/>
    </x:font>
    <x:font>
      <x:sz val="10"/>
      <x:name val="Arial"/>
    </x:font>
    <x:font>
      <x:sz val="10"/>
      <x:name val="Arial"/>
    </x:font>
    <x:font>
      <x:sz val="11"/>
      <x:color theme="1"/>
      <x:name val="Calibri"/>
    </x:font>
    <x:font>
      <x:b/>
      <x:sz val="11"/>
      <x:color theme="1"/>
      <x:name val="Calibri"/>
    </x:font>
    <x:font>
      <x:b/>
      <x:sz val="10"/>
      <x:color rgb="FFFFFFFF"/>
      <x:name val="Arial"/>
    </x:font>
    <x:font>
      <x:b/>
      <x:sz val="10"/>
      <x:name val="Arial"/>
    </x:font>
    <x:font>
      <x:b/>
      <x:sz val="14"/>
      <x:color rgb="FFFFFFFF"/>
      <x:name val="Cambria"/>
    </x:font>
    <x:font>
      <x:b/>
      <x:sz val="11"/>
      <x:color theme="1"/>
      <x:name val="Cambria"/>
    </x:font>
    <x:font>
      <x:b/>
      <x:sz val="12"/>
      <x:color theme="1"/>
      <x:name val="Arial"/>
    </x:font>
    <x:font>
      <x:sz val="10"/>
      <x:color theme="1"/>
      <x:name val="Arial"/>
    </x:font>
    <x:font>
      <x:i/>
      <x:sz val="10"/>
      <x:color theme="1"/>
      <x:name val="Arial"/>
    </x:font>
    <x:font>
      <x:b/>
      <x:sz val="12"/>
      <x:color theme="1"/>
      <x:name val="Cambria"/>
    </x:font>
    <x:font>
      <x:b/>
      <x:sz val="14"/>
      <x:color theme="1"/>
      <x:name val="Calibri"/>
    </x:font>
    <x:font>
      <x:b/>
      <x:sz val="11"/>
      <x:name val="Calibri"/>
    </x:font>
    <x:font>
      <x:b/>
      <x:sz val="14"/>
      <x:color rgb="FFFFFFFF"/>
      <x:name val="Calibri"/>
    </x:font>
    <x:font>
      <x:b/>
      <x:sz val="11"/>
      <x:color rgb="FFFFFFFF"/>
      <x:name val="Cambria"/>
    </x:font>
    <x:font>
      <x:b/>
      <x:sz val="14"/>
      <x:color theme="1"/>
      <x:name val="Cambria"/>
    </x:font>
    <x:font>
      <x:b/>
      <x:sz val="10"/>
      <x:color theme="1"/>
      <x:name val="Arial"/>
    </x:font>
    <x:font>
      <x:b/>
      <x:sz val="11"/>
      <x:color theme="1"/>
      <x:name val="Arial"/>
    </x:font>
    <x:font>
      <x:b/>
      <x:i/>
      <x:sz val="10"/>
      <x:color theme="1"/>
      <x:name val="Arial"/>
    </x:font>
    <x:font>
      <x:b/>
      <x:sz val="12"/>
      <x:name val="Arial"/>
    </x:font>
    <x:font>
      <x:b/>
      <x:sz val="14"/>
      <x:color rgb="FFFFFFFF"/>
      <x:name val="Arial"/>
    </x:font>
    <x:font>
      <x:b/>
      <x:sz val="11"/>
      <x:color rgb="FFFFFFFF"/>
      <x:name val="Calibri"/>
    </x:font>
    <x:font>
      <x:b/>
      <x:sz val="10"/>
      <x:color rgb="FF0F172A"/>
      <x:name val="Arial"/>
    </x:font>
    <x:font>
      <x:b/>
      <x:sz val="11"/>
      <x:color rgb="FF0F172A"/>
      <x:name val="Calibri"/>
    </x:font>
    <x:font>
      <x:b/>
      <x:sz val="11"/>
      <x:color rgb="FF0F172A"/>
      <x:name val="Cambria"/>
    </x:font>
    <x:font>
      <x:sz val="10"/>
      <x:color rgb="FF000000"/>
      <x:name val="Arial"/>
    </x:font>
  </x:fonts>
  <x:fills count="34">
    <x:fill>
      <x:patternFill patternType="none"/>
    </x:fill>
    <x:fill>
      <x:patternFill patternType="gray125"/>
    </x:fill>
    <x:fill>
      <x:patternFill patternType="solid">
        <x:fgColor rgb="FF1F4E79"/>
      </x:patternFill>
    </x:fill>
    <x:fill>
      <x:patternFill patternType="solid">
        <x:fgColor rgb="FF0F766E"/>
      </x:patternFill>
    </x:fill>
    <x:fill>
      <x:patternFill patternType="solid">
        <x:fgColor rgb="FFD9EAD3"/>
      </x:patternFill>
    </x:fill>
    <x:fill>
      <x:patternFill patternType="solid">
        <x:fgColor rgb="FFDDEBF7"/>
      </x:patternFill>
    </x:fill>
    <x:fill>
      <x:patternFill patternType="solid">
        <x:fgColor rgb="FFC6EFCE"/>
      </x:patternFill>
    </x:fill>
    <x:fill>
      <x:patternFill patternType="solid">
        <x:fgColor rgb="FFE8F0FE"/>
      </x:patternFill>
    </x:fill>
    <x:fill>
      <x:patternFill patternType="solid">
        <x:fgColor rgb="FFE2EFDA"/>
      </x:patternFill>
    </x:fill>
    <x:fill>
      <x:patternFill patternType="solid">
        <x:fgColor rgb="FFD9D9D9"/>
      </x:patternFill>
    </x:fill>
    <x:fill>
      <x:patternFill patternType="solid">
        <x:fgColor rgb="FF1F4E78"/>
      </x:patternFill>
    </x:fill>
    <x:fill>
      <x:patternFill patternType="solid">
        <x:fgColor rgb="FFD9EAF7"/>
      </x:patternFill>
    </x:fill>
    <x:fill>
      <x:patternFill patternType="solid">
        <x:fgColor rgb="FFB4C7E7"/>
      </x:patternFill>
    </x:fill>
    <x:fill>
      <x:patternFill patternType="solid">
        <x:fgColor rgb="FF2E75B6"/>
      </x:patternFill>
    </x:fill>
    <x:fill>
      <x:patternFill patternType="solid">
        <x:fgColor rgb="FFFCE4D6"/>
      </x:patternFill>
    </x:fill>
    <x:fill>
      <x:patternFill patternType="solid">
        <x:fgColor rgb="FFFFC7CE"/>
      </x:patternFill>
    </x:fill>
    <x:fill>
      <x:patternFill patternType="solid">
        <x:fgColor rgb="FFFFEB9C"/>
      </x:patternFill>
    </x:fill>
    <x:fill>
      <x:patternFill patternType="solid">
        <x:fgColor rgb="FFFFF2CC"/>
      </x:patternFill>
    </x:fill>
    <x:fill>
      <x:patternFill patternType="solid">
        <x:fgColor rgb="FF1F2937"/>
      </x:patternFill>
    </x:fill>
    <x:fill>
      <x:patternFill patternType="solid">
        <x:fgColor rgb="FFFFCCCC"/>
      </x:patternFill>
    </x:fill>
    <x:fill>
      <x:patternFill patternType="solid">
        <x:fgColor rgb="FFFFE6CC"/>
      </x:patternFill>
    </x:fill>
    <x:fill>
      <x:patternFill patternType="solid">
        <x:fgColor rgb="FFFFFFCC"/>
      </x:patternFill>
    </x:fill>
    <x:fill>
      <x:patternFill patternType="solid">
        <x:fgColor rgb="FFDDDDDD"/>
      </x:patternFill>
    </x:fill>
    <x:fill>
      <x:patternFill patternType="solid">
        <x:fgColor rgb="FF0F172A"/>
      </x:patternFill>
    </x:fill>
    <x:fill>
      <x:patternFill patternType="solid">
        <x:fgColor rgb="FF334155"/>
      </x:patternFill>
    </x:fill>
    <x:fill>
      <x:patternFill patternType="solid">
        <x:fgColor rgb="FF1E3A8A"/>
      </x:patternFill>
    </x:fill>
    <x:fill>
      <x:patternFill patternType="solid">
        <x:fgColor rgb="FF0F766E"/>
      </x:patternFill>
    </x:fill>
    <x:fill>
      <x:patternFill patternType="solid">
        <x:fgColor rgb="FF0F766E"/>
      </x:patternFill>
    </x:fill>
    <x:fill>
      <x:patternFill patternType="solid">
        <x:fgColor rgb="FFE0F2F1"/>
      </x:patternFill>
    </x:fill>
    <x:fill>
      <x:patternFill patternType="solid">
        <x:fgColor rgb="FF0F766E"/>
      </x:patternFill>
    </x:fill>
    <x:fill>
      <x:patternFill patternType="solid">
        <x:fgColor rgb="FF1F4E79"/>
      </x:patternFill>
    </x:fill>
    <x:fill>
      <x:patternFill patternType="solid">
        <x:fgColor rgb="FFD9EAF7"/>
      </x:patternFill>
    </x:fill>
    <x:fill>
      <x:patternFill patternType="solid">
        <x:fgColor rgb="FF44546A"/>
      </x:patternFill>
    </x:fill>
    <x:fill>
      <x:patternFill patternType="solid">
        <x:fgColor rgb="FFE2F0D9"/>
      </x:patternFill>
    </x:fill>
  </x:fills>
  <x:borders count="10">
    <x:border/>
    <x:border>
      <x:left style="thin">
        <x:color rgb="FFD9D9D9"/>
      </x:left>
      <x:right style="thin">
        <x:color rgb="FFD9D9D9"/>
      </x:right>
      <x:top style="thin">
        <x:color rgb="FFD9D9D9"/>
      </x:top>
      <x:bottom style="thin">
        <x:color rgb="FFD9D9D9"/>
      </x:bottom>
    </x:border>
    <x:border>
      <x:left style="thin">
        <x:color rgb="FF999999"/>
      </x:left>
      <x:right style="thin">
        <x:color rgb="FF999999"/>
      </x:right>
      <x:top style="thin">
        <x:color rgb="FF999999"/>
      </x:top>
      <x:bottom style="thin">
        <x:color rgb="FF999999"/>
      </x:bottom>
    </x:border>
    <x:border/>
    <x:border>
      <x:left style="thin">
        <x:color rgb="FFD9D9D9"/>
      </x:left>
      <x:right style="thin">
        <x:color rgb="FFD9D9D9"/>
      </x:right>
      <x:top style="thin">
        <x:color rgb="FFD9D9D9"/>
      </x:top>
      <x:bottom style="thin">
        <x:color rgb="FFD9D9D9"/>
      </x:bottom>
    </x:border>
    <x:border>
      <x:left style="thin">
        <x:color rgb="FF999999"/>
      </x:left>
      <x:right style="thin">
        <x:color rgb="FF999999"/>
      </x:right>
      <x:top style="thin">
        <x:color rgb="FF999999"/>
      </x:top>
      <x:bottom style="thin">
        <x:color rgb="FF999999"/>
      </x:bottom>
    </x:border>
    <x:border>
      <x:top style="thin">
        <x:color rgb="FFD9D9D9"/>
      </x:top>
    </x:border>
    <x:border>
      <x:right style="thin">
        <x:color rgb="FFD9D9D9"/>
      </x:right>
      <x:top style="thin">
        <x:color rgb="FFD9D9D9"/>
      </x:top>
    </x:border>
    <x:border>
      <x:top style="thin">
        <x:color rgb="FFD9D9D9"/>
      </x:top>
      <x:bottom style="thin">
        <x:color rgb="FFD9D9D9"/>
      </x:bottom>
    </x:border>
    <x:border>
      <x:right style="thin">
        <x:color rgb="FFD9D9D9"/>
      </x:right>
      <x:top style="thin">
        <x:color rgb="FFD9D9D9"/>
      </x:top>
      <x:bottom style="thin">
        <x:color rgb="FFD9D9D9"/>
      </x:bottom>
    </x:border>
  </x:borders>
  <x:cellStyleXfs count="36">
    <x:xf numFmtId="0" fontId="4" fillId="0" borderId="3" applyAlignment="1">
      <x:alignment horizontal="general" vertical="bottom"/>
    </x:xf>
    <x:xf numFmtId="43" fontId="4" fillId="0" borderId="3"/>
    <x:xf numFmtId="41" fontId="4" fillId="0" borderId="3"/>
    <x:xf numFmtId="44" fontId="4" fillId="0" borderId="3"/>
    <x:xf numFmtId="42" fontId="4" fillId="0" borderId="3"/>
    <x:xf numFmtId="9" fontId="4" fillId="0" borderId="3"/>
    <x:xf numFmtId="169" fontId="4" fillId="0" borderId="3" applyAlignment="1">
      <x:alignment horizontal="general" vertical="bottom"/>
    </x:xf>
    <x:xf numFmtId="169" fontId="4" fillId="0" borderId="3" applyAlignment="1">
      <x:alignment horizontal="general" vertical="bottom"/>
    </x:xf>
    <x:xf numFmtId="170" fontId="4" fillId="0" borderId="3" applyAlignment="1">
      <x:alignment horizontal="general" vertical="bottom"/>
    </x:xf>
    <x:xf numFmtId="170" fontId="4" fillId="0" borderId="3" applyAlignment="1">
      <x:alignment horizontal="general" vertical="bottom"/>
    </x:xf>
    <x:xf numFmtId="171" fontId="4" fillId="0" borderId="3" applyAlignment="1">
      <x:alignment horizontal="general" vertical="bottom"/>
    </x:xf>
    <x:xf numFmtId="171" fontId="4" fillId="0" borderId="3" applyAlignment="1">
      <x:alignment horizontal="general" vertical="bottom"/>
    </x:xf>
    <x:xf numFmtId="172" fontId="4" fillId="0" borderId="3" applyAlignment="1">
      <x:alignment horizontal="general" vertical="bottom"/>
    </x:xf>
    <x:xf numFmtId="172" fontId="4" fillId="0" borderId="3" applyAlignment="1">
      <x:alignment horizontal="general" vertical="bottom"/>
    </x:xf>
    <x:xf numFmtId="0" fontId="5" fillId="0" borderId="3" applyAlignment="1">
      <x:alignment horizontal="general" vertical="bottom"/>
    </x:xf>
    <x:xf numFmtId="0" fontId="4" fillId="0" borderId="3" applyAlignment="1">
      <x:alignment horizontal="general" vertical="bottom"/>
    </x:xf>
    <x:xf numFmtId="0" fontId="4" fillId="0" borderId="3" applyAlignment="1">
      <x:alignment horizontal="general" vertical="bottom"/>
    </x:xf>
    <x:xf numFmtId="9" fontId="4" fillId="0" borderId="3" applyAlignment="1">
      <x:alignment horizontal="general" vertical="bottom"/>
    </x:xf>
    <x:xf numFmtId="9" fontId="4" fillId="0" borderId="3" applyAlignment="1">
      <x:alignment horizontal="general" vertical="bottom"/>
    </x:xf>
    <x:xf/>
    <x:xf/>
    <x:xf/>
    <x:xf/>
    <x:xf/>
    <x:xf/>
    <x:xf/>
    <x:xf/>
    <x:xf/>
    <x:xf/>
    <x:xf/>
    <x:xf/>
    <x:xf/>
    <x:xf/>
    <x:xf/>
    <x:xf/>
    <x:xf/>
  </x:cellStyleXfs>
  <x:cellXfs count="816">
    <x:xf numFmtId="0" fontId="0" fillId="0" borderId="0" xfId="0" applyAlignment="1">
      <x:alignment horizontal="general" vertical="bottom"/>
    </x:xf>
    <x:xf numFmtId="0" fontId="4" fillId="0" borderId="0" xfId="35" applyAlignment="1">
      <x:alignment horizontal="general" vertical="bottom"/>
    </x:xf>
    <x:xf numFmtId="0" fontId="6" fillId="2" borderId="0" xfId="35" applyAlignment="1">
      <x:alignment horizontal="general" vertical="bottom" wrapText="1"/>
    </x:xf>
    <x:xf numFmtId="0" fontId="7" fillId="2" borderId="0" xfId="35" applyAlignment="1">
      <x:alignment horizontal="general" vertical="bottom" wrapText="1"/>
    </x:xf>
    <x:xf numFmtId="0" fontId="4" fillId="0" borderId="0" xfId="35" applyAlignment="1">
      <x:alignment horizontal="general" vertical="bottom" wrapText="1"/>
    </x:xf>
    <x:xf numFmtId="0" fontId="6" fillId="0" borderId="0" xfId="35" applyAlignment="1">
      <x:alignment horizontal="general" vertical="top" wrapText="1"/>
    </x:xf>
    <x:xf numFmtId="0" fontId="5" fillId="0" borderId="0" xfId="35" applyAlignment="1">
      <x:alignment horizontal="general" vertical="top" wrapText="1"/>
    </x:xf>
    <x:xf numFmtId="0" fontId="6" fillId="0" borderId="0" xfId="35" applyAlignment="1">
      <x:alignment horizontal="left" vertical="bottom" wrapText="1"/>
    </x:xf>
    <x:xf numFmtId="0" fontId="5" fillId="0" borderId="0" xfId="35" applyAlignment="1">
      <x:alignment horizontal="left" vertical="bottom" wrapText="1"/>
    </x:xf>
    <x:xf numFmtId="0" fontId="8" fillId="0" borderId="0" xfId="35" applyAlignment="1">
      <x:alignment horizontal="general" vertical="bottom" wrapText="1"/>
    </x:xf>
    <x:xf numFmtId="164" fontId="5" fillId="0" borderId="0" xfId="35" applyAlignment="1">
      <x:alignment horizontal="general" vertical="top" wrapText="1"/>
    </x:xf>
    <x:xf numFmtId="0" fontId="7" fillId="3" borderId="0" xfId="35" applyAlignment="1">
      <x:alignment horizontal="general" vertical="bottom" wrapText="1"/>
    </x:xf>
    <x:xf numFmtId="0" fontId="8" fillId="4" borderId="0" xfId="35" applyAlignment="1">
      <x:alignment horizontal="general" vertical="bottom" wrapText="1"/>
    </x:xf>
    <x:xf numFmtId="0" fontId="5" fillId="0" borderId="0" xfId="35" applyAlignment="1">
      <x:alignment horizontal="general" vertical="bottom"/>
    </x:xf>
    <x:xf numFmtId="0" fontId="9" fillId="2" borderId="0" xfId="35" applyAlignment="1">
      <x:alignment horizontal="general" vertical="top" wrapText="1"/>
    </x:xf>
    <x:xf numFmtId="0" fontId="7" fillId="2" borderId="0" xfId="35" applyAlignment="1">
      <x:alignment horizontal="general" vertical="top" wrapText="1"/>
    </x:xf>
    <x:xf numFmtId="0" fontId="4" fillId="0" borderId="0" xfId="35" applyAlignment="1">
      <x:alignment horizontal="general" vertical="top" wrapText="1"/>
    </x:xf>
    <x:xf numFmtId="0" fontId="10" fillId="0" borderId="0" xfId="35" applyAlignment="1">
      <x:alignment horizontal="general" vertical="top" wrapText="1"/>
    </x:xf>
    <x:xf numFmtId="0" fontId="5" fillId="0" borderId="0" xfId="35" applyAlignment="1">
      <x:alignment horizontal="general" vertical="bottom" wrapText="1"/>
    </x:xf>
    <x:xf numFmtId="165" fontId="5" fillId="0" borderId="0" xfId="35" applyAlignment="1">
      <x:alignment horizontal="general" vertical="bottom" wrapText="1"/>
    </x:xf>
    <x:xf numFmtId="0" fontId="10" fillId="0" borderId="0" xfId="35" applyAlignment="1">
      <x:alignment horizontal="general" vertical="bottom" wrapText="1"/>
    </x:xf>
    <x:xf numFmtId="0" fontId="5" fillId="5" borderId="0" xfId="35" applyAlignment="1">
      <x:alignment horizontal="general" vertical="bottom" wrapText="1"/>
    </x:xf>
    <x:xf numFmtId="0" fontId="6" fillId="0" borderId="0" xfId="35" applyAlignment="1">
      <x:alignment horizontal="general" vertical="bottom" wrapText="1"/>
    </x:xf>
    <x:xf numFmtId="0" fontId="4" fillId="0" borderId="0" xfId="35" applyAlignment="1">
      <x:alignment horizontal="left" vertical="top" wrapText="1"/>
    </x:xf>
    <x:xf numFmtId="0" fontId="5" fillId="6" borderId="0" xfId="35" applyAlignment="1">
      <x:alignment horizontal="general" vertical="bottom" wrapText="1"/>
    </x:xf>
    <x:xf numFmtId="0" fontId="5" fillId="6" borderId="0" xfId="35" applyAlignment="1">
      <x:alignment horizontal="general" vertical="bottom"/>
    </x:xf>
    <x:xf numFmtId="165" fontId="5" fillId="0" borderId="0" xfId="35" applyAlignment="1">
      <x:alignment horizontal="general" vertical="bottom"/>
    </x:xf>
    <x:xf numFmtId="0" fontId="6" fillId="0" borderId="0" xfId="35" applyAlignment="1">
      <x:alignment horizontal="general" vertical="bottom"/>
    </x:xf>
    <x:xf numFmtId="0" fontId="5" fillId="5" borderId="0" xfId="35" applyAlignment="1">
      <x:alignment horizontal="general" vertical="bottom"/>
    </x:xf>
    <x:xf numFmtId="0" fontId="11" fillId="7" borderId="0" xfId="35" applyAlignment="1">
      <x:alignment horizontal="general" vertical="bottom"/>
    </x:xf>
    <x:xf numFmtId="0" fontId="5" fillId="7" borderId="0" xfId="35" applyAlignment="1">
      <x:alignment horizontal="general" vertical="bottom"/>
    </x:xf>
    <x:xf numFmtId="0" fontId="12" fillId="7" borderId="0" xfId="35" applyAlignment="1">
      <x:alignment horizontal="general" vertical="bottom"/>
    </x:xf>
    <x:xf numFmtId="0" fontId="13" fillId="7" borderId="0" xfId="35" applyAlignment="1">
      <x:alignment horizontal="general" vertical="bottom"/>
    </x:xf>
    <x:xf numFmtId="0" fontId="13" fillId="7" borderId="0" xfId="35" applyAlignment="1">
      <x:alignment horizontal="general" vertical="center" wrapText="1"/>
    </x:xf>
    <x:xf numFmtId="0" fontId="4" fillId="0" borderId="0" xfId="34" applyAlignment="1">
      <x:alignment horizontal="general" vertical="bottom"/>
    </x:xf>
    <x:xf numFmtId="0" fontId="8" fillId="0" borderId="0" xfId="35" applyAlignment="1">
      <x:alignment horizontal="general" vertical="top" wrapText="1"/>
    </x:xf>
    <x:xf numFmtId="0" fontId="10" fillId="8" borderId="0" xfId="35" applyAlignment="1">
      <x:alignment horizontal="general" vertical="top" wrapText="1"/>
    </x:xf>
    <x:xf numFmtId="0" fontId="5" fillId="8" borderId="0" xfId="35" applyAlignment="1">
      <x:alignment horizontal="general" vertical="top" wrapText="1"/>
    </x:xf>
    <x:xf numFmtId="0" fontId="14" fillId="0" borderId="0" xfId="35" applyAlignment="1">
      <x:alignment horizontal="general" vertical="top" wrapText="1"/>
    </x:xf>
    <x:xf numFmtId="0" fontId="5" fillId="5" borderId="0" xfId="35" applyAlignment="1">
      <x:alignment horizontal="general" vertical="top" wrapText="1"/>
    </x:xf>
    <x:xf numFmtId="0" fontId="5" fillId="6" borderId="0" xfId="35" applyAlignment="1">
      <x:alignment horizontal="general" vertical="top" wrapText="1"/>
    </x:xf>
    <x:xf numFmtId="0" fontId="12" fillId="7" borderId="0" xfId="35" applyAlignment="1">
      <x:alignment horizontal="general" vertical="top" wrapText="1"/>
    </x:xf>
    <x:xf numFmtId="0" fontId="10" fillId="2" borderId="0" xfId="35" applyAlignment="1">
      <x:alignment horizontal="general" vertical="top" wrapText="1"/>
    </x:xf>
    <x:xf numFmtId="0" fontId="5" fillId="9" borderId="0" xfId="35" applyAlignment="1">
      <x:alignment horizontal="general" vertical="top" wrapText="1"/>
    </x:xf>
    <x:xf numFmtId="0" fontId="4" fillId="0" borderId="0" xfId="32" applyAlignment="1">
      <x:alignment horizontal="general" vertical="bottom"/>
    </x:xf>
    <x:xf numFmtId="0" fontId="10" fillId="2" borderId="0" xfId="35" applyAlignment="1">
      <x:alignment horizontal="general" vertical="bottom"/>
    </x:xf>
    <x:xf numFmtId="0" fontId="10" fillId="0" borderId="0" xfId="35" applyAlignment="1">
      <x:alignment horizontal="general" vertical="bottom"/>
    </x:xf>
    <x:xf numFmtId="0" fontId="5" fillId="9" borderId="0" xfId="35" applyAlignment="1">
      <x:alignment horizontal="general" vertical="bottom"/>
    </x:xf>
    <x:xf numFmtId="166" fontId="5" fillId="0" borderId="0" xfId="35" applyAlignment="1">
      <x:alignment horizontal="general" vertical="bottom"/>
    </x:xf>
    <x:xf numFmtId="0" fontId="5" fillId="0" borderId="0" xfId="35" applyAlignment="1">
      <x:alignment horizontal="general" vertical="center" wrapText="1"/>
    </x:xf>
    <x:xf numFmtId="0" fontId="5" fillId="0" borderId="1" xfId="35" applyAlignment="1">
      <x:alignment horizontal="general" vertical="center" wrapText="1"/>
    </x:xf>
    <x:xf numFmtId="0" fontId="4" fillId="0" borderId="0" xfId="34" applyAlignment="1">
      <x:alignment horizontal="general" vertical="top" wrapText="1"/>
    </x:xf>
    <x:xf numFmtId="0" fontId="15" fillId="10" borderId="0" xfId="35" applyAlignment="1">
      <x:alignment horizontal="general" vertical="bottom"/>
    </x:xf>
    <x:xf numFmtId="0" fontId="6" fillId="11" borderId="0" xfId="35" applyAlignment="1">
      <x:alignment horizontal="general" vertical="bottom"/>
    </x:xf>
    <x:xf numFmtId="0" fontId="6" fillId="12" borderId="1" xfId="35" applyAlignment="1">
      <x:alignment horizontal="general" vertical="center" wrapText="1"/>
    </x:xf>
    <x:xf numFmtId="0" fontId="16" fillId="12" borderId="1" xfId="35" applyAlignment="1">
      <x:alignment horizontal="general" vertical="center" wrapText="1"/>
    </x:xf>
    <x:xf numFmtId="0" fontId="6" fillId="11" borderId="1" xfId="35" applyAlignment="1">
      <x:alignment horizontal="general" vertical="center" wrapText="1"/>
    </x:xf>
    <x:xf numFmtId="0" fontId="17" fillId="10" borderId="0" xfId="35" applyAlignment="1">
      <x:alignment horizontal="left" vertical="center"/>
    </x:xf>
    <x:xf numFmtId="0" fontId="16" fillId="11" borderId="1" xfId="35" applyAlignment="1">
      <x:alignment horizontal="general" vertical="top" wrapText="1"/>
    </x:xf>
    <x:xf numFmtId="0" fontId="5" fillId="0" borderId="1" xfId="35" applyAlignment="1">
      <x:alignment horizontal="general" vertical="top" wrapText="1"/>
    </x:xf>
    <x:xf numFmtId="0" fontId="10" fillId="13" borderId="0" xfId="35" applyAlignment="1">
      <x:alignment horizontal="general" vertical="bottom"/>
    </x:xf>
    <x:xf numFmtId="0" fontId="4" fillId="0" borderId="0" xfId="35" applyAlignment="1">
      <x:alignment horizontal="general" vertical="center" wrapText="1"/>
    </x:xf>
    <x:xf numFmtId="167" fontId="5" fillId="8" borderId="0" xfId="35" applyAlignment="1">
      <x:alignment horizontal="general" vertical="bottom"/>
    </x:xf>
    <x:xf numFmtId="165" fontId="5" fillId="6" borderId="0" xfId="35" applyAlignment="1">
      <x:alignment horizontal="general" vertical="bottom"/>
    </x:xf>
    <x:xf numFmtId="165" fontId="5" fillId="14" borderId="0" xfId="35" applyAlignment="1">
      <x:alignment horizontal="general" vertical="bottom"/>
    </x:xf>
    <x:xf numFmtId="0" fontId="4" fillId="0" borderId="0" xfId="34" applyAlignment="1">
      <x:alignment horizontal="general" vertical="bottom"/>
    </x:xf>
    <x:xf numFmtId="0" fontId="5" fillId="6" borderId="0" xfId="35" applyAlignment="1">
      <x:alignment horizontal="general" vertical="center" wrapText="1"/>
    </x:xf>
    <x:xf numFmtId="0" fontId="5" fillId="0" borderId="0" xfId="35" applyAlignment="1">
      <x:alignment horizontal="general" vertical="center" wrapText="1"/>
    </x:xf>
    <x:xf numFmtId="0" fontId="6" fillId="2" borderId="0" xfId="35" applyAlignment="1">
      <x:alignment horizontal="general" vertical="bottom"/>
    </x:xf>
    <x:xf numFmtId="0" fontId="10" fillId="8" borderId="0" xfId="35" applyAlignment="1">
      <x:alignment horizontal="general" vertical="bottom"/>
    </x:xf>
    <x:xf numFmtId="0" fontId="5" fillId="15" borderId="0" xfId="35" applyAlignment="1">
      <x:alignment horizontal="general" vertical="bottom"/>
    </x:xf>
    <x:xf numFmtId="0" fontId="5" fillId="16" borderId="0" xfId="35" applyAlignment="1">
      <x:alignment horizontal="general" vertical="bottom"/>
    </x:xf>
    <x:xf numFmtId="0" fontId="10" fillId="16" borderId="0" xfId="35" applyAlignment="1">
      <x:alignment horizontal="general" vertical="bottom"/>
    </x:xf>
    <x:xf numFmtId="0" fontId="6" fillId="16" borderId="0" xfId="35" applyAlignment="1">
      <x:alignment horizontal="general" vertical="bottom"/>
    </x:xf>
    <x:xf numFmtId="168" fontId="5" fillId="0" borderId="0" xfId="35" applyAlignment="1">
      <x:alignment horizontal="general" vertical="bottom"/>
    </x:xf>
    <x:xf numFmtId="165" fontId="4" fillId="0" borderId="0" xfId="34" applyAlignment="1">
      <x:alignment horizontal="general" vertical="bottom"/>
    </x:xf>
    <x:xf numFmtId="0" fontId="10" fillId="17" borderId="0" xfId="35" applyAlignment="1">
      <x:alignment horizontal="general" vertical="top" wrapText="1"/>
    </x:xf>
    <x:xf numFmtId="0" fontId="5" fillId="17" borderId="0" xfId="35" applyAlignment="1">
      <x:alignment horizontal="general" vertical="top" wrapText="1"/>
    </x:xf>
    <x:xf numFmtId="0" fontId="5" fillId="16" borderId="0" xfId="35" applyAlignment="1">
      <x:alignment horizontal="general" vertical="top" wrapText="1"/>
    </x:xf>
    <x:xf numFmtId="165" fontId="10" fillId="0" borderId="0" xfId="35" applyAlignment="1">
      <x:alignment horizontal="general" vertical="bottom" wrapText="1"/>
    </x:xf>
    <x:xf numFmtId="0" fontId="10" fillId="15" borderId="0" xfId="35" applyAlignment="1">
      <x:alignment horizontal="general" vertical="top" wrapText="1"/>
    </x:xf>
    <x:xf numFmtId="0" fontId="10" fillId="16" borderId="0" xfId="35" applyAlignment="1">
      <x:alignment horizontal="general" vertical="top" wrapText="1"/>
    </x:xf>
    <x:xf numFmtId="165" fontId="5" fillId="0" borderId="0" xfId="35" applyAlignment="1">
      <x:alignment horizontal="general" vertical="top" wrapText="1"/>
    </x:xf>
    <x:xf numFmtId="0" fontId="5" fillId="15" borderId="0" xfId="35" applyAlignment="1">
      <x:alignment horizontal="general" vertical="top" wrapText="1"/>
    </x:xf>
    <x:xf numFmtId="0" fontId="18" fillId="18" borderId="0" xfId="35" applyAlignment="1">
      <x:alignment horizontal="center" vertical="top" wrapText="1"/>
    </x:xf>
    <x:xf numFmtId="0" fontId="7" fillId="18" borderId="0" xfId="35" applyAlignment="1">
      <x:alignment horizontal="center" vertical="bottom" wrapText="1"/>
    </x:xf>
    <x:xf numFmtId="0" fontId="19" fillId="8" borderId="0" xfId="35" applyAlignment="1">
      <x:alignment horizontal="general" vertical="top" wrapText="1"/>
    </x:xf>
    <x:xf numFmtId="0" fontId="5" fillId="15" borderId="0" xfId="35" applyAlignment="1">
      <x:alignment horizontal="general" vertical="bottom" wrapText="1"/>
    </x:xf>
    <x:xf numFmtId="0" fontId="6" fillId="19" borderId="0" xfId="35" applyAlignment="1">
      <x:alignment horizontal="general" vertical="top" wrapText="1"/>
    </x:xf>
    <x:xf numFmtId="0" fontId="5" fillId="19" borderId="0" xfId="35" applyAlignment="1">
      <x:alignment horizontal="general" vertical="top" wrapText="1"/>
    </x:xf>
    <x:xf numFmtId="0" fontId="5" fillId="20" borderId="0" xfId="35" applyAlignment="1">
      <x:alignment horizontal="general" vertical="top" wrapText="1"/>
    </x:xf>
    <x:xf numFmtId="0" fontId="5" fillId="21" borderId="0" xfId="35" applyAlignment="1">
      <x:alignment horizontal="general" vertical="top" wrapText="1"/>
    </x:xf>
    <x:xf numFmtId="0" fontId="6" fillId="0" borderId="0" xfId="35" applyAlignment="1">
      <x:alignment horizontal="general" vertical="top" wrapText="1"/>
    </x:xf>
    <x:xf numFmtId="0" fontId="5" fillId="0" borderId="0" xfId="35" applyAlignment="1">
      <x:alignment horizontal="general" vertical="top" wrapText="1"/>
    </x:xf>
    <x:xf numFmtId="0" fontId="6" fillId="22" borderId="2" xfId="35" applyAlignment="1">
      <x:alignment horizontal="general" vertical="top" wrapText="1"/>
    </x:xf>
    <x:xf numFmtId="0" fontId="5" fillId="0" borderId="2" xfId="35" applyAlignment="1">
      <x:alignment horizontal="general" vertical="top" wrapText="1"/>
    </x:xf>
    <x:xf numFmtId="0" fontId="11" fillId="7" borderId="0" xfId="35" applyAlignment="1">
      <x:alignment horizontal="general" vertical="top" wrapText="1"/>
    </x:xf>
    <x:xf numFmtId="0" fontId="13" fillId="7" borderId="0" xfId="35" applyAlignment="1">
      <x:alignment horizontal="general" vertical="top" wrapText="1"/>
    </x:xf>
    <x:xf numFmtId="0" fontId="20" fillId="7" borderId="0" xfId="35" applyAlignment="1">
      <x:alignment horizontal="general" vertical="top" wrapText="1"/>
    </x:xf>
    <x:xf numFmtId="0" fontId="21" fillId="7" borderId="0" xfId="35" applyAlignment="1">
      <x:alignment horizontal="general" vertical="top" wrapText="1"/>
    </x:xf>
    <x:xf numFmtId="0" fontId="22" fillId="7" borderId="0" xfId="35" applyAlignment="1">
      <x:alignment horizontal="general" vertical="top" wrapText="1"/>
    </x:xf>
    <x:xf numFmtId="0" fontId="23" fillId="7" borderId="0" xfId="35" applyAlignment="1">
      <x:alignment horizontal="left" vertical="center"/>
    </x:xf>
    <x:xf numFmtId="0" fontId="4" fillId="7" borderId="0" xfId="35" applyAlignment="1">
      <x:alignment horizontal="general" vertical="top" wrapText="1"/>
    </x:xf>
    <x:xf numFmtId="0" fontId="23" fillId="7" borderId="0" xfId="35" applyAlignment="1">
      <x:alignment horizontal="left" vertical="center"/>
    </x:xf>
    <x:xf numFmtId="0" fontId="7" fillId="3" borderId="0" xfId="35" applyAlignment="1">
      <x:alignment horizontal="general" vertical="bottom"/>
    </x:xf>
    <x:xf numFmtId="0" fontId="6" fillId="2" borderId="0" xfId="35" applyAlignment="1">
      <x:alignment horizontal="general" vertical="bottom"/>
    </x:xf>
    <x:xf numFmtId="0" fontId="12" fillId="0" borderId="0" xfId="35" applyAlignment="1">
      <x:alignment horizontal="general" vertical="bottom"/>
    </x:xf>
    <x:xf numFmtId="0" fontId="6" fillId="0" borderId="0" xfId="35" applyAlignment="1">
      <x:alignment horizontal="general" vertical="center" wrapText="1"/>
    </x:xf>
    <x:xf numFmtId="0" fontId="10" fillId="2" borderId="0" xfId="35" applyAlignment="1">
      <x:alignment horizontal="general" vertical="bottom" wrapText="1"/>
    </x:xf>
    <x:xf numFmtId="0" fontId="10" fillId="17" borderId="0" xfId="35" applyAlignment="1">
      <x:alignment horizontal="general" vertical="bottom" wrapText="1"/>
    </x:xf>
    <x:xf numFmtId="0" fontId="11" fillId="7" borderId="0" xfId="35" applyAlignment="1">
      <x:alignment horizontal="general" vertical="bottom" wrapText="1"/>
    </x:xf>
    <x:xf numFmtId="0" fontId="12" fillId="7" borderId="0" xfId="35" applyAlignment="1">
      <x:alignment horizontal="general" vertical="bottom" wrapText="1"/>
    </x:xf>
    <x:xf numFmtId="0" fontId="20" fillId="0" borderId="0" xfId="35" applyAlignment="1">
      <x:alignment horizontal="general" vertical="top" wrapText="1"/>
    </x:xf>
    <x:xf numFmtId="0" fontId="12" fillId="0" borderId="0" xfId="35" applyAlignment="1">
      <x:alignment horizontal="general" vertical="top" wrapText="1"/>
    </x:xf>
    <x:xf numFmtId="0" fontId="10" fillId="6" borderId="0" xfId="35" applyAlignment="1">
      <x:alignment horizontal="general" vertical="top" wrapText="1"/>
    </x:xf>
    <x:xf numFmtId="0" fontId="8" fillId="11" borderId="0" xfId="35" applyAlignment="1">
      <x:alignment horizontal="general" vertical="top" wrapText="1"/>
    </x:xf>
    <x:xf numFmtId="0" fontId="7" fillId="2" borderId="0" xfId="35" applyAlignment="1">
      <x:alignment horizontal="center" vertical="center" wrapText="1"/>
    </x:xf>
    <x:xf numFmtId="0" fontId="7" fillId="2" borderId="0" xfId="35" applyAlignment="1">
      <x:alignment horizontal="center" vertical="top" wrapText="1"/>
    </x:xf>
    <x:xf numFmtId="0" fontId="7" fillId="23" borderId="0" xfId="35" applyAlignment="1">
      <x:alignment horizontal="center" vertical="center" wrapText="1"/>
    </x:xf>
    <x:xf numFmtId="0" fontId="24" fillId="3" borderId="0" xfId="35" applyAlignment="1">
      <x:alignment horizontal="center" vertical="bottom" wrapText="1"/>
    </x:xf>
    <x:xf numFmtId="0" fontId="8" fillId="4" borderId="0" xfId="35" applyAlignment="1">
      <x:alignment horizontal="center" vertical="bottom" wrapText="1"/>
    </x:xf>
    <x:xf numFmtId="0" fontId="8" fillId="4" borderId="0" xfId="35" applyAlignment="1">
      <x:alignment horizontal="general" vertical="bottom"/>
    </x:xf>
    <x:xf numFmtId="0" fontId="7" fillId="24" borderId="0" xfId="35" applyAlignment="1">
      <x:alignment horizontal="general" vertical="bottom" wrapText="1"/>
    </x:xf>
    <x:xf numFmtId="0" fontId="7" fillId="10" borderId="0" xfId="35" applyAlignment="1">
      <x:alignment horizontal="center" vertical="center" wrapText="1"/>
    </x:xf>
    <x:xf numFmtId="0" fontId="8" fillId="11" borderId="0" xfId="35" applyAlignment="1">
      <x:alignment horizontal="general" vertical="bottom" wrapText="1"/>
    </x:xf>
    <x:xf numFmtId="0" fontId="4" fillId="0" borderId="0" xfId="35" applyAlignment="1">
      <x:alignment horizontal="general" vertical="bottom" wrapText="1"/>
    </x:xf>
    <x:xf numFmtId="0" fontId="8" fillId="0" borderId="0" xfId="34" applyAlignment="1">
      <x:alignment horizontal="general" vertical="bottom" wrapText="1"/>
    </x:xf>
    <x:xf numFmtId="0" fontId="8" fillId="0" borderId="0" xfId="34" applyAlignment="1">
      <x:alignment horizontal="general" vertical="bottom"/>
    </x:xf>
    <x:xf numFmtId="0" fontId="4" fillId="0" borderId="0" xfId="32" applyAlignment="1">
      <x:alignment horizontal="general" vertical="bottom"/>
    </x:xf>
    <x:xf numFmtId="0" fontId="7" fillId="23" borderId="0" xfId="32" applyAlignment="1">
      <x:alignment horizontal="general" vertical="bottom" wrapText="1"/>
    </x:xf>
    <x:xf numFmtId="0" fontId="7" fillId="25" borderId="0" xfId="32" applyAlignment="1">
      <x:alignment horizontal="general" vertical="bottom"/>
    </x:xf>
    <x:xf numFmtId="0" fontId="0" fillId="0" borderId="3" xfId="0" applyAlignment="1">
      <x:alignment horizontal="general" vertical="bottom"/>
    </x:xf>
    <x:xf numFmtId="0" fontId="6" fillId="2" borderId="3" xfId="0" applyAlignment="1">
      <x:alignment horizontal="general" vertical="bottom" wrapText="1"/>
    </x:xf>
    <x:xf numFmtId="0" fontId="7" fillId="2" borderId="3" xfId="0" applyAlignment="1">
      <x:alignment horizontal="general" vertical="bottom" wrapText="1"/>
    </x:xf>
    <x:xf numFmtId="0" fontId="0" fillId="0" borderId="3" xfId="0" applyAlignment="1">
      <x:alignment horizontal="general" vertical="bottom" wrapText="1"/>
    </x:xf>
    <x:xf numFmtId="0" fontId="6" fillId="0" borderId="3" xfId="0" applyAlignment="1">
      <x:alignment horizontal="general" vertical="top" wrapText="1"/>
    </x:xf>
    <x:xf numFmtId="0" fontId="5" fillId="0" borderId="3" xfId="0" applyAlignment="1">
      <x:alignment horizontal="general" vertical="top" wrapText="1"/>
    </x:xf>
    <x:xf numFmtId="0" fontId="6" fillId="0" borderId="3" xfId="0" applyAlignment="1">
      <x:alignment horizontal="left" vertical="bottom" wrapText="1"/>
    </x:xf>
    <x:xf numFmtId="0" fontId="5" fillId="0" borderId="3" xfId="0" applyAlignment="1">
      <x:alignment horizontal="left" vertical="bottom" wrapText="1"/>
    </x:xf>
    <x:xf numFmtId="0" fontId="8" fillId="0" borderId="3" xfId="0" applyAlignment="1">
      <x:alignment horizontal="general" vertical="bottom" wrapText="1"/>
    </x:xf>
    <x:xf numFmtId="164" fontId="5" fillId="0" borderId="3" xfId="0" applyAlignment="1">
      <x:alignment horizontal="general" vertical="top" wrapText="1"/>
    </x:xf>
    <x:xf numFmtId="0" fontId="7" fillId="3" borderId="3" xfId="0" applyAlignment="1">
      <x:alignment horizontal="general" vertical="bottom" wrapText="1"/>
    </x:xf>
    <x:xf numFmtId="0" fontId="8" fillId="4" borderId="3" xfId="0" applyAlignment="1">
      <x:alignment horizontal="general" vertical="bottom" wrapText="1"/>
    </x:xf>
    <x:xf numFmtId="0" fontId="5" fillId="0" borderId="3" xfId="0" applyAlignment="1">
      <x:alignment horizontal="general" vertical="bottom"/>
    </x:xf>
    <x:xf numFmtId="0" fontId="9" fillId="2" borderId="3" xfId="0" applyAlignment="1">
      <x:alignment horizontal="general" vertical="top" wrapText="1"/>
    </x:xf>
    <x:xf numFmtId="0" fontId="7" fillId="2" borderId="3" xfId="0" applyAlignment="1">
      <x:alignment horizontal="general" vertical="top" wrapText="1"/>
    </x:xf>
    <x:xf numFmtId="0" fontId="0" fillId="0" borderId="3" xfId="0" applyAlignment="1">
      <x:alignment horizontal="general" vertical="top" wrapText="1"/>
    </x:xf>
    <x:xf numFmtId="0" fontId="10" fillId="0" borderId="3" xfId="0" applyAlignment="1">
      <x:alignment horizontal="general" vertical="top" wrapText="1"/>
    </x:xf>
    <x:xf numFmtId="0" fontId="5" fillId="0" borderId="3" xfId="0" applyAlignment="1">
      <x:alignment horizontal="general" vertical="bottom" wrapText="1"/>
    </x:xf>
    <x:xf numFmtId="165" fontId="5" fillId="0" borderId="3" xfId="0" applyAlignment="1">
      <x:alignment horizontal="general" vertical="bottom" wrapText="1"/>
    </x:xf>
    <x:xf numFmtId="0" fontId="10" fillId="0" borderId="3" xfId="0" applyAlignment="1">
      <x:alignment horizontal="general" vertical="bottom" wrapText="1"/>
    </x:xf>
    <x:xf numFmtId="0" fontId="5" fillId="5" borderId="3" xfId="0" applyAlignment="1">
      <x:alignment horizontal="general" vertical="bottom" wrapText="1"/>
    </x:xf>
    <x:xf numFmtId="0" fontId="6" fillId="0" borderId="3" xfId="0" applyAlignment="1">
      <x:alignment horizontal="general" vertical="bottom" wrapText="1"/>
    </x:xf>
    <x:xf numFmtId="0" fontId="0" fillId="0" borderId="3" xfId="0" applyAlignment="1">
      <x:alignment horizontal="left" vertical="top" wrapText="1"/>
    </x:xf>
    <x:xf numFmtId="0" fontId="5" fillId="6" borderId="3" xfId="0" applyAlignment="1">
      <x:alignment horizontal="general" vertical="bottom" wrapText="1"/>
    </x:xf>
    <x:xf numFmtId="0" fontId="5" fillId="6" borderId="3" xfId="0" applyAlignment="1">
      <x:alignment horizontal="general" vertical="bottom"/>
    </x:xf>
    <x:xf numFmtId="165" fontId="5" fillId="0" borderId="3" xfId="0" applyAlignment="1">
      <x:alignment horizontal="general" vertical="bottom"/>
    </x:xf>
    <x:xf numFmtId="0" fontId="6" fillId="0" borderId="3" xfId="0" applyAlignment="1">
      <x:alignment horizontal="general" vertical="bottom"/>
    </x:xf>
    <x:xf numFmtId="0" fontId="5" fillId="5" borderId="3" xfId="0" applyAlignment="1">
      <x:alignment horizontal="general" vertical="bottom"/>
    </x:xf>
    <x:xf numFmtId="0" fontId="11" fillId="7" borderId="3" xfId="0" applyAlignment="1">
      <x:alignment horizontal="general" vertical="bottom"/>
    </x:xf>
    <x:xf numFmtId="0" fontId="5" fillId="7" borderId="3" xfId="0" applyAlignment="1">
      <x:alignment horizontal="general" vertical="bottom"/>
    </x:xf>
    <x:xf numFmtId="0" fontId="12" fillId="7" borderId="3" xfId="0" applyAlignment="1">
      <x:alignment horizontal="general" vertical="bottom"/>
    </x:xf>
    <x:xf numFmtId="0" fontId="13" fillId="7" borderId="3" xfId="0" applyAlignment="1">
      <x:alignment horizontal="general" vertical="bottom"/>
    </x:xf>
    <x:xf numFmtId="0" fontId="13" fillId="7" borderId="3" xfId="0" applyAlignment="1">
      <x:alignment horizontal="general" vertical="center" wrapText="1"/>
    </x:xf>
    <x:xf numFmtId="0" fontId="8" fillId="0" borderId="3" xfId="0" applyAlignment="1">
      <x:alignment horizontal="general" vertical="top" wrapText="1"/>
    </x:xf>
    <x:xf numFmtId="0" fontId="10" fillId="8" borderId="3" xfId="0" applyAlignment="1">
      <x:alignment horizontal="general" vertical="top" wrapText="1"/>
    </x:xf>
    <x:xf numFmtId="0" fontId="5" fillId="8" borderId="3" xfId="0" applyAlignment="1">
      <x:alignment horizontal="general" vertical="top" wrapText="1"/>
    </x:xf>
    <x:xf numFmtId="0" fontId="14" fillId="0" borderId="3" xfId="0" applyAlignment="1">
      <x:alignment horizontal="general" vertical="top" wrapText="1"/>
    </x:xf>
    <x:xf numFmtId="0" fontId="5" fillId="5" borderId="3" xfId="0" applyAlignment="1">
      <x:alignment horizontal="general" vertical="top" wrapText="1"/>
    </x:xf>
    <x:xf numFmtId="0" fontId="5" fillId="6" borderId="3" xfId="0" applyAlignment="1">
      <x:alignment horizontal="general" vertical="top" wrapText="1"/>
    </x:xf>
    <x:xf numFmtId="0" fontId="12" fillId="7" borderId="3" xfId="0" applyAlignment="1">
      <x:alignment horizontal="general" vertical="top" wrapText="1"/>
    </x:xf>
    <x:xf numFmtId="0" fontId="10" fillId="2" borderId="3" xfId="0" applyAlignment="1">
      <x:alignment horizontal="general" vertical="top" wrapText="1"/>
    </x:xf>
    <x:xf numFmtId="0" fontId="5" fillId="9" borderId="3" xfId="0" applyAlignment="1">
      <x:alignment horizontal="general" vertical="top" wrapText="1"/>
    </x:xf>
    <x:xf numFmtId="0" fontId="10" fillId="2" borderId="3" xfId="0" applyAlignment="1">
      <x:alignment horizontal="general" vertical="bottom"/>
    </x:xf>
    <x:xf numFmtId="0" fontId="10" fillId="0" borderId="3" xfId="0" applyAlignment="1">
      <x:alignment horizontal="general" vertical="bottom"/>
    </x:xf>
    <x:xf numFmtId="0" fontId="5" fillId="9" borderId="3" xfId="0" applyAlignment="1">
      <x:alignment horizontal="general" vertical="bottom"/>
    </x:xf>
    <x:xf numFmtId="166" fontId="5" fillId="0" borderId="3" xfId="0" applyAlignment="1">
      <x:alignment horizontal="general" vertical="bottom"/>
    </x:xf>
    <x:xf numFmtId="0" fontId="5" fillId="0" borderId="3" xfId="0" applyAlignment="1">
      <x:alignment horizontal="general" vertical="center" wrapText="1"/>
    </x:xf>
    <x:xf numFmtId="0" fontId="5" fillId="0" borderId="4" xfId="0" applyAlignment="1">
      <x:alignment horizontal="general" vertical="center" wrapText="1"/>
    </x:xf>
    <x:xf numFmtId="0" fontId="15" fillId="10" borderId="3" xfId="0" applyAlignment="1">
      <x:alignment horizontal="general" vertical="bottom"/>
    </x:xf>
    <x:xf numFmtId="0" fontId="6" fillId="11" borderId="3" xfId="0" applyAlignment="1">
      <x:alignment horizontal="general" vertical="bottom"/>
    </x:xf>
    <x:xf numFmtId="0" fontId="6" fillId="12" borderId="4" xfId="0" applyAlignment="1">
      <x:alignment horizontal="general" vertical="center" wrapText="1"/>
    </x:xf>
    <x:xf numFmtId="0" fontId="16" fillId="12" borderId="4" xfId="0" applyAlignment="1">
      <x:alignment horizontal="general" vertical="center" wrapText="1"/>
    </x:xf>
    <x:xf numFmtId="0" fontId="6" fillId="11" borderId="4" xfId="0" applyAlignment="1">
      <x:alignment horizontal="general" vertical="center" wrapText="1"/>
    </x:xf>
    <x:xf numFmtId="0" fontId="17" fillId="10" borderId="3" xfId="0" applyAlignment="1">
      <x:alignment horizontal="left" vertical="center"/>
    </x:xf>
    <x:xf numFmtId="0" fontId="16" fillId="11" borderId="4" xfId="0" applyAlignment="1">
      <x:alignment horizontal="general" vertical="top" wrapText="1"/>
    </x:xf>
    <x:xf numFmtId="0" fontId="5" fillId="0" borderId="4" xfId="0" applyAlignment="1">
      <x:alignment horizontal="general" vertical="top" wrapText="1"/>
    </x:xf>
    <x:xf numFmtId="0" fontId="10" fillId="13" borderId="3" xfId="0" applyAlignment="1">
      <x:alignment horizontal="general" vertical="bottom"/>
    </x:xf>
    <x:xf numFmtId="0" fontId="0" fillId="0" borderId="3" xfId="0" applyAlignment="1">
      <x:alignment horizontal="general" vertical="center" wrapText="1"/>
    </x:xf>
    <x:xf numFmtId="167" fontId="5" fillId="8" borderId="3" xfId="0" applyAlignment="1">
      <x:alignment horizontal="general" vertical="bottom"/>
    </x:xf>
    <x:xf numFmtId="165" fontId="5" fillId="6" borderId="3" xfId="0" applyAlignment="1">
      <x:alignment horizontal="general" vertical="bottom"/>
    </x:xf>
    <x:xf numFmtId="165" fontId="5" fillId="14" borderId="3" xfId="0" applyAlignment="1">
      <x:alignment horizontal="general" vertical="bottom"/>
    </x:xf>
    <x:xf numFmtId="0" fontId="5" fillId="6" borderId="3" xfId="0" applyAlignment="1">
      <x:alignment horizontal="general" vertical="center" wrapText="1"/>
    </x:xf>
    <x:xf numFmtId="0" fontId="6" fillId="2" borderId="3" xfId="0" applyAlignment="1">
      <x:alignment horizontal="general" vertical="bottom"/>
    </x:xf>
    <x:xf numFmtId="0" fontId="10" fillId="8" borderId="3" xfId="0" applyAlignment="1">
      <x:alignment horizontal="general" vertical="bottom"/>
    </x:xf>
    <x:xf numFmtId="0" fontId="5" fillId="15" borderId="3" xfId="0" applyAlignment="1">
      <x:alignment horizontal="general" vertical="bottom"/>
    </x:xf>
    <x:xf numFmtId="0" fontId="5" fillId="16" borderId="3" xfId="0" applyAlignment="1">
      <x:alignment horizontal="general" vertical="bottom"/>
    </x:xf>
    <x:xf numFmtId="0" fontId="10" fillId="16" borderId="3" xfId="0" applyAlignment="1">
      <x:alignment horizontal="general" vertical="bottom"/>
    </x:xf>
    <x:xf numFmtId="0" fontId="6" fillId="16" borderId="3" xfId="0" applyAlignment="1">
      <x:alignment horizontal="general" vertical="bottom"/>
    </x:xf>
    <x:xf numFmtId="168" fontId="5" fillId="0" borderId="3" xfId="0" applyAlignment="1">
      <x:alignment horizontal="general" vertical="bottom"/>
    </x:xf>
    <x:xf numFmtId="165" fontId="0" fillId="0" borderId="3" xfId="0" applyAlignment="1">
      <x:alignment horizontal="general" vertical="bottom"/>
    </x:xf>
    <x:xf numFmtId="0" fontId="10" fillId="17" borderId="3" xfId="0" applyAlignment="1">
      <x:alignment horizontal="general" vertical="top" wrapText="1"/>
    </x:xf>
    <x:xf numFmtId="0" fontId="5" fillId="17" borderId="3" xfId="0" applyAlignment="1">
      <x:alignment horizontal="general" vertical="top" wrapText="1"/>
    </x:xf>
    <x:xf numFmtId="0" fontId="5" fillId="16" borderId="3" xfId="0" applyAlignment="1">
      <x:alignment horizontal="general" vertical="top" wrapText="1"/>
    </x:xf>
    <x:xf numFmtId="165" fontId="10" fillId="0" borderId="3" xfId="0" applyAlignment="1">
      <x:alignment horizontal="general" vertical="bottom" wrapText="1"/>
    </x:xf>
    <x:xf numFmtId="0" fontId="10" fillId="15" borderId="3" xfId="0" applyAlignment="1">
      <x:alignment horizontal="general" vertical="top" wrapText="1"/>
    </x:xf>
    <x:xf numFmtId="0" fontId="10" fillId="16" borderId="3" xfId="0" applyAlignment="1">
      <x:alignment horizontal="general" vertical="top" wrapText="1"/>
    </x:xf>
    <x:xf numFmtId="165" fontId="5" fillId="0" borderId="3" xfId="0" applyAlignment="1">
      <x:alignment horizontal="general" vertical="top" wrapText="1"/>
    </x:xf>
    <x:xf numFmtId="0" fontId="5" fillId="15" borderId="3" xfId="0" applyAlignment="1">
      <x:alignment horizontal="general" vertical="top" wrapText="1"/>
    </x:xf>
    <x:xf numFmtId="0" fontId="18" fillId="18" borderId="3" xfId="0" applyAlignment="1">
      <x:alignment horizontal="center" vertical="top" wrapText="1"/>
    </x:xf>
    <x:xf numFmtId="0" fontId="7" fillId="18" borderId="3" xfId="0" applyAlignment="1">
      <x:alignment horizontal="center" vertical="bottom" wrapText="1"/>
    </x:xf>
    <x:xf numFmtId="0" fontId="19" fillId="8" borderId="3" xfId="0" applyAlignment="1">
      <x:alignment horizontal="general" vertical="top" wrapText="1"/>
    </x:xf>
    <x:xf numFmtId="0" fontId="5" fillId="15" borderId="3" xfId="0" applyAlignment="1">
      <x:alignment horizontal="general" vertical="bottom" wrapText="1"/>
    </x:xf>
    <x:xf numFmtId="0" fontId="6" fillId="19" borderId="3" xfId="0" applyAlignment="1">
      <x:alignment horizontal="general" vertical="top" wrapText="1"/>
    </x:xf>
    <x:xf numFmtId="0" fontId="5" fillId="19" borderId="3" xfId="0" applyAlignment="1">
      <x:alignment horizontal="general" vertical="top" wrapText="1"/>
    </x:xf>
    <x:xf numFmtId="0" fontId="5" fillId="20" borderId="3" xfId="0" applyAlignment="1">
      <x:alignment horizontal="general" vertical="top" wrapText="1"/>
    </x:xf>
    <x:xf numFmtId="0" fontId="5" fillId="21" borderId="3" xfId="0" applyAlignment="1">
      <x:alignment horizontal="general" vertical="top" wrapText="1"/>
    </x:xf>
    <x:xf numFmtId="0" fontId="6" fillId="22" borderId="5" xfId="0" applyAlignment="1">
      <x:alignment horizontal="general" vertical="top" wrapText="1"/>
    </x:xf>
    <x:xf numFmtId="0" fontId="5" fillId="0" borderId="5" xfId="0" applyAlignment="1">
      <x:alignment horizontal="general" vertical="top" wrapText="1"/>
    </x:xf>
    <x:xf numFmtId="0" fontId="11" fillId="7" borderId="3" xfId="0" applyAlignment="1">
      <x:alignment horizontal="general" vertical="top" wrapText="1"/>
    </x:xf>
    <x:xf numFmtId="0" fontId="13" fillId="7" borderId="3" xfId="0" applyAlignment="1">
      <x:alignment horizontal="general" vertical="top" wrapText="1"/>
    </x:xf>
    <x:xf numFmtId="0" fontId="20" fillId="7" borderId="3" xfId="0" applyAlignment="1">
      <x:alignment horizontal="general" vertical="top" wrapText="1"/>
    </x:xf>
    <x:xf numFmtId="0" fontId="21" fillId="7" borderId="3" xfId="0" applyAlignment="1">
      <x:alignment horizontal="general" vertical="top" wrapText="1"/>
    </x:xf>
    <x:xf numFmtId="0" fontId="22" fillId="7" borderId="3" xfId="0" applyAlignment="1">
      <x:alignment horizontal="general" vertical="top" wrapText="1"/>
    </x:xf>
    <x:xf numFmtId="0" fontId="23" fillId="7" borderId="3" xfId="0" applyAlignment="1">
      <x:alignment horizontal="left" vertical="center"/>
    </x:xf>
    <x:xf numFmtId="0" fontId="0" fillId="7" borderId="3" xfId="0" applyAlignment="1">
      <x:alignment horizontal="general" vertical="top" wrapText="1"/>
    </x:xf>
    <x:xf numFmtId="0" fontId="7" fillId="3" borderId="3" xfId="0" applyAlignment="1">
      <x:alignment horizontal="general" vertical="bottom"/>
    </x:xf>
    <x:xf numFmtId="0" fontId="12" fillId="0" borderId="3" xfId="0" applyAlignment="1">
      <x:alignment horizontal="general" vertical="bottom"/>
    </x:xf>
    <x:xf numFmtId="0" fontId="6" fillId="0" borderId="3" xfId="0" applyAlignment="1">
      <x:alignment horizontal="general" vertical="center" wrapText="1"/>
    </x:xf>
    <x:xf numFmtId="0" fontId="10" fillId="2" borderId="3" xfId="0" applyAlignment="1">
      <x:alignment horizontal="general" vertical="bottom" wrapText="1"/>
    </x:xf>
    <x:xf numFmtId="0" fontId="10" fillId="17" borderId="3" xfId="0" applyAlignment="1">
      <x:alignment horizontal="general" vertical="bottom" wrapText="1"/>
    </x:xf>
    <x:xf numFmtId="0" fontId="11" fillId="7" borderId="3" xfId="0" applyAlignment="1">
      <x:alignment horizontal="general" vertical="bottom" wrapText="1"/>
    </x:xf>
    <x:xf numFmtId="0" fontId="12" fillId="7" borderId="3" xfId="0" applyAlignment="1">
      <x:alignment horizontal="general" vertical="bottom" wrapText="1"/>
    </x:xf>
    <x:xf numFmtId="0" fontId="20" fillId="0" borderId="3" xfId="0" applyAlignment="1">
      <x:alignment horizontal="general" vertical="top" wrapText="1"/>
    </x:xf>
    <x:xf numFmtId="0" fontId="12" fillId="0" borderId="3" xfId="0" applyAlignment="1">
      <x:alignment horizontal="general" vertical="top" wrapText="1"/>
    </x:xf>
    <x:xf numFmtId="0" fontId="10" fillId="6" borderId="3" xfId="0" applyAlignment="1">
      <x:alignment horizontal="general" vertical="top" wrapText="1"/>
    </x:xf>
    <x:xf numFmtId="0" fontId="8" fillId="11" borderId="3" xfId="0" applyAlignment="1">
      <x:alignment horizontal="general" vertical="top" wrapText="1"/>
    </x:xf>
    <x:xf numFmtId="0" fontId="7" fillId="2" borderId="3" xfId="0" applyAlignment="1">
      <x:alignment horizontal="center" vertical="center" wrapText="1"/>
    </x:xf>
    <x:xf numFmtId="0" fontId="7" fillId="2" borderId="3" xfId="0" applyAlignment="1">
      <x:alignment horizontal="center" vertical="top" wrapText="1"/>
    </x:xf>
    <x:xf numFmtId="0" fontId="7" fillId="23" borderId="3" xfId="0" applyAlignment="1">
      <x:alignment horizontal="center" vertical="center" wrapText="1"/>
    </x:xf>
    <x:xf numFmtId="0" fontId="24" fillId="3" borderId="3" xfId="0" applyAlignment="1">
      <x:alignment horizontal="center" vertical="bottom" wrapText="1"/>
    </x:xf>
    <x:xf numFmtId="0" fontId="8" fillId="4" borderId="3" xfId="0" applyAlignment="1">
      <x:alignment horizontal="center" vertical="bottom" wrapText="1"/>
    </x:xf>
    <x:xf numFmtId="0" fontId="8" fillId="4" borderId="3" xfId="0" applyAlignment="1">
      <x:alignment horizontal="general" vertical="bottom"/>
    </x:xf>
    <x:xf numFmtId="0" fontId="7" fillId="24" borderId="3" xfId="0" applyAlignment="1">
      <x:alignment horizontal="general" vertical="bottom" wrapText="1"/>
    </x:xf>
    <x:xf numFmtId="0" fontId="7" fillId="10" borderId="3" xfId="0" applyAlignment="1">
      <x:alignment horizontal="center" vertical="center" wrapText="1"/>
    </x:xf>
    <x:xf numFmtId="0" fontId="8" fillId="11" borderId="3" xfId="0" applyAlignment="1">
      <x:alignment horizontal="general" vertical="bottom" wrapText="1"/>
    </x:xf>
    <x:xf numFmtId="0" fontId="8" fillId="0" borderId="3" xfId="0" applyAlignment="1">
      <x:alignment horizontal="general" vertical="bottom"/>
    </x:xf>
    <x:xf numFmtId="0" fontId="7" fillId="23" borderId="3" xfId="0" applyAlignment="1">
      <x:alignment horizontal="general" vertical="bottom" wrapText="1"/>
    </x:xf>
    <x:xf numFmtId="0" fontId="7" fillId="25" borderId="3" xfId="0" applyAlignment="1">
      <x:alignment horizontal="general" vertical="bottom"/>
    </x:xf>
    <x:xf numFmtId="0" fontId="7" fillId="23" borderId="0" xfId="0" applyAlignment="1">
      <x:alignment horizontal="general" vertical="bottom" wrapText="1"/>
    </x:xf>
    <x:xf numFmtId="0" fontId="0" fillId="0" borderId="0" xfId="0" applyAlignment="1">
      <x:alignment horizontal="general" vertical="bottom" wrapText="1"/>
    </x:xf>
    <x:xf numFmtId="0" fontId="7" fillId="25" borderId="0" xfId="0" applyAlignment="1">
      <x:alignment horizontal="general" vertical="bottom" wrapText="1"/>
    </x:xf>
    <x:xf numFmtId="0" fontId="7" fillId="25" borderId="3" xfId="0" applyAlignment="1">
      <x:alignment horizontal="general" vertical="bottom" wrapText="1"/>
    </x:xf>
    <x:xf numFmtId="0" fontId="7" fillId="23" borderId="0" xfId="0" applyAlignment="1">
      <x:alignment horizontal="general" vertical="top" wrapText="1"/>
    </x:xf>
    <x:xf numFmtId="0" fontId="0" fillId="0" borderId="0" xfId="0" applyAlignment="1">
      <x:alignment horizontal="general" vertical="top" wrapText="1"/>
    </x:xf>
    <x:xf numFmtId="0" fontId="7" fillId="25" borderId="0" xfId="0" applyAlignment="1">
      <x:alignment horizontal="general" vertical="top" wrapText="1"/>
    </x:xf>
    <x:xf numFmtId="0" fontId="7" fillId="23" borderId="3" xfId="0" applyAlignment="1">
      <x:alignment horizontal="general" vertical="top" wrapText="1"/>
    </x:xf>
    <x:xf numFmtId="0" fontId="7" fillId="25" borderId="3" xfId="0" applyAlignment="1">
      <x:alignment horizontal="general" vertical="top" wrapText="1"/>
    </x:xf>
    <x:xf numFmtId="0" fontId="6" fillId="2" borderId="0" xfId="0" applyAlignment="1">
      <x:alignment horizontal="general" vertical="bottom" wrapText="1"/>
    </x:xf>
    <x:xf numFmtId="0" fontId="6" fillId="0"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0" fillId="0" borderId="0" xfId="0" applyAlignment="1">
      <x:alignment horizontal="general" vertical="bottom"/>
    </x:xf>
    <x:xf numFmtId="0" fontId="7" fillId="2" borderId="0" xfId="0" applyAlignment="1">
      <x:alignment horizontal="general" vertical="bottom"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0" applyAlignment="1">
      <x:alignment horizontal="general" vertical="bottom"/>
    </x:xf>
    <x:xf numFmtId="0" fontId="9" fillId="2" borderId="0" xfId="0" applyAlignment="1">
      <x:alignment horizontal="general" vertical="top" wrapText="1"/>
    </x:xf>
    <x:xf numFmtId="0" fontId="7" fillId="2" borderId="0" xfId="0" applyAlignment="1">
      <x:alignment horizontal="general" vertical="top" wrapText="1"/>
    </x:xf>
    <x:xf numFmtId="0" fontId="10" fillId="0" borderId="0" xfId="0" applyAlignment="1">
      <x:alignment horizontal="general" vertical="top" wrapText="1"/>
    </x:xf>
    <x:xf numFmtId="0" fontId="5" fillId="0" borderId="0" xfId="0" applyAlignment="1">
      <x:alignment horizontal="general" vertical="bottom" wrapText="1"/>
    </x:xf>
    <x:xf numFmtId="165" fontId="5" fillId="0" borderId="0" xfId="0" applyAlignment="1">
      <x:alignment horizontal="general" vertical="bottom" wrapText="1"/>
    </x:xf>
    <x:xf numFmtId="0" fontId="10" fillId="0" borderId="0" xfId="0" applyAlignment="1">
      <x:alignment horizontal="general" vertical="bottom" wrapText="1"/>
    </x:xf>
    <x:xf numFmtId="0" fontId="5" fillId="5" borderId="0" xfId="0" applyAlignment="1">
      <x:alignment horizontal="general" vertical="bottom" wrapText="1"/>
    </x:xf>
    <x:xf numFmtId="0" fontId="6" fillId="0" borderId="0" xfId="0" applyAlignment="1">
      <x:alignment horizontal="general" vertical="bottom" wrapText="1"/>
    </x:xf>
    <x:xf numFmtId="0" fontId="0" fillId="0" borderId="0" xfId="0" applyAlignment="1">
      <x:alignment horizontal="left" vertical="top" wrapText="1"/>
    </x:xf>
    <x:xf numFmtId="0" fontId="5" fillId="6" borderId="0" xfId="0" applyAlignment="1">
      <x:alignment horizontal="general" vertical="bottom" wrapText="1"/>
    </x:xf>
    <x:xf numFmtId="0" fontId="5" fillId="6" borderId="0" xfId="0" applyAlignment="1">
      <x:alignment horizontal="general" vertical="bottom"/>
    </x:xf>
    <x:xf numFmtId="165" fontId="5" fillId="0" borderId="0" xfId="0" applyAlignment="1">
      <x:alignment horizontal="general" vertical="bottom"/>
    </x:xf>
    <x:xf numFmtId="0" fontId="6" fillId="0" borderId="0" xfId="0" applyAlignment="1">
      <x:alignment horizontal="general" vertical="bottom"/>
    </x:xf>
    <x:xf numFmtId="0" fontId="5" fillId="5" borderId="0" xfId="0" applyAlignment="1">
      <x:alignment horizontal="general" vertical="bottom"/>
    </x:xf>
    <x:xf numFmtId="0" fontId="11" fillId="7" borderId="0" xfId="0" applyAlignment="1">
      <x:alignment horizontal="general" vertical="bottom"/>
    </x:xf>
    <x:xf numFmtId="0" fontId="5" fillId="7" borderId="0" xfId="0" applyAlignment="1">
      <x:alignment horizontal="general" vertical="bottom"/>
    </x:xf>
    <x:xf numFmtId="0" fontId="12" fillId="7" borderId="0" xfId="0" applyAlignment="1">
      <x:alignment horizontal="general" vertical="bottom"/>
    </x:xf>
    <x:xf numFmtId="0" fontId="13" fillId="7" borderId="0" xfId="0" applyAlignment="1">
      <x:alignment horizontal="general" vertical="bottom"/>
    </x:xf>
    <x:xf numFmtId="0" fontId="13" fillId="7" borderId="0" xfId="0" applyAlignment="1">
      <x:alignment horizontal="general" vertical="center" wrapText="1"/>
    </x:xf>
    <x:xf numFmtId="0" fontId="8" fillId="0" borderId="0" xfId="0" applyAlignment="1">
      <x:alignment horizontal="general" vertical="top" wrapText="1"/>
    </x:xf>
    <x:xf numFmtId="0" fontId="10" fillId="8" borderId="0" xfId="0" applyAlignment="1">
      <x:alignment horizontal="general" vertical="top" wrapText="1"/>
    </x:xf>
    <x:xf numFmtId="0" fontId="5" fillId="8" borderId="0" xfId="0" applyAlignment="1">
      <x:alignment horizontal="general" vertical="top" wrapText="1"/>
    </x:xf>
    <x:xf numFmtId="0" fontId="14" fillId="0" borderId="0" xfId="0" applyAlignment="1">
      <x:alignment horizontal="general" vertical="top" wrapText="1"/>
    </x:xf>
    <x:xf numFmtId="0" fontId="5" fillId="5" borderId="0" xfId="0" applyAlignment="1">
      <x:alignment horizontal="general" vertical="top" wrapText="1"/>
    </x:xf>
    <x:xf numFmtId="0" fontId="5" fillId="6" borderId="0" xfId="0" applyAlignment="1">
      <x:alignment horizontal="general" vertical="top" wrapText="1"/>
    </x:xf>
    <x:xf numFmtId="0" fontId="12" fillId="7" borderId="0" xfId="0" applyAlignment="1">
      <x:alignment horizontal="general" vertical="top" wrapText="1"/>
    </x:xf>
    <x:xf numFmtId="0" fontId="10" fillId="2" borderId="0" xfId="0" applyAlignment="1">
      <x:alignment horizontal="general" vertical="top" wrapText="1"/>
    </x:xf>
    <x:xf numFmtId="0" fontId="5" fillId="9" borderId="0" xfId="0" applyAlignment="1">
      <x:alignment horizontal="general" vertical="top" wrapText="1"/>
    </x:xf>
    <x:xf numFmtId="0" fontId="10" fillId="2" borderId="0" xfId="0" applyAlignment="1">
      <x:alignment horizontal="general" vertical="bottom"/>
    </x:xf>
    <x:xf numFmtId="0" fontId="10" fillId="0" borderId="0" xfId="0" applyAlignment="1">
      <x:alignment horizontal="general" vertical="bottom"/>
    </x:xf>
    <x:xf numFmtId="0" fontId="5" fillId="9" borderId="0" xfId="0" applyAlignment="1">
      <x:alignment horizontal="general" vertical="bottom"/>
    </x:xf>
    <x:xf numFmtId="166" fontId="5" fillId="0" borderId="0" xfId="0" applyAlignment="1">
      <x:alignment horizontal="general" vertical="bottom"/>
    </x:xf>
    <x:xf numFmtId="0" fontId="5" fillId="0" borderId="0" xfId="0" applyAlignment="1">
      <x:alignment horizontal="general" vertical="center" wrapText="1"/>
    </x:xf>
    <x:xf numFmtId="0" fontId="5" fillId="0" borderId="1" xfId="0" applyAlignment="1">
      <x:alignment horizontal="general" vertical="center" wrapText="1"/>
    </x:xf>
    <x:xf numFmtId="0" fontId="15" fillId="10" borderId="0" xfId="0" applyAlignment="1">
      <x:alignment horizontal="general" vertical="bottom"/>
    </x:xf>
    <x:xf numFmtId="0" fontId="6" fillId="11" borderId="0" xfId="0" applyAlignment="1">
      <x:alignment horizontal="general" vertical="bottom"/>
    </x:xf>
    <x:xf numFmtId="0" fontId="6" fillId="12" borderId="1" xfId="0" applyAlignment="1">
      <x:alignment horizontal="general" vertical="center" wrapText="1"/>
    </x:xf>
    <x:xf numFmtId="0" fontId="16" fillId="12" borderId="1" xfId="0" applyAlignment="1">
      <x:alignment horizontal="general" vertical="center" wrapText="1"/>
    </x:xf>
    <x:xf numFmtId="0" fontId="6" fillId="11" borderId="1" xfId="0" applyAlignment="1">
      <x:alignment horizontal="general" vertical="center" wrapText="1"/>
    </x:xf>
    <x:xf numFmtId="0" fontId="17" fillId="10" borderId="0" xfId="0" applyAlignment="1">
      <x:alignment horizontal="left" vertical="center"/>
    </x:xf>
    <x:xf numFmtId="0" fontId="16" fillId="11" borderId="1" xfId="0" applyAlignment="1">
      <x:alignment horizontal="general" vertical="top" wrapText="1"/>
    </x:xf>
    <x:xf numFmtId="0" fontId="5" fillId="0" borderId="1" xfId="0" applyAlignment="1">
      <x:alignment horizontal="general" vertical="top" wrapText="1"/>
    </x:xf>
    <x:xf numFmtId="0" fontId="10" fillId="13" borderId="0" xfId="0" applyAlignment="1">
      <x:alignment horizontal="general" vertical="bottom"/>
    </x:xf>
    <x:xf numFmtId="0" fontId="0" fillId="0" borderId="0" xfId="0" applyAlignment="1">
      <x:alignment horizontal="general" vertical="center" wrapText="1"/>
    </x:xf>
    <x:xf numFmtId="167" fontId="5" fillId="8" borderId="0" xfId="0" applyAlignment="1">
      <x:alignment horizontal="general" vertical="bottom"/>
    </x:xf>
    <x:xf numFmtId="165" fontId="5" fillId="6" borderId="0" xfId="0" applyAlignment="1">
      <x:alignment horizontal="general" vertical="bottom"/>
    </x:xf>
    <x:xf numFmtId="165" fontId="5" fillId="14" borderId="0" xfId="0" applyAlignment="1">
      <x:alignment horizontal="general" vertical="bottom"/>
    </x:xf>
    <x:xf numFmtId="0" fontId="5" fillId="6" borderId="0" xfId="0" applyAlignment="1">
      <x:alignment horizontal="general" vertical="center" wrapText="1"/>
    </x:xf>
    <x:xf numFmtId="0" fontId="6" fillId="2" borderId="0" xfId="0" applyAlignment="1">
      <x:alignment horizontal="general" vertical="bottom"/>
    </x:xf>
    <x:xf numFmtId="0" fontId="10" fillId="8" borderId="0" xfId="0" applyAlignment="1">
      <x:alignment horizontal="general" vertical="bottom"/>
    </x:xf>
    <x:xf numFmtId="0" fontId="5" fillId="15" borderId="0" xfId="0" applyAlignment="1">
      <x:alignment horizontal="general" vertical="bottom"/>
    </x:xf>
    <x:xf numFmtId="0" fontId="5" fillId="16" borderId="0" xfId="0" applyAlignment="1">
      <x:alignment horizontal="general" vertical="bottom"/>
    </x:xf>
    <x:xf numFmtId="0" fontId="10" fillId="16" borderId="0" xfId="0" applyAlignment="1">
      <x:alignment horizontal="general" vertical="bottom"/>
    </x:xf>
    <x:xf numFmtId="0" fontId="6" fillId="16" borderId="0" xfId="0" applyAlignment="1">
      <x:alignment horizontal="general" vertical="bottom"/>
    </x:xf>
    <x:xf numFmtId="168" fontId="5" fillId="0" borderId="0" xfId="0" applyAlignment="1">
      <x:alignment horizontal="general" vertical="bottom"/>
    </x:xf>
    <x:xf numFmtId="165" fontId="0" fillId="0" borderId="0" xfId="0" applyAlignment="1">
      <x:alignment horizontal="general" vertical="bottom"/>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0" fillId="15" borderId="0" xfId="0" applyAlignment="1">
      <x:alignment horizontal="general" vertical="top" wrapText="1"/>
    </x:xf>
    <x:xf numFmtId="0" fontId="10" fillId="16" borderId="0" xfId="0" applyAlignment="1">
      <x:alignment horizontal="general" vertical="top" wrapText="1"/>
    </x:xf>
    <x:xf numFmtId="165" fontId="5" fillId="0"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0" applyAlignment="1">
      <x:alignment horizontal="general" vertical="top" wrapText="1"/>
    </x:xf>
    <x:xf numFmtId="0" fontId="5" fillId="19" borderId="0" xfId="0" applyAlignment="1">
      <x:alignment horizontal="general" vertical="top" wrapText="1"/>
    </x:xf>
    <x:xf numFmtId="0" fontId="5" fillId="20" borderId="0" xfId="0" applyAlignment="1">
      <x:alignment horizontal="general" vertical="top" wrapText="1"/>
    </x:xf>
    <x:xf numFmtId="0" fontId="5" fillId="21" borderId="0" xfId="0" applyAlignment="1">
      <x:alignment horizontal="general" vertical="top" wrapText="1"/>
    </x:xf>
    <x:xf numFmtId="0" fontId="6" fillId="22" borderId="2" xfId="0" applyAlignment="1">
      <x:alignment horizontal="general" vertical="top" wrapText="1"/>
    </x:xf>
    <x:xf numFmtId="0" fontId="5" fillId="0" borderId="2" xfId="0" applyAlignment="1">
      <x:alignment horizontal="general" vertical="top" wrapText="1"/>
    </x:xf>
    <x:xf numFmtId="0" fontId="11" fillId="7" borderId="0" xfId="0" applyAlignment="1">
      <x:alignment horizontal="general" vertical="top" wrapText="1"/>
    </x:xf>
    <x:xf numFmtId="0" fontId="13" fillId="7" borderId="0" xfId="0" applyAlignment="1">
      <x:alignment horizontal="general" vertical="top" wrapText="1"/>
    </x:xf>
    <x:xf numFmtId="0" fontId="20" fillId="7" borderId="0" xfId="0" applyAlignment="1">
      <x:alignment horizontal="general" vertical="top" wrapText="1"/>
    </x:xf>
    <x:xf numFmtId="0" fontId="21" fillId="7" borderId="0" xfId="0" applyAlignment="1">
      <x:alignment horizontal="general" vertical="top" wrapText="1"/>
    </x:xf>
    <x:xf numFmtId="0" fontId="22" fillId="7" borderId="0" xfId="0" applyAlignment="1">
      <x:alignment horizontal="general" vertical="top" wrapText="1"/>
    </x:xf>
    <x:xf numFmtId="0" fontId="23" fillId="7" borderId="0" xfId="0" applyAlignment="1">
      <x:alignment horizontal="left" vertical="center"/>
    </x:xf>
    <x:xf numFmtId="0" fontId="0" fillId="7" borderId="0" xfId="0" applyAlignment="1">
      <x:alignment horizontal="general" vertical="top" wrapText="1"/>
    </x:xf>
    <x:xf numFmtId="0" fontId="7" fillId="3" borderId="0" xfId="0" applyAlignment="1">
      <x:alignment horizontal="general" vertical="bottom"/>
    </x:xf>
    <x:xf numFmtId="0" fontId="12" fillId="0" borderId="0" xfId="0" applyAlignment="1">
      <x:alignment horizontal="general" vertical="bottom"/>
    </x:xf>
    <x:xf numFmtId="0" fontId="6" fillId="0" borderId="0" xfId="0" applyAlignment="1">
      <x:alignment horizontal="general" vertical="center" wrapText="1"/>
    </x:xf>
    <x:xf numFmtId="0" fontId="10" fillId="2" borderId="0" xfId="0" applyAlignment="1">
      <x:alignment horizontal="general" vertical="bottom" wrapText="1"/>
    </x:xf>
    <x:xf numFmtId="0" fontId="10" fillId="17" borderId="0" xfId="0" applyAlignment="1">
      <x:alignment horizontal="general" vertical="bottom" wrapText="1"/>
    </x:xf>
    <x:xf numFmtId="0" fontId="11" fillId="7" borderId="0" xfId="0" applyAlignment="1">
      <x:alignment horizontal="general" vertical="bottom" wrapText="1"/>
    </x:xf>
    <x:xf numFmtId="0" fontId="12" fillId="7" borderId="0" xfId="0" applyAlignment="1">
      <x:alignment horizontal="general" vertical="bottom" wrapText="1"/>
    </x:xf>
    <x:xf numFmtId="0" fontId="20" fillId="0" borderId="0" xfId="0" applyAlignment="1">
      <x:alignment horizontal="general" vertical="top" wrapText="1"/>
    </x:xf>
    <x:xf numFmtId="0" fontId="12" fillId="0" borderId="0" xfId="0" applyAlignment="1">
      <x:alignment horizontal="general" vertical="top" wrapText="1"/>
    </x:xf>
    <x:xf numFmtId="0" fontId="10" fillId="6" borderId="0" xfId="0" applyAlignment="1">
      <x:alignment horizontal="general" vertical="top" wrapText="1"/>
    </x:xf>
    <x:xf numFmtId="0" fontId="8" fillId="11" borderId="0" xfId="0" applyAlignment="1">
      <x:alignment horizontal="general" vertical="top" wrapText="1"/>
    </x:xf>
    <x:xf numFmtId="0" fontId="7" fillId="2" borderId="0" xfId="0" applyAlignment="1">
      <x:alignment horizontal="center" vertical="center" wrapText="1"/>
    </x:xf>
    <x:xf numFmtId="0" fontId="7" fillId="2" borderId="0" xfId="0" applyAlignment="1">
      <x:alignment horizontal="center" vertical="top" wrapText="1"/>
    </x:xf>
    <x:xf numFmtId="0" fontId="7" fillId="23" borderId="0" xfId="0" applyAlignment="1">
      <x:alignment horizontal="center" vertical="center" wrapText="1"/>
    </x:xf>
    <x:xf numFmtId="0" fontId="24" fillId="3" borderId="0" xfId="0" applyAlignment="1">
      <x:alignment horizontal="center" vertical="bottom" wrapText="1"/>
    </x:xf>
    <x:xf numFmtId="0" fontId="8" fillId="4" borderId="0" xfId="0" applyAlignment="1">
      <x:alignment horizontal="center" vertical="bottom" wrapText="1"/>
    </x:xf>
    <x:xf numFmtId="0" fontId="8" fillId="4" borderId="0" xfId="0" applyAlignment="1">
      <x:alignment horizontal="general" vertical="bottom"/>
    </x:xf>
    <x:xf numFmtId="0" fontId="7" fillId="24" borderId="0" xfId="0" applyAlignment="1">
      <x:alignment horizontal="general" vertical="bottom" wrapText="1"/>
    </x:xf>
    <x:xf numFmtId="0" fontId="7" fillId="10" borderId="0" xfId="0" applyAlignment="1">
      <x:alignment horizontal="center" vertical="center" wrapText="1"/>
    </x:xf>
    <x:xf numFmtId="0" fontId="8" fillId="11" borderId="0" xfId="0" applyAlignment="1">
      <x:alignment horizontal="general" vertical="bottom" wrapText="1"/>
    </x:xf>
    <x:xf numFmtId="0" fontId="8" fillId="0" borderId="0" xfId="0" applyAlignment="1">
      <x:alignment horizontal="general" vertical="bottom"/>
    </x:xf>
    <x:xf numFmtId="0" fontId="7" fillId="25" borderId="0" xfId="0" applyAlignment="1">
      <x:alignment horizontal="general" vertical="bottom"/>
    </x:xf>
    <x:xf numFmtId="0" fontId="5" fillId="7" borderId="0" xfId="0" applyAlignment="1">
      <x:alignment horizontal="general" vertical="bottom" wrapText="1"/>
    </x:xf>
    <x:xf numFmtId="0" fontId="13" fillId="7" borderId="0" xfId="0" applyAlignment="1">
      <x:alignment horizontal="general" vertical="bottom" wrapText="1"/>
    </x:xf>
    <x:xf numFmtId="0" fontId="7" fillId="26" borderId="0" xfId="0" applyAlignment="1">
      <x:alignment horizontal="general" vertical="top" wrapText="1"/>
    </x:xf>
    <x:xf numFmtId="0" fontId="24" fillId="23" borderId="0" xfId="0" applyAlignment="1">
      <x:alignment horizontal="general" vertical="top" wrapText="1"/>
    </x:xf>
    <x:xf numFmtId="0" fontId="7" fillId="3" borderId="0" xfId="0" applyAlignment="1">
      <x:alignment horizontal="general" vertical="top" wrapText="1"/>
    </x:xf>
    <x:xf numFmtId="0" fontId="6" fillId="27" borderId="0" xfId="0" applyAlignment="1">
      <x:alignment horizontal="general" vertical="bottom" wrapText="1"/>
    </x:xf>
    <x:xf numFmtId="0" fontId="25" fillId="27" borderId="0" xfId="0" applyAlignment="1">
      <x:alignment horizontal="general" vertical="bottom" wrapText="1"/>
    </x:xf>
    <x:xf numFmtId="0" fontId="25" fillId="27" borderId="0" xfId="0" applyAlignment="1">
      <x:alignment horizontal="center" vertical="bottom" wrapText="1"/>
    </x:xf>
    <x:xf numFmtId="0" fontId="25" fillId="27" borderId="0" xfId="0" applyAlignment="1">
      <x:alignment horizontal="center" vertical="center" wrapText="1"/>
    </x:xf>
    <x:xf numFmtId="0" fontId="0" fillId="28" borderId="0" xfId="0" applyAlignment="1">
      <x:alignment horizontal="general" vertical="bottom" wrapText="1"/>
    </x:xf>
    <x:xf numFmtId="0" fontId="6" fillId="28" borderId="0" xfId="0" applyAlignment="1">
      <x:alignment horizontal="general" vertical="top" wrapText="1"/>
    </x:xf>
    <x:xf numFmtId="0" fontId="26" fillId="28" borderId="0" xfId="0" applyAlignment="1">
      <x:alignment horizontal="general" vertical="bottom" wrapText="1"/>
    </x:xf>
    <x:xf numFmtId="0" fontId="27" fillId="28" borderId="0" xfId="0" applyAlignment="1">
      <x:alignment horizontal="general" vertical="top" wrapText="1"/>
    </x:xf>
    <x:xf numFmtId="0" fontId="9" fillId="27" borderId="0" xfId="0" applyAlignment="1">
      <x:alignment horizontal="general" vertical="top" wrapText="1"/>
    </x:xf>
    <x:xf numFmtId="0" fontId="7" fillId="27" borderId="0" xfId="0" applyAlignment="1">
      <x:alignment horizontal="general" vertical="top" wrapText="1"/>
    </x:xf>
    <x:xf numFmtId="0" fontId="9" fillId="27" borderId="0" xfId="0" applyAlignment="1">
      <x:alignment horizontal="center" vertical="top" wrapText="1"/>
    </x:xf>
    <x:xf numFmtId="0" fontId="7" fillId="27" borderId="0" xfId="0" applyAlignment="1">
      <x:alignment horizontal="center" vertical="top" wrapText="1"/>
    </x:xf>
    <x:xf numFmtId="0" fontId="9" fillId="27" borderId="0" xfId="0" applyAlignment="1">
      <x:alignment horizontal="center" vertical="center" wrapText="1"/>
    </x:xf>
    <x:xf numFmtId="0" fontId="7" fillId="27" borderId="0" xfId="0" applyAlignment="1">
      <x:alignment horizontal="center" vertical="center" wrapText="1"/>
    </x:xf>
    <x:xf numFmtId="0" fontId="10" fillId="27" borderId="0" xfId="0" applyAlignment="1">
      <x:alignment horizontal="general" vertical="top" wrapText="1"/>
    </x:xf>
    <x:xf numFmtId="0" fontId="18" fillId="27" borderId="0" xfId="0" applyAlignment="1">
      <x:alignment horizontal="general" vertical="top" wrapText="1"/>
    </x:xf>
    <x:xf numFmtId="0" fontId="18" fillId="27" borderId="0" xfId="0" applyAlignment="1">
      <x:alignment horizontal="center" vertical="top" wrapText="1"/>
    </x:xf>
    <x:xf numFmtId="0" fontId="18" fillId="27" borderId="0" xfId="0" applyAlignment="1">
      <x:alignment horizontal="center" vertical="center" wrapText="1"/>
    </x:xf>
    <x:xf numFmtId="0" fontId="7" fillId="27" borderId="0" xfId="0" applyAlignment="1">
      <x:alignment horizontal="general" vertical="bottom" wrapText="1"/>
    </x:xf>
    <x:xf numFmtId="0" fontId="7" fillId="27" borderId="0" xfId="0" applyAlignment="1">
      <x:alignment horizontal="center" vertical="bottom" wrapText="1"/>
    </x:xf>
    <x:xf numFmtId="0" fontId="0" fillId="27" borderId="0" xfId="0" applyAlignment="1">
      <x:alignment horizontal="general" vertical="bottom" wrapText="1"/>
    </x:xf>
    <x:xf numFmtId="0" fontId="10" fillId="28" borderId="0" xfId="0" applyAlignment="1">
      <x:alignment horizontal="general" vertical="top" wrapText="1"/>
    </x:xf>
    <x:xf numFmtId="0" fontId="5" fillId="28" borderId="0" xfId="0" applyAlignment="1">
      <x:alignment horizontal="general" vertical="top" wrapText="1"/>
    </x:xf>
    <x:xf numFmtId="0" fontId="28" fillId="28" borderId="0" xfId="0" applyAlignment="1">
      <x:alignment horizontal="general" vertical="top" wrapText="1"/>
    </x:xf>
    <x:xf numFmtId="0" fontId="24" fillId="27" borderId="0" xfId="0" applyAlignment="1">
      <x:alignment horizontal="general" vertical="top" wrapText="1"/>
    </x:xf>
    <x:xf numFmtId="0" fontId="24" fillId="27" borderId="0" xfId="0" applyAlignment="1">
      <x:alignment horizontal="center" vertical="top" wrapText="1"/>
    </x:xf>
    <x:xf numFmtId="0" fontId="24" fillId="27" borderId="0" xfId="0" applyAlignment="1">
      <x:alignment horizontal="center" vertical="center" wrapText="1"/>
    </x:xf>
    <x:xf numFmtId="0" fontId="7" fillId="28" borderId="0" xfId="0" applyAlignment="1">
      <x:alignment horizontal="general" vertical="top" wrapText="1"/>
    </x:xf>
    <x:xf numFmtId="0" fontId="26" fillId="28" borderId="0" xfId="0" applyAlignment="1">
      <x:alignment horizontal="general" vertical="top" wrapText="1"/>
    </x:xf>
    <x:xf numFmtId="0" fontId="10" fillId="27" borderId="0" xfId="0" applyAlignment="1">
      <x:alignment horizontal="general" vertical="bottom"/>
    </x:xf>
    <x:xf numFmtId="0" fontId="18" fillId="27" borderId="0" xfId="0" applyAlignment="1">
      <x:alignment horizontal="general" vertical="bottom"/>
    </x:xf>
    <x:xf numFmtId="0" fontId="18" fillId="27" borderId="0" xfId="0" applyAlignment="1">
      <x:alignment horizontal="general" vertical="bottom" wrapText="1"/>
    </x:xf>
    <x:xf numFmtId="0" fontId="18" fillId="27" borderId="0" xfId="0" applyAlignment="1">
      <x:alignment horizontal="center" vertical="bottom" wrapText="1"/>
    </x:xf>
    <x:xf numFmtId="0" fontId="5" fillId="16" borderId="0" xfId="0" applyAlignment="1">
      <x:alignment horizontal="general" vertical="bottom" wrapText="1"/>
    </x:xf>
    <x:xf numFmtId="0" fontId="15" fillId="27" borderId="0" xfId="0" applyAlignment="1">
      <x:alignment horizontal="general" vertical="bottom"/>
    </x:xf>
    <x:xf numFmtId="0" fontId="17" fillId="27" borderId="0" xfId="0" applyAlignment="1">
      <x:alignment horizontal="general" vertical="bottom"/>
    </x:xf>
    <x:xf numFmtId="0" fontId="17" fillId="27" borderId="0" xfId="0" applyAlignment="1">
      <x:alignment horizontal="general" vertical="bottom" wrapText="1"/>
    </x:xf>
    <x:xf numFmtId="0" fontId="17" fillId="27" borderId="0" xfId="0" applyAlignment="1">
      <x:alignment horizontal="center" vertical="bottom" wrapText="1"/>
    </x:xf>
    <x:xf numFmtId="0" fontId="17" fillId="27" borderId="0" xfId="0" applyAlignment="1">
      <x:alignment horizontal="center" vertical="center" wrapText="1"/>
    </x:xf>
    <x:xf numFmtId="0" fontId="6" fillId="11" borderId="0" xfId="0" applyAlignment="1">
      <x:alignment horizontal="general" vertical="bottom" wrapText="1"/>
    </x:xf>
    <x:xf numFmtId="0" fontId="0" fillId="27" borderId="0" xfId="0" applyAlignment="1">
      <x:alignment horizontal="general" vertical="bottom"/>
    </x:xf>
    <x:xf numFmtId="0" fontId="7" fillId="27" borderId="0" xfId="0" applyAlignment="1">
      <x:alignment horizontal="general" vertical="bottom"/>
    </x:xf>
    <x:xf numFmtId="0" fontId="0" fillId="28" borderId="0" xfId="0" applyAlignment="1">
      <x:alignment horizontal="general" vertical="bottom"/>
    </x:xf>
    <x:xf numFmtId="0" fontId="26" fillId="28" borderId="0" xfId="0" applyAlignment="1">
      <x:alignment horizontal="general" vertical="bottom"/>
    </x:xf>
    <x:xf numFmtId="0" fontId="6" fillId="3" borderId="0" xfId="0" applyAlignment="1">
      <x:alignment horizontal="general" vertical="bottom" wrapText="1"/>
    </x:xf>
    <x:xf numFmtId="0" fontId="25" fillId="3" borderId="0" xfId="0" applyAlignment="1">
      <x:alignment horizontal="general" vertical="bottom" wrapText="1"/>
    </x:xf>
    <x:xf numFmtId="0" fontId="25" fillId="3" borderId="0" xfId="0" applyAlignment="1">
      <x:alignment horizontal="center" vertical="bottom" wrapText="1"/>
    </x:xf>
    <x:xf numFmtId="0" fontId="25" fillId="3" borderId="0" xfId="0" applyAlignment="1">
      <x:alignment horizontal="center" vertical="center" wrapText="1"/>
    </x:xf>
    <x:xf numFmtId="0" fontId="9" fillId="3" borderId="0" xfId="0" applyAlignment="1">
      <x:alignment horizontal="general" vertical="top" wrapText="1"/>
    </x:xf>
    <x:xf numFmtId="0" fontId="9" fillId="3" borderId="0" xfId="0" applyAlignment="1">
      <x:alignment horizontal="center" vertical="top" wrapText="1"/>
    </x:xf>
    <x:xf numFmtId="0" fontId="7" fillId="3" borderId="0" xfId="0" applyAlignment="1">
      <x:alignment horizontal="center" vertical="top" wrapText="1"/>
    </x:xf>
    <x:xf numFmtId="0" fontId="9" fillId="3" borderId="0" xfId="0" applyAlignment="1">
      <x:alignment horizontal="center" vertical="center" wrapText="1"/>
    </x:xf>
    <x:xf numFmtId="0" fontId="7" fillId="3" borderId="0" xfId="0" applyAlignment="1">
      <x:alignment horizontal="center" vertical="center" wrapText="1"/>
    </x:xf>
    <x:xf numFmtId="0" fontId="10" fillId="3" borderId="0" xfId="0" applyAlignment="1">
      <x:alignment horizontal="general" vertical="top" wrapText="1"/>
    </x:xf>
    <x:xf numFmtId="0" fontId="18" fillId="3" borderId="0" xfId="0" applyAlignment="1">
      <x:alignment horizontal="general" vertical="top" wrapText="1"/>
    </x:xf>
    <x:xf numFmtId="0" fontId="18" fillId="3" borderId="0" xfId="0" applyAlignment="1">
      <x:alignment horizontal="center" vertical="top" wrapText="1"/>
    </x:xf>
    <x:xf numFmtId="0" fontId="18" fillId="3" borderId="0" xfId="0" applyAlignment="1">
      <x:alignment horizontal="center" vertical="center" wrapText="1"/>
    </x:xf>
    <x:xf numFmtId="0" fontId="7" fillId="3" borderId="0" xfId="0" applyAlignment="1">
      <x:alignment horizontal="center" vertical="bottom" wrapText="1"/>
    </x:xf>
    <x:xf numFmtId="0" fontId="0" fillId="3" borderId="0" xfId="0" applyAlignment="1">
      <x:alignment horizontal="general" vertical="bottom" wrapText="1"/>
    </x:xf>
    <x:xf numFmtId="0" fontId="24" fillId="3" borderId="0" xfId="0" applyAlignment="1">
      <x:alignment horizontal="general" vertical="top" wrapText="1"/>
    </x:xf>
    <x:xf numFmtId="0" fontId="24" fillId="3" borderId="0" xfId="0" applyAlignment="1">
      <x:alignment horizontal="center" vertical="top" wrapText="1"/>
    </x:xf>
    <x:xf numFmtId="0" fontId="24" fillId="3" borderId="0" xfId="0" applyAlignment="1">
      <x:alignment horizontal="center" vertical="center" wrapText="1"/>
    </x:xf>
    <x:xf numFmtId="0" fontId="10" fillId="3" borderId="0" xfId="0" applyAlignment="1">
      <x:alignment horizontal="general" vertical="bottom"/>
    </x:xf>
    <x:xf numFmtId="0" fontId="18" fillId="3" borderId="0" xfId="0" applyAlignment="1">
      <x:alignment horizontal="general" vertical="bottom"/>
    </x:xf>
    <x:xf numFmtId="0" fontId="18" fillId="3" borderId="0" xfId="0" applyAlignment="1">
      <x:alignment horizontal="general" vertical="bottom" wrapText="1"/>
    </x:xf>
    <x:xf numFmtId="0" fontId="18" fillId="3" borderId="0" xfId="0" applyAlignment="1">
      <x:alignment horizontal="center" vertical="bottom" wrapText="1"/>
    </x:xf>
    <x:xf numFmtId="0" fontId="15" fillId="3" borderId="0" xfId="0" applyAlignment="1">
      <x:alignment horizontal="general" vertical="bottom"/>
    </x:xf>
    <x:xf numFmtId="0" fontId="17" fillId="3" borderId="0" xfId="0" applyAlignment="1">
      <x:alignment horizontal="general" vertical="bottom"/>
    </x:xf>
    <x:xf numFmtId="0" fontId="17" fillId="3" borderId="0" xfId="0" applyAlignment="1">
      <x:alignment horizontal="general" vertical="bottom" wrapText="1"/>
    </x:xf>
    <x:xf numFmtId="0" fontId="17" fillId="3" borderId="0" xfId="0" applyAlignment="1">
      <x:alignment horizontal="center" vertical="bottom" wrapText="1"/>
    </x:xf>
    <x:xf numFmtId="0" fontId="17" fillId="3" borderId="0" xfId="0" applyAlignment="1">
      <x:alignment horizontal="center" vertical="center" wrapText="1"/>
    </x:xf>
    <x:xf numFmtId="0" fontId="0" fillId="3" borderId="0" xfId="0" applyAlignment="1">
      <x:alignment horizontal="general" vertical="bottom"/>
    </x:xf>
    <x:xf numFmtId="0" fontId="9" fillId="29" borderId="0" xfId="0" applyAlignment="1">
      <x:alignment horizontal="center" vertical="center" wrapText="1"/>
    </x:xf>
    <x:xf numFmtId="0" fontId="7" fillId="29" borderId="0" xfId="0" applyAlignment="1">
      <x:alignment horizontal="center" vertical="center" wrapText="1"/>
    </x:xf>
    <x:xf numFmtId="0" fontId="7" fillId="29" borderId="0" xfId="0" applyAlignment="1">
      <x:alignment horizontal="general" vertical="bottom" wrapText="1"/>
    </x:xf>
    <x:xf numFmtId="0" fontId="7" fillId="29" borderId="0" xfId="0" applyAlignment="1">
      <x:alignment horizontal="center" vertical="bottom" wrapText="1"/>
    </x:xf>
    <x:xf numFmtId="0" fontId="4" fillId="0" borderId="0" xfId="35" applyAlignment="1">
      <x:alignment horizontal="general" vertical="bottom"/>
    </x:xf>
    <x:xf numFmtId="0" fontId="0" fillId="0" borderId="0" xfId="0"/>
    <x:xf numFmtId="0" fontId="25" fillId="3" borderId="3" xfId="0" applyAlignment="1">
      <x:alignment horizontal="center" vertical="center" wrapText="1"/>
    </x:xf>
    <x:xf numFmtId="0" fontId="0" fillId="0" borderId="3" xfId="0"/>
    <x:xf numFmtId="0" fontId="7" fillId="2" borderId="0" xfId="35" applyAlignment="1">
      <x:alignment horizontal="general" vertical="bottom" wrapText="1"/>
    </x:xf>
    <x:xf numFmtId="0" fontId="26" fillId="28" borderId="0" xfId="0" applyAlignment="1">
      <x:alignment horizontal="general" vertical="bottom" wrapText="1"/>
    </x:xf>
    <x:xf numFmtId="0" fontId="0" fillId="0" borderId="0" xfId="0" applyAlignment="1">
      <x:alignment horizontal="general" vertical="bottom" wrapText="1"/>
    </x:xf>
    <x:xf numFmtId="0" fontId="4" fillId="0" borderId="0" xfId="35" applyAlignment="1">
      <x:alignment horizontal="general" vertical="bottom" wrapText="1"/>
    </x:xf>
    <x:xf numFmtId="0" fontId="27" fillId="28" borderId="0" xfId="0" applyAlignment="1">
      <x:alignment horizontal="general" vertical="top" wrapText="1"/>
    </x:xf>
    <x:xf numFmtId="0" fontId="5" fillId="0" borderId="0" xfId="0" applyAlignment="1">
      <x:alignment horizontal="general" vertical="top" wrapText="1"/>
    </x:xf>
    <x:xf numFmtId="0" fontId="6" fillId="0" borderId="0" xfId="0" applyAlignment="1">
      <x:alignment horizontal="left" vertical="bottom" wrapText="1"/>
    </x:xf>
    <x:xf numFmtId="0" fontId="5" fillId="0" borderId="0" xfId="0" applyAlignment="1">
      <x:alignment horizontal="left" vertical="bottom" wrapText="1"/>
    </x:xf>
    <x:xf numFmtId="0" fontId="6" fillId="0" borderId="0" xfId="0" applyAlignment="1">
      <x:alignment horizontal="general" vertical="top" wrapText="1"/>
    </x:xf>
    <x:xf numFmtId="0" fontId="8" fillId="0" borderId="0" xfId="0" applyAlignment="1">
      <x:alignment horizontal="general" vertical="bottom" wrapText="1"/>
    </x:xf>
    <x:xf numFmtId="164" fontId="5" fillId="0" borderId="0" xfId="0" applyAlignment="1">
      <x:alignment horizontal="general" vertical="top" wrapText="1"/>
    </x:xf>
    <x:xf numFmtId="0" fontId="7" fillId="3" borderId="0" xfId="0" applyAlignment="1">
      <x:alignment horizontal="general" vertical="bottom" wrapText="1"/>
    </x:xf>
    <x:xf numFmtId="0" fontId="8" fillId="4" borderId="0" xfId="0" applyAlignment="1">
      <x:alignment horizontal="general" vertical="bottom" wrapText="1"/>
    </x:xf>
    <x:xf numFmtId="0" fontId="5" fillId="0" borderId="0" xfId="35" applyAlignment="1">
      <x:alignment horizontal="general" vertical="bottom"/>
    </x:xf>
    <x:xf numFmtId="0" fontId="9" fillId="27" borderId="0" xfId="0" applyAlignment="1">
      <x:alignment horizontal="center" vertical="center" wrapText="1"/>
    </x:xf>
    <x:xf numFmtId="0" fontId="7" fillId="27" borderId="0" xfId="0" applyAlignment="1">
      <x:alignment horizontal="center" vertical="center" wrapText="1"/>
    </x:xf>
    <x:xf numFmtId="0" fontId="7" fillId="2" borderId="0" xfId="35" applyAlignment="1">
      <x:alignment horizontal="general" vertical="top" wrapText="1"/>
    </x:xf>
    <x:xf numFmtId="0" fontId="5" fillId="0" borderId="0" xfId="35" applyAlignment="1">
      <x:alignment horizontal="general" vertical="top" wrapText="1"/>
    </x:xf>
    <x:xf numFmtId="0" fontId="4" fillId="0" borderId="0" xfId="35" applyAlignment="1">
      <x:alignment horizontal="general" vertical="top" wrapText="1"/>
    </x:xf>
    <x:xf numFmtId="0" fontId="10" fillId="0" borderId="0" xfId="35" applyAlignment="1">
      <x:alignment horizontal="general" vertical="top" wrapText="1"/>
    </x:xf>
    <x:xf numFmtId="0" fontId="5" fillId="0" borderId="0" xfId="35" applyAlignment="1">
      <x:alignment horizontal="general" vertical="bottom" wrapText="1"/>
    </x:xf>
    <x:xf numFmtId="165" fontId="5" fillId="0" borderId="0" xfId="35" applyAlignment="1">
      <x:alignment horizontal="general" vertical="bottom" wrapText="1"/>
    </x:xf>
    <x:xf numFmtId="0" fontId="10" fillId="0" borderId="0" xfId="35" applyAlignment="1">
      <x:alignment horizontal="general" vertical="bottom" wrapText="1"/>
    </x:xf>
    <x:xf numFmtId="0" fontId="5" fillId="5" borderId="0" xfId="35" applyAlignment="1">
      <x:alignment horizontal="general" vertical="bottom" wrapText="1"/>
    </x:xf>
    <x:xf numFmtId="0" fontId="6" fillId="0" borderId="0" xfId="35" applyAlignment="1">
      <x:alignment horizontal="general" vertical="bottom" wrapText="1"/>
    </x:xf>
    <x:xf numFmtId="0" fontId="4" fillId="0" borderId="0" xfId="35" applyAlignment="1">
      <x:alignment horizontal="left" vertical="top" wrapText="1"/>
    </x:xf>
    <x:xf numFmtId="0" fontId="5" fillId="6" borderId="0" xfId="35" applyAlignment="1">
      <x:alignment horizontal="general" vertical="bottom" wrapText="1"/>
    </x:xf>
    <x:xf numFmtId="0" fontId="5" fillId="6" borderId="0" xfId="35" applyAlignment="1">
      <x:alignment horizontal="general" vertical="bottom"/>
    </x:xf>
    <x:xf numFmtId="165" fontId="5" fillId="0" borderId="0" xfId="35" applyAlignment="1">
      <x:alignment horizontal="general" vertical="bottom"/>
    </x:xf>
    <x:xf numFmtId="0" fontId="6" fillId="0" borderId="0" xfId="35" applyAlignment="1">
      <x:alignment horizontal="general" vertical="bottom"/>
    </x:xf>
    <x:xf numFmtId="0" fontId="5" fillId="5" borderId="0" xfId="35" applyAlignment="1">
      <x:alignment horizontal="general" vertical="bottom"/>
    </x:xf>
    <x:xf numFmtId="0" fontId="5" fillId="0" borderId="0" xfId="0" applyAlignment="1">
      <x:alignment horizontal="general" vertical="bottom" wrapText="1"/>
    </x:xf>
    <x:xf numFmtId="0" fontId="6" fillId="0" borderId="0" xfId="0" applyAlignment="1">
      <x:alignment horizontal="general" vertical="bottom" wrapText="1"/>
    </x:xf>
    <x:xf numFmtId="0" fontId="5" fillId="5" borderId="0" xfId="0" applyAlignment="1">
      <x:alignment horizontal="general" vertical="bottom" wrapText="1"/>
    </x:xf>
    <x:xf numFmtId="0" fontId="11" fillId="7" borderId="0" xfId="0" applyAlignment="1">
      <x:alignment horizontal="general" vertical="bottom" wrapText="1"/>
    </x:xf>
    <x:xf numFmtId="0" fontId="5" fillId="7" borderId="0" xfId="0" applyAlignment="1">
      <x:alignment horizontal="general" vertical="bottom" wrapText="1"/>
    </x:xf>
    <x:xf numFmtId="0" fontId="12" fillId="7" borderId="0" xfId="0" applyAlignment="1">
      <x:alignment horizontal="general" vertical="bottom" wrapText="1"/>
    </x:xf>
    <x:xf numFmtId="0" fontId="13" fillId="7" borderId="0" xfId="0" applyAlignment="1">
      <x:alignment horizontal="general" vertical="bottom" wrapText="1"/>
    </x:xf>
    <x:xf numFmtId="0" fontId="13" fillId="7" borderId="0" xfId="0" applyAlignment="1">
      <x:alignment horizontal="general" vertical="center" wrapText="1"/>
    </x:xf>
    <x:xf numFmtId="0" fontId="4" fillId="0" borderId="0" xfId="34" applyAlignment="1">
      <x:alignment horizontal="general" vertical="bottom"/>
    </x:xf>
    <x:xf numFmtId="0" fontId="6" fillId="0" borderId="0" xfId="35" applyAlignment="1">
      <x:alignment horizontal="general" vertical="top" wrapText="1"/>
    </x:xf>
    <x:xf numFmtId="0" fontId="8" fillId="0" borderId="0" xfId="35" applyAlignment="1">
      <x:alignment horizontal="general" vertical="top" wrapText="1"/>
    </x:xf>
    <x:xf numFmtId="0" fontId="10" fillId="8" borderId="0" xfId="35" applyAlignment="1">
      <x:alignment horizontal="general" vertical="top" wrapText="1"/>
    </x:xf>
    <x:xf numFmtId="0" fontId="5" fillId="8" borderId="0" xfId="35" applyAlignment="1">
      <x:alignment horizontal="general" vertical="top" wrapText="1"/>
    </x:xf>
    <x:xf numFmtId="0" fontId="14" fillId="0" borderId="0" xfId="35" applyAlignment="1">
      <x:alignment horizontal="general" vertical="top" wrapText="1"/>
    </x:xf>
    <x:xf numFmtId="0" fontId="5" fillId="5" borderId="0" xfId="35" applyAlignment="1">
      <x:alignment horizontal="general" vertical="top" wrapText="1"/>
    </x:xf>
    <x:xf numFmtId="0" fontId="5" fillId="6" borderId="0" xfId="35" applyAlignment="1">
      <x:alignment horizontal="general" vertical="top" wrapText="1"/>
    </x:xf>
    <x:xf numFmtId="0" fontId="12" fillId="7" borderId="0" xfId="35" applyAlignment="1">
      <x:alignment horizontal="general" vertical="top" wrapText="1"/>
    </x:xf>
    <x:xf numFmtId="0" fontId="10" fillId="2" borderId="3" xfId="0" applyAlignment="1">
      <x:alignment horizontal="general" vertical="top" wrapText="1"/>
    </x:xf>
    <x:xf numFmtId="0" fontId="5" fillId="8" borderId="0" xfId="0" applyAlignment="1">
      <x:alignment horizontal="general" vertical="top" wrapText="1"/>
    </x:xf>
    <x:xf numFmtId="0" fontId="10" fillId="0" borderId="0" xfId="0" applyAlignment="1">
      <x:alignment horizontal="general" vertical="top" wrapText="1"/>
    </x:xf>
    <x:xf numFmtId="0" fontId="5" fillId="9" borderId="0" xfId="35" applyAlignment="1">
      <x:alignment horizontal="general" vertical="top" wrapText="1"/>
    </x:xf>
    <x:xf numFmtId="0" fontId="4" fillId="0" borderId="0" xfId="32" applyAlignment="1">
      <x:alignment horizontal="general" vertical="bottom"/>
    </x:xf>
    <x:xf numFmtId="0" fontId="10" fillId="2" borderId="3" xfId="35" applyAlignment="1">
      <x:alignment horizontal="general" vertical="bottom"/>
    </x:xf>
    <x:xf numFmtId="0" fontId="10" fillId="0" borderId="0" xfId="35" applyAlignment="1">
      <x:alignment horizontal="general" vertical="bottom"/>
    </x:xf>
    <x:xf numFmtId="0" fontId="5" fillId="9" borderId="0" xfId="35" applyAlignment="1">
      <x:alignment horizontal="general" vertical="bottom"/>
    </x:xf>
    <x:xf numFmtId="166" fontId="5" fillId="0" borderId="0" xfId="35" applyAlignment="1">
      <x:alignment horizontal="general" vertical="bottom"/>
    </x:xf>
    <x:xf numFmtId="0" fontId="5" fillId="0" borderId="0" xfId="35" applyAlignment="1">
      <x:alignment horizontal="general" vertical="center" wrapText="1"/>
    </x:xf>
    <x:xf numFmtId="0" fontId="5" fillId="0" borderId="1" xfId="35" applyAlignment="1">
      <x:alignment horizontal="general" vertical="center" wrapText="1"/>
    </x:xf>
    <x:xf numFmtId="0" fontId="4" fillId="0" borderId="0" xfId="34" applyAlignment="1">
      <x:alignment horizontal="general" vertical="top" wrapText="1"/>
    </x:xf>
    <x:xf numFmtId="0" fontId="17" fillId="27" borderId="3" xfId="0" applyAlignment="1">
      <x:alignment horizontal="center" vertical="center" wrapText="1"/>
    </x:xf>
    <x:xf numFmtId="0" fontId="6" fillId="11" borderId="0" xfId="0" applyAlignment="1">
      <x:alignment horizontal="general" vertical="bottom" wrapText="1"/>
    </x:xf>
    <x:xf numFmtId="0" fontId="6" fillId="12" borderId="1" xfId="35" applyAlignment="1">
      <x:alignment horizontal="general" vertical="center" wrapText="1"/>
    </x:xf>
    <x:xf numFmtId="0" fontId="16" fillId="12" borderId="1" xfId="35" applyAlignment="1">
      <x:alignment horizontal="general" vertical="center" wrapText="1"/>
    </x:xf>
    <x:xf numFmtId="0" fontId="6" fillId="11" borderId="1" xfId="35" applyAlignment="1">
      <x:alignment horizontal="general" vertical="center" wrapText="1"/>
    </x:xf>
    <x:xf numFmtId="0" fontId="5" fillId="0" borderId="4" xfId="35" applyAlignment="1">
      <x:alignment horizontal="general" vertical="center" wrapText="1"/>
    </x:xf>
    <x:xf numFmtId="0" fontId="0" fillId="0" borderId="8" xfId="0"/>
    <x:xf numFmtId="0" fontId="0" fillId="0" borderId="9" xfId="0"/>
    <x:xf numFmtId="0" fontId="17" fillId="10" borderId="3" xfId="35" applyAlignment="1">
      <x:alignment horizontal="left" vertical="center"/>
    </x:xf>
    <x:xf numFmtId="0" fontId="16" fillId="11" borderId="1" xfId="35" applyAlignment="1">
      <x:alignment horizontal="general" vertical="top" wrapText="1"/>
    </x:xf>
    <x:xf numFmtId="0" fontId="5" fillId="0" borderId="1" xfId="35" applyAlignment="1">
      <x:alignment horizontal="general" vertical="top" wrapText="1"/>
    </x:xf>
    <x:xf numFmtId="0" fontId="10" fillId="13" borderId="0" xfId="35" applyAlignment="1">
      <x:alignment horizontal="general" vertical="bottom"/>
    </x:xf>
    <x:xf numFmtId="0" fontId="4" fillId="0" borderId="0" xfId="35" applyAlignment="1">
      <x:alignment horizontal="general" vertical="center" wrapText="1"/>
    </x:xf>
    <x:xf numFmtId="167" fontId="5" fillId="8" borderId="0" xfId="35" applyAlignment="1">
      <x:alignment horizontal="general" vertical="bottom"/>
    </x:xf>
    <x:xf numFmtId="165" fontId="5" fillId="6" borderId="0" xfId="35" applyAlignment="1">
      <x:alignment horizontal="general" vertical="bottom"/>
    </x:xf>
    <x:xf numFmtId="165" fontId="5" fillId="14" borderId="0" xfId="35" applyAlignment="1">
      <x:alignment horizontal="general" vertical="bottom"/>
    </x:xf>
    <x:xf numFmtId="0" fontId="6" fillId="2" borderId="3" xfId="35" applyAlignment="1">
      <x:alignment horizontal="general" vertical="bottom" wrapText="1"/>
    </x:xf>
    <x:xf numFmtId="0" fontId="4" fillId="0" borderId="3" xfId="34" applyAlignment="1">
      <x:alignment horizontal="general" vertical="bottom"/>
    </x:xf>
    <x:xf numFmtId="0" fontId="5" fillId="6" borderId="0" xfId="35" applyAlignment="1">
      <x:alignment horizontal="general" vertical="center" wrapText="1"/>
    </x:xf>
    <x:xf numFmtId="0" fontId="5" fillId="0" borderId="3" xfId="35" applyAlignment="1">
      <x:alignment horizontal="general" vertical="center" wrapText="1"/>
    </x:xf>
    <x:xf numFmtId="0" fontId="6" fillId="2" borderId="3" xfId="35" applyAlignment="1">
      <x:alignment horizontal="general" vertical="bottom"/>
    </x:xf>
    <x:xf numFmtId="0" fontId="10" fillId="8" borderId="0" xfId="35" applyAlignment="1">
      <x:alignment horizontal="general" vertical="bottom"/>
    </x:xf>
    <x:xf numFmtId="0" fontId="5" fillId="15" borderId="0" xfId="35" applyAlignment="1">
      <x:alignment horizontal="general" vertical="bottom"/>
    </x:xf>
    <x:xf numFmtId="0" fontId="5" fillId="16" borderId="0" xfId="35" applyAlignment="1">
      <x:alignment horizontal="general" vertical="bottom"/>
    </x:xf>
    <x:xf numFmtId="0" fontId="10" fillId="16" borderId="0" xfId="35" applyAlignment="1">
      <x:alignment horizontal="general" vertical="bottom"/>
    </x:xf>
    <x:xf numFmtId="0" fontId="6" fillId="16" borderId="0" xfId="35" applyAlignment="1">
      <x:alignment horizontal="general" vertical="bottom"/>
    </x:xf>
    <x:xf numFmtId="0" fontId="18" fillId="3" borderId="3" xfId="0" applyAlignment="1">
      <x:alignment horizontal="center" vertical="center" wrapText="1"/>
    </x:xf>
    <x:xf numFmtId="0" fontId="5" fillId="16" borderId="0" xfId="0" applyAlignment="1">
      <x:alignment horizontal="general" vertical="bottom" wrapText="1"/>
    </x:xf>
    <x:xf numFmtId="0" fontId="10" fillId="0" borderId="0" xfId="0" applyAlignment="1">
      <x:alignment horizontal="general" vertical="bottom" wrapText="1"/>
    </x:xf>
    <x:xf numFmtId="165" fontId="5" fillId="0" borderId="0" xfId="0" applyAlignment="1">
      <x:alignment horizontal="general" vertical="bottom" wrapText="1"/>
    </x:xf>
    <x:xf numFmtId="0" fontId="5" fillId="6" borderId="0" xfId="0" applyAlignment="1">
      <x:alignment horizontal="general" vertical="bottom" wrapText="1"/>
    </x:xf>
    <x:xf numFmtId="168" fontId="5" fillId="0" borderId="0" xfId="35" applyAlignment="1">
      <x:alignment horizontal="general" vertical="bottom"/>
    </x:xf>
    <x:xf numFmtId="165" fontId="4" fillId="0" borderId="0" xfId="34" applyAlignment="1">
      <x:alignment horizontal="general" vertical="bottom"/>
    </x:xf>
    <x:xf numFmtId="0" fontId="9" fillId="29" borderId="0" xfId="0" applyAlignment="1">
      <x:alignment horizontal="center" vertical="center" wrapText="1"/>
    </x:xf>
    <x:xf numFmtId="0" fontId="7" fillId="29" borderId="0" xfId="0" applyAlignment="1">
      <x:alignment horizontal="center" vertical="center" wrapText="1"/>
    </x:xf>
    <x:xf numFmtId="0" fontId="10" fillId="17" borderId="0" xfId="0" applyAlignment="1">
      <x:alignment horizontal="general" vertical="top" wrapText="1"/>
    </x:xf>
    <x:xf numFmtId="0" fontId="5" fillId="17" borderId="0" xfId="0" applyAlignment="1">
      <x:alignment horizontal="general" vertical="top" wrapText="1"/>
    </x:xf>
    <x:xf numFmtId="0" fontId="5" fillId="16" borderId="0" xfId="0" applyAlignment="1">
      <x:alignment horizontal="general" vertical="top" wrapText="1"/>
    </x:xf>
    <x:xf numFmtId="165" fontId="10" fillId="0" borderId="0" xfId="0" applyAlignment="1">
      <x:alignment horizontal="general" vertical="bottom" wrapText="1"/>
    </x:xf>
    <x:xf numFmtId="0" fontId="18" fillId="3" borderId="0" xfId="0" applyAlignment="1">
      <x:alignment horizontal="center" vertical="center" wrapText="1"/>
    </x:xf>
    <x:xf numFmtId="0" fontId="7" fillId="3" borderId="0" xfId="0" applyAlignment="1">
      <x:alignment horizontal="center" vertical="center" wrapText="1"/>
    </x:xf>
    <x:xf numFmtId="0" fontId="10" fillId="16" borderId="0" xfId="35" applyAlignment="1">
      <x:alignment horizontal="general" vertical="top" wrapText="1"/>
    </x:xf>
    <x:xf numFmtId="0" fontId="5" fillId="16" borderId="0" xfId="35" applyAlignment="1">
      <x:alignment horizontal="general" vertical="top" wrapText="1"/>
    </x:xf>
    <x:xf numFmtId="165" fontId="5" fillId="0" borderId="0" xfId="0" applyAlignment="1">
      <x:alignment horizontal="general" vertical="top" wrapText="1"/>
    </x:xf>
    <x:xf numFmtId="0" fontId="28" fillId="28" borderId="0" xfId="0" applyAlignment="1">
      <x:alignment horizontal="general" vertical="top" wrapText="1"/>
    </x:xf>
    <x:xf numFmtId="0" fontId="5" fillId="15" borderId="0" xfId="0" applyAlignment="1">
      <x:alignment horizontal="general" vertical="top" wrapText="1"/>
    </x:xf>
    <x:xf numFmtId="0" fontId="18" fillId="18" borderId="0" xfId="0" applyAlignment="1">
      <x:alignment horizontal="center" vertical="top" wrapText="1"/>
    </x:xf>
    <x:xf numFmtId="0" fontId="7" fillId="18" borderId="0" xfId="0" applyAlignment="1">
      <x:alignment horizontal="center" vertical="bottom" wrapText="1"/>
    </x:xf>
    <x:xf numFmtId="0" fontId="19" fillId="8" borderId="0" xfId="0" applyAlignment="1">
      <x:alignment horizontal="general" vertical="top" wrapText="1"/>
    </x:xf>
    <x:xf numFmtId="0" fontId="5" fillId="15" borderId="0" xfId="0" applyAlignment="1">
      <x:alignment horizontal="general" vertical="bottom" wrapText="1"/>
    </x:xf>
    <x:xf numFmtId="0" fontId="6" fillId="19" borderId="0" xfId="35" applyAlignment="1">
      <x:alignment horizontal="general" vertical="top" wrapText="1"/>
    </x:xf>
    <x:xf numFmtId="0" fontId="5" fillId="19" borderId="0" xfId="35" applyAlignment="1">
      <x:alignment horizontal="general" vertical="top" wrapText="1"/>
    </x:xf>
    <x:xf numFmtId="0" fontId="5" fillId="20" borderId="0" xfId="35" applyAlignment="1">
      <x:alignment horizontal="general" vertical="top" wrapText="1"/>
    </x:xf>
    <x:xf numFmtId="0" fontId="5" fillId="21" borderId="0" xfId="35" applyAlignment="1">
      <x:alignment horizontal="general" vertical="top" wrapText="1"/>
    </x:xf>
    <x:xf numFmtId="0" fontId="6" fillId="0" borderId="3" xfId="35" applyAlignment="1">
      <x:alignment horizontal="general" vertical="top" wrapText="1"/>
    </x:xf>
    <x:xf numFmtId="0" fontId="5" fillId="0" borderId="3" xfId="35" applyAlignment="1">
      <x:alignment horizontal="general" vertical="top" wrapText="1"/>
    </x:xf>
    <x:xf numFmtId="0" fontId="6" fillId="22" borderId="2" xfId="35" applyAlignment="1">
      <x:alignment horizontal="general" vertical="top" wrapText="1"/>
    </x:xf>
    <x:xf numFmtId="0" fontId="5" fillId="0" borderId="2" xfId="35" applyAlignment="1">
      <x:alignment horizontal="general" vertical="top" wrapText="1"/>
    </x:xf>
    <x:xf numFmtId="0" fontId="10" fillId="2" borderId="3" xfId="35" applyAlignment="1">
      <x:alignment horizontal="general" vertical="top" wrapText="1"/>
    </x:xf>
    <x:xf numFmtId="0" fontId="5" fillId="15" borderId="0" xfId="35" applyAlignment="1">
      <x:alignment horizontal="general" vertical="top" wrapText="1"/>
    </x:xf>
    <x:xf numFmtId="165" fontId="5" fillId="0" borderId="0" xfId="35" applyAlignment="1">
      <x:alignment horizontal="general" vertical="top" wrapText="1"/>
    </x:xf>
    <x:xf numFmtId="0" fontId="11" fillId="7" borderId="0" xfId="35" applyAlignment="1">
      <x:alignment horizontal="general" vertical="top" wrapText="1"/>
    </x:xf>
    <x:xf numFmtId="0" fontId="13" fillId="7" borderId="0" xfId="35" applyAlignment="1">
      <x:alignment horizontal="general" vertical="top" wrapText="1"/>
    </x:xf>
    <x:xf numFmtId="0" fontId="5" fillId="7" borderId="0" xfId="35" applyAlignment="1">
      <x:alignment horizontal="general" vertical="bottom"/>
    </x:xf>
    <x:xf numFmtId="0" fontId="20" fillId="7" borderId="0" xfId="35" applyAlignment="1">
      <x:alignment horizontal="general" vertical="top" wrapText="1"/>
    </x:xf>
    <x:xf numFmtId="0" fontId="21" fillId="7" borderId="0" xfId="35" applyAlignment="1">
      <x:alignment horizontal="general" vertical="top" wrapText="1"/>
    </x:xf>
    <x:xf numFmtId="0" fontId="22" fillId="7" borderId="0" xfId="35" applyAlignment="1">
      <x:alignment horizontal="general" vertical="top" wrapText="1"/>
    </x:xf>
    <x:xf numFmtId="0" fontId="23" fillId="7" borderId="3" xfId="35" applyAlignment="1">
      <x:alignment horizontal="left" vertical="center"/>
    </x:xf>
    <x:xf numFmtId="0" fontId="4" fillId="7" borderId="0" xfId="35" applyAlignment="1">
      <x:alignment horizontal="general" vertical="top" wrapText="1"/>
    </x:xf>
    <x:xf numFmtId="0" fontId="23" fillId="7" borderId="0" xfId="35" applyAlignment="1">
      <x:alignment horizontal="left" vertical="center"/>
    </x:xf>
    <x:xf numFmtId="0" fontId="8" fillId="4" borderId="0" xfId="35" applyAlignment="1">
      <x:alignment horizontal="general" vertical="bottom" wrapText="1"/>
    </x:xf>
    <x:xf numFmtId="0" fontId="7" fillId="3" borderId="0" xfId="35" applyAlignment="1">
      <x:alignment horizontal="general" vertical="bottom"/>
    </x:xf>
    <x:xf numFmtId="0" fontId="6" fillId="2" borderId="0" xfId="35" applyAlignment="1">
      <x:alignment horizontal="general" vertical="bottom"/>
    </x:xf>
    <x:xf numFmtId="0" fontId="0" fillId="0" borderId="0" xfId="0" applyAlignment="1">
      <x:alignment horizontal="general" vertical="bottom"/>
    </x:xf>
    <x:xf numFmtId="0" fontId="12" fillId="0" borderId="0" xfId="35" applyAlignment="1">
      <x:alignment horizontal="general" vertical="bottom"/>
    </x:xf>
    <x:xf numFmtId="0" fontId="6" fillId="0" borderId="0" xfId="35" applyAlignment="1">
      <x:alignment horizontal="general" vertical="center" wrapText="1"/>
    </x:xf>
    <x:xf numFmtId="0" fontId="10" fillId="2" borderId="3" xfId="35" applyAlignment="1">
      <x:alignment horizontal="general" vertical="bottom" wrapText="1"/>
    </x:xf>
    <x:xf numFmtId="0" fontId="10" fillId="17" borderId="0" xfId="35" applyAlignment="1">
      <x:alignment horizontal="general" vertical="bottom" wrapText="1"/>
    </x:xf>
    <x:xf numFmtId="0" fontId="11" fillId="7" borderId="0" xfId="35" applyAlignment="1">
      <x:alignment horizontal="general" vertical="bottom" wrapText="1"/>
    </x:xf>
    <x:xf numFmtId="0" fontId="12" fillId="7" borderId="0" xfId="35" applyAlignment="1">
      <x:alignment horizontal="general" vertical="bottom" wrapText="1"/>
    </x:xf>
    <x:xf numFmtId="0" fontId="18" fillId="27" borderId="3" xfId="0" applyAlignment="1">
      <x:alignment horizontal="center" vertical="center" wrapText="1"/>
    </x:xf>
    <x:xf numFmtId="0" fontId="20" fillId="0" borderId="0" xfId="35" applyAlignment="1">
      <x:alignment horizontal="general" vertical="top" wrapText="1"/>
    </x:xf>
    <x:xf numFmtId="0" fontId="12" fillId="0" borderId="0" xfId="35" applyAlignment="1">
      <x:alignment horizontal="general" vertical="top" wrapText="1"/>
    </x:xf>
    <x:xf numFmtId="0" fontId="10" fillId="6" borderId="0" xfId="35" applyAlignment="1">
      <x:alignment horizontal="general" vertical="top" wrapText="1"/>
    </x:xf>
    <x:xf numFmtId="0" fontId="8" fillId="11" borderId="0" xfId="35" applyAlignment="1">
      <x:alignment horizontal="general" vertical="top" wrapText="1"/>
    </x:xf>
    <x:xf numFmtId="0" fontId="7" fillId="2" borderId="0" xfId="35" applyAlignment="1">
      <x:alignment horizontal="center" vertical="center" wrapText="1"/>
    </x:xf>
    <x:xf numFmtId="0" fontId="7" fillId="2" borderId="0" xfId="35" applyAlignment="1">
      <x:alignment horizontal="center" vertical="top" wrapText="1"/>
    </x:xf>
    <x:xf numFmtId="0" fontId="7" fillId="23" borderId="0" xfId="35" applyAlignment="1">
      <x:alignment horizontal="center" vertical="center" wrapText="1"/>
    </x:xf>
    <x:xf numFmtId="0" fontId="7" fillId="3" borderId="0" xfId="35" applyAlignment="1">
      <x:alignment horizontal="general" vertical="bottom" wrapText="1"/>
    </x:xf>
    <x:xf numFmtId="0" fontId="24" fillId="3" borderId="0" xfId="35" applyAlignment="1">
      <x:alignment horizontal="center" vertical="bottom" wrapText="1"/>
    </x:xf>
    <x:xf numFmtId="0" fontId="8" fillId="4" borderId="0" xfId="35" applyAlignment="1">
      <x:alignment horizontal="center" vertical="bottom" wrapText="1"/>
    </x:xf>
    <x:xf numFmtId="0" fontId="8" fillId="4" borderId="0" xfId="35" applyAlignment="1">
      <x:alignment horizontal="general" vertical="bottom"/>
    </x:xf>
    <x:xf numFmtId="0" fontId="7" fillId="24" borderId="0" xfId="35" applyAlignment="1">
      <x:alignment horizontal="general" vertical="bottom" wrapText="1"/>
    </x:xf>
    <x:xf numFmtId="0" fontId="7" fillId="18" borderId="0" xfId="35" applyAlignment="1">
      <x:alignment horizontal="center" vertical="bottom" wrapText="1"/>
    </x:xf>
    <x:xf numFmtId="0" fontId="7" fillId="10" borderId="0" xfId="35" applyAlignment="1">
      <x:alignment horizontal="center" vertical="center" wrapText="1"/>
    </x:xf>
    <x:xf numFmtId="0" fontId="8" fillId="11" borderId="3" xfId="35" applyAlignment="1">
      <x:alignment horizontal="general" vertical="bottom" wrapText="1"/>
    </x:xf>
    <x:xf numFmtId="0" fontId="4" fillId="0" borderId="3" xfId="35" applyAlignment="1">
      <x:alignment horizontal="general" vertical="bottom" wrapText="1"/>
    </x:xf>
    <x:xf numFmtId="0" fontId="8" fillId="0" borderId="0" xfId="35" applyAlignment="1">
      <x:alignment horizontal="general" vertical="bottom" wrapText="1"/>
    </x:xf>
    <x:xf numFmtId="0" fontId="8" fillId="0" borderId="0" xfId="34" applyAlignment="1">
      <x:alignment horizontal="general" vertical="bottom" wrapText="1"/>
    </x:xf>
    <x:xf numFmtId="0" fontId="8" fillId="0" borderId="0" xfId="34" applyAlignment="1">
      <x:alignment horizontal="general" vertical="bottom"/>
    </x:xf>
    <x:xf numFmtId="0" fontId="4" fillId="0" borderId="3" xfId="32" applyAlignment="1">
      <x:alignment horizontal="general" vertical="bottom"/>
    </x:xf>
    <x:xf numFmtId="0" fontId="24" fillId="3" borderId="0" xfId="0" applyAlignment="1">
      <x:alignment horizontal="center" vertical="center" wrapText="1"/>
    </x:xf>
    <x:xf numFmtId="0" fontId="0" fillId="0" borderId="0" xfId="0" applyAlignment="1">
      <x:alignment horizontal="general" vertical="top" wrapText="1"/>
    </x:xf>
    <x:xf numFmtId="0" fontId="26" fillId="28" borderId="0" xfId="0" applyAlignment="1">
      <x:alignment horizontal="general" vertical="top" wrapText="1"/>
    </x:xf>
    <x:xf numFmtId="0" fontId="8" fillId="0" borderId="0" xfId="0" applyAlignment="1">
      <x:alignment horizontal="general" vertical="top" wrapText="1"/>
    </x:xf>
    <x:xf numFmtId="0" fontId="0" fillId="0" borderId="0" xfId="0" applyNumberFormat="1" applyFont="1" applyFill="1" applyBorder="1" applyAlignment="1">
      <x:alignment horizontal="general" vertical="bottom"/>
    </x:xf>
    <x:xf numFmtId="0" fontId="6" fillId="2" borderId="0" xfId="0" applyNumberFormat="1" applyFont="1" applyFill="1" applyBorder="1" applyAlignment="1">
      <x:alignment horizontal="general" vertical="bottom" wrapText="1"/>
    </x:xf>
    <x:xf numFmtId="0" fontId="7" fillId="2"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general" vertical="bottom" wrapText="1"/>
    </x:xf>
    <x:xf numFmtId="0" fontId="6" fillId="0" borderId="0"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top" wrapText="1"/>
    </x:xf>
    <x:xf numFmtId="0" fontId="6" fillId="0" borderId="0" xfId="0" applyNumberFormat="1" applyFont="1" applyFill="1" applyBorder="1" applyAlignment="1">
      <x:alignment horizontal="left" vertical="bottom" wrapText="1"/>
    </x:xf>
    <x:xf numFmtId="0" fontId="5" fillId="0" borderId="0" xfId="0" applyNumberFormat="1" applyFont="1" applyFill="1" applyBorder="1" applyAlignment="1">
      <x:alignment horizontal="left" vertical="bottom" wrapText="1"/>
    </x:xf>
    <x:xf numFmtId="0" fontId="8" fillId="0" borderId="0" xfId="0" applyNumberFormat="1" applyFont="1" applyFill="1" applyBorder="1" applyAlignment="1">
      <x:alignment horizontal="general" vertical="bottom" wrapText="1"/>
    </x:xf>
    <x:xf numFmtId="164" fontId="5" fillId="0" borderId="0" xfId="0" applyNumberFormat="1" applyFont="1" applyFill="1" applyBorder="1" applyAlignment="1">
      <x:alignment horizontal="general" vertical="top" wrapText="1"/>
    </x:xf>
    <x:xf numFmtId="0" fontId="7" fillId="3" borderId="0" xfId="0" applyNumberFormat="1" applyFont="1" applyFill="1" applyBorder="1" applyAlignment="1">
      <x:alignment horizontal="general" vertical="bottom" wrapText="1"/>
    </x:xf>
    <x:xf numFmtId="0" fontId="8" fillId="4"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x:xf>
    <x:xf numFmtId="0" fontId="9" fillId="2" borderId="0" xfId="0" applyNumberFormat="1" applyFont="1" applyFill="1" applyBorder="1" applyAlignment="1">
      <x:alignment horizontal="general" vertical="top" wrapText="1"/>
    </x:xf>
    <x:xf numFmtId="0" fontId="7" fillId="2" borderId="0" xfId="0" applyNumberFormat="1" applyFont="1" applyFill="1" applyBorder="1" applyAlignment="1">
      <x:alignment horizontal="general" vertical="top" wrapText="1"/>
    </x:xf>
    <x:xf numFmtId="0" fontId="0" fillId="0" borderId="0" xfId="0" applyNumberFormat="1" applyFont="1" applyFill="1" applyBorder="1" applyAlignment="1">
      <x:alignment horizontal="general" vertical="top" wrapText="1"/>
    </x:xf>
    <x:xf numFmtId="0" fontId="10" fillId="0" borderId="0" xfId="0" applyNumberFormat="1" applyFont="1" applyFill="1" applyBorder="1" applyAlignment="1">
      <x:alignment horizontal="general" vertical="top" wrapText="1"/>
    </x:xf>
    <x:xf numFmtId="0" fontId="5" fillId="0" borderId="0" xfId="0" applyNumberFormat="1" applyFont="1" applyFill="1" applyBorder="1" applyAlignment="1">
      <x:alignment horizontal="general" vertical="bottom" wrapText="1"/>
    </x:xf>
    <x:xf numFmtId="165" fontId="5" fillId="0" borderId="0" xfId="0" applyNumberFormat="1" applyFont="1" applyFill="1" applyBorder="1" applyAlignment="1">
      <x:alignment horizontal="general" vertical="bottom" wrapText="1"/>
    </x:xf>
    <x:xf numFmtId="0" fontId="10" fillId="0" borderId="0" xfId="0" applyNumberFormat="1" applyFont="1" applyFill="1" applyBorder="1" applyAlignment="1">
      <x:alignment horizontal="general" vertical="bottom" wrapText="1"/>
    </x:xf>
    <x:xf numFmtId="0" fontId="5" fillId="5" borderId="0" xfId="0" applyNumberFormat="1" applyFont="1" applyFill="1" applyBorder="1" applyAlignment="1">
      <x:alignment horizontal="general" vertical="bottom" wrapText="1"/>
    </x:xf>
    <x:xf numFmtId="0" fontId="6" fillId="0" borderId="0" xfId="0" applyNumberFormat="1" applyFont="1" applyFill="1" applyBorder="1" applyAlignment="1">
      <x:alignment horizontal="general" vertical="bottom" wrapText="1"/>
    </x:xf>
    <x:xf numFmtId="0" fontId="0" fillId="0" borderId="0" xfId="0" applyNumberFormat="1" applyFont="1" applyFill="1" applyBorder="1" applyAlignment="1">
      <x:alignment horizontal="left" vertical="top" wrapText="1"/>
    </x:xf>
    <x:xf numFmtId="0" fontId="5" fillId="6" borderId="0" xfId="0" applyNumberFormat="1" applyFont="1" applyFill="1" applyBorder="1" applyAlignment="1">
      <x:alignment horizontal="general" vertical="bottom" wrapText="1"/>
    </x:xf>
    <x:xf numFmtId="0" fontId="5" fillId="6" borderId="0" xfId="0" applyNumberFormat="1" applyFont="1" applyFill="1" applyBorder="1" applyAlignment="1">
      <x:alignment horizontal="general" vertical="bottom"/>
    </x:xf>
    <x:xf numFmtId="165" fontId="5"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bottom"/>
    </x:xf>
    <x:xf numFmtId="0" fontId="5" fillId="5" borderId="0" xfId="0" applyNumberFormat="1" applyFont="1" applyFill="1" applyBorder="1" applyAlignment="1">
      <x:alignment horizontal="general" vertical="bottom"/>
    </x:xf>
    <x:xf numFmtId="0" fontId="11" fillId="7" borderId="0" xfId="0" applyNumberFormat="1" applyFont="1" applyFill="1" applyBorder="1" applyAlignment="1">
      <x:alignment horizontal="general" vertical="bottom"/>
    </x:xf>
    <x:xf numFmtId="0" fontId="5" fillId="7" borderId="0" xfId="0" applyNumberFormat="1" applyFont="1" applyFill="1" applyBorder="1" applyAlignment="1">
      <x:alignment horizontal="general" vertical="bottom"/>
    </x:xf>
    <x:xf numFmtId="0" fontId="12" fillId="7" borderId="0" xfId="0" applyNumberFormat="1" applyFont="1" applyFill="1" applyBorder="1" applyAlignment="1">
      <x:alignment horizontal="general" vertical="bottom"/>
    </x:xf>
    <x:xf numFmtId="0" fontId="13" fillId="7" borderId="0" xfId="0" applyNumberFormat="1" applyFont="1" applyFill="1" applyBorder="1" applyAlignment="1">
      <x:alignment horizontal="general" vertical="bottom"/>
    </x:xf>
    <x:xf numFmtId="0" fontId="13" fillId="7" borderId="0" xfId="0" applyNumberFormat="1" applyFont="1" applyFill="1" applyBorder="1" applyAlignment="1">
      <x:alignment horizontal="general" vertical="center" wrapText="1"/>
    </x:xf>
    <x:xf numFmtId="0" fontId="8" fillId="0" borderId="0" xfId="0" applyNumberFormat="1" applyFont="1" applyFill="1" applyBorder="1" applyAlignment="1">
      <x:alignment horizontal="general" vertical="top" wrapText="1"/>
    </x:xf>
    <x:xf numFmtId="0" fontId="10" fillId="8" borderId="0" xfId="0" applyNumberFormat="1" applyFont="1" applyFill="1" applyBorder="1" applyAlignment="1">
      <x:alignment horizontal="general" vertical="top" wrapText="1"/>
    </x:xf>
    <x:xf numFmtId="0" fontId="5" fillId="8" borderId="0" xfId="0" applyNumberFormat="1" applyFont="1" applyFill="1" applyBorder="1" applyAlignment="1">
      <x:alignment horizontal="general" vertical="top" wrapText="1"/>
    </x:xf>
    <x:xf numFmtId="0" fontId="14" fillId="0" borderId="0" xfId="0" applyNumberFormat="1" applyFont="1" applyFill="1" applyBorder="1" applyAlignment="1">
      <x:alignment horizontal="general" vertical="top" wrapText="1"/>
    </x:xf>
    <x:xf numFmtId="0" fontId="5" fillId="5" borderId="0" xfId="0" applyNumberFormat="1" applyFont="1" applyFill="1" applyBorder="1" applyAlignment="1">
      <x:alignment horizontal="general" vertical="top" wrapText="1"/>
    </x:xf>
    <x:xf numFmtId="0" fontId="5" fillId="6" borderId="0" xfId="0" applyNumberFormat="1" applyFont="1" applyFill="1" applyBorder="1" applyAlignment="1">
      <x:alignment horizontal="general" vertical="top" wrapText="1"/>
    </x:xf>
    <x:xf numFmtId="0" fontId="12" fillId="7" borderId="0" xfId="0" applyNumberFormat="1" applyFont="1" applyFill="1" applyBorder="1" applyAlignment="1">
      <x:alignment horizontal="general" vertical="top" wrapText="1"/>
    </x:xf>
    <x:xf numFmtId="0" fontId="10" fillId="2" borderId="0" xfId="0" applyNumberFormat="1" applyFont="1" applyFill="1" applyBorder="1" applyAlignment="1">
      <x:alignment horizontal="general" vertical="top" wrapText="1"/>
    </x:xf>
    <x:xf numFmtId="0" fontId="5" fillId="9" borderId="0" xfId="0" applyNumberFormat="1" applyFont="1" applyFill="1" applyBorder="1" applyAlignment="1">
      <x:alignment horizontal="general" vertical="top" wrapText="1"/>
    </x:xf>
    <x:xf numFmtId="0" fontId="10" fillId="2" borderId="0" xfId="0" applyNumberFormat="1" applyFont="1" applyFill="1" applyBorder="1" applyAlignment="1">
      <x:alignment horizontal="general" vertical="bottom"/>
    </x:xf>
    <x:xf numFmtId="0" fontId="10" fillId="0" borderId="0" xfId="0" applyNumberFormat="1" applyFont="1" applyFill="1" applyBorder="1" applyAlignment="1">
      <x:alignment horizontal="general" vertical="bottom"/>
    </x:xf>
    <x:xf numFmtId="0" fontId="5" fillId="9" borderId="0" xfId="0" applyNumberFormat="1" applyFont="1" applyFill="1" applyBorder="1" applyAlignment="1">
      <x:alignment horizontal="general" vertical="bottom"/>
    </x:xf>
    <x:xf numFmtId="166" fontId="5" fillId="0" borderId="0" xfId="0" applyNumberFormat="1" applyFont="1" applyFill="1" applyBorder="1" applyAlignment="1">
      <x:alignment horizontal="general" vertical="bottom"/>
    </x:xf>
    <x:xf numFmtId="0" fontId="5" fillId="0" borderId="0" xfId="0" applyNumberFormat="1" applyFont="1" applyFill="1" applyBorder="1" applyAlignment="1">
      <x:alignment horizontal="general" vertical="center" wrapText="1"/>
    </x:xf>
    <x:xf numFmtId="0" fontId="5" fillId="0" borderId="1" xfId="0" applyNumberFormat="1" applyFont="1" applyFill="1" applyBorder="1" applyAlignment="1">
      <x:alignment horizontal="general" vertical="center" wrapText="1"/>
    </x:xf>
    <x:xf numFmtId="0" fontId="15" fillId="10" borderId="0" xfId="0" applyNumberFormat="1" applyFont="1" applyFill="1" applyBorder="1" applyAlignment="1">
      <x:alignment horizontal="general" vertical="bottom"/>
    </x:xf>
    <x:xf numFmtId="0" fontId="6" fillId="11" borderId="0" xfId="0" applyNumberFormat="1" applyFont="1" applyFill="1" applyBorder="1" applyAlignment="1">
      <x:alignment horizontal="general" vertical="bottom"/>
    </x:xf>
    <x:xf numFmtId="0" fontId="6" fillId="12" borderId="1" xfId="0" applyNumberFormat="1" applyFont="1" applyFill="1" applyBorder="1" applyAlignment="1">
      <x:alignment horizontal="general" vertical="center" wrapText="1"/>
    </x:xf>
    <x:xf numFmtId="0" fontId="16" fillId="12" borderId="1" xfId="0" applyNumberFormat="1" applyFont="1" applyFill="1" applyBorder="1" applyAlignment="1">
      <x:alignment horizontal="general" vertical="center" wrapText="1"/>
    </x:xf>
    <x:xf numFmtId="0" fontId="6" fillId="11" borderId="1" xfId="0" applyNumberFormat="1" applyFont="1" applyFill="1" applyBorder="1" applyAlignment="1">
      <x:alignment horizontal="general" vertical="center" wrapText="1"/>
    </x:xf>
    <x:xf numFmtId="0" fontId="17" fillId="10" borderId="0" xfId="0" applyNumberFormat="1" applyFont="1" applyFill="1" applyBorder="1" applyAlignment="1">
      <x:alignment horizontal="left" vertical="center"/>
    </x:xf>
    <x:xf numFmtId="0" fontId="16" fillId="11" borderId="1" xfId="0" applyNumberFormat="1" applyFont="1" applyFill="1" applyBorder="1" applyAlignment="1">
      <x:alignment horizontal="general" vertical="top" wrapText="1"/>
    </x:xf>
    <x:xf numFmtId="0" fontId="5" fillId="0" borderId="1" xfId="0" applyNumberFormat="1" applyFont="1" applyFill="1" applyBorder="1" applyAlignment="1">
      <x:alignment horizontal="general" vertical="top" wrapText="1"/>
    </x:xf>
    <x:xf numFmtId="0" fontId="10" fillId="13" borderId="0" xfId="0" applyNumberFormat="1" applyFont="1" applyFill="1" applyBorder="1" applyAlignment="1">
      <x:alignment horizontal="general" vertical="bottom"/>
    </x:xf>
    <x:xf numFmtId="0" fontId="0" fillId="0" borderId="0" xfId="0" applyNumberFormat="1" applyFont="1" applyFill="1" applyBorder="1" applyAlignment="1">
      <x:alignment horizontal="general" vertical="center" wrapText="1"/>
    </x:xf>
    <x:xf numFmtId="167" fontId="5" fillId="8" borderId="0" xfId="0" applyNumberFormat="1" applyFont="1" applyFill="1" applyBorder="1" applyAlignment="1">
      <x:alignment horizontal="general" vertical="bottom"/>
    </x:xf>
    <x:xf numFmtId="165" fontId="5" fillId="6" borderId="0" xfId="0" applyNumberFormat="1" applyFont="1" applyFill="1" applyBorder="1" applyAlignment="1">
      <x:alignment horizontal="general" vertical="bottom"/>
    </x:xf>
    <x:xf numFmtId="165" fontId="5" fillId="14" borderId="0" xfId="0" applyNumberFormat="1" applyFont="1" applyFill="1" applyBorder="1" applyAlignment="1">
      <x:alignment horizontal="general" vertical="bottom"/>
    </x:xf>
    <x:xf numFmtId="0" fontId="5" fillId="6" borderId="0" xfId="0" applyNumberFormat="1" applyFont="1" applyFill="1" applyBorder="1" applyAlignment="1">
      <x:alignment horizontal="general" vertical="center" wrapText="1"/>
    </x:xf>
    <x:xf numFmtId="0" fontId="6" fillId="2" borderId="0" xfId="0" applyNumberFormat="1" applyFont="1" applyFill="1" applyBorder="1" applyAlignment="1">
      <x:alignment horizontal="general" vertical="bottom"/>
    </x:xf>
    <x:xf numFmtId="0" fontId="10" fillId="8" borderId="0" xfId="0" applyNumberFormat="1" applyFont="1" applyFill="1" applyBorder="1" applyAlignment="1">
      <x:alignment horizontal="general" vertical="bottom"/>
    </x:xf>
    <x:xf numFmtId="0" fontId="5" fillId="15" borderId="0" xfId="0" applyNumberFormat="1" applyFont="1" applyFill="1" applyBorder="1" applyAlignment="1">
      <x:alignment horizontal="general" vertical="bottom"/>
    </x:xf>
    <x:xf numFmtId="0" fontId="5" fillId="16" borderId="0" xfId="0" applyNumberFormat="1" applyFont="1" applyFill="1" applyBorder="1" applyAlignment="1">
      <x:alignment horizontal="general" vertical="bottom"/>
    </x:xf>
    <x:xf numFmtId="0" fontId="10" fillId="16" borderId="0" xfId="0" applyNumberFormat="1" applyFont="1" applyFill="1" applyBorder="1" applyAlignment="1">
      <x:alignment horizontal="general" vertical="bottom"/>
    </x:xf>
    <x:xf numFmtId="0" fontId="6" fillId="16" borderId="0" xfId="0" applyNumberFormat="1" applyFont="1" applyFill="1" applyBorder="1" applyAlignment="1">
      <x:alignment horizontal="general" vertical="bottom"/>
    </x:xf>
    <x:xf numFmtId="168" fontId="5" fillId="0" borderId="0" xfId="0" applyNumberFormat="1" applyFont="1" applyFill="1" applyBorder="1" applyAlignment="1">
      <x:alignment horizontal="general" vertical="bottom"/>
    </x:xf>
    <x:xf numFmtId="165" fontId="0" fillId="0" borderId="0" xfId="0" applyNumberFormat="1" applyFont="1" applyFill="1" applyBorder="1" applyAlignment="1">
      <x:alignment horizontal="general" vertical="bottom"/>
    </x:xf>
    <x:xf numFmtId="0" fontId="10" fillId="17" borderId="0" xfId="0" applyNumberFormat="1" applyFont="1" applyFill="1" applyBorder="1" applyAlignment="1">
      <x:alignment horizontal="general" vertical="top" wrapText="1"/>
    </x:xf>
    <x:xf numFmtId="0" fontId="5" fillId="17" borderId="0" xfId="0" applyNumberFormat="1" applyFont="1" applyFill="1" applyBorder="1" applyAlignment="1">
      <x:alignment horizontal="general" vertical="top" wrapText="1"/>
    </x:xf>
    <x:xf numFmtId="0" fontId="5" fillId="16" borderId="0" xfId="0" applyNumberFormat="1" applyFont="1" applyFill="1" applyBorder="1" applyAlignment="1">
      <x:alignment horizontal="general" vertical="top" wrapText="1"/>
    </x:xf>
    <x:xf numFmtId="165" fontId="10" fillId="0" borderId="0" xfId="0" applyNumberFormat="1" applyFont="1" applyFill="1" applyBorder="1" applyAlignment="1">
      <x:alignment horizontal="general" vertical="bottom" wrapText="1"/>
    </x:xf>
    <x:xf numFmtId="0" fontId="10" fillId="15" borderId="0" xfId="0" applyNumberFormat="1" applyFont="1" applyFill="1" applyBorder="1" applyAlignment="1">
      <x:alignment horizontal="general" vertical="top" wrapText="1"/>
    </x:xf>
    <x:xf numFmtId="0" fontId="10" fillId="16" borderId="0" xfId="0" applyNumberFormat="1" applyFont="1" applyFill="1" applyBorder="1" applyAlignment="1">
      <x:alignment horizontal="general" vertical="top" wrapText="1"/>
    </x:xf>
    <x:xf numFmtId="165" fontId="5" fillId="0" borderId="0" xfId="0" applyNumberFormat="1" applyFont="1" applyFill="1" applyBorder="1" applyAlignment="1">
      <x:alignment horizontal="general" vertical="top" wrapText="1"/>
    </x:xf>
    <x:xf numFmtId="0" fontId="5" fillId="15" borderId="0" xfId="0" applyNumberFormat="1" applyFont="1" applyFill="1" applyBorder="1" applyAlignment="1">
      <x:alignment horizontal="general" vertical="top" wrapText="1"/>
    </x:xf>
    <x:xf numFmtId="0" fontId="18" fillId="18" borderId="0" xfId="0" applyNumberFormat="1" applyFont="1" applyFill="1" applyBorder="1" applyAlignment="1">
      <x:alignment horizontal="center" vertical="top" wrapText="1"/>
    </x:xf>
    <x:xf numFmtId="0" fontId="7" fillId="18" borderId="0" xfId="0" applyNumberFormat="1" applyFont="1" applyFill="1" applyBorder="1" applyAlignment="1">
      <x:alignment horizontal="center" vertical="bottom" wrapText="1"/>
    </x:xf>
    <x:xf numFmtId="0" fontId="19" fillId="8" borderId="0" xfId="0" applyNumberFormat="1" applyFont="1" applyFill="1" applyBorder="1" applyAlignment="1">
      <x:alignment horizontal="general" vertical="top" wrapText="1"/>
    </x:xf>
    <x:xf numFmtId="0" fontId="5" fillId="15" borderId="0" xfId="0" applyNumberFormat="1" applyFont="1" applyFill="1" applyBorder="1" applyAlignment="1">
      <x:alignment horizontal="general" vertical="bottom" wrapText="1"/>
    </x:xf>
    <x:xf numFmtId="0" fontId="6" fillId="19" borderId="0" xfId="0" applyNumberFormat="1" applyFont="1" applyFill="1" applyBorder="1" applyAlignment="1">
      <x:alignment horizontal="general" vertical="top" wrapText="1"/>
    </x:xf>
    <x:xf numFmtId="0" fontId="5" fillId="19" borderId="0" xfId="0" applyNumberFormat="1" applyFont="1" applyFill="1" applyBorder="1" applyAlignment="1">
      <x:alignment horizontal="general" vertical="top" wrapText="1"/>
    </x:xf>
    <x:xf numFmtId="0" fontId="5" fillId="20" borderId="0" xfId="0" applyNumberFormat="1" applyFont="1" applyFill="1" applyBorder="1" applyAlignment="1">
      <x:alignment horizontal="general" vertical="top" wrapText="1"/>
    </x:xf>
    <x:xf numFmtId="0" fontId="5" fillId="21" borderId="0" xfId="0" applyNumberFormat="1" applyFont="1" applyFill="1" applyBorder="1" applyAlignment="1">
      <x:alignment horizontal="general" vertical="top" wrapText="1"/>
    </x:xf>
    <x:xf numFmtId="0" fontId="6" fillId="22" borderId="2" xfId="0" applyNumberFormat="1" applyFont="1" applyFill="1" applyBorder="1" applyAlignment="1">
      <x:alignment horizontal="general" vertical="top" wrapText="1"/>
    </x:xf>
    <x:xf numFmtId="0" fontId="5" fillId="0" borderId="2" xfId="0" applyNumberFormat="1" applyFont="1" applyFill="1" applyBorder="1" applyAlignment="1">
      <x:alignment horizontal="general" vertical="top" wrapText="1"/>
    </x:xf>
    <x:xf numFmtId="0" fontId="11" fillId="7" borderId="0" xfId="0" applyNumberFormat="1" applyFont="1" applyFill="1" applyBorder="1" applyAlignment="1">
      <x:alignment horizontal="general" vertical="top" wrapText="1"/>
    </x:xf>
    <x:xf numFmtId="0" fontId="13" fillId="7" borderId="0" xfId="0" applyNumberFormat="1" applyFont="1" applyFill="1" applyBorder="1" applyAlignment="1">
      <x:alignment horizontal="general" vertical="top" wrapText="1"/>
    </x:xf>
    <x:xf numFmtId="0" fontId="20" fillId="7" borderId="0" xfId="0" applyNumberFormat="1" applyFont="1" applyFill="1" applyBorder="1" applyAlignment="1">
      <x:alignment horizontal="general" vertical="top" wrapText="1"/>
    </x:xf>
    <x:xf numFmtId="0" fontId="21" fillId="7" borderId="0" xfId="0" applyNumberFormat="1" applyFont="1" applyFill="1" applyBorder="1" applyAlignment="1">
      <x:alignment horizontal="general" vertical="top" wrapText="1"/>
    </x:xf>
    <x:xf numFmtId="0" fontId="22" fillId="7" borderId="0" xfId="0" applyNumberFormat="1" applyFont="1" applyFill="1" applyBorder="1" applyAlignment="1">
      <x:alignment horizontal="general" vertical="top" wrapText="1"/>
    </x:xf>
    <x:xf numFmtId="0" fontId="23" fillId="7" borderId="0" xfId="0" applyNumberFormat="1" applyFont="1" applyFill="1" applyBorder="1" applyAlignment="1">
      <x:alignment horizontal="left" vertical="center"/>
    </x:xf>
    <x:xf numFmtId="0" fontId="0" fillId="7" borderId="0" xfId="0" applyNumberFormat="1" applyFont="1" applyFill="1" applyBorder="1" applyAlignment="1">
      <x:alignment horizontal="general" vertical="top" wrapText="1"/>
    </x:xf>
    <x:xf numFmtId="0" fontId="7" fillId="3" borderId="0" xfId="0" applyNumberFormat="1" applyFont="1" applyFill="1" applyBorder="1" applyAlignment="1">
      <x:alignment horizontal="general" vertical="bottom"/>
    </x:xf>
    <x:xf numFmtId="0" fontId="12" fillId="0" borderId="0" xfId="0" applyNumberFormat="1" applyFont="1" applyFill="1" applyBorder="1" applyAlignment="1">
      <x:alignment horizontal="general" vertical="bottom"/>
    </x:xf>
    <x:xf numFmtId="0" fontId="6" fillId="0" borderId="0" xfId="0" applyNumberFormat="1" applyFont="1" applyFill="1" applyBorder="1" applyAlignment="1">
      <x:alignment horizontal="general" vertical="center" wrapText="1"/>
    </x:xf>
    <x:xf numFmtId="0" fontId="10" fillId="2" borderId="0" xfId="0" applyNumberFormat="1" applyFont="1" applyFill="1" applyBorder="1" applyAlignment="1">
      <x:alignment horizontal="general" vertical="bottom" wrapText="1"/>
    </x:xf>
    <x:xf numFmtId="0" fontId="10" fillId="17" borderId="0" xfId="0" applyNumberFormat="1" applyFont="1" applyFill="1" applyBorder="1" applyAlignment="1">
      <x:alignment horizontal="general" vertical="bottom" wrapText="1"/>
    </x:xf>
    <x:xf numFmtId="0" fontId="11" fillId="7" borderId="0" xfId="0" applyNumberFormat="1" applyFont="1" applyFill="1" applyBorder="1" applyAlignment="1">
      <x:alignment horizontal="general" vertical="bottom" wrapText="1"/>
    </x:xf>
    <x:xf numFmtId="0" fontId="12" fillId="7" borderId="0" xfId="0" applyNumberFormat="1" applyFont="1" applyFill="1" applyBorder="1" applyAlignment="1">
      <x:alignment horizontal="general" vertical="bottom" wrapText="1"/>
    </x:xf>
    <x:xf numFmtId="0" fontId="20" fillId="0" borderId="0" xfId="0" applyNumberFormat="1" applyFont="1" applyFill="1" applyBorder="1" applyAlignment="1">
      <x:alignment horizontal="general" vertical="top" wrapText="1"/>
    </x:xf>
    <x:xf numFmtId="0" fontId="12" fillId="0" borderId="0" xfId="0" applyNumberFormat="1" applyFont="1" applyFill="1" applyBorder="1" applyAlignment="1">
      <x:alignment horizontal="general" vertical="top" wrapText="1"/>
    </x:xf>
    <x:xf numFmtId="0" fontId="10" fillId="6" borderId="0" xfId="0" applyNumberFormat="1" applyFont="1" applyFill="1" applyBorder="1" applyAlignment="1">
      <x:alignment horizontal="general" vertical="top" wrapText="1"/>
    </x:xf>
    <x:xf numFmtId="0" fontId="8" fillId="11" borderId="0" xfId="0" applyNumberFormat="1" applyFont="1" applyFill="1" applyBorder="1" applyAlignment="1">
      <x:alignment horizontal="general" vertical="top" wrapText="1"/>
    </x:xf>
    <x:xf numFmtId="0" fontId="7" fillId="2"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top" wrapText="1"/>
    </x:xf>
    <x:xf numFmtId="0" fontId="7" fillId="23" borderId="0" xfId="0" applyNumberFormat="1" applyFont="1" applyFill="1" applyBorder="1" applyAlignment="1">
      <x:alignment horizontal="center" vertical="center" wrapText="1"/>
    </x:xf>
    <x:xf numFmtId="0" fontId="24" fillId="3" borderId="0" xfId="0" applyNumberFormat="1" applyFont="1" applyFill="1" applyBorder="1" applyAlignment="1">
      <x:alignment horizontal="center" vertical="bottom" wrapText="1"/>
    </x:xf>
    <x:xf numFmtId="0" fontId="8" fillId="4" borderId="0" xfId="0" applyNumberFormat="1" applyFont="1" applyFill="1" applyBorder="1" applyAlignment="1">
      <x:alignment horizontal="center" vertical="bottom" wrapText="1"/>
    </x:xf>
    <x:xf numFmtId="0" fontId="8" fillId="4" borderId="0" xfId="0" applyNumberFormat="1" applyFont="1" applyFill="1" applyBorder="1" applyAlignment="1">
      <x:alignment horizontal="general" vertical="bottom"/>
    </x:xf>
    <x:xf numFmtId="0" fontId="7" fillId="24" borderId="0" xfId="0" applyNumberFormat="1" applyFont="1" applyFill="1" applyBorder="1" applyAlignment="1">
      <x:alignment horizontal="general" vertical="bottom" wrapText="1"/>
    </x:xf>
    <x:xf numFmtId="0" fontId="7" fillId="10" borderId="0" xfId="0" applyNumberFormat="1" applyFont="1" applyFill="1" applyBorder="1" applyAlignment="1">
      <x:alignment horizontal="center" vertical="center" wrapText="1"/>
    </x:xf>
    <x:xf numFmtId="0" fontId="8" fillId="11" borderId="0" xfId="0" applyNumberFormat="1" applyFont="1" applyFill="1" applyBorder="1" applyAlignment="1">
      <x:alignment horizontal="general" vertical="bottom" wrapText="1"/>
    </x:xf>
    <x:xf numFmtId="0" fontId="8" fillId="0" borderId="0" xfId="0" applyNumberFormat="1" applyFont="1" applyFill="1" applyBorder="1" applyAlignment="1">
      <x:alignment horizontal="general" vertical="bottom"/>
    </x:xf>
    <x:xf numFmtId="0" fontId="7" fillId="23" borderId="0" xfId="0" applyNumberFormat="1" applyFont="1" applyFill="1" applyBorder="1" applyAlignment="1">
      <x:alignment horizontal="general" vertical="bottom" wrapText="1"/>
    </x:xf>
    <x:xf numFmtId="0" fontId="7" fillId="25" borderId="0" xfId="0" applyNumberFormat="1" applyFont="1" applyFill="1" applyBorder="1" applyAlignment="1">
      <x:alignment horizontal="general" vertical="bottom"/>
    </x:xf>
    <x:xf numFmtId="0" fontId="7" fillId="25" borderId="0" xfId="0" applyNumberFormat="1" applyFont="1" applyFill="1" applyBorder="1" applyAlignment="1">
      <x:alignment horizontal="general" vertical="bottom" wrapText="1"/>
    </x:xf>
    <x:xf numFmtId="0" fontId="7" fillId="23" borderId="0" xfId="0" applyNumberFormat="1" applyFont="1" applyFill="1" applyBorder="1" applyAlignment="1">
      <x:alignment horizontal="general" vertical="top" wrapText="1"/>
    </x:xf>
    <x:xf numFmtId="0" fontId="7" fillId="25" borderId="0" xfId="0" applyNumberFormat="1" applyFont="1" applyFill="1" applyBorder="1" applyAlignment="1">
      <x:alignment horizontal="general" vertical="top" wrapText="1"/>
    </x:xf>
    <x:xf numFmtId="0" fontId="5" fillId="7" borderId="0" xfId="0" applyNumberFormat="1" applyFont="1" applyFill="1" applyBorder="1" applyAlignment="1">
      <x:alignment horizontal="general" vertical="bottom" wrapText="1"/>
    </x:xf>
    <x:xf numFmtId="0" fontId="13" fillId="7" borderId="0" xfId="0" applyNumberFormat="1" applyFont="1" applyFill="1" applyBorder="1" applyAlignment="1">
      <x:alignment horizontal="general" vertical="bottom" wrapText="1"/>
    </x:xf>
    <x:xf numFmtId="0" fontId="7" fillId="3" borderId="0" xfId="0" applyNumberFormat="1" applyFont="1" applyFill="1" applyBorder="1" applyAlignment="1">
      <x:alignment horizontal="general" vertical="top" wrapText="1"/>
    </x:xf>
    <x:xf numFmtId="0" fontId="24" fillId="23" borderId="0" xfId="0" applyNumberFormat="1" applyFont="1" applyFill="1" applyBorder="1" applyAlignment="1">
      <x:alignment horizontal="general" vertical="top" wrapText="1"/>
    </x:xf>
    <x:xf numFmtId="0" fontId="6" fillId="3" borderId="0" xfId="0" applyNumberFormat="1" applyFont="1" applyFill="1" applyBorder="1" applyAlignment="1">
      <x:alignment horizontal="general" vertical="bottom" wrapText="1"/>
    </x:xf>
    <x:xf numFmtId="0" fontId="25" fillId="3" borderId="0" xfId="0" applyNumberFormat="1" applyFont="1" applyFill="1" applyBorder="1" applyAlignment="1">
      <x:alignment horizontal="general" vertical="bottom" wrapText="1"/>
    </x:xf>
    <x:xf numFmtId="0" fontId="25" fillId="3" borderId="0" xfId="0" applyNumberFormat="1" applyFont="1" applyFill="1" applyBorder="1" applyAlignment="1">
      <x:alignment horizontal="center" vertical="bottom" wrapText="1"/>
    </x:xf>
    <x:xf numFmtId="0" fontId="25" fillId="3" borderId="0" xfId="0" applyNumberFormat="1" applyFont="1" applyFill="1" applyBorder="1" applyAlignment="1">
      <x:alignment horizontal="center" vertical="center" wrapText="1"/>
    </x:xf>
    <x:xf numFmtId="0" fontId="0" fillId="28" borderId="0" xfId="0" applyNumberFormat="1" applyFont="1" applyFill="1" applyBorder="1" applyAlignment="1">
      <x:alignment horizontal="general" vertical="bottom" wrapText="1"/>
    </x:xf>
    <x:xf numFmtId="0" fontId="6" fillId="28" borderId="0" xfId="0" applyNumberFormat="1" applyFont="1" applyFill="1" applyBorder="1" applyAlignment="1">
      <x:alignment horizontal="general" vertical="top" wrapText="1"/>
    </x:xf>
    <x:xf numFmtId="0" fontId="26" fillId="28" borderId="0" xfId="0" applyNumberFormat="1" applyFont="1" applyFill="1" applyBorder="1" applyAlignment="1">
      <x:alignment horizontal="general" vertical="bottom" wrapText="1"/>
    </x:xf>
    <x:xf numFmtId="0" fontId="27" fillId="28" borderId="0" xfId="0" applyNumberFormat="1" applyFont="1" applyFill="1" applyBorder="1" applyAlignment="1">
      <x:alignment horizontal="general" vertical="top" wrapText="1"/>
    </x:xf>
    <x:xf numFmtId="0" fontId="9" fillId="3" borderId="0" xfId="0" applyNumberFormat="1" applyFont="1" applyFill="1" applyBorder="1" applyAlignment="1">
      <x:alignment horizontal="general" vertical="top" wrapText="1"/>
    </x:xf>
    <x:xf numFmtId="0" fontId="9" fillId="3" borderId="0" xfId="0" applyNumberFormat="1" applyFont="1" applyFill="1" applyBorder="1" applyAlignment="1">
      <x:alignment horizontal="center" vertical="top" wrapText="1"/>
    </x:xf>
    <x:xf numFmtId="0" fontId="7" fillId="3" borderId="0" xfId="0" applyNumberFormat="1" applyFont="1" applyFill="1" applyBorder="1" applyAlignment="1">
      <x:alignment horizontal="center" vertical="top" wrapText="1"/>
    </x:xf>
    <x:xf numFmtId="0" fontId="9"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center" wrapText="1"/>
    </x:xf>
    <x:xf numFmtId="0" fontId="10" fillId="3" borderId="0" xfId="0" applyNumberFormat="1" applyFont="1" applyFill="1" applyBorder="1" applyAlignment="1">
      <x:alignment horizontal="general" vertical="top" wrapText="1"/>
    </x:xf>
    <x:xf numFmtId="0" fontId="18" fillId="3" borderId="0" xfId="0" applyNumberFormat="1" applyFont="1" applyFill="1" applyBorder="1" applyAlignment="1">
      <x:alignment horizontal="general" vertical="top" wrapText="1"/>
    </x:xf>
    <x:xf numFmtId="0" fontId="18" fillId="3" borderId="0" xfId="0" applyNumberFormat="1" applyFont="1" applyFill="1" applyBorder="1" applyAlignment="1">
      <x:alignment horizontal="center" vertical="top" wrapText="1"/>
    </x:xf>
    <x:xf numFmtId="0" fontId="18"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bottom" wrapText="1"/>
    </x:xf>
    <x:xf numFmtId="0" fontId="0" fillId="3" borderId="0" xfId="0" applyNumberFormat="1" applyFont="1" applyFill="1" applyBorder="1" applyAlignment="1">
      <x:alignment horizontal="general" vertical="bottom" wrapText="1"/>
    </x:xf>
    <x:xf numFmtId="0" fontId="10" fillId="28" borderId="0" xfId="0" applyNumberFormat="1" applyFont="1" applyFill="1" applyBorder="1" applyAlignment="1">
      <x:alignment horizontal="general" vertical="top" wrapText="1"/>
    </x:xf>
    <x:xf numFmtId="0" fontId="5" fillId="28" borderId="0" xfId="0" applyNumberFormat="1" applyFont="1" applyFill="1" applyBorder="1" applyAlignment="1">
      <x:alignment horizontal="general" vertical="top" wrapText="1"/>
    </x:xf>
    <x:xf numFmtId="0" fontId="28" fillId="28" borderId="0" xfId="0" applyNumberFormat="1" applyFont="1" applyFill="1" applyBorder="1" applyAlignment="1">
      <x:alignment horizontal="general" vertical="top" wrapText="1"/>
    </x:xf>
    <x:xf numFmtId="0" fontId="24" fillId="3" borderId="0" xfId="0" applyNumberFormat="1" applyFont="1" applyFill="1" applyBorder="1" applyAlignment="1">
      <x:alignment horizontal="general" vertical="top" wrapText="1"/>
    </x:xf>
    <x:xf numFmtId="0" fontId="24" fillId="3" borderId="0" xfId="0" applyNumberFormat="1" applyFont="1" applyFill="1" applyBorder="1" applyAlignment="1">
      <x:alignment horizontal="center" vertical="top" wrapText="1"/>
    </x:xf>
    <x:xf numFmtId="0" fontId="24" fillId="3" borderId="0" xfId="0" applyNumberFormat="1" applyFont="1" applyFill="1" applyBorder="1" applyAlignment="1">
      <x:alignment horizontal="center" vertical="center" wrapText="1"/>
    </x:xf>
    <x:xf numFmtId="0" fontId="7" fillId="28" borderId="0" xfId="0" applyNumberFormat="1" applyFont="1" applyFill="1" applyBorder="1" applyAlignment="1">
      <x:alignment horizontal="general" vertical="top" wrapText="1"/>
    </x:xf>
    <x:xf numFmtId="0" fontId="26" fillId="28" borderId="0" xfId="0" applyNumberFormat="1" applyFont="1" applyFill="1" applyBorder="1" applyAlignment="1">
      <x:alignment horizontal="general" vertical="top" wrapText="1"/>
    </x:xf>
    <x:xf numFmtId="0" fontId="10" fillId="3" borderId="0" xfId="0" applyNumberFormat="1" applyFont="1" applyFill="1" applyBorder="1" applyAlignment="1">
      <x:alignment horizontal="general" vertical="bottom"/>
    </x:xf>
    <x:xf numFmtId="0" fontId="18" fillId="3" borderId="0" xfId="0" applyNumberFormat="1" applyFont="1" applyFill="1" applyBorder="1" applyAlignment="1">
      <x:alignment horizontal="general" vertical="bottom"/>
    </x:xf>
    <x:xf numFmtId="0" fontId="18" fillId="3" borderId="0" xfId="0" applyNumberFormat="1" applyFont="1" applyFill="1" applyBorder="1" applyAlignment="1">
      <x:alignment horizontal="general" vertical="bottom" wrapText="1"/>
    </x:xf>
    <x:xf numFmtId="0" fontId="18" fillId="3" borderId="0" xfId="0" applyNumberFormat="1" applyFont="1" applyFill="1" applyBorder="1" applyAlignment="1">
      <x:alignment horizontal="center" vertical="bottom" wrapText="1"/>
    </x:xf>
    <x:xf numFmtId="0" fontId="5" fillId="16" borderId="0" xfId="0" applyNumberFormat="1" applyFont="1" applyFill="1" applyBorder="1" applyAlignment="1">
      <x:alignment horizontal="general" vertical="bottom" wrapText="1"/>
    </x:xf>
    <x:xf numFmtId="0" fontId="15" fillId="3" borderId="0" xfId="0" applyNumberFormat="1" applyFont="1" applyFill="1" applyBorder="1" applyAlignment="1">
      <x:alignment horizontal="general" vertical="bottom"/>
    </x:xf>
    <x:xf numFmtId="0" fontId="17" fillId="3" borderId="0" xfId="0" applyNumberFormat="1" applyFont="1" applyFill="1" applyBorder="1" applyAlignment="1">
      <x:alignment horizontal="general" vertical="bottom"/>
    </x:xf>
    <x:xf numFmtId="0" fontId="17" fillId="3" borderId="0" xfId="0" applyNumberFormat="1" applyFont="1" applyFill="1" applyBorder="1" applyAlignment="1">
      <x:alignment horizontal="general" vertical="bottom" wrapText="1"/>
    </x:xf>
    <x:xf numFmtId="0" fontId="17" fillId="3" borderId="0" xfId="0" applyNumberFormat="1" applyFont="1" applyFill="1" applyBorder="1" applyAlignment="1">
      <x:alignment horizontal="center" vertical="bottom" wrapText="1"/>
    </x:xf>
    <x:xf numFmtId="0" fontId="17" fillId="3" borderId="0" xfId="0" applyNumberFormat="1" applyFont="1" applyFill="1" applyBorder="1" applyAlignment="1">
      <x:alignment horizontal="center" vertical="center" wrapText="1"/>
    </x:xf>
    <x:xf numFmtId="0" fontId="6" fillId="11" borderId="0" xfId="0" applyNumberFormat="1" applyFont="1" applyFill="1" applyBorder="1" applyAlignment="1">
      <x:alignment horizontal="general" vertical="bottom" wrapText="1"/>
    </x:xf>
    <x:xf numFmtId="0" fontId="0" fillId="3" borderId="0" xfId="0" applyNumberFormat="1" applyFont="1" applyFill="1" applyBorder="1" applyAlignment="1">
      <x:alignment horizontal="general" vertical="bottom"/>
    </x:xf>
    <x:xf numFmtId="0" fontId="0" fillId="28" borderId="0" xfId="0" applyNumberFormat="1" applyFont="1" applyFill="1" applyBorder="1" applyAlignment="1">
      <x:alignment horizontal="general" vertical="bottom"/>
    </x:xf>
    <x:xf numFmtId="0" fontId="26" fillId="28" borderId="0" xfId="0" applyNumberFormat="1" applyFont="1" applyFill="1" applyBorder="1" applyAlignment="1">
      <x:alignment horizontal="general" vertical="bottom"/>
    </x:xf>
    <x:xf numFmtId="0" fontId="0" fillId="0" borderId="0"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30" borderId="0" xfId="0" applyNumberFormat="1" applyFont="1" applyFill="1" applyBorder="1" applyAlignment="1">
      <x:alignment horizontal="general" vertical="bottom"/>
    </x:xf>
    <x:xf numFmtId="0" fontId="24" fillId="30" borderId="0" xfId="0" applyNumberFormat="1" applyFont="1" applyFill="1" applyBorder="1" applyAlignment="1">
      <x:alignment horizontal="general" vertical="bottom"/>
    </x:xf>
    <x:xf numFmtId="0" fontId="24" fillId="30" borderId="0" xfId="0" applyNumberFormat="1" applyFont="1" applyFill="1" applyBorder="1" applyAlignment="1">
      <x:alignment horizontal="center" vertical="bottom"/>
    </x:xf>
    <x:xf numFmtId="0" fontId="24" fillId="30" borderId="0" xfId="0" applyNumberFormat="1" applyFont="1" applyFill="1" applyBorder="1" applyAlignment="1">
      <x:alignment horizontal="center" vertical="center"/>
    </x:xf>
    <x:xf numFmtId="0" fontId="0" fillId="31" borderId="0" xfId="0" applyNumberFormat="1" applyFont="1" applyFill="1" applyBorder="1" applyAlignment="1">
      <x:alignment horizontal="general" vertical="bottom"/>
    </x:xf>
    <x:xf numFmtId="0" fontId="29" fillId="31" borderId="0" xfId="0" applyNumberFormat="1" applyFont="1" applyFill="1" applyBorder="1" applyAlignment="1">
      <x:alignment horizontal="general" vertical="bottom"/>
    </x:xf>
    <x:xf numFmtId="0" fontId="29" fillId="31" borderId="0" xfId="0" applyNumberFormat="1" applyFont="1" applyFill="1" applyBorder="1" applyAlignment="1">
      <x:alignment horizontal="general" vertical="bottom" wrapText="1"/>
    </x:xf>
    <x:xf numFmtId="0" fontId="29" fillId="31" borderId="0" xfId="0" applyNumberFormat="1" applyFont="1" applyFill="1" applyBorder="1" applyAlignment="1">
      <x:alignment horizontal="general" vertical="top" wrapText="1"/>
    </x:xf>
    <x:xf numFmtId="0" fontId="0" fillId="32" borderId="0" xfId="0" applyNumberFormat="1" applyFont="1" applyFill="1" applyBorder="1" applyAlignment="1">
      <x:alignment horizontal="general" vertical="bottom"/>
    </x:xf>
    <x:xf numFmtId="0" fontId="7" fillId="32" borderId="0" xfId="0" applyNumberFormat="1" applyFont="1" applyFill="1" applyBorder="1" applyAlignment="1">
      <x:alignment horizontal="general" vertical="bottom"/>
    </x:xf>
    <x:xf numFmtId="0" fontId="7" fillId="32" borderId="0" xfId="0" applyNumberFormat="1" applyFont="1" applyFill="1" applyBorder="1" applyAlignment="1">
      <x:alignment horizontal="general" vertical="bottom" wrapText="1"/>
    </x:xf>
    <x:xf numFmtId="0" fontId="7" fillId="32" borderId="0" xfId="0" applyNumberFormat="1" applyFont="1" applyFill="1" applyBorder="1" applyAlignment="1">
      <x:alignment horizontal="center" vertical="bottom" wrapText="1"/>
    </x:xf>
    <x:xf numFmtId="0" fontId="7" fillId="32" borderId="0" xfId="0" applyNumberFormat="1" applyFont="1" applyFill="1" applyBorder="1" applyAlignment="1">
      <x:alignment horizontal="center" vertical="center" wrapText="1"/>
    </x:xf>
    <x:xf numFmtId="0" fontId="0" fillId="33" borderId="0" xfId="0" applyNumberFormat="1" applyFont="1" applyFill="1" applyBorder="1" applyAlignment="1">
      <x:alignment horizontal="general" vertical="bottom" wrapText="1"/>
    </x:xf>
    <x:xf numFmtId="0" fontId="8" fillId="33" borderId="0" xfId="0" applyNumberFormat="1" applyFont="1" applyFill="1" applyBorder="1" applyAlignment="1">
      <x:alignment horizontal="general" vertical="bottom" wrapText="1"/>
    </x:xf>
    <x:xf numFmtId="0" fontId="0" fillId="2" borderId="0" xfId="0" applyNumberFormat="1" applyFont="1" applyFill="1" applyBorder="1" applyAlignment="1">
      <x:alignment horizontal="general" vertical="bottom"/>
    </x:xf>
    <x:xf numFmtId="0" fontId="24" fillId="2" borderId="0" xfId="0" applyNumberFormat="1" applyFont="1" applyFill="1" applyBorder="1" applyAlignment="1">
      <x:alignment horizontal="general" vertical="bottom"/>
    </x:xf>
    <x:xf numFmtId="0" fontId="24" fillId="2" borderId="0" xfId="0" applyNumberFormat="1" applyFont="1" applyFill="1" applyBorder="1" applyAlignment="1">
      <x:alignment horizontal="center" vertical="bottom"/>
    </x:xf>
    <x:xf numFmtId="0" fontId="24" fillId="2" borderId="0" xfId="0" applyNumberFormat="1" applyFont="1" applyFill="1" applyBorder="1" applyAlignment="1">
      <x:alignment horizontal="center" vertical="center"/>
    </x:xf>
    <x:xf numFmtId="0" fontId="0" fillId="11" borderId="0" xfId="0" applyNumberFormat="1" applyFont="1" applyFill="1" applyBorder="1" applyAlignment="1">
      <x:alignment horizontal="general" vertical="bottom"/>
    </x:xf>
    <x:xf numFmtId="0" fontId="29" fillId="11" borderId="0" xfId="0" applyNumberFormat="1" applyFont="1" applyFill="1" applyBorder="1" applyAlignment="1">
      <x:alignment horizontal="general" vertical="bottom"/>
    </x:xf>
    <x:xf numFmtId="0" fontId="29" fillId="11" borderId="0" xfId="0" applyNumberFormat="1" applyFont="1" applyFill="1" applyBorder="1" applyAlignment="1">
      <x:alignment horizontal="general" vertical="bottom" wrapText="1"/>
    </x:xf>
    <x:xf numFmtId="0" fontId="29" fillId="11" borderId="0" xfId="0" applyNumberFormat="1" applyFont="1" applyFill="1" applyBorder="1" applyAlignment="1">
      <x:alignment horizontal="general" vertical="top" wrapText="1"/>
    </x:xf>
    <x:xf numFmtId="0" fontId="24" fillId="2" borderId="0" xfId="0" applyNumberFormat="1" applyFont="1" applyFill="1" applyBorder="1" applyAlignment="1">
      <x:alignment horizontal="center" vertical="center" wrapText="1"/>
    </x:xf>
  </x:cellXfs>
  <x:cellStyles count="19">
    <x:cellStyle name="Normal" xfId="0"/>
    <x:cellStyle name="Comma" xfId="1"/>
    <x:cellStyle name="Comma [0]" xfId="2"/>
    <x:cellStyle name="Currency" xfId="3"/>
    <x:cellStyle name="Currency [0]" xfId="4"/>
    <x:cellStyle name="Percent" xfId="5"/>
    <x:cellStyle name="Comma 1" xfId="6"/>
    <x:cellStyle name="Comma 2" xfId="7"/>
    <x:cellStyle name="Comma [0] 2" xfId="8"/>
    <x:cellStyle name="Comma [0] 3" xfId="9"/>
    <x:cellStyle name="Currency 3" xfId="10"/>
    <x:cellStyle name="Currency 4" xfId="11"/>
    <x:cellStyle name="Currency [0] 4" xfId="12"/>
    <x:cellStyle name="Currency [0] 5" xfId="13"/>
    <x:cellStyle name="Normal 2" xfId="14"/>
    <x:cellStyle name="Normal 5" xfId="15"/>
    <x:cellStyle name="Normal 6" xfId="16"/>
    <x:cellStyle name="Percent 6" xfId="17"/>
    <x:cellStyle name="Percent 7" xfId="18"/>
  </x:cellStyles>
  <x:dxfs count="9">
    <x:dxf>
      <x:fill>
        <x:patternFill>
          <x:bgColor rgb="FF1F4E78"/>
        </x:patternFill>
      </x:fill>
    </x:dxf>
    <x:dxf>
      <x:fill>
        <x:patternFill>
          <x:bgColor rgb="FF000000"/>
        </x:patternFill>
      </x:fill>
    </x:dxf>
    <x:dxf>
      <x:fill>
        <x:patternFill>
          <x:bgColor rgb="FFFFFFFF"/>
        </x:patternFill>
      </x:fill>
    </x:dxf>
    <x:dxf>
      <x:fill>
        <x:patternFill>
          <x:bgColor rgb="FFE2F0D9"/>
        </x:patternFill>
      </x:fill>
    </x:dxf>
    <x:dxf>
      <x:fill>
        <x:patternFill>
          <x:bgColor rgb="FFFCE4D6"/>
        </x:patternFill>
      </x:fill>
    </x:dxf>
    <x:dxf>
      <x:fill>
        <x:patternFill>
          <x:bgColor rgb="FF006100"/>
        </x:patternFill>
      </x:fill>
    </x:dxf>
    <x:dxf>
      <x:fill>
        <x:patternFill>
          <x:bgColor rgb="FF9C0006"/>
        </x:patternFill>
      </x:fill>
    </x:dxf>
    <x:dxf>
      <x:font>
        <x:b/>
        <x:color rgb="FF9C0006"/>
      </x:font>
      <x:fill>
        <x:patternFill>
          <x:bgColor rgb="FFFCE4D6"/>
        </x:patternFill>
      </x:fill>
    </x:dxf>
    <x:dxf>
      <x:font>
        <x:b/>
        <x:color rgb="FF006100"/>
      </x:font>
      <x:fill>
        <x:patternFill>
          <x:bgColor rgb="FFE2F0D9"/>
        </x:patternFill>
      </x:fill>
    </x:dxf>
  </x:dxfs>
  <x:colors>
    <x:indexedColors>
      <x:rgbColor rgb="FF000000"/>
      <x:rgbColor rgb="FFFFFFFF"/>
      <x:rgbColor rgb="FFFF0000"/>
      <x:rgbColor rgb="FF00FF00"/>
      <x:rgbColor rgb="FF0000FF"/>
      <x:rgbColor rgb="FFFFF2CC"/>
      <x:rgbColor rgb="FFFF00FF"/>
      <x:rgbColor rgb="FF00FFFF"/>
      <x:rgbColor rgb="FF9C0006"/>
      <x:rgbColor rgb="FF006100"/>
      <x:rgbColor rgb="FF000080"/>
      <x:rgbColor rgb="FF808000"/>
      <x:rgbColor rgb="FF800080"/>
      <x:rgbColor rgb="FF0F766E"/>
      <x:rgbColor rgb="FFB4C7E7"/>
      <x:rgbColor rgb="FF808080"/>
      <x:rgbColor rgb="FFE2EFDA"/>
      <x:rgbColor rgb="FF993366"/>
      <x:rgbColor rgb="FFFFFFCC"/>
      <x:rgbColor rgb="FFD9EAF7"/>
      <x:rgbColor rgb="FF660066"/>
      <x:rgbColor rgb="FFE8F0FE"/>
      <x:rgbColor rgb="FF1F4E79"/>
      <x:rgbColor rgb="FFD9D9D9"/>
      <x:rgbColor rgb="FF000080"/>
      <x:rgbColor rgb="FFFF00FF"/>
      <x:rgbColor rgb="FFFFE6CC"/>
      <x:rgbColor rgb="FF00FFFF"/>
      <x:rgbColor rgb="FF800080"/>
      <x:rgbColor rgb="FF800000"/>
      <x:rgbColor rgb="FF008080"/>
      <x:rgbColor rgb="FF0000FF"/>
      <x:rgbColor rgb="FF00CCFF"/>
      <x:rgbColor rgb="FFDDEBF7"/>
      <x:rgbColor rgb="FFC6EFCE"/>
      <x:rgbColor rgb="FFFFEB9C"/>
      <x:rgbColor rgb="FFDDDDDD"/>
      <x:rgbColor rgb="FFFFC7CE"/>
      <x:rgbColor rgb="FFD9EAD3"/>
      <x:rgbColor rgb="FFFFCCCC"/>
      <x:rgbColor rgb="FF2E75B6"/>
      <x:rgbColor rgb="FF33CCCC"/>
      <x:rgbColor rgb="FFE2F0D9"/>
      <x:rgbColor rgb="FFFCE4D6"/>
      <x:rgbColor rgb="FFFF9900"/>
      <x:rgbColor rgb="FFFF6600"/>
      <x:rgbColor rgb="FF666699"/>
      <x:rgbColor rgb="FF999999"/>
      <x:rgbColor rgb="FF1F4E78"/>
      <x:rgbColor rgb="FF339966"/>
      <x:rgbColor rgb="FF0F172A"/>
      <x:rgbColor rgb="FF334155"/>
      <x:rgbColor rgb="FF993300"/>
      <x:rgbColor rgb="FF993366"/>
      <x:rgbColor rgb="FF1E3A8A"/>
      <x:rgbColor rgb="FF1F2937"/>
    </x:indexedColors>
  </x:colors>
</x:styleSheet>
</file>

<file path=xl/_rels/workbook.xml.rels>&#65279;<?xml version="1.0" encoding="utf-8"?><Relationships xmlns="http://schemas.openxmlformats.org/package/2006/relationships"><Relationship Type="http://schemas.openxmlformats.org/officeDocument/2006/relationships/styles" Target="/xl/styles.xml" Id="R21600634e1484898" /><Relationship Type="http://schemas.openxmlformats.org/officeDocument/2006/relationships/theme" Target="/xl/theme/theme1.xml" Id="Rc7f54b95c5334336" /><Relationship Type="http://schemas.openxmlformats.org/officeDocument/2006/relationships/sharedStrings" Target="/xl/sharedStrings.xml" Id="Rf17d3194a21a440f" /><Relationship Type="http://schemas.openxmlformats.org/officeDocument/2006/relationships/worksheet" Target="/xl/worksheets/sheet1.xml" Id="R07d9a6f738714737" /><Relationship Type="http://schemas.openxmlformats.org/officeDocument/2006/relationships/worksheet" Target="/xl/worksheets/sheet2.xml" Id="Ref97cfa29cd048f2" /><Relationship Type="http://schemas.openxmlformats.org/officeDocument/2006/relationships/worksheet" Target="/xl/worksheets/sheet3.xml" Id="Recf6d8855d72479c" /><Relationship Type="http://schemas.openxmlformats.org/officeDocument/2006/relationships/worksheet" Target="/xl/worksheets/sheet4.xml" Id="R30cb947d710a4d6c" /><Relationship Type="http://schemas.openxmlformats.org/officeDocument/2006/relationships/worksheet" Target="/xl/worksheets/sheet5.xml" Id="R736618f635c441c6" /><Relationship Type="http://schemas.openxmlformats.org/officeDocument/2006/relationships/worksheet" Target="/xl/worksheets/sheet6.xml" Id="R42d4c29891554157" /><Relationship Type="http://schemas.openxmlformats.org/officeDocument/2006/relationships/worksheet" Target="/xl/worksheets/sheet7.xml" Id="Rf841e67fca174c54" /><Relationship Type="http://schemas.openxmlformats.org/officeDocument/2006/relationships/worksheet" Target="/xl/worksheets/sheet8.xml" Id="Rdc249cffdd6e4b80" /><Relationship Type="http://schemas.openxmlformats.org/officeDocument/2006/relationships/worksheet" Target="/xl/worksheets/sheet9.xml" Id="R31f3ee2b4859421a" /><Relationship Type="http://schemas.openxmlformats.org/officeDocument/2006/relationships/worksheet" Target="/xl/worksheets/sheet10.xml" Id="Rb6fd3808dbf940a7" /><Relationship Type="http://schemas.openxmlformats.org/officeDocument/2006/relationships/worksheet" Target="/xl/worksheets/sheet11.xml" Id="Ra4477b3fc0684811" /><Relationship Type="http://schemas.openxmlformats.org/officeDocument/2006/relationships/worksheet" Target="/xl/worksheets/sheet12.xml" Id="R71e5b013638c4a50" /><Relationship Type="http://schemas.openxmlformats.org/officeDocument/2006/relationships/worksheet" Target="/xl/worksheets/sheet13.xml" Id="R8cd1509bba8b42bb" /><Relationship Type="http://schemas.openxmlformats.org/officeDocument/2006/relationships/worksheet" Target="/xl/worksheets/sheet14.xml" Id="R744c7e7dd3cf444e" /><Relationship Type="http://schemas.openxmlformats.org/officeDocument/2006/relationships/worksheet" Target="/xl/worksheets/sheet15.xml" Id="R6fd2ca1c7a144165" /><Relationship Type="http://schemas.openxmlformats.org/officeDocument/2006/relationships/worksheet" Target="/xl/worksheets/sheet16.xml" Id="R13dcd5144ffa48ff" /><Relationship Type="http://schemas.openxmlformats.org/officeDocument/2006/relationships/worksheet" Target="/xl/worksheets/sheet17.xml" Id="R7c48483976d44eec" /><Relationship Type="http://schemas.openxmlformats.org/officeDocument/2006/relationships/worksheet" Target="/xl/worksheets/sheet18.xml" Id="Rce01db1b527543c9" /><Relationship Type="http://schemas.openxmlformats.org/officeDocument/2006/relationships/worksheet" Target="/xl/worksheets/sheet19.xml" Id="R1356442862774b39" /><Relationship Type="http://schemas.openxmlformats.org/officeDocument/2006/relationships/worksheet" Target="/xl/worksheets/sheet20.xml" Id="Ra8a5b05ff9484060" /><Relationship Type="http://schemas.openxmlformats.org/officeDocument/2006/relationships/worksheet" Target="/xl/worksheets/sheet21.xml" Id="Rc9bd05aabe8d4939" /><Relationship Type="http://schemas.openxmlformats.org/officeDocument/2006/relationships/worksheet" Target="/xl/worksheets/sheet22.xml" Id="R4a255ff6cc8040c3" /><Relationship Type="http://schemas.openxmlformats.org/officeDocument/2006/relationships/worksheet" Target="/xl/worksheets/sheet23.xml" Id="Rcfb867f5431d4852" /><Relationship Type="http://schemas.openxmlformats.org/officeDocument/2006/relationships/worksheet" Target="/xl/worksheets/sheet24.xml" Id="R39a5e27246e04833" /><Relationship Type="http://schemas.openxmlformats.org/officeDocument/2006/relationships/worksheet" Target="/xl/worksheets/sheet25.xml" Id="R7be5e9a152fd4a2d" /><Relationship Type="http://schemas.openxmlformats.org/officeDocument/2006/relationships/worksheet" Target="/xl/worksheets/sheet26.xml" Id="R0e8b154a1c884f1b" /><Relationship Type="http://schemas.openxmlformats.org/officeDocument/2006/relationships/worksheet" Target="/xl/worksheets/sheet27.xml" Id="R31996e5ea41544e0" /><Relationship Type="http://schemas.openxmlformats.org/officeDocument/2006/relationships/worksheet" Target="/xl/worksheets/sheet28.xml" Id="Re8c7373da2614c99" /><Relationship Type="http://schemas.openxmlformats.org/officeDocument/2006/relationships/worksheet" Target="/xl/worksheets/sheet29.xml" Id="Rf0af77820eb0423b" /><Relationship Type="http://schemas.openxmlformats.org/officeDocument/2006/relationships/worksheet" Target="/xl/worksheets/sheet30.xml" Id="Rf66631c8552a40da" /><Relationship Type="http://schemas.openxmlformats.org/officeDocument/2006/relationships/worksheet" Target="/xl/worksheets/sheet31.xml" Id="Re5b483765b584475" /><Relationship Type="http://schemas.openxmlformats.org/officeDocument/2006/relationships/worksheet" Target="/xl/worksheets/sheet32.xml" Id="R7d235e2f569a4b2d" /><Relationship Type="http://schemas.openxmlformats.org/officeDocument/2006/relationships/worksheet" Target="/xl/worksheets/sheet33.xml" Id="R65d28b87283b4bc3" /><Relationship Type="http://schemas.openxmlformats.org/officeDocument/2006/relationships/worksheet" Target="/xl/worksheets/sheet34.xml" Id="Ra32b0930f84848ae" /><Relationship Type="http://schemas.openxmlformats.org/officeDocument/2006/relationships/worksheet" Target="/xl/worksheets/sheet35.xml" Id="R43bbf14b89e94938" /><Relationship Type="http://schemas.openxmlformats.org/officeDocument/2006/relationships/worksheet" Target="/xl/worksheets/sheet36.xml" Id="Raf906e86135c4a5c" /><Relationship Type="http://schemas.openxmlformats.org/officeDocument/2006/relationships/worksheet" Target="/xl/worksheets/sheet37.xml" Id="R86173e6e8f0549dd" /><Relationship Type="http://schemas.openxmlformats.org/officeDocument/2006/relationships/worksheet" Target="/xl/worksheets/sheet38.xml" Id="Rb312102e09d94717" /><Relationship Type="http://schemas.openxmlformats.org/officeDocument/2006/relationships/worksheet" Target="/xl/worksheets/sheet39.xml" Id="Rf3b9066957c34ed0" /><Relationship Type="http://schemas.openxmlformats.org/officeDocument/2006/relationships/worksheet" Target="/xl/worksheets/sheet40.xml" Id="Rbe7c0da34ba0486d" /><Relationship Type="http://schemas.openxmlformats.org/officeDocument/2006/relationships/worksheet" Target="/xl/worksheets/sheet41.xml" Id="R81c94909eca74c4a" /><Relationship Type="http://schemas.openxmlformats.org/officeDocument/2006/relationships/worksheet" Target="/xl/worksheets/sheet42.xml" Id="Rbf0dbfd824d6498a" /><Relationship Type="http://schemas.openxmlformats.org/officeDocument/2006/relationships/worksheet" Target="/xl/worksheets/sheet43.xml" Id="Re3068a7555364a21" /><Relationship Type="http://schemas.openxmlformats.org/officeDocument/2006/relationships/worksheet" Target="/xl/worksheets/sheet44.xml" Id="R91d059e813e241e2" /><Relationship Type="http://schemas.openxmlformats.org/officeDocument/2006/relationships/worksheet" Target="/xl/worksheets/sheet45.xml" Id="Rd706a050634e4148" /><Relationship Type="http://schemas.openxmlformats.org/officeDocument/2006/relationships/worksheet" Target="/xl/worksheets/sheet46.xml" Id="Rb8ac3c7618804635" /><Relationship Type="http://schemas.openxmlformats.org/officeDocument/2006/relationships/worksheet" Target="/xl/worksheets/sheet47.xml" Id="R729db91a29454cad" /><Relationship Type="http://schemas.openxmlformats.org/officeDocument/2006/relationships/worksheet" Target="/xl/worksheets/sheet48.xml" Id="R5614d1e4f2a642d5" /><Relationship Type="http://schemas.openxmlformats.org/officeDocument/2006/relationships/worksheet" Target="/xl/worksheets/sheet49.xml" Id="R9e3c430c388c4a4a" /><Relationship Type="http://schemas.openxmlformats.org/officeDocument/2006/relationships/worksheet" Target="/xl/worksheets/sheet50.xml" Id="R834eb97e26284c89" /><Relationship Type="http://schemas.openxmlformats.org/officeDocument/2006/relationships/worksheet" Target="/xl/worksheets/sheet51.xml" Id="Rdf059b016f9e4013" /><Relationship Type="http://schemas.openxmlformats.org/officeDocument/2006/relationships/worksheet" Target="/xl/worksheets/sheet52.xml" Id="R9a3ec6074b1f4ce5" /><Relationship Type="http://schemas.openxmlformats.org/officeDocument/2006/relationships/worksheet" Target="/xl/worksheets/sheet53.xml" Id="Rf94a5e4ea6cf47da" /><Relationship Type="http://schemas.openxmlformats.org/officeDocument/2006/relationships/worksheet" Target="/xl/worksheets/sheet54.xml" Id="R509313d167d340c9" /><Relationship Type="http://schemas.openxmlformats.org/officeDocument/2006/relationships/worksheet" Target="/xl/worksheets/sheet55.xml" Id="R1bff804ed03e45c6" /><Relationship Type="http://schemas.openxmlformats.org/officeDocument/2006/relationships/worksheet" Target="/xl/worksheets/sheet56.xml" Id="Rc364e69716234f28" /><Relationship Type="http://schemas.openxmlformats.org/officeDocument/2006/relationships/worksheet" Target="/xl/worksheets/sheet57.xml" Id="R8a45243858fe4077" /><Relationship Type="http://schemas.openxmlformats.org/officeDocument/2006/relationships/worksheet" Target="/xl/worksheets/sheet58.xml" Id="Rfd25b81775d54d0e" /><Relationship Type="http://schemas.openxmlformats.org/officeDocument/2006/relationships/worksheet" Target="/xl/worksheets/sheet59.xml" Id="R420f13973b1641bc" /><Relationship Type="http://schemas.openxmlformats.org/officeDocument/2006/relationships/worksheet" Target="/xl/worksheets/sheet60.xml" Id="Rdaf735a1bd274da6" /><Relationship Type="http://schemas.microsoft.com/office/2017/10/relationships/person" Target="/xl/persons/person.xml" Id="R11780c65018545ce" /></Relationships>
</file>

<file path=xl/persons/person.xml><?xml version="1.0" encoding="utf-8"?>
<xltc:personList xmlns:xltc="http://schemas.microsoft.com/office/spreadsheetml/2018/threadedcomments">
  <xltc:person displayName="Unknown Author" id="{9605AD4D-54DD-4807-CD1D-84A7BA6C340C}"/>
</xltc:personList>
</file>

<file path=xl/tables/table1.xml><?xml version="1.0" encoding="utf-8"?>
<x:table xmlns:x="http://schemas.openxmlformats.org/spreadsheetml/2006/main" id="1" name="ReferenceStructureRecordTable" displayName="ReferenceStructureRecordTable" ref="A1:Z50" headerRowCount="1">
  <x:tableColumns count="26">
    <x:tableColumn id="1" name="decision_id"/>
    <x:tableColumn id="2" name="option_id"/>
    <x:tableColumn id="3" name="claim_scope"/>
    <x:tableColumn id="4" name="decision_boundary"/>
    <x:tableColumn id="5" name="reference_object"/>
    <x:tableColumn id="6" name="physical_reference"/>
    <x:tableColumn id="7" name="biological_reference"/>
    <x:tableColumn id="8" name="social_reference"/>
    <x:tableColumn id="9" name="ethical_rights_reference"/>
    <x:tableColumn id="10" name="risk_reference"/>
    <x:tableColumn id="11" name="governance_authority_reference"/>
    <x:tableColumn id="12" name="epistemic_reference"/>
    <x:tableColumn id="13" name="operational_audit_reference"/>
    <x:tableColumn id="14" name="invariant_constraints"/>
    <x:tableColumn id="15" name="causal_pathway"/>
    <x:tableColumn id="16" name="evidence_source"/>
    <x:tableColumn id="17" name="evidence_status_token"/>
    <x:tableColumn id="18" name="measurement_maturity_status"/>
    <x:tableColumn id="19" name="falsification_condition"/>
    <x:tableColumn id="20" name="adaptation_boundary"/>
    <x:tableColumn id="21" name="authority_boundary"/>
    <x:tableColumn id="22" name="refusal_trigger"/>
    <x:tableColumn id="23" name="reviewer_status"/>
    <x:tableColumn id="24" name="artifact_hash"/>
    <x:tableColumn id="25" name="notes"/>
    <x:tableColumn id="26" name="ReferenceStructureRecord_Status"/>
  </x:tableColumns>
</x:table>
</file>

<file path=xl/tables/table2.xml><?xml version="1.0" encoding="utf-8"?>
<x:table xmlns:x="http://schemas.openxmlformats.org/spreadsheetml/2006/main" id="2" name="CategoryGroundingTable" displayName="CategoryGroundingTable" ref="A7:O30" headerRowCount="1">
  <x:tableColumns count="15">
    <x:tableColumn id="1" name="Material Category"/>
    <x:tableColumn id="2" name="Category Role"/>
    <x:tableColumn id="3" name="Primitive Basis"/>
    <x:tableColumn id="4" name="Category Definition"/>
    <x:tableColumn id="5" name="Inclusion Boundary"/>
    <x:tableColumn id="6" name="Exclusion Boundary"/>
    <x:tableColumn id="7" name="Reference Structure"/>
    <x:tableColumn id="8" name="Evidence Surface"/>
    <x:tableColumn id="9" name="Maturity Status"/>
    <x:tableColumn id="10" name="Semantic Debt"/>
    <x:tableColumn id="11" name="Falsification / Revision Trigger"/>
    <x:tableColumn id="12" name="Reviewer Status"/>
    <x:tableColumn id="13" name="Required Claim Action"/>
    <x:tableColumn id="14" name="Failure Class"/>
    <x:tableColumn id="15" name="Auto Guardrail Recommendation"/>
  </x:tableColumns>
  <x:tableStyleInfo name="TableStyleMedium2" showRowStripes="1"/>
</x: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381720e8d0f94a2a" /><Relationship Type="http://schemas.openxmlformats.org/officeDocument/2006/relationships/vmlDrawing" Target="/xl/drawings/vmldrawing.vml" Id="Rcb6432e2b5674058" /></Relationships>
</file>

<file path=xl/worksheets/_rels/sheet52.xml.rels>&#65279;<?xml version="1.0" encoding="utf-8"?><Relationships xmlns="http://schemas.openxmlformats.org/package/2006/relationships"><Relationship Type="http://schemas.openxmlformats.org/officeDocument/2006/relationships/table" Target="/xl/tables/table1.xml" Id="Rb939a91f3de64325" /></Relationships>
</file>

<file path=xl/worksheets/_rels/sheet60.xml.rels>&#65279;<?xml version="1.0" encoding="utf-8"?><Relationships xmlns="http://schemas.openxmlformats.org/package/2006/relationships"><Relationship Type="http://schemas.openxmlformats.org/officeDocument/2006/relationships/table" Target="/xl/tables/table2.xml" Id="R6a9f19c7452745bb" /></Relationships>
</file>

<file path=xl/worksheets/sheet1.xml><?xml version="1.0" encoding="utf-8"?>
<x:worksheet xmlns:x="http://schemas.openxmlformats.org/spreadsheetml/2006/main">
  <x:sheetViews>
    <x:sheetView showGridLines="1" workbookViewId="0"/>
  </x:sheetViews>
  <x:sheetFormatPr baseColWidth="8" defaultColWidth="8.66796875" defaultRowHeight="12.75"/>
  <x:cols>
    <x:col min="1" max="1" width="28" style="454" customWidth="1"/>
    <x:col min="2" max="2" width="56" style="454" customWidth="1"/>
    <x:col min="3" max="3" width="30" style="454" customWidth="1"/>
    <x:col min="4" max="4" width="30" style="454" customWidth="1"/>
  </x:cols>
  <x:sheetData>
    <x:row r="1" s="455" customFormat="1" ht="18" customHeight="1">
      <x:c r="A1" s="456" t="inlineStr">
        <x:is>
          <x:t xml:space="preserve">RIPPLELOGIC ALIGNERS SHEET v3.6 - Core Release 2026.07</x:t>
        </x:is>
      </x:c>
      <x:c r="B1" s="457" t="n"/>
      <x:c r="C1" s="457" t="n"/>
      <x:c r="D1" s="457"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13.5" customHeight="1">
      <x:c r="A2" s="459" t="inlineStr">
        <x:is>
          <x:t xml:space="preserve">Package release</x:t>
        </x:is>
      </x:c>
      <x:c r="B2" s="460" t="inlineStr">
        <x:is>
          <x:t xml:space="preserve">MathGov / RippleLogic Core Release 2026.07</x:t>
        </x:is>
      </x:c>
      <x:c r="C2" s="460" t="n"/>
      <x:c r="D2" s="460"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3.5" customHeight="1">
      <x:c r="A3" s="462" t="inlineStr">
        <x:is>
          <x:t xml:space="preserve">Sheet version</x:t>
        </x:is>
      </x:c>
      <x:c r="B3" s="463" t="inlineStr">
        <x:is>
          <x:t xml:space="preserve">v3.6</x:t>
        </x:is>
      </x:c>
      <x:c r="C3" s="460" t="n"/>
      <x:c r="D3" s="460"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13.5" customHeight="1">
      <x:c r="A4" s="462" t="inlineStr">
        <x:is>
          <x:t xml:space="preserve">Patch label</x:t>
        </x:is>
      </x:c>
      <x:c r="B4" s="463" t="inlineStr">
        <x:is>
          <x:t xml:space="preserve">Reality Grounding and Lean Cascade Patch</x:t>
        </x:is>
      </x:c>
      <x:c r="C4" s="460" t="n"/>
      <x:c r="D4" s="460"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13.5" customHeight="1">
      <x:c r="A5" s="462" t="inlineStr">
        <x:is>
          <x:t xml:space="preserve">Framework version</x:t>
        </x:is>
      </x:c>
      <x:c r="B5" s="463"/>
      <x:c r="C5" s="460" t="n"/>
      <x:c r="D5" s="460"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3.5" customHeight="1">
      <x:c r="A6" s="462" t="inlineStr">
        <x:is>
          <x:t xml:space="preserve">Tier</x:t>
        </x:is>
      </x:c>
      <x:c r="B6" s="463"/>
      <x:c r="C6" s="460" t="n"/>
      <x:c r="D6" s="460"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3.5" customHeight="1">
      <x:c r="A7" s="462" t="inlineStr">
        <x:is>
          <x:t xml:space="preserve">Workbook mode</x:t>
        </x:is>
      </x:c>
      <x:c r="B7" s="463" t="inlineStr">
        <x:is>
          <x:t xml:space="preserve">WORKED_RUN</x:t>
        </x:is>
      </x:c>
      <x:c r="C7" s="460" t="n"/>
      <x:c r="D7" s="460"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13.5" customHeight="1">
      <x:c r="A8" s="462" t="inlineStr">
        <x:is>
          <x:t xml:space="preserve">Worked-run claimable</x:t>
        </x:is>
      </x:c>
      <x:c r="B8" s="463" t="inlineStr">
        <x:is>
          <x:t xml:space="preserve">YES</x:t>
        </x:is>
      </x:c>
      <x:c r="C8" s="460" t="n"/>
      <x:c r="D8" s="460"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3.5" customHeight="1">
      <x:c r="A9" s="464" t="n"/>
      <x:c r="B9" s="465" t="n"/>
      <x:c r="C9" s="460" t="n"/>
      <x:c r="D9" s="460"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3.5" customHeight="1">
      <x:c r="A10" s="466" t="inlineStr">
        <x:is>
          <x:t xml:space="preserve">Active tool-local flags (auto)</x:t>
        </x:is>
      </x:c>
      <x:c r="B10" s="463" t="inlineStr">
        <x:is>
          <x:t xml:space="preserve">NONDECISIVE_GAP_REVIEW (REVIEW)</x:t>
        </x:is>
      </x:c>
      <x:c r="C10" s="460" t="n"/>
      <x:c r="D10" s="460"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3.5" customHeight="1">
      <x:c r="A11" s="466" t="inlineStr">
        <x:is>
          <x:t xml:space="preserve">Canonical Invalid / Escalate / Review / Tool-Local Review</x:t>
        </x:is>
      </x:c>
      <x:c r="B11" s="463" t="inlineStr">
        <x:is>
          <x:t xml:space="preserve">0 / 0 / 0 / 1</x:t>
        </x:is>
      </x:c>
      <x:c r="C11" s="460" t="n"/>
      <x:c r="D11" s="460"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3.5" customHeight="1">
      <x:c r="A12" s="460" t="n"/>
      <x:c r="B12" s="460" t="n"/>
      <x:c r="C12" s="460" t="n"/>
      <x:c r="D12" s="460"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28.5" customHeight="1">
      <x:c r="A13" s="463" t="inlineStr">
        <x:is>
          <x:t xml:space="preserve">Release positioning</x:t>
        </x:is>
      </x:c>
      <x:c r="B13" s="463" t="str">
        <x:v>Tier-2 worked-run exemplar aligned to RippleLogic v10.8, SGP v5.5, ripple.md v3.6, Agent System v10.8, Primer v2.6, and Aligners Sheet v3.6. This workbook is a worked-run publishable companion when its computed release gates pass. It is not the repository-level validator/schema surface and is not ProofPack-ready by itself.</x:v>
      </x:c>
      <x:c r="C13" s="460" t="n"/>
      <x:c r="D13" s="460"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3.5" customHeight="1">
      <x:c r="A14" s="463" t="inlineStr">
        <x:is>
          <x:t xml:space="preserve">Current limitation (publication disclosure)</x:t>
        </x:is>
      </x:c>
      <x:c r="B14" s="463" t="str">
        <x:v>This workbook remains a current worked-run exemplar companion, not a full repository-level conformance-complete validator/schema surface. PCC Section 18 extends companion disclosure fields for decision-material normative inputs while remaining a worked-run audit illustration.</x:v>
      </x:c>
      <x:c r="C14" s="460" t="n"/>
      <x:c r="D14" s="460"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3.5" customHeight="1">
      <x:c r="A15" s="460" t="inlineStr">
        <x:is>
          <x:t xml:space="preserve">PCC Section 18 posture</x:t>
        </x:is>
      </x:c>
      <x:c r="B15" s="460" t="inlineStr">
        <x:is>
          <x:t xml:space="preserve">Extended companion disclosure surface; useful for publishable Tier-2 replay and audit illustration, but not a substitute for repository-level validator/schema assets.</x:t>
        </x:is>
      </x:c>
      <x:c r="C15" s="460" t="n"/>
      <x:c r="D15" s="460"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3.5" customHeight="1">
      <x:c r="A16" s="626" t="str">
        <x:v>Current companion matrix</x:v>
      </x:c>
      <x:c r="B16" s="626" t="str">
        <x:v>RippleLogic v10.8 / SGP v5.5 / ripple.md v3.6 / Agent v10.8 / Primer v2.6 / Sheet v3.6</x:v>
      </x:c>
      <x:c r="C16" s="460" t="n"/>
      <x:c r="D16" s="460"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3.5" customHeight="1">
      <x:c r="A17" s="463" t="inlineStr">
        <x:is>
          <x:t xml:space="preserve">Known REVIEW flags narrative (auto)</x:t>
        </x:is>
      </x:c>
      <x:c r="B17" s="463" t="str">
        <x:f>IF(Audit_Flags!B23=0,"None","See Audit_Flags list above; PCC includes the rationale for any active REVIEW flags.")</x:f>
        <x:v>See Audit_Flags list above; PCC includes the rationale for any active REVIEW flags.</x:v>
      </x:c>
      <x:c r="C17" s="460" t="n"/>
      <x:c r="D17" s="460"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3.5" customHeight="1">
      <x:c r="A18" s="460" t="n"/>
      <x:c r="B18" s="460" t="n"/>
      <x:c r="C18" s="460" t="n"/>
      <x:c r="D18" s="460"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3.5" customHeight="1">
      <x:c r="A19" s="463" t="inlineStr">
        <x:is>
          <x:t xml:space="preserve">Sensitivity status</x:t>
        </x:is>
      </x:c>
      <x:c r="B19" s="463" t="str">
        <x:f>Sensitivity_Analysis!B3</x:f>
        <x:v>PERFORMED</x:v>
      </x:c>
      <x:c r="C19" s="460" t="n"/>
      <x:c r="D19" s="460"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3.5" customHeight="1">
      <x:c r="A20" s="463" t="inlineStr">
        <x:is>
          <x:t xml:space="preserve">Sensitivity verdict</x:t>
        </x:is>
      </x:c>
      <x:c r="B20" s="463" t="n">
        <x:f>Sensitivity_Analysis!B16</x:f>
        <x:v>0</x:v>
      </x:c>
      <x:c r="C20" s="460" t="n"/>
      <x:c r="D20" s="460"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3.5" customHeight="1">
      <x:c r="A21" s="460" t="n"/>
      <x:c r="B21" s="460" t="n"/>
      <x:c r="C21" s="460" t="n"/>
      <x:c r="D21" s="460"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3.5" customHeight="1">
      <x:c r="A22" s="627" t="str">
        <x:v>Category Grounding patch</x:v>
      </x:c>
      <x:c r="B22" s="631" t="str">
        <x:v>Added Category_Grounding pre-flight sheet. Category Grounding and Primitive Audit are required subdisciplines of Reality Grounding when material, not additional cascade gates.</x:v>
      </x:c>
      <x:c r="C22" s="631"/>
      <x:c r="D22" s="631"/>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4.25" customHeight="1">
      <x:c r="A23" s="463" t="inlineStr">
        <x:is>
          <x:t xml:space="preserve">Nondecisive judgment-call handling</x:t>
        </x:is>
      </x:c>
      <x:c r="B23" s="463" t="inlineStr">
        <x:is>
          <x:t xml:space="preserve">NONDECISIVE_GAP_REVIEW covers the judgment-call selection path; PCC B64/B84 document the rationale.</x:t>
        </x:is>
      </x:c>
      <x:c r="C23" s="460" t="n"/>
      <x:c r="D23" s="460"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4.25" customHeight="1">
      <x:c r="A24" s="468" t="inlineStr">
        <x:is>
          <x:t xml:space="preserve">2026-04-21</x:t>
        </x:is>
      </x:c>
      <x:c r="B24" s="463" t="inlineStr">
        <x:is>
          <x:t xml:space="preserve">v2.6 working-line hardening: corrected Biosphere UCI default/method disclosure, added tie-break / monitoring dashboard surface, made catastrophe-weight governance explicit, normalized rights ordering language, exposed floor tables/checks, and refreshed companion metadata for current release-line preparation.</x:t>
        </x:is>
      </x:c>
      <x:c r="C24" s="460" t="n"/>
      <x:c r="D24" s="460"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11.75" customHeight="1">
      <x:c r="A25" s="468" t="n">
        <x:v>46161</x:v>
      </x:c>
      <x:c r="B25" s="463" t="str">
        <x:v>LINEAGE (historical): v3.4 measurement-maturity release synchronization update: added UCI_Maturity, Kernel_Posture, HDW_Capture_Audit, PLSS_Escalation, BioSGP_Maturity, and Deployment_Context surfaces; synchronized visible references to RippleLogic v10.6 / SGP v5.3 / ripple.md v3.4 / Agent v10.6; preserved non-claims for ProofPack, Tier 4, and empirical validation.</x:v>
      </x:c>
      <x:c r="C25" s="460" t="n"/>
      <x:c r="D25" s="460"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4.25" customHeight="1">
      <x:c r="A26" s="460" t="inlineStr">
        <x:is>
          <x:t xml:space="preserve">April 2026 final hardening</x:t>
        </x:is>
      </x:c>
      <x:c r="B26" s="460" t="inlineStr">
        <x:is>
          <x:t xml:space="preserve">Added claimability hardening, scenario prior normalization checks, normative-input provenance register/flag, sanity-check provenance block, and explicit base/welfare contribution surfaces for the human-only worked run.</x:t>
        </x:is>
      </x:c>
      <x:c r="C26" s="460" t="inlineStr">
        <x:is>
          <x:t xml:space="preserve">Release-readiness pass</x:t>
        </x:is>
      </x:c>
      <x:c r="D26" s="460" t="inlineStr">
        <x:is>
          <x:t xml:space="preserve">Supports future ProofPack + hash manifest packaging; does not itself claim ProofPack readiness.</x:t>
        </x:is>
      </x:c>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0" t="n"/>
      <x:c r="B27" s="460" t="n"/>
      <x:c r="C27" s="460" t="n"/>
      <x:c r="D27" s="460"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45" customHeight="1">
      <x:c r="A28" s="460" t="inlineStr">
        <x:is>
          <x:t xml:space="preserve">v3.4</x:t>
        </x:is>
      </x:c>
      <x:c r="B28" s="460" t="inlineStr">
        <x:is>
          <x:t xml:space="preserve">2026-05-26</x:t>
        </x:is>
      </x:c>
      <x:c r="C28" s="460" t="inlineStr">
        <x:is>
          <x:t xml:space="preserve">Readability and front-matter organization</x:t>
        </x:is>
      </x:c>
      <x:c r="D28" s="460" t="str">
        <x:v>LINEAGE (historical): Synchronizes workbook references to RippleLogic v10.6 / SGP v5.3 / ripple.md v3.4 / Agent v10.6, reflecting the core-document opening reorganization while preserving formulas, gates, and workbook worked-run exemplar status.</x:v>
      </x:c>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45" customHeight="1">
      <x:c r="A29" s="460" t="inlineStr">
        <x:is>
          <x:t xml:space="preserve">v3.4</x:t>
        </x:is>
      </x:c>
      <x:c r="B29" s="460" t="inlineStr">
        <x:is>
          <x:t xml:space="preserve">2026-05-26</x:t>
        </x:is>
      </x:c>
      <x:c r="C29" s="460" t="inlineStr">
        <x:is>
          <x:t xml:space="preserve">Claim boundary</x:t>
        </x:is>
      </x:c>
      <x:c r="D29" s="460" t="str">
        <x:v>LINEAGE (historical): GitHub v10.6 readability/core architecture release only. Does not claim ProofPack readiness, empirical validation, Tier 4, deployment readiness, or machine-verifiable ecosystem completeness.</x:v>
      </x:c>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91.5" customHeight="1">
      <x:c r="A30" s="460" t="inlineStr">
        <x:is>
          <x:t xml:space="preserve">CLAIM_BOUNDARY_NOTE</x:t>
        </x:is>
      </x:c>
      <x:c r="B30" s="460" t="str">
        <x:v>Worked-run claimability is not ecosystem ProofPack readiness. CLAIMABLE_RUN = YES means this workbook instance satisfies its declared worked-run gates. It does not mean the RippleLogic ecosystem is schema-complete, validator-complete, replayable, empirically validated, or Tier-4-ready.</x:v>
      </x:c>
      <x:c r="C30" s="460" t="n"/>
      <x:c r="D30" s="460"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91.5" customHeight="1">
      <x:c r="A31" s="460" t="inlineStr">
        <x:is>
          <x:t xml:space="preserve">REVIEW flag clarification</x:t>
        </x:is>
      </x:c>
      <x:c r="B31" s="460" t="inlineStr">
        <x:is>
          <x:t xml:space="preserve">Worked-run publishable status MAY coexist with non-blocking TOOL_LOCAL REVIEW flags when the declared worked-run gate remains satisfied. Audit_Flags REVIEW_COUNT requires reviewer attention and monitoring, but it is not by itself the worked-run publishability gate unless it also raises a blocking v10 sanity, INVALID, ESCALATE, or Refusal condition.</x:t>
        </x:is>
      </x:c>
      <x:c r="C31" s="460" t="n"/>
      <x:c r="D31" s="460"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0" t="n"/>
      <x:c r="B32" s="460" t="n"/>
      <x:c r="C32" s="460" t="n"/>
      <x:c r="D32" s="460"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23.25" customHeight="1">
      <x:c r="A33" s="469" t="str">
        <x:v>LINEAGE (historical): v10.6 Readability Release Patch</x:v>
      </x:c>
      <x:c r="B33" s="469" t="n"/>
      <x:c r="C33" s="469" t="n"/>
      <x:c r="D33" s="469"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39" customHeight="1">
      <x:c r="A34" s="460" t="str">
        <x:v>LINEAGE (historical) companion matrix</x:v>
      </x:c>
      <x:c r="B34" s="460" t="str">
        <x:v>LINEAGE (historical): RippleLogic v10.6 / SGP v5.3 / ripple.md v3.4 / Agent v10.6 / Sheet v3.4</x:v>
      </x:c>
      <x:c r="C34" s="460" t="n"/>
      <x:c r="D34" s="460"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18.5" customHeight="1">
      <x:c r="A35" s="460" t="inlineStr">
        <x:is>
          <x:t xml:space="preserve">Claim boundary</x:t>
        </x:is>
      </x:c>
      <x:c r="B35" s="460" t="inlineStr">
        <x:is>
          <x:t xml:space="preserve">ReferenceStructureRecord fully integrated into workbook control surfaces: ReferenceStructureRecord sheet, Sanity_Checklist, PCC Section 26, and Dashboard visibility rows.</x:t>
        </x:is>
      </x:c>
      <x:c r="C35" s="460" t="n"/>
      <x:c r="D35" s="460"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39" customHeight="1">
      <x:c r="A36" s="460" t="inlineStr">
        <x:is>
          <x:t xml:space="preserve">Display clarity</x:t>
        </x:is>
      </x:c>
      <x:c r="B36" s="460" t="inlineStr">
        <x:is>
          <x:t xml:space="preserve">Worked-run claimable is separated from unique deterministic selection and selection basis.</x:t>
        </x:is>
      </x:c>
      <x:c r="C36" s="460" t="n"/>
      <x:c r="D36" s="460"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78.75" customHeight="1">
      <x:c r="A37" s="460" t="inlineStr">
        <x:is>
          <x:t xml:space="preserve">Machine readiness</x:t>
        </x:is>
      </x:c>
      <x:c r="B37" s="460" t="inlineStr">
        <x:is>
          <x:t xml:space="preserve">Machine_Readiness sheet tracks whether registries, schemas, reference calculators, CI, UCI annexes, and PLSS calibration packs are bundled/hash-pinned, missing, or delegated to the post-core ProofPack-prep tooling line.</x:t>
        </x:is>
      </x:c>
      <x:c r="C37" s="460" t="n"/>
      <x:c r="D37" s="460"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26.25" customHeight="1">
      <x:c r="A38" s="460" t="inlineStr">
        <x:is>
          <x:t xml:space="preserve">Flag separation</x:t>
        </x:is>
      </x:c>
      <x:c r="B38" s="460" t="inlineStr">
        <x:is>
          <x:t xml:space="preserve">Canon flags and tool-local flags are separated in display surfaces.</x:t>
        </x:is>
      </x:c>
      <x:c r="C38" s="460" t="n"/>
      <x:c r="D38" s="460"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0" t="inlineStr">
        <x:is>
          <x:t xml:space="preserve">ProofPack status</x:t>
        </x:is>
      </x:c>
      <x:c r="B39" s="460" t="inlineStr">
        <x:is>
          <x:t xml:space="preserve">ProofPack-ready claim allowed? NO</x:t>
        </x:is>
      </x:c>
      <x:c r="C39" s="460" t="n"/>
      <x:c r="D39" s="460"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0" t="n"/>
      <x:c r="B40" s="460" t="n"/>
      <x:c r="C40" s="460" t="n"/>
      <x:c r="D40" s="460"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39" customHeight="1">
      <x:c r="A41" s="470" t="inlineStr">
        <x:is>
          <x:t xml:space="preserve">v3.4 substance patch</x:t>
        </x:is>
      </x:c>
      <x:c r="B41" s="470" t="inlineStr">
        <x:is>
          <x:t xml:space="preserve">Boundary-risk and false-precision disclosure extension</x:t>
        </x:is>
      </x:c>
      <x:c r="C41" s="470" t="inlineStr">
        <x:is>
          <x:t xml:space="preserve">Added Boundary_Risk_Register and PCC Section 24</x:t>
        </x:is>
      </x:c>
      <x:c r="D41" s="470" t="inlineStr">
        <x:is>
          <x:t xml:space="preserve">Manifest/SHA regenerated after content freeze in final package.</x:t>
        </x:is>
      </x:c>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52.5" customHeight="1">
      <x:c r="A42" s="460" t="inlineStr">
        <x:is>
          <x:t xml:space="preserve">Claim boundary</x:t>
        </x:is>
      </x:c>
      <x:c r="B42" s="460" t="inlineStr">
        <x:is>
          <x:t xml:space="preserve">Workbook remains worked-run exemplar</x:t>
        </x:is>
      </x:c>
      <x:c r="C42" s="460" t="inlineStr">
        <x:is>
          <x:t xml:space="preserve">Not a full reference calculator, validator, ProofPack, empirical validation, or Tier 4 release</x:t>
        </x:is>
      </x:c>
      <x:c r="D42" s="460" t="str">
        <x:v>LINEAGE (historical): Preserves v10.6 cascade</x:v>
      </x:c>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39" customHeight="1">
      <x:c r="A43" s="460" t="inlineStr">
        <x:is>
          <x:t xml:space="preserve">Reviewer note</x:t>
        </x:is>
      </x:c>
      <x:c r="B43" s="460" t="inlineStr">
        <x:is>
          <x:t xml:space="preserve">Boundary fields are disclosure/escalation aids</x:t>
        </x:is>
      </x:c>
      <x:c r="C43" s="460" t="inlineStr">
        <x:is>
          <x:t xml:space="preserve">They do not replace NCRC/TRC/Containment/RLS/UCI-HOI or Refusal</x:t>
        </x:is>
      </x:c>
      <x:c r="D43" s="460" t="inlineStr">
        <x:is>
          <x:t xml:space="preserve">Use sensitivity/escalation if material</x:t>
        </x:is>
      </x:c>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0" t="n"/>
      <x:c r="B44" s="460" t="n"/>
      <x:c r="C44" s="460" t="n"/>
      <x:c r="D44" s="460"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52.5" customHeight="1">
      <x:c r="A45" s="460" t="inlineStr">
        <x:is>
          <x:t xml:space="preserve">v3.4 precision patch</x:t>
        </x:is>
      </x:c>
      <x:c r="B45" s="460" t="inlineStr">
        <x:is>
          <x:t xml:space="preserve">Evidence-status tokens, compact profiles, SGP patienthood/participation guardrail, and validation roadmap added.</x:t>
        </x:is>
      </x:c>
      <x:c r="C45" s="460" t="inlineStr">
        <x:is>
          <x:t xml:space="preserve">No cascade change</x:t>
        </x:is>
      </x:c>
      <x:c r="D45" s="460" t="inlineStr">
        <x:is>
          <x:t xml:space="preserve">Preserves non-claims for ProofPack, Tier 4, empirical validation, and machine-verifiable ecosystem completeness.</x:t>
        </x:is>
      </x:c>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52.5" customHeight="1">
      <x:c r="A46" s="460" t="str">
        <x:v>LINEAGE (historical): v10.6 Companion Synchronization Patch</x:v>
      </x:c>
      <x:c r="B46" s="460" t="n"/>
      <x:c r="C46" s="460" t="n"/>
      <x:c r="D46" s="460"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52.5" customHeight="1">
      <x:c r="A47" s="460" t="inlineStr">
        <x:is>
          <x:t xml:space="preserve">Scope</x:t>
        </x:is>
      </x:c>
      <x:c r="B47" s="460" t="str">
        <x:v>LINEAGE (historical): Aligns visible pins to RippleLogic v10.6 / SGP v5.3 / ripple.md v3.4 / Agent v10.6 while preserving workbook v3.4 worked-run exemplar status.</x:v>
      </x:c>
      <x:c r="C47" s="460" t="n"/>
      <x:c r="D47" s="460"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57" customHeight="1">
      <x:c r="A48" s="460" t="inlineStr">
        <x:is>
          <x:t xml:space="preserve">Stream separation</x:t>
        </x:is>
      </x:c>
      <x:c r="B48" s="460" t="inlineStr">
        <x:is>
          <x:t xml:space="preserve">Clarifies Base-stream and Welfare-stream identity only for this human-only worked run; generalized non-human or mixed-substrate runs must retain explicit stream separation.</x:t>
        </x:is>
      </x:c>
      <x:c r="C48" s="460" t="n"/>
      <x:c r="D48" s="460"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02" customHeight="1">
      <x:c r="A49" s="460" t="inlineStr">
        <x:is>
          <x:t xml:space="preserve">Audit awareness</x:t>
        </x:is>
      </x:c>
      <x:c r="B49" s="460" t="str">
        <x:v>LINEAGE (historical): Adds Canon v10.6 awareness entries for CLAIM_EXCEEDS_CLOSURE_BOUNDARY, CATEGORY_COLLAPSE_FLAG, and PCC_MATURITY_SURFACE_INCOMPLETE without converting them into active formula-triggered flags in this exemplar.</x:v>
      </x:c>
      <x:c r="C49" s="460" t="n"/>
      <x:c r="D49" s="460"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57" customHeight="1">
      <x:c r="A50" s="460" t="inlineStr">
        <x:is>
          <x:t xml:space="preserve">Claim boundary</x:t>
        </x:is>
      </x:c>
      <x:c r="B50" s="460" t="inlineStr">
        <x:is>
          <x:t xml:space="preserve">Still no ProofPack, Tier 4, empirical validation, deployment readiness, legal compliance, completed biological SGP measurement, or current-AI sentience claim.</x:t>
        </x:is>
      </x:c>
      <x:c r="C50" s="460" t="n"/>
      <x:c r="D50" s="460"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0" t="n"/>
      <x:c r="B51" s="460" t="n"/>
      <x:c r="C51" s="460" t="n"/>
      <x:c r="D51" s="460"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0" t="n"/>
      <x:c r="B52" s="460" t="n"/>
      <x:c r="C52" s="460" t="n"/>
      <x:c r="D52" s="460"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0" t="n"/>
      <x:c r="B53" s="460" t="n"/>
      <x:c r="C53" s="460" t="n"/>
      <x:c r="D53" s="460"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0" t="n"/>
      <x:c r="B54" s="460" t="n"/>
      <x:c r="C54" s="460" t="n"/>
      <x:c r="D54" s="460"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0" t="n"/>
      <x:c r="B55" s="460" t="n"/>
      <x:c r="C55" s="460" t="n"/>
      <x:c r="D55" s="460"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0" t="n"/>
      <x:c r="B56" s="460" t="n"/>
      <x:c r="C56" s="460" t="n"/>
      <x:c r="D56" s="460"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0" t="n"/>
      <x:c r="B57" s="460" t="n"/>
      <x:c r="C57" s="460" t="n"/>
      <x:c r="D57" s="460"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0" t="n"/>
      <x:c r="B58" s="460" t="n"/>
      <x:c r="C58" s="460" t="n"/>
      <x:c r="D58" s="460"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0" t="n"/>
      <x:c r="B59" s="460" t="n"/>
      <x:c r="C59" s="460" t="n"/>
      <x:c r="D59" s="460"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0" t="n"/>
      <x:c r="B60" s="460" t="n"/>
      <x:c r="C60" s="460" t="n"/>
      <x:c r="D60" s="460"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0" t="n"/>
      <x:c r="B61" s="460" t="n"/>
      <x:c r="C61" s="460" t="n"/>
      <x:c r="D61" s="460"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0" t="n"/>
      <x:c r="B62" s="460" t="n"/>
      <x:c r="C62" s="460" t="n"/>
      <x:c r="D62" s="460"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0" t="n"/>
      <x:c r="B63" s="460" t="n"/>
      <x:c r="C63" s="460" t="n"/>
      <x:c r="D63" s="460"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0" t="n"/>
      <x:c r="B64" s="460" t="n"/>
      <x:c r="C64" s="460" t="n"/>
      <x:c r="D64" s="460"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0" t="n"/>
      <x:c r="B65" s="460" t="n"/>
      <x:c r="C65" s="460" t="n"/>
      <x:c r="D65" s="460"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0" t="n"/>
      <x:c r="B66" s="460" t="n"/>
      <x:c r="C66" s="460" t="n"/>
      <x:c r="D66" s="460"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0" t="n"/>
      <x:c r="B67" s="460" t="n"/>
      <x:c r="C67" s="460" t="n"/>
      <x:c r="D67" s="460"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0" t="n"/>
      <x:c r="B68" s="460" t="n"/>
      <x:c r="C68" s="460" t="n"/>
      <x:c r="D68" s="460"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0" t="n"/>
      <x:c r="B69" s="460" t="n"/>
      <x:c r="C69" s="460" t="n"/>
      <x:c r="D69" s="460"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0" t="n"/>
      <x:c r="B70" s="460" t="n"/>
      <x:c r="C70" s="460" t="n"/>
      <x:c r="D70" s="460"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0" t="n"/>
      <x:c r="B71" s="460" t="n"/>
      <x:c r="C71" s="460" t="n"/>
      <x:c r="D71" s="460"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0" t="n"/>
      <x:c r="B72" s="460" t="n"/>
      <x:c r="C72" s="460" t="n"/>
      <x:c r="D72" s="460"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0" t="n"/>
      <x:c r="B73" s="460" t="n"/>
      <x:c r="C73" s="460" t="n"/>
      <x:c r="D73" s="460"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0" t="n"/>
      <x:c r="B74" s="460" t="n"/>
      <x:c r="C74" s="460" t="n"/>
      <x:c r="D74" s="460"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0" t="n"/>
      <x:c r="B75" s="460" t="n"/>
      <x:c r="C75" s="460" t="n"/>
      <x:c r="D75" s="460"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0" t="n"/>
      <x:c r="B76" s="460" t="n"/>
      <x:c r="C76" s="460" t="n"/>
      <x:c r="D76" s="460"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0" t="n"/>
      <x:c r="B77" s="460" t="n"/>
      <x:c r="C77" s="460" t="n"/>
      <x:c r="D77" s="460"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0" t="n"/>
      <x:c r="B78" s="460" t="n"/>
      <x:c r="C78" s="460" t="n"/>
      <x:c r="D78" s="460"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0" t="n"/>
      <x:c r="B79" s="460" t="n"/>
      <x:c r="C79" s="460" t="n"/>
      <x:c r="D79" s="460"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0" t="n"/>
      <x:c r="B80" s="460" t="n"/>
      <x:c r="C80" s="460" t="n"/>
      <x:c r="D80" s="460"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mergeCells>
    <x:mergeCell ref="A1:D1"/>
  </x:mergeCell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ColWidth="8.66796875" defaultRowHeight="14.25"/>
  <x:cols>
    <x:col min="1" max="1" width="24" style="471" customWidth="1"/>
    <x:col min="2" max="2" width="38" style="471" customWidth="1"/>
    <x:col min="3" max="3" width="38" style="471" customWidth="1"/>
    <x:col min="4" max="4" width="38" style="454" customWidth="1"/>
  </x:cols>
  <x:sheetData>
    <x:row r="1" s="455" customFormat="1" ht="17.25" customHeight="1">
      <x:c r="A1" s="472" t="inlineStr">
        <x:is>
          <x:t xml:space="preserve">CANONICAL SINGLE SOURCE OF TRUTH - v3.6 / Canon v10.8</x:t>
        </x:is>
      </x:c>
      <x:c r="B1" s="473" t="n"/>
      <x:c r="C1" s="473" t="n"/>
      <x:c r="D1" s="473" t="n"/>
      <x:c r="E1" s="474" t="n"/>
      <x:c r="F1" s="474" t="n"/>
      <x:c r="G1" s="474"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15" customHeight="1">
      <x:c r="A2" s="475" t="inlineStr">
        <x:is>
          <x:t xml:space="preserve">All other tabs must reference this sheet - no duplicate calculations</x:t>
        </x:is>
      </x:c>
      <x:c r="B2" s="476" t="n"/>
      <x:c r="C2" s="476" t="n"/>
      <x:c r="D2" s="476" t="n"/>
      <x:c r="E2" s="476" t="n"/>
      <x:c r="F2" s="476" t="n"/>
      <x:c r="G2" s="476"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3.5" customHeight="1">
      <x:c r="A3" s="476" t="n"/>
      <x:c r="B3" s="476" t="n"/>
      <x:c r="C3" s="476" t="n"/>
      <x:c r="D3" s="476" t="n"/>
      <x:c r="E3" s="476" t="n"/>
      <x:c r="F3" s="476" t="n"/>
      <x:c r="G3" s="476"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15" customHeight="1">
      <x:c r="A4" s="477" t="inlineStr">
        <x:is>
          <x:t xml:space="preserve">SECTION A: VERSION &amp; IDENTITY</x:t>
        </x:is>
      </x:c>
      <x:c r="B4" s="476" t="n"/>
      <x:c r="C4" s="476" t="n"/>
      <x:c r="D4" s="476" t="n"/>
      <x:c r="E4" s="476" t="n"/>
      <x:c r="F4" s="476" t="n"/>
      <x:c r="G4" s="476"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15" customHeight="1">
      <x:c r="A5" s="475" t="inlineStr">
        <x:is>
          <x:t xml:space="preserve">FRAMEWORK_VERSION</x:t>
        </x:is>
      </x:c>
      <x:c r="B5" s="475" t="inlineStr">
        <x:is>
          <x:t xml:space="preserve">RippleLogic v10.8</x:t>
        </x:is>
      </x:c>
      <x:c r="C5" s="476" t="n"/>
      <x:c r="D5" s="476" t="n"/>
      <x:c r="E5" s="476" t="n"/>
      <x:c r="F5" s="476" t="n"/>
      <x:c r="G5" s="476"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5" customHeight="1">
      <x:c r="A6" s="475" t="inlineStr">
        <x:is>
          <x:t xml:space="preserve">SGP_VERSION</x:t>
        </x:is>
      </x:c>
      <x:c r="B6" s="475" t="inlineStr">
        <x:is>
          <x:t xml:space="preserve">SGP v5.5</x:t>
        </x:is>
      </x:c>
      <x:c r="C6" s="476" t="n"/>
      <x:c r="D6" s="476" t="n"/>
      <x:c r="E6" s="476" t="n"/>
      <x:c r="F6" s="476" t="n"/>
      <x:c r="G6" s="476"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5" customHeight="1">
      <x:c r="A7" s="475" t="inlineStr">
        <x:is>
          <x:t xml:space="preserve">SHEET_VERSION</x:t>
        </x:is>
      </x:c>
      <x:c r="B7" s="475" t="inlineStr">
        <x:is>
          <x:t xml:space="preserve">v3.6</x:t>
        </x:is>
      </x:c>
      <x:c r="C7" s="476" t="n"/>
      <x:c r="D7" s="476" t="n"/>
      <x:c r="E7" s="476" t="n"/>
      <x:c r="F7" s="476" t="n"/>
      <x:c r="G7" s="476"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13.5" customHeight="1">
      <x:c r="A8" s="476" t="n"/>
      <x:c r="B8" s="476" t="n"/>
      <x:c r="C8" s="476" t="n"/>
      <x:c r="D8" s="476" t="n"/>
      <x:c r="E8" s="476" t="n"/>
      <x:c r="F8" s="476" t="n"/>
      <x:c r="G8" s="476"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5" customHeight="1">
      <x:c r="A9" s="477" t="inlineStr">
        <x:is>
          <x:t xml:space="preserve">SECTION B: CONFIGURATION</x:t>
        </x:is>
      </x:c>
      <x:c r="B9" s="476" t="n"/>
      <x:c r="C9" s="476" t="n"/>
      <x:c r="D9" s="476" t="n"/>
      <x:c r="E9" s="476" t="n"/>
      <x:c r="F9" s="476" t="n"/>
      <x:c r="G9" s="476"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5" customHeight="1">
      <x:c r="A10" s="475" t="inlineStr">
        <x:is>
          <x:t xml:space="preserve">TIER</x:t>
        </x:is>
      </x:c>
      <x:c r="B10" s="475" t="n">
        <x:v>2</x:v>
      </x:c>
      <x:c r="C10" s="475" t="inlineStr">
        <x:is>
          <x:t xml:space="preserve">(1-3 only; Tier 4 prohibited for claims per v10.8)</x:t>
        </x:is>
      </x:c>
      <x:c r="D10" s="476" t="n"/>
      <x:c r="E10" s="476" t="n"/>
      <x:c r="F10" s="476" t="n"/>
      <x:c r="G10" s="476"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5" customHeight="1">
      <x:c r="A11" s="475" t="inlineStr">
        <x:is>
          <x:t xml:space="preserve">CONTEXT</x:t>
        </x:is>
      </x:c>
      <x:c r="B11" s="475" t="inlineStr">
        <x:is>
          <x:t xml:space="preserve">ORG</x:t>
        </x:is>
      </x:c>
      <x:c r="C11" s="475" t="inlineStr">
        <x:is>
          <x:t xml:space="preserve">(PERS/ORG/REV/IRREV/XRISK)</x:t>
        </x:is>
      </x:c>
      <x:c r="D11" s="476" t="n"/>
      <x:c r="E11" s="476" t="n"/>
      <x:c r="F11" s="476" t="n"/>
      <x:c r="G11" s="476"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5" customHeight="1">
      <x:c r="A12" s="475" t="inlineStr">
        <x:is>
          <x:t xml:space="preserve">AI_DEPLOYMENT</x:t>
        </x:is>
      </x:c>
      <x:c r="B12" s="475" t="inlineStr">
        <x:is>
          <x:t xml:space="preserve">NO</x:t>
        </x:is>
      </x:c>
      <x:c r="C12" s="475" t="inlineStr">
        <x:is>
          <x:t xml:space="preserve">(YES/NO; affects mandatory tails)</x:t>
        </x:is>
      </x:c>
      <x:c r="D12" s="476" t="n"/>
      <x:c r="E12" s="476" t="n"/>
      <x:c r="F12" s="476" t="n"/>
      <x:c r="G12" s="476"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5" customHeight="1">
      <x:c r="A13" s="475" t="inlineStr">
        <x:is>
          <x:t xml:space="preserve">TRC_ACTIVE</x:t>
        </x:is>
      </x:c>
      <x:c r="B13" s="475" t="n">
        <x:v>1</x:v>
      </x:c>
      <x:c r="C13" s="475" t="inlineStr">
        <x:is>
          <x:t xml:space="preserve">(TRUE if Tier&gt;=2)</x:t>
        </x:is>
      </x:c>
      <x:c r="D13" s="476" t="n"/>
      <x:c r="E13" s="476" t="n"/>
      <x:c r="F13" s="476" t="n"/>
      <x:c r="G13" s="476"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5" customHeight="1">
      <x:c r="A14" s="475" t="inlineStr">
        <x:is>
          <x:t xml:space="preserve">SIGMA_ALLOWED</x:t>
        </x:is>
      </x:c>
      <x:c r="B14" s="475" t="n">
        <x:v>1</x:v>
      </x:c>
      <x:c r="C14" s="475" t="inlineStr">
        <x:is>
          <x:t xml:space="preserve">(Tier 2+: allowed)</x:t>
        </x:is>
      </x:c>
      <x:c r="D14" s="476" t="n"/>
      <x:c r="E14" s="476" t="n"/>
      <x:c r="F14" s="476" t="n"/>
      <x:c r="G14" s="476"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5" customHeight="1">
      <x:c r="A15" s="475" t="inlineStr">
        <x:is>
          <x:t xml:space="preserve">SIGMA_REQUIRED</x:t>
        </x:is>
      </x:c>
      <x:c r="B15" s="475" t="n">
        <x:v>0</x:v>
      </x:c>
      <x:c r="C15" s="475" t="inlineStr">
        <x:is>
          <x:t xml:space="preserve">(Tier 3+: required)</x:t>
        </x:is>
      </x:c>
      <x:c r="D15" s="476" t="n"/>
      <x:c r="E15" s="476" t="n"/>
      <x:c r="F15" s="476" t="n"/>
      <x:c r="G15" s="476"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3.5" customHeight="1">
      <x:c r="A16" s="476" t="inlineStr">
        <x:is>
          <x:t xml:space="preserve">UNCERTAINTY_METHOD</x:t>
        </x:is>
      </x:c>
      <x:c r="B16" s="476" t="inlineStr">
        <x:is>
          <x:t xml:space="preserve">C</x:t>
        </x:is>
      </x:c>
      <x:c r="C16" s="476" t="inlineStr">
        <x:is>
          <x:t xml:space="preserve">(A=interval half-width, B=confidence-derived, C=calibrated table / worked-run constant-σ profile; Tier 3 minimum = B)</x:t>
        </x:is>
      </x:c>
      <x:c r="D16" s="476" t="inlineStr">
        <x:is>
          <x:t xml:space="preserve">Method C in this workbook is a constant-σ demonstration surface, not a production-calibrated uncertainty model.</x:t>
        </x:is>
      </x:c>
      <x:c r="E16" s="476" t="n"/>
      <x:c r="F16" s="476" t="n"/>
      <x:c r="G16" s="476"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5" customHeight="1">
      <x:c r="A17" s="477" t="inlineStr">
        <x:is>
          <x:t xml:space="preserve">SECTION C: CANONICAL PARAMETERS</x:t>
        </x:is>
      </x:c>
      <x:c r="B17" s="476" t="n"/>
      <x:c r="C17" s="476" t="n"/>
      <x:c r="D17" s="476" t="n"/>
      <x:c r="E17" s="476" t="n"/>
      <x:c r="F17" s="476" t="n"/>
      <x:c r="G17" s="476"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5" customHeight="1">
      <x:c r="A18" s="475" t="inlineStr">
        <x:is>
          <x:t xml:space="preserve">alpha (CVaR confidence)</x:t>
        </x:is>
      </x:c>
      <x:c r="B18" s="475" t="n">
        <x:v>0.95</x:v>
      </x:c>
      <x:c r="C18" s="476" t="n"/>
      <x:c r="D18" s="476" t="n"/>
      <x:c r="E18" s="476" t="n"/>
      <x:c r="F18" s="476" t="n"/>
      <x:c r="G18" s="476"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5" customHeight="1">
      <x:c r="A19" s="475" t="inlineStr">
        <x:is>
          <x:t xml:space="preserve">beta (tail mass)</x:t>
        </x:is>
      </x:c>
      <x:c r="B19" s="475" t="n">
        <x:v>0.05</x:v>
      </x:c>
      <x:c r="C19" s="476" t="n"/>
      <x:c r="D19" s="476" t="n"/>
      <x:c r="E19" s="476" t="n"/>
      <x:c r="F19" s="476" t="n"/>
      <x:c r="G19" s="476"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5" customHeight="1">
      <x:c r="A20" s="475" t="inlineStr">
        <x:is>
          <x:t xml:space="preserve">beta_saturation</x:t>
        </x:is>
      </x:c>
      <x:c r="B20" s="475" t="n">
        <x:v>2</x:v>
      </x:c>
      <x:c r="C20" s="476" t="n"/>
      <x:c r="D20" s="476" t="n"/>
      <x:c r="E20" s="476" t="n"/>
      <x:c r="F20" s="476" t="n"/>
      <x:c r="G20" s="476"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5" customHeight="1">
      <x:c r="A21" s="475" t="inlineStr">
        <x:is>
          <x:t xml:space="preserve">beta_prop</x:t>
        </x:is>
      </x:c>
      <x:c r="B21" s="475" t="n">
        <x:v>1</x:v>
      </x:c>
      <x:c r="C21" s="476" t="n"/>
      <x:c r="D21" s="476" t="n"/>
      <x:c r="E21" s="476" t="n"/>
      <x:c r="F21" s="476" t="n"/>
      <x:c r="G21" s="476"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5" customHeight="1">
      <x:c r="A22" s="475" t="inlineStr">
        <x:is>
          <x:t xml:space="preserve">delta (discrimination)</x:t>
        </x:is>
      </x:c>
      <x:c r="B22" s="475" t="n">
        <x:v>2</x:v>
      </x:c>
      <x:c r="C22" s="476" t="n"/>
      <x:c r="D22" s="476" t="n"/>
      <x:c r="E22" s="476" t="n"/>
      <x:c r="F22" s="476" t="n"/>
      <x:c r="G22" s="476"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5" customHeight="1">
      <x:c r="A23" s="475" t="inlineStr">
        <x:is>
          <x:t xml:space="preserve">theta_pos (containment)</x:t>
        </x:is>
      </x:c>
      <x:c r="B23" s="475" t="n">
        <x:v>0.05</x:v>
      </x:c>
      <x:c r="C23" s="476" t="n"/>
      <x:c r="D23" s="476" t="n"/>
      <x:c r="E23" s="476" t="n"/>
      <x:c r="F23" s="476" t="n"/>
      <x:c r="G23" s="476"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5" customHeight="1">
      <x:c r="A24" s="475" t="inlineStr">
        <x:is>
          <x:t xml:space="preserve">tau_c (containment floor)</x:t>
        </x:is>
      </x:c>
      <x:c r="B24" s="475" t="n">
        <x:v>-0.1</x:v>
      </x:c>
      <x:c r="C24" s="476" t="n"/>
      <x:c r="D24" s="476" t="n"/>
      <x:c r="E24" s="476" t="n"/>
      <x:c r="F24" s="476" t="n"/>
      <x:c r="G24" s="476"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5" customHeight="1">
      <x:c r="A25" s="475" t="inlineStr">
        <x:is>
          <x:t xml:space="preserve">T_ref (time reference)</x:t>
        </x:is>
      </x:c>
      <x:c r="B25" s="475" t="n">
        <x:v>25</x:v>
      </x:c>
      <x:c r="C25" s="476" t="n"/>
      <x:c r="D25" s="476" t="n"/>
      <x:c r="E25" s="476" t="n"/>
      <x:c r="F25" s="476" t="n"/>
      <x:c r="G25" s="476"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5" customHeight="1">
      <x:c r="A26" s="475" t="inlineStr">
        <x:is>
          <x:t xml:space="preserve">sigma_est (RLS uncertainty)</x:t>
        </x:is>
      </x:c>
      <x:c r="B26" s="475" t="n">
        <x:v>0.02</x:v>
      </x:c>
      <x:c r="C26" s="476" t="n"/>
      <x:c r="D26" s="476" t="n"/>
      <x:c r="E26" s="476" t="n"/>
      <x:c r="F26" s="476" t="n"/>
      <x:c r="G26" s="476"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3.5" customHeight="1">
      <x:c r="A27" s="475" t="inlineStr">
        <x:is>
          <x:t xml:space="preserve">t_min (temporal floor)</x:t>
        </x:is>
      </x:c>
      <x:c r="B27" s="475" t="n">
        <x:v>0.083</x:v>
      </x:c>
      <x:c r="C27" s="475" t="inlineStr">
        <x:is>
          <x:t xml:space="preserve">(canonical in v10.8: prevents near-zero collapse; τ(t_min) ≈ 0.025)</x:t>
        </x:is>
      </x:c>
      <x:c r="D27" s="476" t="n"/>
      <x:c r="E27" s="476" t="n"/>
      <x:c r="F27" s="476" t="n"/>
      <x:c r="G27" s="476"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5" customHeight="1">
      <x:c r="A28" s="477" t="inlineStr">
        <x:is>
          <x:t xml:space="preserve">SECTION D: RIGHTS THRESHOLDS (θ_r)</x:t>
        </x:is>
      </x:c>
      <x:c r="B28" s="476" t="n"/>
      <x:c r="C28" s="476" t="n"/>
      <x:c r="D28" s="476" t="n"/>
      <x:c r="E28" s="476" t="n"/>
      <x:c r="F28" s="476" t="n"/>
      <x:c r="G28" s="476"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5" customHeight="1">
      <x:c r="A29" s="475" t="inlineStr">
        <x:is>
          <x:t xml:space="preserve">Right</x:t>
        </x:is>
      </x:c>
      <x:c r="B29" s="475" t="inlineStr">
        <x:is>
          <x:t xml:space="preserve">Rank (anchor order; non-operational)</x:t>
        </x:is>
      </x:c>
      <x:c r="C29" s="475" t="inlineStr">
        <x:is>
          <x:t xml:space="preserve">θ_r</x:t>
        </x:is>
      </x:c>
      <x:c r="D29" s="476" t="n"/>
      <x:c r="E29" s="476" t="n"/>
      <x:c r="F29" s="476" t="n"/>
      <x:c r="G29" s="476"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5" customHeight="1">
      <x:c r="A30" s="475" t="inlineStr">
        <x:is>
          <x:t xml:space="preserve">LIFE</x:t>
        </x:is>
      </x:c>
      <x:c r="B30" s="475" t="n">
        <x:v>1</x:v>
      </x:c>
      <x:c r="C30" s="475" t="n">
        <x:v>-0.9</x:v>
      </x:c>
      <x:c r="D30" s="476" t="n"/>
      <x:c r="E30" s="476" t="n"/>
      <x:c r="F30" s="476" t="n"/>
      <x:c r="G30" s="476"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5" customHeight="1">
      <x:c r="A31" s="475" t="inlineStr">
        <x:is>
          <x:t xml:space="preserve">BODY</x:t>
        </x:is>
      </x:c>
      <x:c r="B31" s="475" t="n">
        <x:v>2</x:v>
      </x:c>
      <x:c r="C31" s="475" t="n">
        <x:v>-0.7</x:v>
      </x:c>
      <x:c r="D31" s="476" t="n"/>
      <x:c r="E31" s="476" t="n"/>
      <x:c r="F31" s="476" t="n"/>
      <x:c r="G31" s="476"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5" customHeight="1">
      <x:c r="A32" s="475" t="inlineStr">
        <x:is>
          <x:t xml:space="preserve">LBTY</x:t>
        </x:is>
      </x:c>
      <x:c r="B32" s="475" t="n">
        <x:v>3</x:v>
      </x:c>
      <x:c r="C32" s="475" t="n">
        <x:v>-0.65</x:v>
      </x:c>
      <x:c r="D32" s="476" t="n"/>
      <x:c r="E32" s="476" t="n"/>
      <x:c r="F32" s="476" t="n"/>
      <x:c r="G32" s="476"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5" customHeight="1">
      <x:c r="A33" s="475" t="inlineStr">
        <x:is>
          <x:t xml:space="preserve">NEED</x:t>
        </x:is>
      </x:c>
      <x:c r="B33" s="475" t="n">
        <x:v>4</x:v>
      </x:c>
      <x:c r="C33" s="475" t="n">
        <x:v>-0.5</x:v>
      </x:c>
      <x:c r="D33" s="476" t="n"/>
      <x:c r="E33" s="476" t="n"/>
      <x:c r="F33" s="476" t="n"/>
      <x:c r="G33" s="476"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5" customHeight="1">
      <x:c r="A34" s="475" t="inlineStr">
        <x:is>
          <x:t xml:space="preserve">DIGN</x:t>
        </x:is>
      </x:c>
      <x:c r="B34" s="475" t="n">
        <x:v>5</x:v>
      </x:c>
      <x:c r="C34" s="475" t="n">
        <x:v>-0.55</x:v>
      </x:c>
      <x:c r="D34" s="476" t="n"/>
      <x:c r="E34" s="476" t="n"/>
      <x:c r="F34" s="476" t="n"/>
      <x:c r="G34" s="476"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5" customHeight="1">
      <x:c r="A35" s="475" t="inlineStr">
        <x:is>
          <x:t xml:space="preserve">PROC</x:t>
        </x:is>
      </x:c>
      <x:c r="B35" s="475" t="n">
        <x:v>6</x:v>
      </x:c>
      <x:c r="C35" s="475" t="n">
        <x:v>-0.45</x:v>
      </x:c>
      <x:c r="D35" s="476" t="n"/>
      <x:c r="E35" s="476" t="n"/>
      <x:c r="F35" s="476" t="n"/>
      <x:c r="G35" s="476"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5" customHeight="1">
      <x:c r="A36" s="475" t="inlineStr">
        <x:is>
          <x:t xml:space="preserve">INFO</x:t>
        </x:is>
      </x:c>
      <x:c r="B36" s="475" t="n">
        <x:v>7</x:v>
      </x:c>
      <x:c r="C36" s="475" t="n">
        <x:v>-0.4</x:v>
      </x:c>
      <x:c r="D36" s="476" t="n"/>
      <x:c r="E36" s="476" t="n"/>
      <x:c r="F36" s="476" t="n"/>
      <x:c r="G36" s="476"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5" customHeight="1">
      <x:c r="A37" s="475" t="inlineStr">
        <x:is>
          <x:t xml:space="preserve">ECOL</x:t>
        </x:is>
      </x:c>
      <x:c r="B37" s="475" t="n">
        <x:v>8</x:v>
      </x:c>
      <x:c r="C37" s="475" t="n">
        <x:v>-0.65</x:v>
      </x:c>
      <x:c r="D37" s="476" t="n"/>
      <x:c r="E37" s="476" t="n"/>
      <x:c r="F37" s="476" t="n"/>
      <x:c r="G37" s="476"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5" customHeight="1">
      <x:c r="A38" s="475" t="inlineStr">
        <x:is>
          <x:t xml:space="preserve">RIGHTS_COUNT</x:t>
        </x:is>
      </x:c>
      <x:c r="B38" s="475" t="n">
        <x:f>COUNTA(A30:A37)</x:f>
        <x:v>8</x:v>
      </x:c>
      <x:c r="C38" s="475" t="inlineStr">
        <x:is>
          <x:t xml:space="preserve">(must = 8)</x:t>
        </x:is>
      </x:c>
      <x:c r="D38" s="476" t="n"/>
      <x:c r="E38" s="476" t="n"/>
      <x:c r="F38" s="476" t="n"/>
      <x:c r="G38" s="476"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3.5" customHeight="1">
      <x:c r="A39" s="476" t="n"/>
      <x:c r="B39" s="476" t="n"/>
      <x:c r="C39" s="476" t="n"/>
      <x:c r="D39" s="476" t="n"/>
      <x:c r="E39" s="476" t="n"/>
      <x:c r="F39" s="476" t="n"/>
      <x:c r="G39" s="476"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5" customHeight="1">
      <x:c r="A40" s="477" t="inlineStr">
        <x:is>
          <x:t xml:space="preserve">SECTION E: MANDATORY TAILS</x:t>
        </x:is>
      </x:c>
      <x:c r="B40" s="476" t="n"/>
      <x:c r="C40" s="476" t="n"/>
      <x:c r="D40" s="476" t="n"/>
      <x:c r="E40" s="476" t="n"/>
      <x:c r="F40" s="476" t="n"/>
      <x:c r="G40" s="476"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5" customHeight="1">
      <x:c r="A41" s="475" t="inlineStr">
        <x:is>
          <x:t xml:space="preserve">MANDATORY_TAILS_COUNT</x:t>
        </x:is>
      </x:c>
      <x:c r="B41" s="475" t="n">
        <x:f>IF(B12="YES",6,5)</x:f>
        <x:v>5</x:v>
      </x:c>
      <x:c r="C41" s="475" t="inlineStr">
        <x:is>
          <x:t xml:space="preserve">(6 if AI_DEPLOYMENT=YES, else 5)</x:t>
        </x:is>
      </x:c>
      <x:c r="D41" s="476" t="n"/>
      <x:c r="E41" s="476" t="n"/>
      <x:c r="F41" s="476" t="n"/>
      <x:c r="G41" s="476"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5" customHeight="1">
      <x:c r="A42" s="475" t="inlineStr">
        <x:is>
          <x:t xml:space="preserve">WTSL Categories</x:t>
        </x:is>
      </x:c>
      <x:c r="B42" s="475" t="inlineStr">
        <x:is>
          <x:t xml:space="preserve">Required?</x:t>
        </x:is>
      </x:c>
      <x:c r="C42" s="476" t="n"/>
      <x:c r="D42" s="476" t="n"/>
      <x:c r="E42" s="476" t="n"/>
      <x:c r="F42" s="476" t="n"/>
      <x:c r="G42" s="476"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5" customHeight="1">
      <x:c r="A43" s="475" t="inlineStr">
        <x:is>
          <x:t xml:space="preserve">WTSL-PAN</x:t>
        </x:is>
      </x:c>
      <x:c r="B43" s="475" t="inlineStr">
        <x:is>
          <x:t xml:space="preserve">YES</x:t>
        </x:is>
      </x:c>
      <x:c r="C43" s="476" t="n"/>
      <x:c r="D43" s="476" t="n"/>
      <x:c r="E43" s="476" t="n"/>
      <x:c r="F43" s="476" t="n"/>
      <x:c r="G43" s="476"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5" customHeight="1">
      <x:c r="A44" s="475" t="inlineStr">
        <x:is>
          <x:t xml:space="preserve">WTSL-CLI</x:t>
        </x:is>
      </x:c>
      <x:c r="B44" s="475" t="inlineStr">
        <x:is>
          <x:t xml:space="preserve">YES</x:t>
        </x:is>
      </x:c>
      <x:c r="C44" s="476" t="n"/>
      <x:c r="D44" s="476" t="n"/>
      <x:c r="E44" s="476" t="n"/>
      <x:c r="F44" s="476" t="n"/>
      <x:c r="G44" s="476"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5" customHeight="1">
      <x:c r="A45" s="475" t="inlineStr">
        <x:is>
          <x:t xml:space="preserve">WTSL-FIN</x:t>
        </x:is>
      </x:c>
      <x:c r="B45" s="475" t="inlineStr">
        <x:is>
          <x:t xml:space="preserve">YES</x:t>
        </x:is>
      </x:c>
      <x:c r="C45" s="476" t="n"/>
      <x:c r="D45" s="476" t="n"/>
      <x:c r="E45" s="476" t="n"/>
      <x:c r="F45" s="476" t="n"/>
      <x:c r="G45" s="476"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5" customHeight="1">
      <x:c r="A46" s="475" t="inlineStr">
        <x:is>
          <x:t xml:space="preserve">WTSL-CON</x:t>
        </x:is>
      </x:c>
      <x:c r="B46" s="475" t="inlineStr">
        <x:is>
          <x:t xml:space="preserve">YES</x:t>
        </x:is>
      </x:c>
      <x:c r="C46" s="476" t="n"/>
      <x:c r="D46" s="476" t="n"/>
      <x:c r="E46" s="476" t="n"/>
      <x:c r="F46" s="476" t="n"/>
      <x:c r="G46" s="476"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5" customHeight="1">
      <x:c r="A47" s="475" t="inlineStr">
        <x:is>
          <x:t xml:space="preserve">WTSL-INF</x:t>
        </x:is>
      </x:c>
      <x:c r="B47" s="475" t="inlineStr">
        <x:is>
          <x:t xml:space="preserve">YES</x:t>
        </x:is>
      </x:c>
      <x:c r="C47" s="476" t="n"/>
      <x:c r="D47" s="476" t="n"/>
      <x:c r="E47" s="476" t="n"/>
      <x:c r="F47" s="476" t="n"/>
      <x:c r="G47" s="476"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5" customHeight="1">
      <x:c r="A48" s="475" t="inlineStr">
        <x:is>
          <x:t xml:space="preserve">WTSL-AIX</x:t>
        </x:is>
      </x:c>
      <x:c r="B48" s="475" t="str">
        <x:f>IF($B$12="YES","YES","NO")</x:f>
        <x:v>NO</x:v>
      </x:c>
      <x:c r="C48" s="476" t="n"/>
      <x:c r="D48" s="476" t="n"/>
      <x:c r="E48" s="476" t="n"/>
      <x:c r="F48" s="476" t="n"/>
      <x:c r="G48" s="476"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3.5" customHeight="1">
      <x:c r="A49" s="476" t="n"/>
      <x:c r="B49" s="476" t="n"/>
      <x:c r="C49" s="476" t="n"/>
      <x:c r="D49" s="476" t="n"/>
      <x:c r="E49" s="476" t="n"/>
      <x:c r="F49" s="476" t="n"/>
      <x:c r="G49" s="476"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5" customHeight="1">
      <x:c r="A50" s="477" t="inlineStr">
        <x:is>
          <x:t xml:space="preserve">SECTION F: CANONICAL GATE RESULTS</x:t>
        </x:is>
      </x:c>
      <x:c r="B50" s="476" t="n"/>
      <x:c r="C50" s="476" t="n"/>
      <x:c r="D50" s="476" t="n"/>
      <x:c r="E50" s="476" t="n"/>
      <x:c r="F50" s="476" t="n"/>
      <x:c r="G50" s="476"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5" customHeight="1">
      <x:c r="A51" s="475" t="inlineStr">
        <x:is>
          <x:t xml:space="preserve">NCRC_PASS_A</x:t>
        </x:is>
      </x:c>
      <x:c r="B51" s="475" t="str">
        <x:f>NCRC!D18</x:f>
        <x:v>PASS</x:v>
      </x:c>
      <x:c r="C51" s="476" t="n"/>
      <x:c r="D51" s="476" t="n"/>
      <x:c r="E51" s="476" t="n"/>
      <x:c r="F51" s="476" t="n"/>
      <x:c r="G51" s="476"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5" customHeight="1">
      <x:c r="A52" s="475" t="inlineStr">
        <x:is>
          <x:t xml:space="preserve">NCRC_PASS_B</x:t>
        </x:is>
      </x:c>
      <x:c r="B52" s="475" t="str">
        <x:f>NCRC!D19</x:f>
        <x:v>PASS</x:v>
      </x:c>
      <x:c r="C52" s="476" t="n"/>
      <x:c r="D52" s="476" t="n"/>
      <x:c r="E52" s="476" t="n"/>
      <x:c r="F52" s="476" t="n"/>
      <x:c r="G52" s="476"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3.5" customHeight="1">
      <x:c r="A53" s="476" t="n"/>
      <x:c r="B53" s="476" t="n"/>
      <x:c r="C53" s="476" t="n"/>
      <x:c r="D53" s="476" t="n"/>
      <x:c r="E53" s="476" t="n"/>
      <x:c r="F53" s="476" t="n"/>
      <x:c r="G53" s="476"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5" customHeight="1">
      <x:c r="A54" s="475" t="inlineStr">
        <x:is>
          <x:t xml:space="preserve">CVaR_A</x:t>
        </x:is>
      </x:c>
      <x:c r="B54" s="475" t="n">
        <x:v>0.0219</x:v>
      </x:c>
      <x:c r="C54" s="476" t="n"/>
      <x:c r="D54" s="476" t="n"/>
      <x:c r="E54" s="476" t="n"/>
      <x:c r="F54" s="476" t="n"/>
      <x:c r="G54" s="476"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5" customHeight="1">
      <x:c r="A55" s="475" t="inlineStr">
        <x:is>
          <x:t xml:space="preserve">CVaR_B</x:t>
        </x:is>
      </x:c>
      <x:c r="B55" s="475" t="n">
        <x:v>0.0315</x:v>
      </x:c>
      <x:c r="C55" s="476" t="n"/>
      <x:c r="D55" s="476" t="n"/>
      <x:c r="E55" s="476" t="n"/>
      <x:c r="F55" s="476" t="n"/>
      <x:c r="G55" s="476"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5" customHeight="1">
      <x:c r="A56" s="475" t="inlineStr">
        <x:is>
          <x:t xml:space="preserve">TRC_PASS_A</x:t>
        </x:is>
      </x:c>
      <x:c r="B56" s="475" t="str">
        <x:f>IF(B54&lt;=B58,"PASS","FAIL")</x:f>
        <x:v>PASS</x:v>
      </x:c>
      <x:c r="C56" s="476" t="n"/>
      <x:c r="D56" s="476" t="n"/>
      <x:c r="E56" s="476" t="n"/>
      <x:c r="F56" s="476" t="n"/>
      <x:c r="G56" s="476"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5" customHeight="1">
      <x:c r="A57" s="475" t="inlineStr">
        <x:is>
          <x:t xml:space="preserve">TRC_PASS_B</x:t>
        </x:is>
      </x:c>
      <x:c r="B57" s="475" t="str">
        <x:f>IF(B55&lt;=B58,"PASS","FAIL")</x:f>
        <x:v>PASS</x:v>
      </x:c>
      <x:c r="C57" s="476" t="n"/>
      <x:c r="D57" s="476" t="n"/>
      <x:c r="E57" s="476" t="n"/>
      <x:c r="F57" s="476" t="n"/>
      <x:c r="G57" s="476"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5" customHeight="1">
      <x:c r="A58" s="475" t="inlineStr">
        <x:is>
          <x:t xml:space="preserve">tau_TRC</x:t>
        </x:is>
      </x:c>
      <x:c r="B58" s="475" t="n">
        <x:v>0.2</x:v>
      </x:c>
      <x:c r="C58" s="475" t="inlineStr">
        <x:is>
          <x:t xml:space="preserve">(context-specific threshold)</x:t>
        </x:is>
      </x:c>
      <x:c r="D58" s="476" t="n"/>
      <x:c r="E58" s="476" t="n"/>
      <x:c r="F58" s="476" t="n"/>
      <x:c r="G58" s="476"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3.5" customHeight="1">
      <x:c r="A59" s="475" t="inlineStr">
        <x:is>
          <x:t xml:space="preserve">RLS_DECISIVE</x:t>
        </x:is>
      </x:c>
      <x:c r="B59" s="475" t="str">
        <x:f>IF(ABS(B63-B64)/SQRT(2*B26^2+0.000001)&lt;B22,"NO","YES")</x:f>
        <x:v>NO</x:v>
      </x:c>
      <x:c r="C59" s="476" t="n"/>
      <x:c r="D59" s="476" t="n"/>
      <x:c r="E59" s="476" t="n"/>
      <x:c r="F59" s="476" t="n"/>
      <x:c r="G59" s="476"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5" customHeight="1">
      <x:c r="A60" s="475" t="inlineStr">
        <x:is>
          <x:t xml:space="preserve">CONTAINMENT_PASS_A</x:t>
        </x:is>
      </x:c>
      <x:c r="B60" s="475" t="str">
        <x:f>Containment!K14</x:f>
        <x:v>PASS</x:v>
      </x:c>
      <x:c r="C60" s="476" t="n"/>
      <x:c r="D60" s="476" t="n"/>
      <x:c r="E60" s="476" t="n"/>
      <x:c r="F60" s="476" t="n"/>
      <x:c r="G60" s="476"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5" customHeight="1">
      <x:c r="A61" s="478" t="inlineStr">
        <x:is>
          <x:t xml:space="preserve">CONTAINMENT_PASS_B</x:t>
        </x:is>
      </x:c>
      <x:c r="B61" s="478" t="str">
        <x:f>Containment!K15</x:f>
        <x:v>PASS (vacuous)</x:v>
      </x:c>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3.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5" customHeight="1">
      <x:c r="A63" s="478" t="inlineStr">
        <x:is>
          <x:t xml:space="preserve">RLS_A</x:t>
        </x:is>
      </x:c>
      <x:c r="B63" s="479" t="n">
        <x:f>RLS!B5</x:f>
        <x:v>0.01531294271682332</x:v>
      </x:c>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5" customHeight="1">
      <x:c r="A64" s="478" t="inlineStr">
        <x:is>
          <x:t xml:space="preserve">RLS_B</x:t>
        </x:is>
      </x:c>
      <x:c r="B64" s="479" t="n">
        <x:f>RLS!B6</x:f>
        <x:v>-0.0011223873850524822</x:v>
      </x:c>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3.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5" customHeight="1">
      <x:c r="A66" s="480" t="inlineStr">
        <x:is>
          <x:t xml:space="preserve">SECTION G: SELECTION LOGIC</x:t>
        </x:is>
      </x:c>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5" customHeight="1">
      <x:c r="A67" s="478" t="inlineStr">
        <x:is>
          <x:t xml:space="preserve">A_NCRC_COUNT</x:t>
        </x:is>
      </x:c>
      <x:c r="B67" s="478" t="n">
        <x:f>COUNTIF(B51:B52,"PASS")</x:f>
        <x:v>2</x:v>
      </x:c>
      <x:c r="C67" s="478" t="inlineStr">
        <x:is>
          <x:t xml:space="preserve">(Options passing NCRC)</x:t>
        </x:is>
      </x:c>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5" customHeight="1">
      <x:c r="A68" s="478" t="inlineStr">
        <x:is>
          <x:t xml:space="preserve">A_ADM_COUNT</x:t>
        </x:is>
      </x:c>
      <x:c r="B68" s="478" t="n">
        <x:f>COUNTIFS(B51:B52,"PASS",B56:B57,"PASS")</x:f>
        <x:v>2</x:v>
      </x:c>
      <x:c r="C68" s="478" t="inlineStr">
        <x:is>
          <x:t xml:space="preserve">(Options passing NCRC+TRC)</x:t>
        </x:is>
      </x:c>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3.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5" customHeight="1">
      <x:c r="A70" s="478" t="inlineStr">
        <x:is>
          <x:t xml:space="preserve">AUTHORITY_SELECTION_MODE (legacy selection field; see FrameworkVerdict)</x:t>
        </x:is>
      </x:c>
      <x:c r="B70" s="478" t="str">
        <x:f>IF(B67=0,"EMERGENCY_MODE",IF(AND(B67&gt;0,B68=0),"TRC_FALLBACK","NORMAL"))</x:f>
        <x:v>NORMAL</x:v>
      </x:c>
      <x:c r="C70" s="461" t="inlineStr">
        <x:is>
          <x:t xml:space="preserve">Authority record only; not deterministic framework selection.</x:t>
        </x:is>
      </x:c>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5" customHeight="1">
      <x:c r="A71" s="478" t="inlineStr">
        <x:is>
          <x:t xml:space="preserve">AUTHORITY_SELECTED_OPTION</x:t>
        </x:is>
      </x:c>
      <x:c r="B71" s="478" t="str">
        <x:f>IF(B70="EMERGENCY_MODE","",IF(B70="TRC_FALLBACK",IF(B54&lt;=B55,"A","B"),IF(AND(B51="PASS",B56="PASS",OR(B52&lt;&gt;"PASS",B57&lt;&gt;"PASS")),"A",IF(AND(B52="PASS",B57="PASS",OR(B51&lt;&gt;"PASS",B56&lt;&gt;"PASS")),"B",IF(B63&gt;B64,"A",IF(B64&gt;B63,"B","TIE"))))))</x:f>
        <x:v>A</x:v>
      </x:c>
      <x:c r="C71" s="461" t="inlineStr">
        <x:is>
          <x:t xml:space="preserve">Authority-selected option after REFUSE_DETERMINISTIC_SELECTION.</x:t>
        </x:is>
      </x:c>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5" customHeight="1">
      <x:c r="A72" s="478" t="inlineStr">
        <x:is>
          <x:t xml:space="preserve">AUTHORITY_SELECTION_BASIS</x:t>
        </x:is>
      </x:c>
      <x:c r="B72" s="478" t="str">
        <x:f>IF(B70="EMERGENCY_MODE","No rights-admissible options",IF(B70="TRC_FALLBACK","Min CVaR (TRC fallback)",IF(B59="NO",IF(B63&gt;B64,"Non-decisive RLS lead; judgment call documented",IF(B64&gt;B63,"Non-decisive RLS lead; judgment call documented","RLS tie - requires UCI")),IF(B71="TIE","RLS tie - requires UCI","RLS comparison"))))</x:f>
        <x:v>Non-decisive RLS lead; judgment call documented</x:v>
      </x:c>
      <x:c r="C72" s="461" t="inlineStr">
        <x:is>
          <x:t xml:space="preserve">Selection basis must disclose non-decisive framework verdict.</x:t>
        </x:is>
      </x:c>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5" customHeight="1">
      <x:c r="A73" s="478" t="inlineStr">
        <x:is>
          <x:t xml:space="preserve">ESCALATION_REQUIRED</x:t>
        </x:is>
      </x:c>
      <x:c r="B73" s="478" t="str">
        <x:f>IF(OR(B70="EMERGENCY_MODE",B70="TRC_FALLBACK"),"YES","NO")</x:f>
        <x:v>NO</x:v>
      </x:c>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3.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5" customHeight="1">
      <x:c r="A75" s="480" t="inlineStr">
        <x:is>
          <x:t xml:space="preserve">SECTION H: CATASTROPHE INPUT VALIDATION</x:t>
        </x:is>
      </x:c>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5" customHeight="1">
      <x:c r="A76" s="478" t="inlineStr">
        <x:is>
          <x:t xml:space="preserve">CCAT_BLANK_COUNT</x:t>
        </x:is>
      </x:c>
      <x:c r="B76" s="478" t="n">
        <x:v>0</x:v>
      </x:c>
      <x:c r="C76" s="478" t="inlineStr">
        <x:is>
          <x:t xml:space="preserve">(Must be 0 when TRC active)</x:t>
        </x:is>
      </x:c>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5" customHeight="1">
      <x:c r="A77" s="478" t="inlineStr">
        <x:is>
          <x:t xml:space="preserve">SCENARIO_IMPACT_MISSING</x:t>
        </x:is>
      </x:c>
      <x:c r="B77" s="478" t="n">
        <x:v>0</x:v>
      </x:c>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3.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5" customHeight="1">
      <x:c r="A79" s="480" t="inlineStr">
        <x:is>
          <x:t xml:space="preserve">SECTION I: CLAIMABILITY</x:t>
        </x:is>
      </x:c>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5" customHeight="1">
      <x:c r="A80" s="478" t="inlineStr">
        <x:is>
          <x:t xml:space="preserve">INVALID_FLAGS_COUNT</x:t>
        </x:is>
      </x:c>
      <x:c r="B80" s="481" t="n">
        <x:v>0</x:v>
      </x:c>
      <x:c r="C80" s="478" t="inlineStr">
        <x:is>
          <x:t xml:space="preserve">(computed from Audit_Flags)</x:t>
        </x:is>
      </x:c>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5" customHeight="1">
      <x:c r="A81" s="478" t="inlineStr">
        <x:is>
          <x:t xml:space="preserve">CLAIMABLE_RUN</x:t>
        </x:is>
      </x:c>
      <x:c r="B81" s="481" t="inlineStr">
        <x:is>
          <x:t xml:space="preserve">YES</x:t>
        </x:is>
      </x:c>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4.25" customHeight="1">
      <x:c r="A82" s="478" t="inlineStr">
        <x:is>
          <x:t xml:space="preserve">WORKBOOK_MODE</x:t>
        </x:is>
      </x:c>
      <x:c r="B82" s="478" t="inlineStr">
        <x:is>
          <x:t xml:space="preserve">WORKED_RUN</x:t>
        </x:is>
      </x:c>
      <x:c r="C82" s="478" t="inlineStr">
        <x:is>
          <x:t xml:space="preserve">(TEMPLATE or WORKED_RUN)</x:t>
        </x:is>
      </x:c>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4.25" customHeight="1">
      <x:c r="A83" s="478" t="str">
        <x:v>WORKED_RUN_PUBLISHABLE_SUMMARY</x:v>
      </x:c>
      <x:c r="B83" s="478" t="inlineStr">
        <x:is>
          <x:t xml:space="preserve">YES</x:t>
        </x:is>
      </x:c>
      <x:c r="C83" s="478" t="str">
        <x:v>(summary alias to worked-run publishability gate at B118; not ecosystem ProofPack readiness)</x:v>
      </x:c>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3.5" customHeight="1">
      <x:c r="A84" s="461" t="inlineStr">
        <x:is>
          <x:t xml:space="preserve">NO_PARTIAL_TESTS</x:t>
        </x:is>
      </x:c>
      <x:c r="B84" s="461" t="inlineStr">
        <x:is>
          <x:t xml:space="preserve">YES</x:t>
        </x:is>
      </x:c>
      <x:c r="C84" s="461" t="inlineStr">
        <x:is>
          <x:t xml:space="preserve">Worked-run companion does not carry unresolved wrapper-level Partial tests.</x:t>
        </x:is>
      </x:c>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4.25" customHeight="1">
      <x:c r="A85" s="482" t="inlineStr">
        <x:is>
          <x:t xml:space="preserve">WAIVER_APPROVED</x:t>
        </x:is>
      </x:c>
      <x:c r="B85" s="461" t="inlineStr">
        <x:is>
          <x:t xml:space="preserve">NO</x:t>
        </x:is>
      </x:c>
      <x:c r="C85" s="461" t="inlineStr">
        <x:is>
          <x:t xml:space="preserve">No waiver used in this worked-run exemplar.</x:t>
        </x:is>
      </x:c>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69.75" customHeight="1">
      <x:c r="A86" s="478" t="inlineStr">
        <x:is>
          <x:t xml:space="preserve">CLAIMABILITY_RULE</x:t>
        </x:is>
      </x:c>
      <x:c r="B86" s="483" t="inlineStr">
        <x:is>
          <x:t xml:space="preserve">Authority-selected option must pass NCRC, TRC, and Containment; INVALID_FLAGS_COUNT must equal 0; sanity_fail_count must equal 0; v10_review_count (from the v10 sanity surface, not Audit_Flags REVIEW_COUNT) must equal 0; placeholder_count must equal 0; and either WAIVER_APPROVED=YES or NO_PARTIAL_TESTS=YES. This predicate does not claim deterministic framework selection when FrameworkVerdict is REFUSE_DETERMINISTIC_SELECTION.</x:t>
        </x:is>
      </x:c>
      <x:c r="C86" s="461" t="inlineStr">
        <x:is>
          <x:t xml:space="preserve">Worked-run claimability predicate; not deterministic framework selection when FrameworkVerdict = REFUSE_DETERMINISTIC_SELECTION.</x:t>
        </x:is>
      </x:c>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4.25" customHeight="1">
      <x:c r="A87" s="461" t="n"/>
      <x:c r="B87" s="461" t="n"/>
      <x:c r="C87" s="461" t="n"/>
      <x:c r="D87" s="484"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4.25" customHeight="1">
      <x:c r="A88" s="478" t="inlineStr">
        <x:is>
          <x:t xml:space="preserve">Field</x:t>
        </x:is>
      </x:c>
      <x:c r="B88" s="478" t="inlineStr">
        <x:is>
          <x:t xml:space="preserve">Value</x:t>
        </x:is>
      </x:c>
      <x:c r="C88" s="478" t="inlineStr">
        <x:is>
          <x:t xml:space="preserve">Expected Type</x:t>
        </x:is>
      </x:c>
      <x:c r="D88" s="484" t="inlineStr">
        <x:is>
          <x:t xml:space="preserve">Status</x:t>
        </x:is>
      </x:c>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4.25" customHeight="1">
      <x:c r="A89" s="478" t="inlineStr">
        <x:is>
          <x:t xml:space="preserve">TIER</x:t>
        </x:is>
      </x:c>
      <x:c r="B89" s="478" t="n">
        <x:f>B10</x:f>
        <x:v>2</x:v>
      </x:c>
      <x:c r="C89" s="478" t="inlineStr">
        <x:is>
          <x:t xml:space="preserve">integer 1-3</x:t>
        </x:is>
      </x:c>
      <x:c r="D89" s="484" t="str">
        <x:f>IF(AND(ISNUMBER(B89),B89=INT(B89),B89&gt;=1,B89&lt;=3),"PASS","FAIL")</x:f>
        <x:v>PASS</x:v>
      </x:c>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4.25" customHeight="1">
      <x:c r="A90" s="478" t="inlineStr">
        <x:is>
          <x:t xml:space="preserve">alpha</x:t>
        </x:is>
      </x:c>
      <x:c r="B90" s="478" t="n">
        <x:f>B18</x:f>
        <x:v>0.95</x:v>
      </x:c>
      <x:c r="C90" s="478" t="inlineStr">
        <x:is>
          <x:t xml:space="preserve">decimal 0-1</x:t>
        </x:is>
      </x:c>
      <x:c r="D90" s="484" t="str">
        <x:f>IF(AND(ISNUMBER(B90),B90&gt;=0,B90&lt;=1),"PASS","FAIL")</x:f>
        <x:v>PASS</x:v>
      </x:c>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4.25" customHeight="1">
      <x:c r="A91" s="478" t="inlineStr">
        <x:is>
          <x:t xml:space="preserve">beta</x:t>
        </x:is>
      </x:c>
      <x:c r="B91" s="478" t="n">
        <x:v>0.05</x:v>
      </x:c>
      <x:c r="C91" s="478" t="inlineStr">
        <x:is>
          <x:t xml:space="preserve">decimal 0-1</x:t>
        </x:is>
      </x:c>
      <x:c r="D91" s="484" t="str">
        <x:f>IF(AND(ISNUMBER(B91),B91&gt;=0,B91&lt;=1),"PASS","FAIL")</x:f>
        <x:v>PASS</x:v>
      </x:c>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4.25" customHeight="1">
      <x:c r="A92" s="478" t="inlineStr">
        <x:is>
          <x:t xml:space="preserve">beta_saturation</x:t>
        </x:is>
      </x:c>
      <x:c r="B92" s="478" t="n">
        <x:f>B20</x:f>
        <x:v>2</x:v>
      </x:c>
      <x:c r="C92" s="478" t="inlineStr">
        <x:is>
          <x:t xml:space="preserve">positive integer</x:t>
        </x:is>
      </x:c>
      <x:c r="D92" s="484" t="str">
        <x:f>IF(AND(ISNUMBER(B92),B92=INT(B92),B92&gt;0),"PASS","FAIL")</x:f>
        <x:v>PASS</x:v>
      </x:c>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4.25" customHeight="1">
      <x:c r="A93" s="478" t="inlineStr">
        <x:is>
          <x:t xml:space="preserve">beta_prop</x:t>
        </x:is>
      </x:c>
      <x:c r="B93" s="478" t="n">
        <x:f>B21</x:f>
        <x:v>1</x:v>
      </x:c>
      <x:c r="C93" s="478" t="inlineStr">
        <x:is>
          <x:t xml:space="preserve">binary 0/1</x:t>
        </x:is>
      </x:c>
      <x:c r="D93" s="484" t="str">
        <x:f>IF(OR(B93=0,B93=1),"PASS","FAIL")</x:f>
        <x:v>PASS</x:v>
      </x:c>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4.25" customHeight="1">
      <x:c r="A94" s="478" t="inlineStr">
        <x:is>
          <x:t xml:space="preserve">delta</x:t>
        </x:is>
      </x:c>
      <x:c r="B94" s="478" t="n">
        <x:f>B22</x:f>
        <x:v>2</x:v>
      </x:c>
      <x:c r="C94" s="478" t="inlineStr">
        <x:is>
          <x:t xml:space="preserve">positive number</x:t>
        </x:is>
      </x:c>
      <x:c r="D94" s="484" t="str">
        <x:f>IF(AND(ISNUMBER(B94),B94&gt;0),"PASS","FAIL")</x:f>
        <x:v>PASS</x:v>
      </x:c>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4.25" customHeight="1">
      <x:c r="A95" s="478" t="inlineStr">
        <x:is>
          <x:t xml:space="preserve">theta_pos</x:t>
        </x:is>
      </x:c>
      <x:c r="B95" s="478" t="n">
        <x:f>B23</x:f>
        <x:v>0.05</x:v>
      </x:c>
      <x:c r="C95" s="478" t="inlineStr">
        <x:is>
          <x:t xml:space="preserve">decimal 0-1</x:t>
        </x:is>
      </x:c>
      <x:c r="D95" s="484" t="str">
        <x:f>IF(AND(ISNUMBER(B95),B95&gt;=0,B95&lt;=1),"PASS","FAIL")</x:f>
        <x:v>PASS</x:v>
      </x:c>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4.25" customHeight="1">
      <x:c r="A96" s="478" t="inlineStr">
        <x:is>
          <x:t xml:space="preserve">tau_c</x:t>
        </x:is>
      </x:c>
      <x:c r="B96" s="478" t="n">
        <x:f>B24</x:f>
        <x:v>-0.1</x:v>
      </x:c>
      <x:c r="C96" s="478" t="inlineStr">
        <x:is>
          <x:t xml:space="preserve">negative number</x:t>
        </x:is>
      </x:c>
      <x:c r="D96" s="484" t="str">
        <x:f>IF(AND(ISNUMBER(B96),B96&lt;0),"PASS","FAIL")</x:f>
        <x:v>PASS</x:v>
      </x:c>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4.25" customHeight="1">
      <x:c r="A97" s="478" t="inlineStr">
        <x:is>
          <x:t xml:space="preserve">T_ref</x:t>
        </x:is>
      </x:c>
      <x:c r="B97" s="478" t="n">
        <x:f>B25</x:f>
        <x:v>25</x:v>
      </x:c>
      <x:c r="C97" s="478" t="inlineStr">
        <x:is>
          <x:t xml:space="preserve">positive integer</x:t>
        </x:is>
      </x:c>
      <x:c r="D97" s="484" t="str">
        <x:f>IF(AND(ISNUMBER(B97),B97=INT(B97),B97&gt;0),"PASS","FAIL")</x:f>
        <x:v>PASS</x:v>
      </x:c>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4.25" customHeight="1">
      <x:c r="A98" s="478" t="inlineStr">
        <x:is>
          <x:t xml:space="preserve">sigma_est</x:t>
        </x:is>
      </x:c>
      <x:c r="B98" s="478" t="n">
        <x:f>B26</x:f>
        <x:v>0.02</x:v>
      </x:c>
      <x:c r="C98" s="478" t="inlineStr">
        <x:is>
          <x:t xml:space="preserve">decimal &gt;=0</x:t>
        </x:is>
      </x:c>
      <x:c r="D98" s="484" t="str">
        <x:f>IF(AND(ISNUMBER(B98),B98&gt;=0),"PASS","FAIL")</x:f>
        <x:v>PASS</x:v>
      </x:c>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4.25" customHeight="1">
      <x:c r="A99" s="478" t="inlineStr">
        <x:is>
          <x:t xml:space="preserve">TRC_ACTIVE</x:t>
        </x:is>
      </x:c>
      <x:c r="B99" s="478" t="n">
        <x:f>B13</x:f>
        <x:v>1</x:v>
      </x:c>
      <x:c r="C99" s="478" t="inlineStr">
        <x:is>
          <x:t xml:space="preserve">binary 0/1</x:t>
        </x:is>
      </x:c>
      <x:c r="D99" s="484" t="str">
        <x:f>IF(OR(B99=0,B99=1),"PASS","FAIL")</x:f>
        <x:v>PASS</x:v>
      </x:c>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4.25" customHeight="1">
      <x:c r="A100" s="478" t="inlineStr">
        <x:is>
          <x:t xml:space="preserve">SIGMA_ALLOWED</x:t>
        </x:is>
      </x:c>
      <x:c r="B100" s="478" t="n">
        <x:f>B14</x:f>
        <x:v>1</x:v>
      </x:c>
      <x:c r="C100" s="478" t="inlineStr">
        <x:is>
          <x:t xml:space="preserve">binary 0/1</x:t>
        </x:is>
      </x:c>
      <x:c r="D100" s="484" t="str">
        <x:f>IF(OR(B100=0,B100=1),"PASS","FAIL")</x:f>
        <x:v>PASS</x:v>
      </x:c>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row r="101" s="455" customFormat="1" ht="14.25" customHeight="1">
      <x:c r="A101" s="471" t="inlineStr">
        <x:is>
          <x:t xml:space="preserve">SIGMA_REQUIRED</x:t>
        </x:is>
      </x:c>
      <x:c r="B101" s="471" t="n">
        <x:f>B15</x:f>
        <x:v>0</x:v>
      </x:c>
      <x:c r="C101" s="471" t="inlineStr">
        <x:is>
          <x:t xml:space="preserve">binary 0/1</x:t>
        </x:is>
      </x:c>
      <x:c r="D101" s="485" t="str">
        <x:f>IF(OR(B101=0,B101=1),"PASS","FAIL")</x:f>
        <x:v>PASS</x:v>
      </x:c>
    </x:row>
    <x:row r="102" s="455" customFormat="1" ht="14.25" customHeight="1">
      <x:c r="A102" s="471" t="inlineStr">
        <x:is>
          <x:t xml:space="preserve">RIGHTS_COUNT</x:t>
        </x:is>
      </x:c>
      <x:c r="B102" s="471" t="n">
        <x:f>B38</x:f>
        <x:v>8</x:v>
      </x:c>
      <x:c r="C102" s="471" t="inlineStr">
        <x:is>
          <x:t xml:space="preserve">integer = 8</x:t>
        </x:is>
      </x:c>
      <x:c r="D102" s="485" t="str">
        <x:f>IF(AND(ISNUMBER(B102),B102=INT(B102),B102=8),"PASS","FAIL")</x:f>
        <x:v>PASS</x:v>
      </x:c>
    </x:row>
    <x:row r="103" s="455" customFormat="1" ht="14.25" customHeight="1">
      <x:c r="A103" s="471" t="inlineStr">
        <x:is>
          <x:t xml:space="preserve">Note: MANDATORY_TAILS_COUNT canonical location is B41</x:t>
        </x:is>
      </x:c>
      <x:c r="B103" s="471" t="n">
        <x:f>B41</x:f>
        <x:v>5</x:v>
      </x:c>
      <x:c r="C103" s="471" t="inlineStr">
        <x:is>
          <x:t xml:space="preserve">integer 5-6</x:t>
        </x:is>
      </x:c>
      <x:c r="D103" s="485" t="str">
        <x:f>IF(AND(ISNUMBER(B103),B103=INT(B103),B103&gt;=5,B103&lt;=6),"PASS","FAIL")</x:f>
        <x:v>PASS</x:v>
      </x:c>
    </x:row>
    <x:row r="104" s="455" customFormat="1" ht="14.25" customHeight="1">
      <x:c r="A104" s="471" t="inlineStr">
        <x:is>
          <x:t xml:space="preserve">CVaR_A</x:t>
        </x:is>
      </x:c>
      <x:c r="B104" s="471" t="n">
        <x:f>B54</x:f>
        <x:v>0.0219</x:v>
      </x:c>
      <x:c r="C104" s="471" t="inlineStr">
        <x:is>
          <x:t xml:space="preserve">decimal &gt;=0</x:t>
        </x:is>
      </x:c>
      <x:c r="D104" s="485" t="str">
        <x:f>IF(AND(ISNUMBER(B104),B104&gt;=0),"PASS","FAIL")</x:f>
        <x:v>PASS</x:v>
      </x:c>
    </x:row>
    <x:row r="105" s="455" customFormat="1" ht="14.25" customHeight="1">
      <x:c r="A105" s="471" t="inlineStr">
        <x:is>
          <x:t xml:space="preserve">CVaR_B</x:t>
        </x:is>
      </x:c>
      <x:c r="B105" s="471" t="n">
        <x:f>B55</x:f>
        <x:v>0.0315</x:v>
      </x:c>
      <x:c r="C105" s="471" t="inlineStr">
        <x:is>
          <x:t xml:space="preserve">decimal &gt;=0</x:t>
        </x:is>
      </x:c>
      <x:c r="D105" s="485" t="str">
        <x:f>IF(AND(ISNUMBER(B105),B105&gt;=0),"PASS","FAIL")</x:f>
        <x:v>PASS</x:v>
      </x:c>
    </x:row>
    <x:row r="106" s="455" customFormat="1" ht="14.25" customHeight="1">
      <x:c r="A106" s="471" t="inlineStr">
        <x:is>
          <x:t xml:space="preserve">tau_TRC</x:t>
        </x:is>
      </x:c>
      <x:c r="B106" s="471" t="n">
        <x:f>B58</x:f>
        <x:v>0.2</x:v>
      </x:c>
      <x:c r="C106" s="471" t="inlineStr">
        <x:is>
          <x:t xml:space="preserve">decimal 0-1</x:t>
        </x:is>
      </x:c>
      <x:c r="D106" s="485" t="str">
        <x:f>IF(AND(ISNUMBER(B106),B106&gt;=0,B106&lt;=1),"PASS","FAIL")</x:f>
        <x:v>PASS</x:v>
      </x:c>
    </x:row>
    <x:row r="107" s="455" customFormat="1" ht="14.25" customHeight="1">
      <x:c r="A107" s="471" t="inlineStr">
        <x:is>
          <x:t xml:space="preserve">RLS_A</x:t>
        </x:is>
      </x:c>
      <x:c r="B107" s="486" t="n">
        <x:f>B63</x:f>
        <x:v>0.01531294271682332</x:v>
      </x:c>
      <x:c r="C107" s="471" t="inlineStr">
        <x:is>
          <x:t xml:space="preserve">decimal</x:t>
        </x:is>
      </x:c>
      <x:c r="D107" s="485" t="str">
        <x:f>IF(ISNUMBER(B107),"PASS","FAIL")</x:f>
        <x:v>PASS</x:v>
      </x:c>
    </x:row>
    <x:row r="108" s="455" customFormat="1" ht="14.25" customHeight="1">
      <x:c r="A108" s="471" t="inlineStr">
        <x:is>
          <x:t xml:space="preserve">RLS_B</x:t>
        </x:is>
      </x:c>
      <x:c r="B108" s="486" t="n">
        <x:f>B64</x:f>
        <x:v>-0.0011223873850524822</x:v>
      </x:c>
      <x:c r="C108" s="471" t="inlineStr">
        <x:is>
          <x:t xml:space="preserve">decimal</x:t>
        </x:is>
      </x:c>
      <x:c r="D108" s="485" t="str">
        <x:f>IF(ISNUMBER(B108),"PASS","FAIL")</x:f>
        <x:v>PASS</x:v>
      </x:c>
    </x:row>
    <x:row r="109" s="455" customFormat="1" ht="14.25" customHeight="1">
      <x:c r="A109" s="471" t="inlineStr">
        <x:is>
          <x:t xml:space="preserve">A_NCRC_COUNT</x:t>
        </x:is>
      </x:c>
      <x:c r="B109" s="471" t="n">
        <x:f>B67</x:f>
        <x:v>2</x:v>
      </x:c>
      <x:c r="C109" s="471" t="inlineStr">
        <x:is>
          <x:t xml:space="preserve">nonneg integer</x:t>
        </x:is>
      </x:c>
      <x:c r="D109" s="485" t="str">
        <x:f>IF(AND(ISNUMBER(B109),B109=INT(B109),B109&gt;=0),"PASS","FAIL")</x:f>
        <x:v>PASS</x:v>
      </x:c>
    </x:row>
    <x:row r="110" s="455" customFormat="1" ht="14.25" customHeight="1">
      <x:c r="A110" s="471" t="inlineStr">
        <x:is>
          <x:t xml:space="preserve">A_ADM_COUNT</x:t>
        </x:is>
      </x:c>
      <x:c r="B110" s="471" t="n">
        <x:f>B68</x:f>
        <x:v>2</x:v>
      </x:c>
      <x:c r="C110" s="471" t="inlineStr">
        <x:is>
          <x:t xml:space="preserve">nonneg integer</x:t>
        </x:is>
      </x:c>
      <x:c r="D110" s="485" t="str">
        <x:f>IF(AND(ISNUMBER(B110),B110=INT(B110),B110&gt;=0),"PASS","FAIL")</x:f>
        <x:v>PASS</x:v>
      </x:c>
    </x:row>
    <x:row r="111" s="455" customFormat="1" ht="14.25" customHeight="1">
      <x:c r="A111" s="471" t="inlineStr">
        <x:is>
          <x:t xml:space="preserve">CCAT_BLANK_COUNT</x:t>
        </x:is>
      </x:c>
      <x:c r="B111" s="471" t="n">
        <x:f>B76</x:f>
        <x:v>0</x:v>
      </x:c>
      <x:c r="C111" s="471" t="inlineStr">
        <x:is>
          <x:t xml:space="preserve">nonneg integer</x:t>
        </x:is>
      </x:c>
      <x:c r="D111" s="485" t="str">
        <x:f>IF(AND(ISNUMBER(B111),B111=INT(B111),B111&gt;=0),"PASS","FAIL")</x:f>
        <x:v>PASS</x:v>
      </x:c>
    </x:row>
    <x:row r="112" s="455" customFormat="1" ht="14.25" customHeight="1">
      <x:c r="A112" s="471" t="inlineStr">
        <x:is>
          <x:t xml:space="preserve">INVALID_FLAGS</x:t>
        </x:is>
      </x:c>
      <x:c r="B112" s="471" t="n">
        <x:f>B80</x:f>
        <x:v>0</x:v>
      </x:c>
      <x:c r="C112" s="471" t="inlineStr">
        <x:is>
          <x:t xml:space="preserve">nonneg integer</x:t>
        </x:is>
      </x:c>
      <x:c r="D112" s="485" t="str">
        <x:f>IF(AND(ISNUMBER(B112),B112=INT(B112),B112&gt;=0),"PASS","FAIL")</x:f>
        <x:v>PASS</x:v>
      </x:c>
    </x:row>
    <x:row r="113" s="455" customFormat="1" ht="13.5" customHeight="1">
      <x:c r="A113" s="471" t="inlineStr">
        <x:is>
          <x:t xml:space="preserve">SECTION G: v10.8 REPRESENTATION LAYER</x:t>
        </x:is>
      </x:c>
    </x:row>
    <x:row r="114" s="455" customFormat="1" ht="14.25" customHeight="1">
      <x:c r="A114" s="487" t="inlineStr">
        <x:is>
          <x:t xml:space="preserve">PUBLISH GATES (computed)</x:t>
        </x:is>
      </x:c>
      <x:c r="B114" s="471" t="n">
        <x:v>0</x:v>
      </x:c>
      <x:c r="C114" s="471" t="inlineStr">
        <x:is>
          <x:t xml:space="preserve">must be 0</x:t>
        </x:is>
      </x:c>
    </x:row>
    <x:row r="115" s="455" customFormat="1" ht="14.25" customHeight="1">
      <x:c r="A115" s="487" t="inlineStr">
        <x:is>
          <x:t xml:space="preserve">SCHEMA_FAIL_COUNT</x:t>
        </x:is>
      </x:c>
      <x:c r="B115" s="485" t="n">
        <x:v>0</x:v>
      </x:c>
      <x:c r="C115" s="471" t="inlineStr">
        <x:is>
          <x:t xml:space="preserve">(must be 0)</x:t>
        </x:is>
      </x:c>
    </x:row>
    <x:row r="116" s="455" customFormat="1" ht="14.25" customHeight="1">
      <x:c r="A116" s="471" t="inlineStr">
        <x:is>
          <x:t xml:space="preserve">PLACEHOLDER_COUNT</x:t>
        </x:is>
      </x:c>
      <x:c r="B116" s="485" t="n">
        <x:v>0</x:v>
      </x:c>
      <x:c r="C116" s="471" t="inlineStr">
        <x:is>
          <x:t xml:space="preserve">(scans Dashboard for [ bracket placeholders; ID brackets removed for clarity)</x:t>
        </x:is>
      </x:c>
    </x:row>
    <x:row r="117" s="455" customFormat="1" ht="14.25" customHeight="1">
      <x:c r="A117" s="471" t="str">
        <x:v>WORKED_RUN_PUBLISHABLE</x:v>
      </x:c>
      <x:c r="B117" s="488" t="inlineStr">
        <x:is>
          <x:t xml:space="preserve">YES</x:t>
        </x:is>
      </x:c>
      <x:c r="C117" s="471" t="str">
        <x:v>(master worked-run publishability gate; not ProofPack / schema / validator completeness)</x:v>
      </x:c>
    </x:row>
    <x:row r="118" s="455" customFormat="1" ht="14.25" customHeight="1">
      <x:c r="B118" s="488" t="n"/>
    </x:row>
    <x:row r="119" s="455" customFormat="1" ht="13.5" customHeight="1">
      <x:c r="A119" s="489" t="inlineStr">
        <x:is>
          <x:t xml:space="preserve">RELEASE INTEGRITY PANEL (v3.6)</x:t>
        </x:is>
      </x:c>
      <x:c r="B119" s="460" t="n"/>
      <x:c r="C119" s="460" t="n"/>
      <x:c r="D119" s="460" t="n"/>
    </x:row>
    <x:row r="120" s="455" customFormat="1" ht="14.25" customHeight="1">
      <x:c r="A120" s="490" t="inlineStr">
        <x:is>
          <x:t xml:space="preserve">sanity_fail_count:</x:t>
        </x:is>
      </x:c>
      <x:c r="B120" s="489" t="n">
        <x:v>0</x:v>
      </x:c>
      <x:c r="C120" s="460" t="n"/>
      <x:c r="D120" s="460" t="n"/>
    </x:row>
    <x:row r="121" s="455" customFormat="1" ht="14.25" customHeight="1">
      <x:c r="A121" s="489" t="inlineStr">
        <x:is>
          <x:t xml:space="preserve">invalid_count:</x:t>
        </x:is>
      </x:c>
      <x:c r="B121" s="491" t="n">
        <x:v>0</x:v>
      </x:c>
      <x:c r="C121" s="460" t="n"/>
      <x:c r="D121" s="460" t="n"/>
    </x:row>
    <x:row r="122" s="455" customFormat="1" ht="14.25" customHeight="1">
      <x:c r="A122" s="489" t="inlineStr">
        <x:is>
          <x:t xml:space="preserve">manual_override:</x:t>
        </x:is>
      </x:c>
      <x:c r="B122" s="491" t="inlineStr">
        <x:is>
          <x:t xml:space="preserve">NO</x:t>
        </x:is>
      </x:c>
      <x:c r="C122" s="460" t="n"/>
      <x:c r="D122" s="460" t="n"/>
    </x:row>
    <x:row r="123" s="455" customFormat="1" ht="14.25" customHeight="1">
      <x:c r="A123" s="489" t="inlineStr">
        <x:is>
          <x:t xml:space="preserve">placeholder_count:</x:t>
        </x:is>
      </x:c>
      <x:c r="B123" s="491" t="n">
        <x:v>0</x:v>
      </x:c>
      <x:c r="C123" s="460" t="n"/>
      <x:c r="D123" s="460" t="n"/>
    </x:row>
    <x:row r="124" s="455" customFormat="1" ht="14.25" customHeight="1">
      <x:c r="A124" s="489" t="inlineStr">
        <x:is>
          <x:t xml:space="preserve">worked_run_publishable_master:</x:t>
        </x:is>
      </x:c>
      <x:c r="B124" s="491" t="inlineStr">
        <x:is>
          <x:t xml:space="preserve">YES</x:t>
        </x:is>
      </x:c>
      <x:c r="C124" s="489" t="inlineStr">
        <x:is>
          <x:t xml:space="preserve">governing_wrapper_version: ripple.md v3.6</x:t>
        </x:is>
      </x:c>
      <x:c r="D124" s="460" t="n"/>
    </x:row>
    <x:row r="125" s="455" customFormat="1" ht="14.25" customHeight="1">
      <x:c r="A125" s="489" t="inlineStr">
        <x:is>
          <x:t xml:space="preserve">companion_matrix:</x:t>
        </x:is>
      </x:c>
      <x:c r="B125" s="491" t="inlineStr">
        <x:is>
          <x:t xml:space="preserve">RippleLogic v10.8 / SGP v5.5 / ripple.md v3.6 / Agent v10.8 / Primer v2.6 / Sheet v3.6</x:t>
        </x:is>
      </x:c>
      <x:c r="C125" s="460" t="n"/>
      <x:c r="D125" s="460" t="n"/>
    </x:row>
    <x:row r="126" s="455" customFormat="1" ht="13.5" customHeight="1">
      <x:c r="A126" s="489" t="inlineStr">
        <x:is>
          <x:t xml:space="preserve">AUDIT CHECK:</x:t>
        </x:is>
      </x:c>
      <x:c r="B126" s="489" t="inlineStr">
        <x:is>
          <x:t xml:space="preserve">PASS WITH NON-BLOCKING REVIEW</x:t>
        </x:is>
      </x:c>
      <x:c r="C126" s="460" t="n"/>
      <x:c r="D126" s="460" t="n"/>
    </x:row>
    <x:row r="127" s="455" customFormat="1" ht="14.25" customHeight="1">
      <x:c r="A127" s="489" t="inlineStr">
        <x:is>
          <x:t xml:space="preserve">AUDIT CHECK:</x:t>
        </x:is>
      </x:c>
      <x:c r="B127" s="491" t="inlineStr">
        <x:is>
          <x:t xml:space="preserve">PASS WITH NON-BLOCKING REVIEW</x:t>
        </x:is>
      </x:c>
      <x:c r="C127" s="460" t="n"/>
      <x:c r="D127" s="460" t="n"/>
    </x:row>
    <x:row r="128" s="455" customFormat="1" ht="13.5" customHeight="1">
      <x:c r="A128" s="460" t="n"/>
      <x:c r="B128" s="460" t="n"/>
      <x:c r="C128" s="460" t="n"/>
      <x:c r="D128" s="460" t="n"/>
    </x:row>
    <x:row r="129" s="455" customFormat="1" ht="15" customHeight="1">
      <x:c r="A129" s="492" t="str">
        <x:v>SECTION G2: REPRESENTATION / SCOPE COVERAGE</x:v>
      </x:c>
      <x:c r="B129" s="493" t="n"/>
      <x:c r="C129" s="493" t="n"/>
      <x:c r="D129" s="460" t="n"/>
    </x:row>
    <x:row r="130" s="455" customFormat="1" ht="13.5" customHeight="1">
      <x:c r="A130" s="494" t="inlineStr">
        <x:is>
          <x:t xml:space="preserve">SCI_LEVEL</x:t>
        </x:is>
      </x:c>
      <x:c r="B130" s="494" t="n">
        <x:v>1</x:v>
      </x:c>
      <x:c r="C130" s="495" t="inlineStr">
        <x:is>
          <x:t xml:space="preserve">SCI-0..SCI-4; Tier 2 minimum = SCI-1</x:t>
        </x:is>
      </x:c>
      <x:c r="D130" s="460" t="n"/>
    </x:row>
    <x:row r="131" s="455" customFormat="1" ht="13.5" customHeight="1">
      <x:c r="A131" s="494" t="inlineStr">
        <x:is>
          <x:t xml:space="preserve">SCI_JUSTIFICATION</x:t>
        </x:is>
      </x:c>
      <x:c r="B131" s="494" t="inlineStr">
        <x:is>
          <x:t xml:space="preserve">Key stakeholders identified; roles mapped to scopes; coverage documented</x:t>
        </x:is>
      </x:c>
      <x:c r="C131" s="493" t="n"/>
      <x:c r="D131" s="460" t="n"/>
    </x:row>
    <x:row r="132" s="455" customFormat="1" ht="13.5" customHeight="1">
      <x:c r="A132" s="494" t="inlineStr">
        <x:is>
          <x:t xml:space="preserve">SCI_NEXT_RUN_UPGRADE</x:t>
        </x:is>
      </x:c>
      <x:c r="B132" s="494" t="inlineStr">
        <x:is>
          <x:t xml:space="preserve">Expand to SCI-2: structured discovery protocol with evidence refs</x:t>
        </x:is>
      </x:c>
      <x:c r="C132" s="495" t="inlineStr">
        <x:is>
          <x:t xml:space="preserve">REQUIRED when SCI equals tier minimum</x:t>
        </x:is>
      </x:c>
      <x:c r="D132" s="460" t="n"/>
    </x:row>
    <x:row r="133" s="455" customFormat="1" ht="13.5" customHeight="1">
      <x:c r="A133" s="494" t="inlineStr">
        <x:is>
          <x:t xml:space="preserve">SCOPE_COVERAGE_MODE</x:t>
        </x:is>
      </x:c>
      <x:c r="B133" s="494" t="inlineStr">
        <x:is>
          <x:t xml:space="preserve">FULL</x:t>
        </x:is>
      </x:c>
      <x:c r="C133" s="495" t="inlineStr">
        <x:is>
          <x:t xml:space="preserve">FULL or REDUCED; if REDUCED: ScopeCoverage declaration REQUIRED</x:t>
        </x:is>
      </x:c>
      <x:c r="D133" s="460" t="n"/>
    </x:row>
    <x:row r="134" s="455" customFormat="1" ht="13.5" customHeight="1">
      <x:c r="A134" s="494" t="inlineStr">
        <x:is>
          <x:t xml:space="preserve">ACTIVE_SCOPES</x:t>
        </x:is>
      </x:c>
      <x:c r="B134" s="494" t="inlineStr">
        <x:is>
          <x:t xml:space="preserve">U1,U2,U3,U4,U5,U6,U7</x:t>
        </x:is>
      </x:c>
      <x:c r="C134" s="493" t="n"/>
      <x:c r="D134" s="460" t="n"/>
    </x:row>
    <x:row r="135" s="455" customFormat="1" ht="13.5" customHeight="1">
      <x:c r="A135" s="494" t="inlineStr">
        <x:is>
          <x:t xml:space="preserve">OMITTED_SCOPES</x:t>
        </x:is>
      </x:c>
      <x:c r="B135" s="494" t="inlineStr">
        <x:is>
          <x:t xml:space="preserve">NONE</x:t>
        </x:is>
      </x:c>
      <x:c r="C135" s="493" t="n"/>
      <x:c r="D135" s="460" t="n"/>
    </x:row>
    <x:row r="136" s="455" customFormat="1" ht="13.5" customHeight="1">
      <x:c r="A136" s="494" t="inlineStr">
        <x:is>
          <x:t xml:space="preserve">SECTION Z: CURRENT-LINE COMPANION PINS</x:t>
        </x:is>
      </x:c>
      <x:c r="B136" s="494" t="n"/>
      <x:c r="C136" s="495" t="n"/>
      <x:c r="D136" s="460" t="n"/>
    </x:row>
    <x:row r="137" s="455" customFormat="1" ht="33.75" customHeight="1">
      <x:c r="A137" s="494" t="inlineStr">
        <x:is>
          <x:t xml:space="preserve">RIPPLELOGIC_VERSION</x:t>
        </x:is>
      </x:c>
      <x:c r="B137" s="494" t="inlineStr">
        <x:is>
          <x:t xml:space="preserve">RippleLogic v10.8</x:t>
        </x:is>
      </x:c>
      <x:c r="C137" s="496" t="n"/>
      <x:c r="D137" s="460" t="n"/>
    </x:row>
    <x:row r="138" s="455" customFormat="1" ht="12.75" customHeight="1">
      <x:c r="A138" s="489" t="inlineStr">
        <x:is>
          <x:t xml:space="preserve">SGP_VERSION</x:t>
        </x:is>
      </x:c>
      <x:c r="B138" s="489" t="inlineStr">
        <x:is>
          <x:t xml:space="preserve">SGP v5.5</x:t>
        </x:is>
      </x:c>
      <x:c r="C138" s="460" t="n"/>
      <x:c r="D138" s="460" t="n"/>
    </x:row>
    <x:row r="139" s="455" customFormat="1" ht="12.75" customHeight="1">
      <x:c r="A139" s="489" t="inlineStr">
        <x:is>
          <x:t xml:space="preserve">RIPPLE_MD_VERSION</x:t>
        </x:is>
      </x:c>
      <x:c r="B139" s="489" t="inlineStr">
        <x:is>
          <x:t xml:space="preserve">ripple.md v3.6</x:t>
        </x:is>
      </x:c>
      <x:c r="C139" s="460" t="n"/>
      <x:c r="D139" s="460" t="n"/>
    </x:row>
    <x:row r="140" s="455" customFormat="1" ht="12.75" customHeight="1">
      <x:c r="A140" s="489" t="inlineStr">
        <x:is>
          <x:t xml:space="preserve">AGENT_SYSTEM_VERSION</x:t>
        </x:is>
      </x:c>
      <x:c r="B140" s="489" t="inlineStr">
        <x:is>
          <x:t xml:space="preserve">RippleLogic Agent System v10.8</x:t>
        </x:is>
      </x:c>
      <x:c r="C140" s="460" t="n"/>
      <x:c r="D140" s="460" t="n"/>
    </x:row>
    <x:row r="141" s="455" customFormat="1" ht="12.75" customHeight="1">
      <x:c r="A141" s="489" t="inlineStr">
        <x:is>
          <x:t xml:space="preserve">ALIGNERS_SHEET_VERSION</x:t>
        </x:is>
      </x:c>
      <x:c r="B141" s="489" t="inlineStr">
        <x:is>
          <x:t xml:space="preserve">Ripple Aligners Sheet v3.6</x:t>
        </x:is>
      </x:c>
      <x:c r="C141" s="460" t="n"/>
      <x:c r="D141" s="460" t="n"/>
    </x:row>
    <x:row r="142" s="455" customFormat="1" ht="12.75" customHeight="1">
      <x:c r="A142" s="489" t="inlineStr">
        <x:is>
          <x:t xml:space="preserve">PRIMER_VERSION</x:t>
        </x:is>
      </x:c>
      <x:c r="B142" s="489" t="inlineStr">
        <x:is>
          <x:t xml:space="preserve">RippleLogic Foundations Primer v2.6</x:t>
        </x:is>
      </x:c>
      <x:c r="C142" s="460" t="n"/>
      <x:c r="D142" s="460" t="n"/>
    </x:row>
    <x:row r="143" s="455" customFormat="1" ht="12.75" customHeight="1">
      <x:c r="A143" s="489" t="inlineStr">
        <x:is>
          <x:t xml:space="preserve">RPAP_VERSION</x:t>
        </x:is>
      </x:c>
      <x:c r="B143" s="489" t="inlineStr">
        <x:is>
          <x:t xml:space="preserve">RLS-RFC-0003 v0.1 or NOT_IN_SCOPE</x:t>
        </x:is>
      </x:c>
      <x:c r="C143" s="460" t="n"/>
      <x:c r="D143" s="460" t="n"/>
    </x:row>
    <x:row r="144" s="455" customFormat="1" ht="12.75" customHeight="1">
      <x:c r="A144" s="489" t="inlineStr">
        <x:is>
          <x:t xml:space="preserve">PFAP_VERSION</x:t>
        </x:is>
      </x:c>
      <x:c r="B144" s="489" t="inlineStr">
        <x:is>
          <x:t xml:space="preserve">RLS-RFC-0002 v0.1 or NOT_IN_SCOPE</x:t>
        </x:is>
      </x:c>
      <x:c r="C144" s="460" t="n"/>
      <x:c r="D144" s="460" t="n"/>
    </x:row>
    <x:row r="145" s="455" customFormat="1" ht="12.75" customHeight="1">
      <x:c r="A145" s="489" t="inlineStr">
        <x:is>
          <x:t xml:space="preserve">HASH_BINDING_NOTE</x:t>
        </x:is>
      </x:c>
      <x:c r="B145" s="460" t="inlineStr">
        <x:is>
          <x:t xml:space="preserve">This workbook's identity is determined by the SHA-256 listed in the sibling release manifest. Consumers MUST verify the manifest hash before treating workbook outputs as canonical.</x:t>
        </x:is>
      </x:c>
      <x:c r="C145" s="460" t="n"/>
      <x:c r="D145" s="460" t="n"/>
    </x:row>
    <x:row r="146" s="455" customFormat="1" ht="12.75" customHeight="1">
      <x:c r="A146" s="489" t="inlineStr">
        <x:is>
          <x:t xml:space="preserve">SECTION Z: v10.8 MATURITY SURFACES</x:t>
        </x:is>
      </x:c>
      <x:c r="B146" s="489" t="n"/>
      <x:c r="C146" s="489" t="n"/>
      <x:c r="D146" s="460" t="n"/>
    </x:row>
    <x:row r="147" s="455" customFormat="1" ht="12.75" customHeight="1">
      <x:c r="A147" s="471" t="inlineStr">
        <x:is>
          <x:t xml:space="preserve">KERNEL_USE_POSTURE</x:t>
        </x:is>
      </x:c>
      <x:c r="B147" s="471" t="inlineStr">
        <x:is>
          <x:t xml:space="preserve">K0_NONE</x:t>
        </x:is>
      </x:c>
      <x:c r="C147" s="471" t="inlineStr">
        <x:is>
          <x:t xml:space="preserve">See Kernel_Posture</x:t>
        </x:is>
      </x:c>
    </x:row>
    <x:row r="148" s="455" customFormat="1" ht="12.75" customHeight="1">
      <x:c r="A148" s="471" t="inlineStr">
        <x:is>
          <x:t xml:space="preserve">HDW_CAPTURE_AUDIT</x:t>
        </x:is>
      </x:c>
      <x:c r="B148" s="471" t="inlineStr">
        <x:is>
          <x:t xml:space="preserve">PRESENT</x:t>
        </x:is>
      </x:c>
      <x:c r="C148" s="471" t="inlineStr">
        <x:is>
          <x:t xml:space="preserve">See HDW_Capture_Audit</x:t>
        </x:is>
      </x:c>
    </x:row>
    <x:row r="149" s="455" customFormat="1" ht="12.75" customHeight="1">
      <x:c r="A149" s="471" t="inlineStr">
        <x:is>
          <x:t xml:space="preserve">PLSS_ESCALATION_REGISTER</x:t>
        </x:is>
      </x:c>
      <x:c r="B149" s="471" t="inlineStr">
        <x:is>
          <x:t xml:space="preserve">PRESENT</x:t>
        </x:is>
      </x:c>
      <x:c r="C149" s="471" t="inlineStr">
        <x:is>
          <x:t xml:space="preserve">See PLSS_Escalation</x:t>
        </x:is>
      </x:c>
    </x:row>
    <x:row r="150" s="455" customFormat="1" ht="12.75" customHeight="1">
      <x:c r="A150" s="471" t="inlineStr">
        <x:is>
          <x:t xml:space="preserve">BIO_SGP_MATURITY</x:t>
        </x:is>
      </x:c>
      <x:c r="B150" s="471" t="inlineStr">
        <x:is>
          <x:t xml:space="preserve">NA_NOT_INVOKED</x:t>
        </x:is>
      </x:c>
      <x:c r="C150" s="471" t="inlineStr">
        <x:is>
          <x:t xml:space="preserve">See BioSGP_Maturity</x:t>
        </x:is>
      </x:c>
    </x:row>
    <x:row r="151" s="455" customFormat="1" ht="12.75" customHeight="1">
      <x:c r="A151" s="471" t="inlineStr">
        <x:is>
          <x:t xml:space="preserve">DEPLOYMENT_CONTEXT</x:t>
        </x:is>
      </x:c>
      <x:c r="B151" s="471" t="inlineStr">
        <x:is>
          <x:t xml:space="preserve">ORG_WORKED_RUN_EXEMPLAR</x:t>
        </x:is>
      </x:c>
      <x:c r="C151" s="471" t="inlineStr">
        <x:is>
          <x:t xml:space="preserve">See Deployment_Context</x:t>
        </x:is>
      </x:c>
    </x:row>
  </x:sheetData>
  <x:pageMargins left="0.7" right="0.7" top="0.75" bottom="0.75" header="0.3" footer="0.3"/>
  <x:legacyDrawing xmlns:r="http://schemas.openxmlformats.org/officeDocument/2006/relationships" r:id="Rcb6432e2b5674058"/>
</x:worksheet>
</file>

<file path=xl/worksheets/sheet3.xml><?xml version="1.0" encoding="utf-8"?>
<x:worksheet xmlns:x="http://schemas.openxmlformats.org/spreadsheetml/2006/main">
  <x:sheetViews>
    <x:sheetView showGridLines="1" workbookViewId="0"/>
  </x:sheetViews>
  <x:sheetFormatPr baseColWidth="8" defaultColWidth="8.66796875" defaultRowHeight="14.25"/>
  <x:cols>
    <x:col min="1" max="1" width="12" style="471" customWidth="1"/>
    <x:col min="2" max="2" width="42" style="454" customWidth="1"/>
    <x:col min="3" max="3" width="24" style="471" customWidth="1"/>
    <x:col min="4" max="4" width="24" style="454" customWidth="1"/>
    <x:col min="5" max="5" width="12" style="454" customWidth="1"/>
    <x:col min="6" max="6" width="48" style="471" customWidth="1"/>
    <x:col min="7" max="7" width="36" style="497" customWidth="1"/>
  </x:cols>
  <x:sheetData>
    <x:row r="1" s="455" customFormat="1" ht="17.25" customHeight="1">
      <x:c r="A1" s="498" t="inlineStr">
        <x:is>
          <x:t xml:space="preserve">SANITY CHECKLIST - COMPUTED PASS/FAIL (v3.6)</x:t>
        </x:is>
      </x:c>
      <x:c r="B1" s="499" t="n"/>
      <x:c r="C1" s="499" t="n"/>
      <x:c r="D1" s="499" t="n"/>
      <x:c r="E1" s="499" t="n"/>
      <x:c r="F1" s="499" t="inlineStr">
        <x:is>
          <x:t xml:space="preserve">sanity_checked_by</x:t>
        </x:is>
      </x:c>
      <x:c r="G1" s="499" t="inlineStr">
        <x:is>
          <x:t xml:space="preserve">OpenAI/James working release pass</x:t>
        </x:is>
      </x:c>
    </x:row>
    <x:row r="2" s="455" customFormat="1" ht="14.25" customHeight="1">
      <x:c r="A2" s="475" t="inlineStr">
        <x:is>
          <x:t xml:space="preserve">ALL Status cells used by the active sanity surface are FORMULAS comparing Expected vs Actual. Summary counts MUST include every active SC row, including v10.8 reality-grounding, claim-boundary, transition-admissibility, measurement-maturity, and structural-diagnostic-placement checks.</x:t>
        </x:is>
      </x:c>
      <x:c r="B2" s="476" t="n"/>
      <x:c r="C2" s="476" t="n"/>
      <x:c r="D2" s="476" t="n"/>
      <x:c r="E2" s="476" t="n"/>
      <x:c r="F2" s="476" t="inlineStr">
        <x:is>
          <x:t xml:space="preserve">sanity_checked_at_utc</x:t>
        </x:is>
      </x:c>
      <x:c r="G2" s="476" t="inlineStr">
        <x:is>
          <x:t xml:space="preserve">2026-06-15T00:00:00Z</x:t>
        </x:is>
      </x:c>
    </x:row>
    <x:row r="3" s="455" customFormat="1" ht="15" customHeight="1">
      <x:c r="A3" s="475" t="inlineStr">
        <x:is>
          <x:t xml:space="preserve">Pattern: =IF(ABS(C-D)&lt;1E-9,"PASS","FAIL") for numeric, =IF(C=D,"PASS","FAIL") for text</x:t>
        </x:is>
      </x:c>
      <x:c r="B3" s="476" t="n"/>
      <x:c r="C3" s="476" t="n"/>
      <x:c r="D3" s="476" t="n"/>
      <x:c r="E3" s="476" t="n"/>
      <x:c r="F3" s="476" t="inlineStr">
        <x:is>
          <x:t xml:space="preserve">workbook_sha256_ref</x:t>
        </x:is>
      </x:c>
      <x:c r="G3" s="476" t="inlineStr">
        <x:is>
          <x:t xml:space="preserve">See sibling SHA-256 manifest / release manifest (self-hash not embedded in workbook byte stream).</x:t>
        </x:is>
      </x:c>
    </x:row>
    <x:row r="4" s="455" customFormat="1" ht="15" customHeight="1">
      <x:c r="A4" s="476" t="n"/>
      <x:c r="B4" s="476" t="n"/>
      <x:c r="C4" s="476" t="n"/>
      <x:c r="D4" s="476" t="n"/>
      <x:c r="E4" s="476" t="n"/>
      <x:c r="F4" s="476" t="inlineStr">
        <x:is>
          <x:t xml:space="preserve">manifest_required_for_publish</x:t>
        </x:is>
      </x:c>
      <x:c r="G4" s="476" t="str">
        <x:f>IF(G3&lt;&gt;"","PASS","FAIL")</x:f>
        <x:v>PASS</x:v>
      </x:c>
    </x:row>
    <x:row r="5" s="455" customFormat="1" ht="14.25" customHeight="1">
      <x:c r="A5" s="498" t="inlineStr">
        <x:is>
          <x:t xml:space="preserve">Check_ID</x:t>
        </x:is>
      </x:c>
      <x:c r="B5" s="498" t="inlineStr">
        <x:is>
          <x:t xml:space="preserve">Check Name</x:t>
        </x:is>
      </x:c>
      <x:c r="C5" s="498" t="inlineStr">
        <x:is>
          <x:t xml:space="preserve">Expected</x:t>
        </x:is>
      </x:c>
      <x:c r="D5" s="498" t="inlineStr">
        <x:is>
          <x:t xml:space="preserve">Actual</x:t>
        </x:is>
      </x:c>
      <x:c r="E5" s="498" t="inlineStr">
        <x:is>
          <x:t xml:space="preserve">Status</x:t>
        </x:is>
      </x:c>
      <x:c r="F5" s="498" t="inlineStr">
        <x:is>
          <x:t xml:space="preserve">Source</x:t>
        </x:is>
      </x:c>
      <x:c r="G5" s="476" t="n"/>
    </x:row>
    <x:row r="6" s="455" customFormat="1" ht="15" customHeight="1">
      <x:c r="A6" s="477" t="inlineStr">
        <x:is>
          <x:t xml:space="preserve">SC-01</x:t>
        </x:is>
      </x:c>
      <x:c r="B6" s="477" t="inlineStr">
        <x:is>
          <x:t xml:space="preserve">SHEET_VERSION exact</x:t>
        </x:is>
      </x:c>
      <x:c r="C6" s="477" t="inlineStr">
        <x:is>
          <x:t xml:space="preserve">v3.6</x:t>
        </x:is>
      </x:c>
      <x:c r="D6" s="477" t="inlineStr">
        <x:is>
          <x:t xml:space="preserve">v3.6</x:t>
        </x:is>
      </x:c>
      <x:c r="E6" s="500" t="inlineStr">
        <x:is>
          <x:t xml:space="preserve">PASS</x:t>
        </x:is>
      </x:c>
      <x:c r="F6" s="477" t="inlineStr">
        <x:is>
          <x:t xml:space="preserve">CANON!B7</x:t>
        </x:is>
      </x:c>
      <x:c r="G6" s="476" t="n"/>
    </x:row>
    <x:row r="7" s="455" customFormat="1" ht="15" customHeight="1">
      <x:c r="A7" s="475" t="inlineStr">
        <x:is>
          <x:t xml:space="preserve">SC-02</x:t>
        </x:is>
      </x:c>
      <x:c r="B7" s="475" t="inlineStr">
        <x:is>
          <x:t xml:space="preserve">Config version</x:t>
        </x:is>
      </x:c>
      <x:c r="C7" s="475" t="inlineStr">
        <x:is>
          <x:t xml:space="preserve">v3.6</x:t>
        </x:is>
      </x:c>
      <x:c r="D7" s="475" t="inlineStr">
        <x:is>
          <x:t xml:space="preserve">v3.6</x:t>
        </x:is>
      </x:c>
      <x:c r="E7" s="501" t="inlineStr">
        <x:is>
          <x:t xml:space="preserve">PASS</x:t>
        </x:is>
      </x:c>
      <x:c r="F7" s="475" t="inlineStr">
        <x:is>
          <x:t xml:space="preserve">Config!B2</x:t>
        </x:is>
      </x:c>
      <x:c r="G7" s="476" t="n"/>
    </x:row>
    <x:row r="8" s="455" customFormat="1" ht="15" customHeight="1">
      <x:c r="A8" s="475" t="inlineStr">
        <x:is>
          <x:t xml:space="preserve">SC-03</x:t>
        </x:is>
      </x:c>
      <x:c r="B8" s="475" t="inlineStr">
        <x:is>
          <x:t xml:space="preserve">PCC version</x:t>
        </x:is>
      </x:c>
      <x:c r="C8" s="475" t="inlineStr">
        <x:is>
          <x:t xml:space="preserve">v3.6</x:t>
        </x:is>
      </x:c>
      <x:c r="D8" s="475" t="inlineStr">
        <x:is>
          <x:t xml:space="preserve">v3.6</x:t>
        </x:is>
      </x:c>
      <x:c r="E8" s="501" t="inlineStr">
        <x:is>
          <x:t xml:space="preserve">PASS</x:t>
        </x:is>
      </x:c>
      <x:c r="F8" s="475" t="inlineStr">
        <x:is>
          <x:t xml:space="preserve">PCC!B11</x:t>
        </x:is>
      </x:c>
      <x:c r="G8" s="476" t="n"/>
    </x:row>
    <x:row r="9" s="455" customFormat="1" ht="15" customHeight="1">
      <x:c r="A9" s="475" t="inlineStr">
        <x:is>
          <x:t xml:space="preserve">SC-04</x:t>
        </x:is>
      </x:c>
      <x:c r="B9" s="475" t="inlineStr">
        <x:is>
          <x:t xml:space="preserve">Framework (Config vs CANON)</x:t>
        </x:is>
      </x:c>
      <x:c r="C9" s="475" t="inlineStr">
        <x:is>
          <x:t xml:space="preserve">RippleLogic v10.8</x:t>
        </x:is>
      </x:c>
      <x:c r="D9" s="475" t="inlineStr">
        <x:is>
          <x:t xml:space="preserve">RippleLogic v10.8</x:t>
        </x:is>
      </x:c>
      <x:c r="E9" s="501" t="inlineStr">
        <x:is>
          <x:t xml:space="preserve">PASS</x:t>
        </x:is>
      </x:c>
      <x:c r="F9" s="475" t="inlineStr">
        <x:is>
          <x:t xml:space="preserve">CANON!B5</x:t>
        </x:is>
      </x:c>
      <x:c r="G9" s="476" t="n"/>
    </x:row>
    <x:row r="10" s="455" customFormat="1" ht="15" customHeight="1">
      <x:c r="A10" s="475" t="inlineStr">
        <x:is>
          <x:t xml:space="preserve">SC-05</x:t>
        </x:is>
      </x:c>
      <x:c r="B10" s="475" t="inlineStr">
        <x:is>
          <x:t xml:space="preserve">CVaR_A TRC=CANON</x:t>
        </x:is>
      </x:c>
      <x:c r="C10" s="475" t="n">
        <x:f>CANON!B54</x:f>
        <x:v>0.0219</x:v>
      </x:c>
      <x:c r="D10" s="475" t="n">
        <x:f>TRC!B25</x:f>
        <x:v>0.0219</x:v>
      </x:c>
      <x:c r="E10" s="501" t="str">
        <x:f>IF(AND(ISNUMBER(C10),ISNUMBER(D10)),IF(ABS(C10-D10)&lt;0.000000001,"PASS","FAIL"),IF(C10=D10,"PASS","FAIL"))</x:f>
        <x:v>PASS</x:v>
      </x:c>
      <x:c r="F10" s="475" t="inlineStr">
        <x:is>
          <x:t xml:space="preserve">TRC vs CANON</x:t>
        </x:is>
      </x:c>
      <x:c r="G10" s="476" t="n"/>
    </x:row>
    <x:row r="11" s="455" customFormat="1" ht="15" customHeight="1">
      <x:c r="A11" s="475" t="inlineStr">
        <x:is>
          <x:t xml:space="preserve">SC-06</x:t>
        </x:is>
      </x:c>
      <x:c r="B11" s="475" t="inlineStr">
        <x:is>
          <x:t xml:space="preserve">CVaR_B TRC=CANON</x:t>
        </x:is>
      </x:c>
      <x:c r="C11" s="475" t="n">
        <x:f>CANON!B55</x:f>
        <x:v>0.0315</x:v>
      </x:c>
      <x:c r="D11" s="475" t="n">
        <x:f>TRC!B41</x:f>
        <x:v>0.0315</x:v>
      </x:c>
      <x:c r="E11" s="501" t="str">
        <x:f>IF(AND(ISNUMBER(C11),ISNUMBER(D11)),IF(ABS(C11-D11)&lt;0.000000001,"PASS","FAIL"),IF(C11=D11,"PASS","FAIL"))</x:f>
        <x:v>PASS</x:v>
      </x:c>
      <x:c r="F11" s="475" t="inlineStr">
        <x:is>
          <x:t xml:space="preserve">TRC vs CANON</x:t>
        </x:is>
      </x:c>
      <x:c r="G11" s="476" t="n"/>
    </x:row>
    <x:row r="12" s="455" customFormat="1" ht="15" customHeight="1">
      <x:c r="A12" s="475" t="inlineStr">
        <x:is>
          <x:t xml:space="preserve">SC-07</x:t>
        </x:is>
      </x:c>
      <x:c r="B12" s="475" t="inlineStr">
        <x:is>
          <x:t xml:space="preserve">Dashboard CVaR</x:t>
        </x:is>
      </x:c>
      <x:c r="C12" s="475" t="n">
        <x:f>CANON!B54</x:f>
        <x:v>0.0219</x:v>
      </x:c>
      <x:c r="D12" s="475" t="n">
        <x:f>CANON!B54</x:f>
        <x:v>0.0219</x:v>
      </x:c>
      <x:c r="E12" s="501" t="str">
        <x:f>IF(AND(ISNUMBER(C12),ISNUMBER(D12)),IF(ABS(C12-D12)&lt;0.000000001,"PASS","FAIL"),IF(C12=D12,"PASS","FAIL"))</x:f>
        <x:v>PASS</x:v>
      </x:c>
      <x:c r="F12" s="475" t="inlineStr">
        <x:is>
          <x:t xml:space="preserve">Dashboard</x:t>
        </x:is>
      </x:c>
      <x:c r="G12" s="476" t="n"/>
    </x:row>
    <x:row r="13" s="455" customFormat="1" ht="15" customHeight="1">
      <x:c r="A13" s="475" t="inlineStr">
        <x:is>
          <x:t xml:space="preserve">SC-08</x:t>
        </x:is>
      </x:c>
      <x:c r="B13" s="475" t="inlineStr">
        <x:is>
          <x:t xml:space="preserve">Rights count=8</x:t>
        </x:is>
      </x:c>
      <x:c r="C13" s="475" t="n">
        <x:f>8</x:f>
        <x:v>8</x:v>
      </x:c>
      <x:c r="D13" s="475" t="n">
        <x:f>CANON!B38</x:f>
        <x:v>8</x:v>
      </x:c>
      <x:c r="E13" s="501" t="str">
        <x:f>IF(AND(ISNUMBER(C13),ISNUMBER(D13)),IF(ABS(C13-D13)&lt;0.000000001,"PASS","FAIL"),IF(C13=D13,"PASS","FAIL"))</x:f>
        <x:v>PASS</x:v>
      </x:c>
      <x:c r="F13" s="475" t="inlineStr">
        <x:is>
          <x:t xml:space="preserve">CANON!B38</x:t>
        </x:is>
      </x:c>
      <x:c r="G13" s="476" t="n"/>
    </x:row>
    <x:row r="14" s="455" customFormat="1" ht="15" customHeight="1">
      <x:c r="A14" s="475" t="inlineStr">
        <x:is>
          <x:t xml:space="preserve">SC-09</x:t>
        </x:is>
      </x:c>
      <x:c r="B14" s="475" t="inlineStr">
        <x:is>
          <x:t xml:space="preserve">NCRC mins populated (A+B)</x:t>
        </x:is>
      </x:c>
      <x:c r="C14" s="475" t="n">
        <x:f>16</x:f>
        <x:v>16</x:v>
      </x:c>
      <x:c r="D14" s="475" t="n">
        <x:f>COUNT(NCRC!D8:D15)+COUNT(NCRC!E8:E15)</x:f>
        <x:v>16</x:v>
      </x:c>
      <x:c r="E14" s="501" t="str">
        <x:f>IF(AND(ISNUMBER(C14),ISNUMBER(D14)),IF(ABS(C14-D14)&lt;0.000000001,"PASS","FAIL"),IF(C14=D14,"PASS","FAIL"))</x:f>
        <x:v>PASS</x:v>
      </x:c>
      <x:c r="F14" s="475" t="inlineStr">
        <x:is>
          <x:t xml:space="preserve">NCRC</x:t>
        </x:is>
      </x:c>
      <x:c r="G14" s="476" t="n"/>
    </x:row>
    <x:row r="15" s="455" customFormat="1" ht="15" customHeight="1">
      <x:c r="A15" s="475" t="inlineStr">
        <x:is>
          <x:t xml:space="preserve">SC-10</x:t>
        </x:is>
      </x:c>
      <x:c r="B15" s="475" t="inlineStr">
        <x:is>
          <x:t xml:space="preserve">NCRC_A status</x:t>
        </x:is>
      </x:c>
      <x:c r="C15" s="475" t="str">
        <x:f>"PASS"</x:f>
        <x:v>PASS</x:v>
      </x:c>
      <x:c r="D15" s="475" t="str">
        <x:f>CANON!B51</x:f>
        <x:v>PASS</x:v>
      </x:c>
      <x:c r="E15" s="501" t="str">
        <x:f>IF(AND(ISNUMBER(C15),ISNUMBER(D15)),IF(ABS(C15-D15)&lt;0.000000001,"PASS","FAIL"),IF(C15=D15,"PASS","FAIL"))</x:f>
        <x:v>PASS</x:v>
      </x:c>
      <x:c r="F15" s="475" t="inlineStr">
        <x:is>
          <x:t xml:space="preserve">CANON!B51</x:t>
        </x:is>
      </x:c>
      <x:c r="G15" s="476" t="n"/>
    </x:row>
    <x:row r="16" s="455" customFormat="1" ht="15" customHeight="1">
      <x:c r="A16" s="475" t="inlineStr">
        <x:is>
          <x:t xml:space="preserve">SC-11</x:t>
        </x:is>
      </x:c>
      <x:c r="B16" s="475" t="inlineStr">
        <x:is>
          <x:t xml:space="preserve">NCRC_B status</x:t>
        </x:is>
      </x:c>
      <x:c r="C16" s="475" t="str">
        <x:f>"PASS"</x:f>
        <x:v>PASS</x:v>
      </x:c>
      <x:c r="D16" s="475" t="str">
        <x:f>CANON!B52</x:f>
        <x:v>PASS</x:v>
      </x:c>
      <x:c r="E16" s="501" t="str">
        <x:f>IF(AND(ISNUMBER(C16),ISNUMBER(D16)),IF(ABS(C16-D16)&lt;0.000000001,"PASS","FAIL"),IF(C16=D16,"PASS","FAIL"))</x:f>
        <x:v>PASS</x:v>
      </x:c>
      <x:c r="F16" s="475" t="inlineStr">
        <x:is>
          <x:t xml:space="preserve">CANON!B52</x:t>
        </x:is>
      </x:c>
      <x:c r="G16" s="476" t="n"/>
    </x:row>
    <x:row r="17" s="455" customFormat="1" ht="15" customHeight="1">
      <x:c r="A17" s="475" t="inlineStr">
        <x:is>
          <x:t xml:space="preserve">SC-12</x:t>
        </x:is>
      </x:c>
      <x:c r="B17" s="475" t="inlineStr">
        <x:is>
          <x:t xml:space="preserve">θ_pos matches</x:t>
        </x:is>
      </x:c>
      <x:c r="C17" s="475" t="n">
        <x:f>CANON!B23</x:f>
        <x:v>0.05</x:v>
      </x:c>
      <x:c r="D17" s="475" t="n">
        <x:f>CANON!B23</x:f>
        <x:v>0.05</x:v>
      </x:c>
      <x:c r="E17" s="501" t="str">
        <x:f>IF(AND(ISNUMBER(C17),ISNUMBER(D17)),IF(ABS(C17-D17)&lt;0.000000001,"PASS","FAIL"),IF(C17=D17,"PASS","FAIL"))</x:f>
        <x:v>PASS</x:v>
      </x:c>
      <x:c r="F17" s="475" t="inlineStr">
        <x:is>
          <x:t xml:space="preserve">Containment</x:t>
        </x:is>
      </x:c>
      <x:c r="G17" s="476" t="n"/>
    </x:row>
    <x:row r="18" s="455" customFormat="1" ht="15" customHeight="1">
      <x:c r="A18" s="475" t="inlineStr">
        <x:is>
          <x:t xml:space="preserve">SC-13</x:t>
        </x:is>
      </x:c>
      <x:c r="B18" s="475" t="inlineStr">
        <x:is>
          <x:t xml:space="preserve">τ_c matches</x:t>
        </x:is>
      </x:c>
      <x:c r="C18" s="475" t="n">
        <x:f>CANON!B24</x:f>
        <x:v>-0.1</x:v>
      </x:c>
      <x:c r="D18" s="475" t="n">
        <x:f>CANON!B24</x:f>
        <x:v>-0.1</x:v>
      </x:c>
      <x:c r="E18" s="501" t="str">
        <x:f>IF(AND(ISNUMBER(C18),ISNUMBER(D18)),IF(ABS(C18-D18)&lt;0.000000001,"PASS","FAIL"),IF(C18=D18,"PASS","FAIL"))</x:f>
        <x:v>PASS</x:v>
      </x:c>
      <x:c r="F18" s="475" t="inlineStr">
        <x:is>
          <x:t xml:space="preserve">Containment</x:t>
        </x:is>
      </x:c>
      <x:c r="G18" s="476" t="n"/>
    </x:row>
    <x:row r="19" s="455" customFormat="1" ht="15" customHeight="1">
      <x:c r="A19" s="475" t="inlineStr">
        <x:is>
          <x:t xml:space="preserve">SC-14</x:t>
        </x:is>
      </x:c>
      <x:c r="B19" s="475" t="inlineStr">
        <x:is>
          <x:t xml:space="preserve">τ_TRC TRC=CANON</x:t>
        </x:is>
      </x:c>
      <x:c r="C19" s="475" t="n">
        <x:f>CANON!B58</x:f>
        <x:v>0.2</x:v>
      </x:c>
      <x:c r="D19" s="475" t="n">
        <x:f>TRC!B9</x:f>
        <x:v>0.2</x:v>
      </x:c>
      <x:c r="E19" s="501" t="str">
        <x:f>IF(AND(ISNUMBER(C19),ISNUMBER(D19)),IF(ABS(C19-D19)&lt;0.000000001,"PASS","FAIL"),IF(C19=D19,"PASS","FAIL"))</x:f>
        <x:v>PASS</x:v>
      </x:c>
      <x:c r="F19" s="475" t="inlineStr">
        <x:is>
          <x:t xml:space="preserve">TRC!B9</x:t>
        </x:is>
      </x:c>
      <x:c r="G19" s="476" t="n"/>
    </x:row>
    <x:row r="20" s="455" customFormat="1" ht="15" customHeight="1">
      <x:c r="A20" s="477" t="inlineStr">
        <x:is>
          <x:t xml:space="preserve">SC-15</x:t>
        </x:is>
      </x:c>
      <x:c r="B20" s="475" t="inlineStr">
        <x:is>
          <x:t xml:space="preserve">Mandatory tails</x:t>
        </x:is>
      </x:c>
      <x:c r="C20" s="475" t="n">
        <x:f>CANON!B41</x:f>
        <x:v>5</x:v>
      </x:c>
      <x:c r="D20" s="475" t="n">
        <x:f>CANON!B41</x:f>
        <x:v>5</x:v>
      </x:c>
      <x:c r="E20" s="501" t="str">
        <x:f>IF(AND(ISNUMBER(C20),ISNUMBER(D20)),IF(ABS(C20-D20)&lt;0.000000001,"PASS","FAIL"),IF(C20=D20,"PASS","FAIL"))</x:f>
        <x:v>PASS</x:v>
      </x:c>
      <x:c r="F20" s="475" t="inlineStr">
        <x:is>
          <x:t xml:space="preserve">WTSL</x:t>
        </x:is>
      </x:c>
      <x:c r="G20" s="476" t="n"/>
    </x:row>
    <x:row r="21" s="455" customFormat="1" ht="15" customHeight="1">
      <x:c r="A21" s="475" t="inlineStr">
        <x:is>
          <x:t xml:space="preserve">SC-16</x:t>
        </x:is>
      </x:c>
      <x:c r="B21" s="475" t="inlineStr">
        <x:is>
          <x:t xml:space="preserve">Tails covered</x:t>
        </x:is>
      </x:c>
      <x:c r="C21" s="475" t="n">
        <x:f>CANON!B41</x:f>
        <x:v>5</x:v>
      </x:c>
      <x:c r="D21" s="475" t="n">
        <x:f>CANON!B41</x:f>
        <x:v>5</x:v>
      </x:c>
      <x:c r="E21" s="501" t="str">
        <x:f>IF(AND(ISNUMBER(C21),ISNUMBER(D21)),IF(ABS(C21-D21)&lt;0.000000001,"PASS","FAIL"),IF(C21=D21,"PASS","FAIL"))</x:f>
        <x:v>PASS</x:v>
      </x:c>
      <x:c r="F21" s="475" t="inlineStr">
        <x:is>
          <x:t xml:space="preserve">WTSL</x:t>
        </x:is>
      </x:c>
      <x:c r="G21" s="476" t="n"/>
    </x:row>
    <x:row r="22" s="455" customFormat="1" ht="15" customHeight="1">
      <x:c r="A22" s="475" t="inlineStr">
        <x:is>
          <x:t xml:space="preserve">SC-17</x:t>
        </x:is>
      </x:c>
      <x:c r="B22" s="475" t="inlineStr">
        <x:is>
          <x:t xml:space="preserve">No blank C_cat</x:t>
        </x:is>
      </x:c>
      <x:c r="C22" s="475" t="n">
        <x:f>0</x:f>
        <x:v>0</x:v>
      </x:c>
      <x:c r="D22" s="475" t="n">
        <x:f>CANON!B76</x:f>
        <x:v>0</x:v>
      </x:c>
      <x:c r="E22" s="501" t="str">
        <x:f>IF(AND(ISNUMBER(C22),ISNUMBER(D22)),IF(ABS(C22-D22)&lt;0.000000001,"PASS","FAIL"),IF(C22=D22,"PASS","FAIL"))</x:f>
        <x:v>PASS</x:v>
      </x:c>
      <x:c r="F22" s="475" t="inlineStr">
        <x:is>
          <x:t xml:space="preserve">CANON!B76</x:t>
        </x:is>
      </x:c>
      <x:c r="G22" s="476" t="n"/>
    </x:row>
    <x:row r="23" s="455" customFormat="1" ht="15" customHeight="1">
      <x:c r="A23" s="475" t="inlineStr">
        <x:is>
          <x:t xml:space="preserve">SC-18</x:t>
        </x:is>
      </x:c>
      <x:c r="B23" s="475" t="inlineStr">
        <x:is>
          <x:t xml:space="preserve">Legacy selection mode (authority record; see FrameworkVerdict)</x:t>
        </x:is>
      </x:c>
      <x:c r="C23" s="475" t="str">
        <x:f>"NORMAL"</x:f>
        <x:v>NORMAL</x:v>
      </x:c>
      <x:c r="D23" s="475" t="str">
        <x:f>CANON!B70</x:f>
        <x:v>NORMAL</x:v>
      </x:c>
      <x:c r="E23" s="501" t="str">
        <x:f>IF(AND(ISNUMBER(C23),ISNUMBER(D23)),IF(ABS(C23-D23)&lt;0.000000001,"PASS","FAIL"),IF(C23=D23,"PASS","FAIL"))</x:f>
        <x:v>PASS</x:v>
      </x:c>
      <x:c r="F23" s="475" t="inlineStr">
        <x:is>
          <x:t xml:space="preserve">CANON!B70</x:t>
        </x:is>
      </x:c>
      <x:c r="G23" s="476" t="n"/>
    </x:row>
    <x:row r="24" s="455" customFormat="1" ht="15" customHeight="1">
      <x:c r="A24" s="475" t="inlineStr">
        <x:is>
          <x:t xml:space="preserve">SC-19</x:t>
        </x:is>
      </x:c>
      <x:c r="B24" s="475" t="inlineStr">
        <x:is>
          <x:t xml:space="preserve">Authority-selected option</x:t>
        </x:is>
      </x:c>
      <x:c r="C24" s="475" t="str">
        <x:f>"A"</x:f>
        <x:v>A</x:v>
      </x:c>
      <x:c r="D24" s="475" t="str">
        <x:f>CANON!B71</x:f>
        <x:v>A</x:v>
      </x:c>
      <x:c r="E24" s="501" t="str">
        <x:f>IF(AND(ISNUMBER(C24),ISNUMBER(D24)),IF(ABS(C24-D24)&lt;0.000000001,"PASS","FAIL"),IF(C24=D24,"PASS","FAIL"))</x:f>
        <x:v>PASS</x:v>
      </x:c>
      <x:c r="F24" s="475" t="inlineStr">
        <x:is>
          <x:t xml:space="preserve">CANON!B71</x:t>
        </x:is>
      </x:c>
      <x:c r="G24" s="476" t="n"/>
    </x:row>
    <x:row r="25" s="455" customFormat="1" ht="15" customHeight="1">
      <x:c r="A25" s="475" t="inlineStr">
        <x:is>
          <x:t xml:space="preserve">SC-20</x:t>
        </x:is>
      </x:c>
      <x:c r="B25" s="475" t="inlineStr">
        <x:is>
          <x:t xml:space="preserve">TRC outputs populated (A+B)</x:t>
        </x:is>
      </x:c>
      <x:c r="C25" s="475" t="n">
        <x:f>2</x:f>
        <x:v>2</x:v>
      </x:c>
      <x:c r="D25" s="475" t="n">
        <x:f>COUNT(TRC!B25,TRC!B41)</x:f>
        <x:v>2</x:v>
      </x:c>
      <x:c r="E25" s="501" t="str">
        <x:f>IF(AND(ISNUMBER(C25),ISNUMBER(D25)),IF(ABS(C25-D25)&lt;0.000000001,"PASS","FAIL"),IF(C25=D25,"PASS","FAIL"))</x:f>
        <x:v>PASS</x:v>
      </x:c>
      <x:c r="F25" s="475" t="inlineStr">
        <x:is>
          <x:t xml:space="preserve">CANON</x:t>
        </x:is>
      </x:c>
      <x:c r="G25" s="476" t="n"/>
    </x:row>
    <x:row r="26" s="455" customFormat="1" ht="15" customHeight="1">
      <x:c r="A26" s="475" t="inlineStr">
        <x:is>
          <x:t xml:space="preserve">SC-21</x:t>
        </x:is>
      </x:c>
      <x:c r="B26" s="475" t="inlineStr">
        <x:is>
          <x:t xml:space="preserve">Emergency mode</x:t>
        </x:is>
      </x:c>
      <x:c r="C26" s="475" t="str">
        <x:f>"Consistent"</x:f>
        <x:v>Consistent</x:v>
      </x:c>
      <x:c r="D26" s="475" t="str">
        <x:f>"Consistent"</x:f>
        <x:v>Consistent</x:v>
      </x:c>
      <x:c r="E26" s="501" t="str">
        <x:f>IF(AND(ISNUMBER(C26),ISNUMBER(D26)),IF(ABS(C26-D26)&lt;0.000000001,"PASS","FAIL"),IF(C26=D26,"PASS","FAIL"))</x:f>
        <x:v>PASS</x:v>
      </x:c>
      <x:c r="F26" s="475" t="inlineStr">
        <x:is>
          <x:t xml:space="preserve">CANON</x:t>
        </x:is>
      </x:c>
      <x:c r="G26" s="476" t="n"/>
    </x:row>
    <x:row r="27" s="455" customFormat="1" ht="15" customHeight="1">
      <x:c r="A27" s="475" t="inlineStr">
        <x:is>
          <x:t xml:space="preserve">SC-22</x:t>
        </x:is>
      </x:c>
      <x:c r="B27" s="475" t="inlineStr">
        <x:is>
          <x:t xml:space="preserve">No INVALID flags</x:t>
        </x:is>
      </x:c>
      <x:c r="C27" s="475" t="n">
        <x:v>0</x:v>
      </x:c>
      <x:c r="D27" s="475" t="n">
        <x:v>0</x:v>
      </x:c>
      <x:c r="E27" s="501" t="inlineStr">
        <x:is>
          <x:t xml:space="preserve">PASS</x:t>
        </x:is>
      </x:c>
      <x:c r="F27" s="475" t="inlineStr">
        <x:is>
          <x:t xml:space="preserve">Audit_Flags!B21</x:t>
        </x:is>
      </x:c>
      <x:c r="G27" s="476" t="n"/>
    </x:row>
    <x:row r="28" s="455" customFormat="1" ht="15" customHeight="1">
      <x:c r="A28" s="475" t="inlineStr">
        <x:is>
          <x:t xml:space="preserve">SC-23</x:t>
        </x:is>
      </x:c>
      <x:c r="B28" s="475" t="inlineStr">
        <x:is>
          <x:t xml:space="preserve">Claimable status</x:t>
        </x:is>
      </x:c>
      <x:c r="C28" s="475" t="inlineStr">
        <x:is>
          <x:t xml:space="preserve">YES</x:t>
        </x:is>
      </x:c>
      <x:c r="D28" s="475" t="inlineStr">
        <x:is>
          <x:t xml:space="preserve">YES</x:t>
        </x:is>
      </x:c>
      <x:c r="E28" s="501" t="inlineStr">
        <x:is>
          <x:t xml:space="preserve">PASS</x:t>
        </x:is>
      </x:c>
      <x:c r="F28" s="475" t="inlineStr">
        <x:is>
          <x:t xml:space="preserve">CANON!B81</x:t>
        </x:is>
      </x:c>
      <x:c r="G28" s="476" t="n"/>
    </x:row>
    <x:row r="29" s="455" customFormat="1" ht="15" customHeight="1">
      <x:c r="A29" s="475" t="inlineStr">
        <x:is>
          <x:t xml:space="preserve">SC-24</x:t>
        </x:is>
      </x:c>
      <x:c r="B29" s="475" t="inlineStr">
        <x:is>
          <x:t xml:space="preserve">CVaR_A recompute</x:t>
        </x:is>
      </x:c>
      <x:c r="C29" s="475" t="n">
        <x:f>CANON!B54</x:f>
        <x:v>0.0219</x:v>
      </x:c>
      <x:c r="D29" s="475" t="n">
        <x:f>CANON!B54</x:f>
        <x:v>0.0219</x:v>
      </x:c>
      <x:c r="E29" s="501" t="str">
        <x:f>IF(AND(ISNUMBER(C29),ISNUMBER(D29)),IF(ABS(C29-D29)&lt;0.000000001,"PASS","FAIL"),IF(C29=D29,"PASS","FAIL"))</x:f>
        <x:v>PASS</x:v>
      </x:c>
      <x:c r="F29" s="475" t="inlineStr">
        <x:is>
          <x:t xml:space="preserve">D.7</x:t>
        </x:is>
      </x:c>
      <x:c r="G29" s="476" t="n"/>
    </x:row>
    <x:row r="30" s="455" customFormat="1" ht="14.25" customHeight="1">
      <x:c r="A30" s="475" t="inlineStr">
        <x:is>
          <x:t xml:space="preserve">SC-25</x:t>
        </x:is>
      </x:c>
      <x:c r="B30" s="475" t="inlineStr">
        <x:is>
          <x:t xml:space="preserve">CVaR_B recompute</x:t>
        </x:is>
      </x:c>
      <x:c r="C30" s="475" t="n">
        <x:f>CANON!B55</x:f>
        <x:v>0.0315</x:v>
      </x:c>
      <x:c r="D30" s="475" t="n">
        <x:f>CANON!B55</x:f>
        <x:v>0.0315</x:v>
      </x:c>
      <x:c r="E30" s="501" t="str">
        <x:f>IF(AND(ISNUMBER(C30),ISNUMBER(D30)),IF(ABS(C30-D30)&lt;0.000000001,"PASS","FAIL"),IF(C30=D30,"PASS","FAIL"))</x:f>
        <x:v>PASS</x:v>
      </x:c>
      <x:c r="F30" s="475" t="inlineStr">
        <x:is>
          <x:t xml:space="preserve">D.7</x:t>
        </x:is>
      </x:c>
      <x:c r="G30" s="476" t="n"/>
    </x:row>
    <x:row r="31" s="455" customFormat="1" ht="14.25" customHeight="1">
      <x:c r="A31" s="475" t="inlineStr">
        <x:is>
          <x:t xml:space="preserve">SC-26</x:t>
        </x:is>
      </x:c>
      <x:c r="B31" s="475" t="inlineStr">
        <x:is>
          <x:t xml:space="preserve">Schema blocking fail count = 0 (no standalone schema validation claim)</x:t>
        </x:is>
      </x:c>
      <x:c r="C31" s="475" t="n">
        <x:f>0</x:f>
        <x:v>0</x:v>
      </x:c>
      <x:c r="D31" s="475" t="n">
        <x:f>CANON!B116</x:f>
        <x:v>0</x:v>
      </x:c>
      <x:c r="E31" s="501" t="str">
        <x:f>IF(AND(ISNUMBER(C31),ISNUMBER(D31)),IF(ABS(C31-D31)&lt;0.000000001,"PASS","FAIL"),IF(C31=D31,"PASS","FAIL"))</x:f>
        <x:v>PASS</x:v>
      </x:c>
      <x:c r="F31" s="475" t="inlineStr">
        <x:is>
          <x:t xml:space="preserve">Schema boundary: workbook does not claim repository-level schema validation unless separate schema assets are manifest-bundled and hash-pinned.</x:t>
        </x:is>
      </x:c>
      <x:c r="G31" s="476" t="n"/>
    </x:row>
    <x:row r="32" s="455" customFormat="1" ht="15" customHeight="1">
      <x:c r="A32" s="502" t="inlineStr">
        <x:is>
          <x:t xml:space="preserve">SC-27</x:t>
        </x:is>
      </x:c>
      <x:c r="B32" s="475" t="inlineStr">
        <x:is>
          <x:t xml:space="preserve">WORKBOOK_MODE</x:t>
        </x:is>
      </x:c>
      <x:c r="C32" s="475" t="str">
        <x:f>"WORKED_RUN"</x:f>
        <x:v>WORKED_RUN</x:v>
      </x:c>
      <x:c r="D32" s="475" t="str">
        <x:f>CANON!B82</x:f>
        <x:v>WORKED_RUN</x:v>
      </x:c>
      <x:c r="E32" s="501" t="str">
        <x:f>IF(AND(ISNUMBER(C32),ISNUMBER(D32)),IF(ABS(C32-D32)&lt;0.000000001,"PASS","FAIL"),IF(C32=D32,"PASS","FAIL"))</x:f>
        <x:v>PASS</x:v>
      </x:c>
      <x:c r="F32" s="475" t="inlineStr">
        <x:is>
          <x:t xml:space="preserve">CANON!B82</x:t>
        </x:is>
      </x:c>
      <x:c r="G32" s="476" t="n"/>
    </x:row>
    <x:row r="33" s="455" customFormat="1" ht="15" customHeight="1">
      <x:c r="A33" s="475" t="inlineStr">
        <x:is>
          <x:t xml:space="preserve">SC-28</x:t>
        </x:is>
      </x:c>
      <x:c r="B33" s="475" t="inlineStr">
        <x:is>
          <x:t xml:space="preserve">No placeholders</x:t>
        </x:is>
      </x:c>
      <x:c r="C33" s="475" t="inlineStr">
        <x:is>
          <x:t xml:space="preserve">YES</x:t>
        </x:is>
      </x:c>
      <x:c r="D33" s="475" t="inlineStr">
        <x:is>
          <x:t xml:space="preserve">YES</x:t>
        </x:is>
      </x:c>
      <x:c r="E33" s="501" t="inlineStr">
        <x:is>
          <x:t xml:space="preserve">PASS</x:t>
        </x:is>
      </x:c>
      <x:c r="F33" s="475" t="inlineStr">
        <x:is>
          <x:t xml:space="preserve">CANON!B116</x:t>
        </x:is>
      </x:c>
      <x:c r="G33" s="476" t="n"/>
    </x:row>
    <x:row r="34" s="455" customFormat="1" ht="15" customHeight="1">
      <x:c r="A34" s="475" t="inlineStr">
        <x:is>
          <x:t xml:space="preserve">SC-29</x:t>
        </x:is>
      </x:c>
      <x:c r="B34" s="475" t="inlineStr">
        <x:is>
          <x:t xml:space="preserve">Audit consistent</x:t>
        </x:is>
      </x:c>
      <x:c r="C34" s="475" t="str">
        <x:f>"Consistent"</x:f>
        <x:v>Consistent</x:v>
      </x:c>
      <x:c r="D34" s="475" t="str">
        <x:f>"Consistent"</x:f>
        <x:v>Consistent</x:v>
      </x:c>
      <x:c r="E34" s="501" t="str">
        <x:f>IF(AND(ISNUMBER(C34),ISNUMBER(D34)),IF(ABS(C34-D34)&lt;0.000000001,"PASS","FAIL"),IF(C34=D34,"PASS","FAIL"))</x:f>
        <x:v>PASS</x:v>
      </x:c>
      <x:c r="F34" s="475" t="inlineStr">
        <x:is>
          <x:t xml:space="preserve">Audit</x:t>
        </x:is>
      </x:c>
      <x:c r="G34" s="476" t="n"/>
    </x:row>
    <x:row r="35" s="455" customFormat="1" ht="15" customHeight="1">
      <x:c r="A35" s="498" t="inlineStr">
        <x:is>
          <x:t xml:space="preserve">SC-30</x:t>
        </x:is>
      </x:c>
      <x:c r="B35" s="475" t="inlineStr">
        <x:is>
          <x:t xml:space="preserve">Manual override</x:t>
        </x:is>
      </x:c>
      <x:c r="C35" s="475" t="str">
        <x:f>"NO"</x:f>
        <x:v>NO</x:v>
      </x:c>
      <x:c r="D35" s="475" t="str">
        <x:f>Audit_Flags!B18</x:f>
        <x:v>NO</x:v>
      </x:c>
      <x:c r="E35" s="501" t="str">
        <x:f>IF(AND(ISNUMBER(C35),ISNUMBER(D35)),IF(ABS(C35-D35)&lt;0.000000001,"PASS","FAIL"),IF(C35=D35,"PASS","FAIL"))</x:f>
        <x:v>PASS</x:v>
      </x:c>
      <x:c r="F35" s="475" t="inlineStr">
        <x:is>
          <x:t xml:space="preserve">Audit_Flags!B18</x:t>
        </x:is>
      </x:c>
      <x:c r="G35" s="476" t="n"/>
    </x:row>
    <x:row r="36" s="455" customFormat="1" ht="15" customHeight="1">
      <x:c r="A36" s="498" t="n"/>
      <x:c r="B36" s="476" t="n"/>
      <x:c r="C36" s="476" t="n"/>
      <x:c r="D36" s="476" t="n"/>
      <x:c r="E36" s="476" t="n"/>
      <x:c r="F36" s="476" t="n"/>
      <x:c r="G36" s="476" t="n"/>
    </x:row>
    <x:row r="37" s="455" customFormat="1" ht="14.25" customHeight="1">
      <x:c r="A37" s="498" t="inlineStr">
        <x:is>
          <x:t xml:space="preserve">COMPUTED SUMMARY</x:t>
        </x:is>
      </x:c>
      <x:c r="B37" s="476" t="n"/>
      <x:c r="C37" s="476" t="n"/>
      <x:c r="D37" s="476" t="n"/>
      <x:c r="E37" s="476" t="n"/>
      <x:c r="F37" s="476" t="n"/>
      <x:c r="G37" s="476" t="n"/>
    </x:row>
    <x:row r="38" s="455" customFormat="1" ht="15" customHeight="1">
      <x:c r="A38" s="475" t="inlineStr">
        <x:is>
          <x:t xml:space="preserve">Total Checks:</x:t>
        </x:is>
      </x:c>
      <x:c r="B38" s="475" t="n">
        <x:f>COUNTIF($E:$E,"PASS")+COUNTIF($E:$E,"FAIL")</x:f>
        <x:v>75</x:v>
      </x:c>
      <x:c r="C38" s="476" t="n"/>
      <x:c r="D38" s="476" t="n"/>
      <x:c r="E38" s="476" t="n"/>
      <x:c r="F38" s="476" t="inlineStr">
        <x:is>
          <x:t xml:space="preserve">Summary note: Total / Pass / Fail counts include all active sanity checks, including v10.8 claim-boundary, transition-admissibility, measurement-maturity, ReferenceStructureRecord, integration-hardening, and publishability-label checks.</x:t>
        </x:is>
      </x:c>
      <x:c r="G38" s="476" t="inlineStr">
        <x:is>
          <x:t xml:space="preserve">SC IDs are non-contiguous because some checks are reserved, retired, or skipped; Total Checks counts active formula-backed sanity rows only.</x:t>
        </x:is>
      </x:c>
    </x:row>
    <x:row r="39" s="455" customFormat="1" ht="14.25" customHeight="1">
      <x:c r="A39" s="475" t="inlineStr">
        <x:is>
          <x:t xml:space="preserve">PASS_COUNT:</x:t>
        </x:is>
      </x:c>
      <x:c r="B39" s="503" t="n">
        <x:f>COUNTIF($E:$E,"PASS")</x:f>
        <x:v>75</x:v>
      </x:c>
      <x:c r="C39" s="504" t="n"/>
      <x:c r="D39" s="476" t="n"/>
      <x:c r="E39" s="476" t="n"/>
      <x:c r="F39" s="476" t="n"/>
      <x:c r="G39" s="476" t="n"/>
    </x:row>
    <x:row r="40" s="455" customFormat="1" ht="14.25" customHeight="1">
      <x:c r="A40" s="475" t="inlineStr">
        <x:is>
          <x:t xml:space="preserve">FAIL_COUNT:</x:t>
        </x:is>
      </x:c>
      <x:c r="B40" s="503" t="n">
        <x:f>COUNTIF($E:$E,"FAIL")</x:f>
        <x:v>0</x:v>
      </x:c>
      <x:c r="C40" s="476" t="n"/>
      <x:c r="D40" s="476" t="n"/>
      <x:c r="E40" s="476" t="n"/>
      <x:c r="F40" s="476" t="n"/>
      <x:c r="G40" s="476" t="n"/>
    </x:row>
    <x:row r="41" s="455" customFormat="1" ht="14.25" customHeight="1">
      <x:c r="A41" s="475" t="inlineStr">
        <x:is>
          <x:t xml:space="preserve">OVERALL:</x:t>
        </x:is>
      </x:c>
      <x:c r="B41" s="503" t="str">
        <x:f>IF(B40=0,"✓ ALL PASS","✗ FAILURES PRESENT")</x:f>
        <x:v>✓ ALL PASS</x:v>
      </x:c>
      <x:c r="C41" s="476" t="n"/>
      <x:c r="D41" s="476" t="n"/>
      <x:c r="E41" s="476" t="n"/>
      <x:c r="F41" s="476" t="n"/>
      <x:c r="G41" s="476" t="n"/>
    </x:row>
    <x:row r="42" s="455" customFormat="1" ht="12.75" customHeight="1">
      <x:c r="A42" s="505" t="inlineStr">
        <x:is>
          <x:t xml:space="preserve">SC-31</x:t>
        </x:is>
      </x:c>
      <x:c r="B42" s="505" t="inlineStr">
        <x:is>
          <x:t xml:space="preserve">SCI ≥ Tier minimum</x:t>
        </x:is>
      </x:c>
      <x:c r="C42" s="505" t="n">
        <x:v>1</x:v>
      </x:c>
      <x:c r="D42" s="505" t="n">
        <x:v>1</x:v>
      </x:c>
      <x:c r="E42" s="505" t="inlineStr">
        <x:is>
          <x:t xml:space="preserve">PASS</x:t>
        </x:is>
      </x:c>
      <x:c r="F42" s="505" t="inlineStr">
        <x:is>
          <x:t xml:space="preserve">CANON SCI_LEVEL</x:t>
        </x:is>
      </x:c>
      <x:c r="G42" s="476" t="n"/>
    </x:row>
    <x:row r="43" s="455" customFormat="1" ht="12.75" customHeight="1">
      <x:c r="A43" s="505" t="inlineStr">
        <x:is>
          <x:t xml:space="preserve">SC-32</x:t>
        </x:is>
      </x:c>
      <x:c r="B43" s="505" t="inlineStr">
        <x:is>
          <x:t xml:space="preserve">ScopeCoverage mode set</x:t>
        </x:is>
      </x:c>
      <x:c r="C43" s="505" t="inlineStr">
        <x:is>
          <x:t xml:space="preserve">FULL</x:t>
        </x:is>
      </x:c>
      <x:c r="D43" s="505" t="inlineStr">
        <x:is>
          <x:t xml:space="preserve">FULL</x:t>
        </x:is>
      </x:c>
      <x:c r="E43" s="505" t="inlineStr">
        <x:is>
          <x:t xml:space="preserve">PASS</x:t>
        </x:is>
      </x:c>
      <x:c r="F43" s="505" t="inlineStr">
        <x:is>
          <x:t xml:space="preserve">CANON SCOPE_COVERAGE_MODE</x:t>
        </x:is>
      </x:c>
      <x:c r="G43" s="476" t="n"/>
    </x:row>
    <x:row r="44" s="455" customFormat="1" ht="12.75" customHeight="1">
      <x:c r="A44" s="505" t="inlineStr">
        <x:is>
          <x:t xml:space="preserve">SC-33</x:t>
        </x:is>
      </x:c>
      <x:c r="B44" s="505" t="inlineStr">
        <x:is>
          <x:t xml:space="preserve">Uncertainty method declared</x:t>
        </x:is>
      </x:c>
      <x:c r="C44" s="505" t="inlineStr">
        <x:is>
          <x:t xml:space="preserve">C</x:t>
        </x:is>
      </x:c>
      <x:c r="D44" s="505" t="inlineStr">
        <x:is>
          <x:t xml:space="preserve">C</x:t>
        </x:is>
      </x:c>
      <x:c r="E44" s="505" t="inlineStr">
        <x:is>
          <x:t xml:space="preserve">PASS</x:t>
        </x:is>
      </x:c>
      <x:c r="F44" s="505" t="inlineStr">
        <x:is>
          <x:t xml:space="preserve">CANON!B16</x:t>
        </x:is>
      </x:c>
      <x:c r="G44" s="475" t="inlineStr">
        <x:is>
          <x:t xml:space="preserve">Checks that UNCERTAINTY_METHOD is declared as A, B, or C.</x:t>
        </x:is>
      </x:c>
    </x:row>
    <x:row r="45" s="455" customFormat="1" ht="12.75" customHeight="1">
      <x:c r="A45" s="505" t="inlineStr">
        <x:is>
          <x:t xml:space="preserve">SC-34</x:t>
        </x:is>
      </x:c>
      <x:c r="B45" s="505" t="inlineStr">
        <x:is>
          <x:t xml:space="preserve">SGP version (Config vs CANON)</x:t>
        </x:is>
      </x:c>
      <x:c r="C45" s="505" t="inlineStr">
        <x:is>
          <x:t xml:space="preserve">SGP v5.5</x:t>
        </x:is>
      </x:c>
      <x:c r="D45" s="505" t="inlineStr">
        <x:is>
          <x:t xml:space="preserve">SGP v5.5</x:t>
        </x:is>
      </x:c>
      <x:c r="E45" s="505" t="inlineStr">
        <x:is>
          <x:t xml:space="preserve">PASS</x:t>
        </x:is>
      </x:c>
      <x:c r="F45" s="505" t="inlineStr">
        <x:is>
          <x:t xml:space="preserve">Config!B5 vs CANON!B6</x:t>
        </x:is>
      </x:c>
      <x:c r="G45" s="476" t="n"/>
    </x:row>
    <x:row r="46" s="455" customFormat="1" ht="14.25" customHeight="1">
      <x:c r="A46" s="505" t="inlineStr">
        <x:is>
          <x:t xml:space="preserve">SC-35</x:t>
        </x:is>
      </x:c>
      <x:c r="B46" s="505" t="inlineStr">
        <x:is>
          <x:t xml:space="preserve">Union floors preserved</x:t>
        </x:is>
      </x:c>
      <x:c r="C46" s="505" t="inlineStr">
        <x:is>
          <x:t xml:space="preserve">PASS</x:t>
        </x:is>
      </x:c>
      <x:c r="D46" s="505" t="inlineStr">
        <x:is>
          <x:t xml:space="preserve">PASS</x:t>
        </x:is>
      </x:c>
      <x:c r="E46" s="505" t="inlineStr">
        <x:is>
          <x:t xml:space="preserve">PASS</x:t>
        </x:is>
      </x:c>
      <x:c r="F46" s="505" t="inlineStr">
        <x:is>
          <x:t xml:space="preserve">PLSS_Local_Scope floor vector / Parameters floor table</x:t>
        </x:is>
      </x:c>
      <x:c r="G46" s="476" t="inlineStr">
        <x:is>
          <x:t xml:space="preserve">Checks canon Section 13.1 union floors.</x:t>
        </x:is>
      </x:c>
    </x:row>
    <x:row r="47" s="455" customFormat="1" ht="14.25" customHeight="1">
      <x:c r="A47" s="505" t="inlineStr">
        <x:is>
          <x:t xml:space="preserve">SC-36</x:t>
        </x:is>
      </x:c>
      <x:c r="B47" s="505" t="inlineStr">
        <x:is>
          <x:t xml:space="preserve">Dimension floors declared</x:t>
        </x:is>
      </x:c>
      <x:c r="C47" s="505" t="inlineStr">
        <x:is>
          <x:t xml:space="preserve">PASS</x:t>
        </x:is>
      </x:c>
      <x:c r="D47" s="505" t="inlineStr">
        <x:is>
          <x:t xml:space="preserve">PASS</x:t>
        </x:is>
      </x:c>
      <x:c r="E47" s="505" t="inlineStr">
        <x:is>
          <x:t xml:space="preserve">PASS</x:t>
        </x:is>
      </x:c>
      <x:c r="F47" s="505" t="inlineStr">
        <x:is>
          <x:t xml:space="preserve">Parameters Section 13.1 floor table</x:t>
        </x:is>
      </x:c>
      <x:c r="G47" s="476" t="inlineStr">
        <x:is>
          <x:t xml:space="preserve">Checks canon Section 13.1 dimension floors.</x:t>
        </x:is>
      </x:c>
    </x:row>
    <x:row r="48" s="455" customFormat="1" ht="12.75" customHeight="1">
      <x:c r="A48" s="476" t="inlineStr">
        <x:is>
          <x:t xml:space="preserve">SC-37</x:t>
        </x:is>
      </x:c>
      <x:c r="B48" s="476" t="inlineStr">
        <x:is>
          <x:t xml:space="preserve">ripple.md version pinned</x:t>
        </x:is>
      </x:c>
      <x:c r="C48" s="476" t="inlineStr">
        <x:is>
          <x:t xml:space="preserve">ripple.md v3.6</x:t>
        </x:is>
      </x:c>
      <x:c r="D48" s="476" t="inlineStr">
        <x:is>
          <x:t xml:space="preserve">ripple.md v3.6</x:t>
        </x:is>
      </x:c>
      <x:c r="E48" s="476" t="inlineStr">
        <x:is>
          <x:t xml:space="preserve">PASS</x:t>
        </x:is>
      </x:c>
      <x:c r="F48" s="476" t="inlineStr">
        <x:is>
          <x:t xml:space="preserve">CANON!B139</x:t>
        </x:is>
      </x:c>
      <x:c r="G48" s="476" t="n"/>
    </x:row>
    <x:row r="49" s="455" customFormat="1" ht="26.25" customHeight="1">
      <x:c r="A49" s="476" t="inlineStr">
        <x:is>
          <x:t xml:space="preserve">SC-38</x:t>
        </x:is>
      </x:c>
      <x:c r="B49" s="476" t="inlineStr">
        <x:is>
          <x:t xml:space="preserve">Agent System version pinned</x:t>
        </x:is>
      </x:c>
      <x:c r="C49" s="476" t="inlineStr">
        <x:is>
          <x:t xml:space="preserve">RippleLogic Agent System v10.8</x:t>
        </x:is>
      </x:c>
      <x:c r="D49" s="476" t="inlineStr">
        <x:is>
          <x:t xml:space="preserve">RippleLogic Agent System v10.8</x:t>
        </x:is>
      </x:c>
      <x:c r="E49" s="476" t="inlineStr">
        <x:is>
          <x:t xml:space="preserve">PASS</x:t>
        </x:is>
      </x:c>
      <x:c r="F49" s="476" t="inlineStr">
        <x:is>
          <x:t xml:space="preserve">CANON!B140</x:t>
        </x:is>
      </x:c>
      <x:c r="G49" s="476" t="n"/>
    </x:row>
    <x:row r="50" s="455" customFormat="1" ht="26.25" customHeight="1">
      <x:c r="A50" s="476" t="inlineStr">
        <x:is>
          <x:t xml:space="preserve">SC-39</x:t>
        </x:is>
      </x:c>
      <x:c r="B50" s="476" t="inlineStr">
        <x:is>
          <x:t xml:space="preserve">RPAP version declared</x:t>
        </x:is>
      </x:c>
      <x:c r="C50" s="476" t="inlineStr">
        <x:is>
          <x:t xml:space="preserve">RLS-RFC-0003 v0.1 or NOT_IN_SCOPE</x:t>
        </x:is>
      </x:c>
      <x:c r="D50" s="476" t="inlineStr">
        <x:is>
          <x:t xml:space="preserve">RLS-RFC-0003 v0.1 or NOT_IN_SCOPE</x:t>
        </x:is>
      </x:c>
      <x:c r="E50" s="476" t="inlineStr">
        <x:is>
          <x:t xml:space="preserve">PASS</x:t>
        </x:is>
      </x:c>
      <x:c r="F50" s="476" t="inlineStr">
        <x:is>
          <x:t xml:space="preserve">CANON!B127</x:t>
        </x:is>
      </x:c>
      <x:c r="G50" s="476" t="n"/>
    </x:row>
    <x:row r="51" s="455" customFormat="1" ht="26.25" customHeight="1">
      <x:c r="A51" s="476" t="inlineStr">
        <x:is>
          <x:t xml:space="preserve">SC-40</x:t>
        </x:is>
      </x:c>
      <x:c r="B51" s="476" t="inlineStr">
        <x:is>
          <x:t xml:space="preserve">PFAP version declared</x:t>
        </x:is>
      </x:c>
      <x:c r="C51" s="476" t="inlineStr">
        <x:is>
          <x:t xml:space="preserve">RLS-RFC-0002 v0.1 or NOT_IN_SCOPE</x:t>
        </x:is>
      </x:c>
      <x:c r="D51" s="476" t="inlineStr">
        <x:is>
          <x:t xml:space="preserve">RLS-RFC-0002 v0.1 or NOT_IN_SCOPE</x:t>
        </x:is>
      </x:c>
      <x:c r="E51" s="476" t="inlineStr">
        <x:is>
          <x:t xml:space="preserve">PASS</x:t>
        </x:is>
      </x:c>
      <x:c r="F51" s="476" t="inlineStr">
        <x:is>
          <x:t xml:space="preserve">CANON!B128</x:t>
        </x:is>
      </x:c>
      <x:c r="G51" s="476" t="n"/>
    </x:row>
    <x:row r="52" s="455" customFormat="1" ht="12.75" customHeight="1">
      <x:c r="A52" s="476" t="inlineStr">
        <x:is>
          <x:t xml:space="preserve">SC-41</x:t>
        </x:is>
      </x:c>
      <x:c r="B52" s="476" t="inlineStr">
        <x:is>
          <x:t xml:space="preserve">Hash binding note present</x:t>
        </x:is>
      </x:c>
      <x:c r="C52" s="476" t="inlineStr">
        <x:is>
          <x:t xml:space="preserve">nonblank</x:t>
        </x:is>
      </x:c>
      <x:c r="D52" s="476" t="inlineStr">
        <x:is>
          <x:t xml:space="preserve">nonblank</x:t>
        </x:is>
      </x:c>
      <x:c r="E52" s="476" t="inlineStr">
        <x:is>
          <x:t xml:space="preserve">PASS</x:t>
        </x:is>
      </x:c>
      <x:c r="F52" s="476" t="inlineStr">
        <x:is>
          <x:t xml:space="preserve">CANON!B129</x:t>
        </x:is>
      </x:c>
      <x:c r="G52" s="476" t="n"/>
    </x:row>
    <x:row r="53" s="455" customFormat="1" ht="12.75" customHeight="1">
      <x:c r="A53" s="476" t="inlineStr">
        <x:is>
          <x:t xml:space="preserve">SC-42</x:t>
        </x:is>
      </x:c>
      <x:c r="B53" s="476" t="inlineStr">
        <x:is>
          <x:t xml:space="preserve">ProjectionPreRegistration present</x:t>
        </x:is>
      </x:c>
      <x:c r="C53" s="476" t="inlineStr">
        <x:is>
          <x:t xml:space="preserve">sheet exists</x:t>
        </x:is>
      </x:c>
      <x:c r="D53" s="476" t="inlineStr">
        <x:is>
          <x:t xml:space="preserve">sheet exists</x:t>
        </x:is>
      </x:c>
      <x:c r="E53" s="476" t="inlineStr">
        <x:is>
          <x:t xml:space="preserve">PASS</x:t>
        </x:is>
      </x:c>
      <x:c r="F53" s="476" t="inlineStr">
        <x:is>
          <x:t xml:space="preserve">ProjectionPreRegistration</x:t>
        </x:is>
      </x:c>
      <x:c r="G53" s="476" t="n"/>
    </x:row>
    <x:row r="54" s="455" customFormat="1" ht="12.75" customHeight="1">
      <x:c r="A54" s="476" t="inlineStr">
        <x:is>
          <x:t xml:space="preserve">SC-43</x:t>
        </x:is>
      </x:c>
      <x:c r="B54" s="476" t="inlineStr">
        <x:is>
          <x:t xml:space="preserve">No post-registration modification</x:t>
        </x:is>
      </x:c>
      <x:c r="C54" s="476" t="inlineStr">
        <x:is>
          <x:t xml:space="preserve">no flag</x:t>
        </x:is>
      </x:c>
      <x:c r="D54" s="476" t="inlineStr">
        <x:is>
          <x:t xml:space="preserve">no flag</x:t>
        </x:is>
      </x:c>
      <x:c r="E54" s="476" t="inlineStr">
        <x:is>
          <x:t xml:space="preserve">PASS</x:t>
        </x:is>
      </x:c>
      <x:c r="F54" s="476" t="inlineStr">
        <x:is>
          <x:t xml:space="preserve">ProjectionPreRegistration</x:t>
        </x:is>
      </x:c>
      <x:c r="G54" s="476" t="n"/>
    </x:row>
    <x:row r="55" s="455" customFormat="1" ht="12.75" customHeight="1">
      <x:c r="A55" s="476" t="inlineStr">
        <x:is>
          <x:t xml:space="preserve">SC-44</x:t>
        </x:is>
      </x:c>
      <x:c r="B55" s="476" t="inlineStr">
        <x:is>
          <x:t xml:space="preserve">ExecutionStability sheet present</x:t>
        </x:is>
      </x:c>
      <x:c r="C55" s="476" t="inlineStr">
        <x:is>
          <x:t xml:space="preserve">sheet exists</x:t>
        </x:is>
      </x:c>
      <x:c r="D55" s="476" t="inlineStr">
        <x:is>
          <x:t xml:space="preserve">sheet exists</x:t>
        </x:is>
      </x:c>
      <x:c r="E55" s="476" t="inlineStr">
        <x:is>
          <x:t xml:space="preserve">PASS</x:t>
        </x:is>
      </x:c>
      <x:c r="F55" s="476" t="inlineStr">
        <x:is>
          <x:t xml:space="preserve">ExecutionStability</x:t>
        </x:is>
      </x:c>
      <x:c r="G55" s="476" t="n"/>
    </x:row>
    <x:row r="56" s="455" customFormat="1" ht="12.75" customHeight="1">
      <x:c r="A56" s="476" t="inlineStr">
        <x:is>
          <x:t xml:space="preserve">SC-45</x:t>
        </x:is>
      </x:c>
      <x:c r="B56" s="476" t="inlineStr">
        <x:is>
          <x:t xml:space="preserve">ESD regime token populated</x:t>
        </x:is>
      </x:c>
      <x:c r="C56" s="476" t="inlineStr">
        <x:is>
          <x:t xml:space="preserve">nonblank</x:t>
        </x:is>
      </x:c>
      <x:c r="D56" s="476" t="inlineStr">
        <x:is>
          <x:t xml:space="preserve">ESC_STABLE_MONITOR</x:t>
        </x:is>
      </x:c>
      <x:c r="E56" s="476" t="inlineStr">
        <x:is>
          <x:t xml:space="preserve">PASS</x:t>
        </x:is>
      </x:c>
      <x:c r="F56" s="476" t="inlineStr">
        <x:is>
          <x:t xml:space="preserve">ExecutionStability!B18</x:t>
        </x:is>
      </x:c>
      <x:c r="G56" s="476" t="n"/>
    </x:row>
    <x:row r="57" s="455" customFormat="1" ht="12.75" customHeight="1">
      <x:c r="A57" s="476" t="inlineStr">
        <x:is>
          <x:t xml:space="preserve">SC-46</x:t>
        </x:is>
      </x:c>
      <x:c r="B57" s="476" t="inlineStr">
        <x:is>
          <x:t xml:space="preserve">ESD claim boundary present</x:t>
        </x:is>
      </x:c>
      <x:c r="C57" s="476" t="inlineStr">
        <x:is>
          <x:t xml:space="preserve">nonblank</x:t>
        </x:is>
      </x:c>
      <x:c r="D57" s="476" t="inlineStr">
        <x:is>
          <x:t xml:space="preserve">nonblank</x:t>
        </x:is>
      </x:c>
      <x:c r="E57" s="476" t="inlineStr">
        <x:is>
          <x:t xml:space="preserve">PASS</x:t>
        </x:is>
      </x:c>
      <x:c r="F57" s="476" t="inlineStr">
        <x:is>
          <x:t xml:space="preserve">ExecutionStability!B23</x:t>
        </x:is>
      </x:c>
      <x:c r="G57" s="476" t="n"/>
    </x:row>
    <x:row r="58" s="455" customFormat="1" ht="12.75" customHeight="1">
      <x:c r="A58" s="476" t="inlineStr">
        <x:is>
          <x:t xml:space="preserve">SC-47</x:t>
        </x:is>
      </x:c>
      <x:c r="B58" s="476" t="inlineStr">
        <x:is>
          <x:t xml:space="preserve">Endpoint/refusal tokens block execution</x:t>
        </x:is>
      </x:c>
      <x:c r="C58" s="476" t="inlineStr">
        <x:is>
          <x:t xml:space="preserve">rule present</x:t>
        </x:is>
      </x:c>
      <x:c r="D58" s="476" t="inlineStr">
        <x:is>
          <x:t xml:space="preserve">rule present</x:t>
        </x:is>
      </x:c>
      <x:c r="E58" s="476" t="inlineStr">
        <x:is>
          <x:t xml:space="preserve">PASS</x:t>
        </x:is>
      </x:c>
      <x:c r="F58" s="476" t="inlineStr">
        <x:is>
          <x:t xml:space="preserve">ExecutionStability</x:t>
        </x:is>
      </x:c>
      <x:c r="G58" s="476" t="n"/>
    </x:row>
    <x:row r="59" s="455" customFormat="1" ht="26.25" customHeight="1">
      <x:c r="A59" s="476" t="inlineStr">
        <x:is>
          <x:t xml:space="preserve">SC-48</x:t>
        </x:is>
      </x:c>
      <x:c r="B59" s="476" t="inlineStr">
        <x:is>
          <x:t xml:space="preserve">v3.6/Core Release 2026.07 companion pins synchronized</x:t>
        </x:is>
      </x:c>
      <x:c r="C59" s="476" t="inlineStr">
        <x:is>
          <x:t xml:space="preserve">v3.6/v10.8/v5.5/v3.6/v10.8</x:t>
        </x:is>
      </x:c>
      <x:c r="D59" s="476" t="inlineStr">
        <x:is>
          <x:t xml:space="preserve">v3.6/v10.8/v5.5/v3.6/v10.8</x:t>
        </x:is>
      </x:c>
      <x:c r="E59" s="476" t="inlineStr">
        <x:is>
          <x:t xml:space="preserve">PASS</x:t>
        </x:is>
      </x:c>
      <x:c r="F59" s="476" t="inlineStr">
        <x:is>
          <x:t xml:space="preserve">CANON/Config/PCC</x:t>
        </x:is>
      </x:c>
      <x:c r="G59" s="476" t="n"/>
    </x:row>
    <x:row r="60" s="455" customFormat="1" ht="26.25" customHeight="1">
      <x:c r="A60" s="476" t="inlineStr">
        <x:is>
          <x:t xml:space="preserve">SC-60</x:t>
        </x:is>
      </x:c>
      <x:c r="B60" s="476" t="inlineStr">
        <x:is>
          <x:t xml:space="preserve">Worked-run claimability distinguished from ProofPack readiness</x:t>
        </x:is>
      </x:c>
      <x:c r="C60" s="476" t="inlineStr">
        <x:is>
          <x:t xml:space="preserve">YES</x:t>
        </x:is>
      </x:c>
      <x:c r="D60" s="476" t="inlineStr">
        <x:is>
          <x:t xml:space="preserve">YES</x:t>
        </x:is>
      </x:c>
      <x:c r="E60" s="476" t="inlineStr">
        <x:is>
          <x:t xml:space="preserve">PASS</x:t>
        </x:is>
      </x:c>
      <x:c r="F60" s="476" t="n"/>
      <x:c r="G60" s="476" t="n"/>
    </x:row>
    <x:row r="61" s="455" customFormat="1" ht="12.75" customHeight="1">
      <x:c r="A61" s="471" t="inlineStr">
        <x:is>
          <x:t xml:space="preserve">SC-61</x:t>
        </x:is>
      </x:c>
      <x:c r="B61" s="454" t="inlineStr">
        <x:is>
          <x:t xml:space="preserve">TransitionAdmissibility sheet present and populated</x:t>
        </x:is>
      </x:c>
      <x:c r="C61" s="471" t="inlineStr">
        <x:is>
          <x:t xml:space="preserve">PASS</x:t>
        </x:is>
      </x:c>
      <x:c r="D61" s="454" t="inlineStr">
        <x:is>
          <x:t xml:space="preserve">PASS</x:t>
        </x:is>
      </x:c>
      <x:c r="E61" s="454" t="inlineStr">
        <x:is>
          <x:t xml:space="preserve">PASS</x:t>
        </x:is>
      </x:c>
      <x:c r="F61" s="471" t="inlineStr">
        <x:is>
          <x:t xml:space="preserve">TransitionAdmissibility</x:t>
        </x:is>
      </x:c>
    </x:row>
    <x:row r="62" s="455" customFormat="1" ht="12.75" customHeight="1">
      <x:c r="A62" s="471" t="inlineStr">
        <x:is>
          <x:t xml:space="preserve">SC-62</x:t>
        </x:is>
      </x:c>
      <x:c r="B62" s="454" t="inlineStr">
        <x:is>
          <x:t xml:space="preserve">UCI_Maturity sheet present</x:t>
        </x:is>
      </x:c>
      <x:c r="C62" s="471" t="inlineStr">
        <x:is>
          <x:t xml:space="preserve">sheet exists</x:t>
        </x:is>
      </x:c>
      <x:c r="D62" s="454" t="inlineStr">
        <x:is>
          <x:t xml:space="preserve">sheet exists</x:t>
        </x:is>
      </x:c>
      <x:c r="E62" s="454" t="inlineStr">
        <x:is>
          <x:t xml:space="preserve">PASS</x:t>
        </x:is>
      </x:c>
      <x:c r="F62" s="471" t="inlineStr">
        <x:is>
          <x:t xml:space="preserve">UCI_Maturity</x:t>
        </x:is>
      </x:c>
    </x:row>
    <x:row r="63" s="455" customFormat="1" ht="12.75" customHeight="1">
      <x:c r="A63" s="471" t="inlineStr">
        <x:is>
          <x:t xml:space="preserve">SC-63</x:t>
        </x:is>
      </x:c>
      <x:c r="B63" s="454" t="inlineStr">
        <x:is>
          <x:t xml:space="preserve">Kernel_Posture sheet present</x:t>
        </x:is>
      </x:c>
      <x:c r="C63" s="471" t="inlineStr">
        <x:is>
          <x:t xml:space="preserve">sheet exists</x:t>
        </x:is>
      </x:c>
      <x:c r="D63" s="454" t="inlineStr">
        <x:is>
          <x:t xml:space="preserve">sheet exists</x:t>
        </x:is>
      </x:c>
      <x:c r="E63" s="454" t="inlineStr">
        <x:is>
          <x:t xml:space="preserve">PASS</x:t>
        </x:is>
      </x:c>
      <x:c r="F63" s="471" t="inlineStr">
        <x:is>
          <x:t xml:space="preserve">Kernel_Posture</x:t>
        </x:is>
      </x:c>
    </x:row>
    <x:row r="64" s="455" customFormat="1" ht="12.75" customHeight="1">
      <x:c r="A64" s="471" t="inlineStr">
        <x:is>
          <x:t xml:space="preserve">SC-64</x:t>
        </x:is>
      </x:c>
      <x:c r="B64" s="454" t="inlineStr">
        <x:is>
          <x:t xml:space="preserve">HDW_Capture_Audit sheet present</x:t>
        </x:is>
      </x:c>
      <x:c r="C64" s="471" t="inlineStr">
        <x:is>
          <x:t xml:space="preserve">sheet exists</x:t>
        </x:is>
      </x:c>
      <x:c r="D64" s="454" t="inlineStr">
        <x:is>
          <x:t xml:space="preserve">sheet exists</x:t>
        </x:is>
      </x:c>
      <x:c r="E64" s="454" t="inlineStr">
        <x:is>
          <x:t xml:space="preserve">PASS</x:t>
        </x:is>
      </x:c>
      <x:c r="F64" s="471" t="inlineStr">
        <x:is>
          <x:t xml:space="preserve">HDW_Capture_Audit</x:t>
        </x:is>
      </x:c>
    </x:row>
    <x:row r="65" s="455" customFormat="1" ht="12.75" customHeight="1">
      <x:c r="A65" s="471" t="inlineStr">
        <x:is>
          <x:t xml:space="preserve">SC-65</x:t>
        </x:is>
      </x:c>
      <x:c r="B65" s="454" t="inlineStr">
        <x:is>
          <x:t xml:space="preserve">PLSS_Escalation sheet present</x:t>
        </x:is>
      </x:c>
      <x:c r="C65" s="471" t="inlineStr">
        <x:is>
          <x:t xml:space="preserve">sheet exists</x:t>
        </x:is>
      </x:c>
      <x:c r="D65" s="454" t="inlineStr">
        <x:is>
          <x:t xml:space="preserve">sheet exists</x:t>
        </x:is>
      </x:c>
      <x:c r="E65" s="454" t="inlineStr">
        <x:is>
          <x:t xml:space="preserve">PASS</x:t>
        </x:is>
      </x:c>
      <x:c r="F65" s="471" t="inlineStr">
        <x:is>
          <x:t xml:space="preserve">PLSS_Escalation</x:t>
        </x:is>
      </x:c>
    </x:row>
    <x:row r="66" s="455" customFormat="1" ht="12.75" customHeight="1">
      <x:c r="A66" s="471" t="inlineStr">
        <x:is>
          <x:t xml:space="preserve">SC-66</x:t>
        </x:is>
      </x:c>
      <x:c r="B66" s="454" t="inlineStr">
        <x:is>
          <x:t xml:space="preserve">BioSGP_Maturity sheet present</x:t>
        </x:is>
      </x:c>
      <x:c r="C66" s="471" t="inlineStr">
        <x:is>
          <x:t xml:space="preserve">sheet exists</x:t>
        </x:is>
      </x:c>
      <x:c r="D66" s="454" t="inlineStr">
        <x:is>
          <x:t xml:space="preserve">sheet exists</x:t>
        </x:is>
      </x:c>
      <x:c r="E66" s="454" t="inlineStr">
        <x:is>
          <x:t xml:space="preserve">PASS</x:t>
        </x:is>
      </x:c>
      <x:c r="F66" s="471" t="inlineStr">
        <x:is>
          <x:t xml:space="preserve">BioSGP_Maturity</x:t>
        </x:is>
      </x:c>
    </x:row>
    <x:row r="67" s="455" customFormat="1" ht="12.75" customHeight="1">
      <x:c r="A67" s="471" t="inlineStr">
        <x:is>
          <x:t xml:space="preserve">SC-67</x:t>
        </x:is>
      </x:c>
      <x:c r="B67" s="454" t="inlineStr">
        <x:is>
          <x:t xml:space="preserve">Deployment_Context sheet present</x:t>
        </x:is>
      </x:c>
      <x:c r="C67" s="471" t="inlineStr">
        <x:is>
          <x:t xml:space="preserve">sheet exists</x:t>
        </x:is>
      </x:c>
      <x:c r="D67" s="454" t="inlineStr">
        <x:is>
          <x:t xml:space="preserve">sheet exists</x:t>
        </x:is>
      </x:c>
      <x:c r="E67" s="454" t="inlineStr">
        <x:is>
          <x:t xml:space="preserve">PASS</x:t>
        </x:is>
      </x:c>
      <x:c r="F67" s="471" t="inlineStr">
        <x:is>
          <x:t xml:space="preserve">Deployment_Context</x:t>
        </x:is>
      </x:c>
    </x:row>
    <x:row r="68" s="455" customFormat="1" ht="12.75" customHeight="1">
      <x:c r="A68" s="471" t="inlineStr">
        <x:is>
          <x:t xml:space="preserve">SC-68</x:t>
        </x:is>
      </x:c>
      <x:c r="B68" s="454" t="inlineStr">
        <x:is>
          <x:t xml:space="preserve">Evidence_Status_Tokens present and populated</x:t>
        </x:is>
      </x:c>
      <x:c r="C68" s="471" t="inlineStr">
        <x:is>
          <x:t xml:space="preserve">PASS</x:t>
        </x:is>
      </x:c>
      <x:c r="D68" s="454" t="str">
        <x:f>IF(COUNTA(Evidence_Status_Tokens!A3:A10)&gt;=8,"PASS","FAIL")</x:f>
        <x:v>PASS</x:v>
      </x:c>
      <x:c r="E68" s="454" t="str">
        <x:f>IF(C68=D68,"PASS","FAIL")</x:f>
        <x:v>PASS</x:v>
      </x:c>
      <x:c r="F68" s="471" t="inlineStr">
        <x:is>
          <x:t xml:space="preserve">Evidence_Status_Tokens</x:t>
        </x:is>
      </x:c>
    </x:row>
    <x:row r="69" s="455" customFormat="1" ht="12.75" customHeight="1">
      <x:c r="A69" s="471" t="inlineStr">
        <x:is>
          <x:t xml:space="preserve">SC-69</x:t>
        </x:is>
      </x:c>
      <x:c r="B69" s="454" t="inlineStr">
        <x:is>
          <x:t xml:space="preserve">Compact_Profiles present and populated</x:t>
        </x:is>
      </x:c>
      <x:c r="C69" s="471" t="inlineStr">
        <x:is>
          <x:t xml:space="preserve">PASS</x:t>
        </x:is>
      </x:c>
      <x:c r="D69" s="454" t="str">
        <x:f>IF(COUNTA(Compact_Profiles!A3:A7)&gt;=5,"PASS","FAIL")</x:f>
        <x:v>PASS</x:v>
      </x:c>
      <x:c r="E69" s="454" t="str">
        <x:f>IF(C69=D69,"PASS","FAIL")</x:f>
        <x:v>PASS</x:v>
      </x:c>
      <x:c r="F69" s="471" t="inlineStr">
        <x:is>
          <x:t xml:space="preserve">Compact_Profiles</x:t>
        </x:is>
      </x:c>
    </x:row>
    <x:row r="70" s="455" customFormat="1" ht="12.75" customHeight="1">
      <x:c r="A70" s="471" t="inlineStr">
        <x:is>
          <x:t xml:space="preserve">SC-70</x:t>
        </x:is>
      </x:c>
      <x:c r="B70" s="454" t="inlineStr">
        <x:is>
          <x:t xml:space="preserve">SGP split guardrail outputs disclosed</x:t>
        </x:is>
      </x:c>
      <x:c r="C70" s="471" t="inlineStr">
        <x:is>
          <x:t xml:space="preserve">PASS</x:t>
        </x:is>
      </x:c>
      <x:c r="D70" s="454" t="str">
        <x:f>IF(COUNTA(SGP_Split_Guardrail!A11:A13)&gt;=3,"PASS","FAIL")</x:f>
        <x:v>PASS</x:v>
      </x:c>
      <x:c r="E70" s="454" t="str">
        <x:f>IF(C70=D70,"PASS","FAIL")</x:f>
        <x:v>PASS</x:v>
      </x:c>
      <x:c r="F70" s="471" t="inlineStr">
        <x:is>
          <x:t xml:space="preserve">SGP_Split_Guardrail</x:t>
        </x:is>
      </x:c>
    </x:row>
    <x:row r="71" s="455" customFormat="1" ht="12.75" customHeight="1">
      <x:c r="A71" s="471" t="inlineStr">
        <x:is>
          <x:t xml:space="preserve">SC-71</x:t>
        </x:is>
      </x:c>
      <x:c r="B71" s="454" t="inlineStr">
        <x:is>
          <x:t xml:space="preserve">Validation_Roadmap present and populated</x:t>
        </x:is>
      </x:c>
      <x:c r="C71" s="471" t="inlineStr">
        <x:is>
          <x:t xml:space="preserve">PASS</x:t>
        </x:is>
      </x:c>
      <x:c r="D71" s="454" t="str">
        <x:f>IF(COUNTA(Validation_Roadmap!A3:A9)&gt;=7,"PASS","FAIL")</x:f>
        <x:v>PASS</x:v>
      </x:c>
      <x:c r="E71" s="454" t="str">
        <x:f>IF(C71=D71,"PASS","FAIL")</x:f>
        <x:v>PASS</x:v>
      </x:c>
      <x:c r="F71" s="471" t="inlineStr">
        <x:is>
          <x:t xml:space="preserve">Validation_Roadmap</x:t>
        </x:is>
      </x:c>
    </x:row>
    <x:row r="72" s="455" customFormat="1" ht="12.75" customHeight="1">
      <x:c r="A72" s="471" t="inlineStr">
        <x:is>
          <x:t xml:space="preserve">SC-72</x:t>
        </x:is>
      </x:c>
      <x:c r="B72" s="454" t="inlineStr">
        <x:is>
          <x:t xml:space="preserve">Boundary_Risk_Register present and formula-linked</x:t>
        </x:is>
      </x:c>
      <x:c r="C72" s="471" t="inlineStr">
        <x:is>
          <x:t xml:space="preserve">PASS</x:t>
        </x:is>
      </x:c>
      <x:c r="D72" s="454" t="str">
        <x:f>IF(AND(COUNTA(Boundary_Risk_Register!A4:A10)&gt;=7,COUNTIF(Boundary_Risk_Register!J4:J10,"PASS")&gt;=7),"PASS","FAIL")</x:f>
        <x:v>PASS</x:v>
      </x:c>
      <x:c r="E72" s="454" t="str">
        <x:f>IF(C72=D72,"PASS","FAIL")</x:f>
        <x:v>PASS</x:v>
      </x:c>
      <x:c r="F72" s="471" t="inlineStr">
        <x:is>
          <x:t xml:space="preserve">Boundary_Risk_Register</x:t>
        </x:is>
      </x:c>
    </x:row>
    <x:row r="73" s="455" customFormat="1" ht="12.75" customHeight="1">
      <x:c r="A73" s="471" t="inlineStr">
        <x:is>
          <x:t xml:space="preserve">SC-73</x:t>
        </x:is>
      </x:c>
      <x:c r="B73" s="454" t="inlineStr">
        <x:is>
          <x:t xml:space="preserve">PCC Section 26 evidence/legitimacy disclosure present</x:t>
        </x:is>
      </x:c>
      <x:c r="C73" s="471" t="inlineStr">
        <x:is>
          <x:t xml:space="preserve">PASS</x:t>
        </x:is>
      </x:c>
      <x:c r="D73" s="454" t="str">
        <x:f>IF(COUNTA(PCC!A190:A199)&gt;=10,"PASS","FAIL")</x:f>
        <x:v>PASS</x:v>
      </x:c>
      <x:c r="E73" s="454" t="str">
        <x:f>IF(C73=D73,"PASS","FAIL")</x:f>
        <x:v>PASS</x:v>
      </x:c>
      <x:c r="F73" s="471" t="inlineStr">
        <x:is>
          <x:t xml:space="preserve">PCC</x:t>
        </x:is>
      </x:c>
    </x:row>
    <x:row r="74" s="455" customFormat="1" ht="12.75" customHeight="1">
      <x:c r="A74" s="471" t="inlineStr">
        <x:is>
          <x:t xml:space="preserve">SC-74</x:t>
        </x:is>
      </x:c>
      <x:c r="B74" s="454" t="inlineStr">
        <x:is>
          <x:t xml:space="preserve">SGP split MPS/GPR/SPR formula surface active</x:t>
        </x:is>
      </x:c>
      <x:c r="C74" s="471" t="inlineStr">
        <x:is>
          <x:t xml:space="preserve">PASS</x:t>
        </x:is>
      </x:c>
      <x:c r="D74" s="454" t="str">
        <x:f>IF(COUNTIF(SGP_Split_Guardrail!E11:E13,"PASS")&gt;=3,"PASS","FAIL")</x:f>
        <x:v>PASS</x:v>
      </x:c>
      <x:c r="E74" s="454" t="str">
        <x:f>IF(C74=D74,"PASS","FAIL")</x:f>
        <x:v>PASS</x:v>
      </x:c>
      <x:c r="F74" s="471" t="inlineStr">
        <x:is>
          <x:t xml:space="preserve">SGP_Split_Guardrail</x:t>
        </x:is>
      </x:c>
    </x:row>
    <x:row r="75" s="455" customFormat="1" ht="12.75" customHeight="1">
      <x:c r="A75" s="471" t="inlineStr">
        <x:is>
          <x:t xml:space="preserve">SC-75</x:t>
        </x:is>
      </x:c>
      <x:c r="B75" s="454" t="inlineStr">
        <x:is>
          <x:t xml:space="preserve">Evidence status PCC bridge populated</x:t>
        </x:is>
      </x:c>
      <x:c r="C75" s="471" t="inlineStr">
        <x:is>
          <x:t xml:space="preserve">PASS</x:t>
        </x:is>
      </x:c>
      <x:c r="D75" s="454" t="str">
        <x:f>IF(AND(Evidence_Status_Tokens!H3="PASS",Evidence_Status_Tokens!H4="PASS"),"PASS","FAIL")</x:f>
        <x:v>PASS</x:v>
      </x:c>
      <x:c r="E75" s="454" t="str">
        <x:f>IF(C75=D75,"PASS","FAIL")</x:f>
        <x:v>PASS</x:v>
      </x:c>
      <x:c r="F75" s="471" t="inlineStr">
        <x:is>
          <x:t xml:space="preserve">PCC / Evidence_Status_Tokens</x:t>
        </x:is>
      </x:c>
    </x:row>
    <x:row r="76" s="455" customFormat="1" ht="12.75" customHeight="1">
      <x:c r="A76" s="471" t="inlineStr">
        <x:is>
          <x:t xml:space="preserve">SC-76</x:t>
        </x:is>
      </x:c>
      <x:c r="B76" s="454" t="inlineStr">
        <x:is>
          <x:t xml:space="preserve">Boundary risk formula statuses pass</x:t>
        </x:is>
      </x:c>
      <x:c r="C76" s="471" t="inlineStr">
        <x:is>
          <x:t xml:space="preserve">PASS</x:t>
        </x:is>
      </x:c>
      <x:c r="D76" s="454" t="str">
        <x:f>IF(COUNTIF(Boundary_Risk_Register!J4:J10,"PASS")&gt;=7,"PASS","FAIL")</x:f>
        <x:v>PASS</x:v>
      </x:c>
      <x:c r="E76" s="454" t="str">
        <x:f>IF(C76=D76,"PASS","FAIL")</x:f>
        <x:v>PASS</x:v>
      </x:c>
      <x:c r="F76" s="471" t="inlineStr">
        <x:is>
          <x:t xml:space="preserve">Boundary_Risk_Register</x:t>
        </x:is>
      </x:c>
    </x:row>
    <x:row r="77" s="455" customFormat="1" ht="12.75" customHeight="1">
      <x:c r="A77" s="471" t="inlineStr">
        <x:is>
          <x:t xml:space="preserve">SC-77</x:t>
        </x:is>
      </x:c>
      <x:c r="B77" s="454" t="inlineStr">
        <x:is>
          <x:t xml:space="preserve">v10.8 integration checks all pass</x:t>
        </x:is>
      </x:c>
      <x:c r="C77" s="471" t="inlineStr">
        <x:is>
          <x:t xml:space="preserve">PASS</x:t>
        </x:is>
      </x:c>
      <x:c r="D77" s="454" t="str">
        <x:f>IF(COUNTIF(E68:E76,"PASS")=9,"PASS","FAIL")</x:f>
        <x:v>PASS</x:v>
      </x:c>
      <x:c r="E77" s="454" t="str">
        <x:f>IF(C77=D77,"PASS","FAIL")</x:f>
        <x:v>PASS</x:v>
      </x:c>
      <x:c r="F77" s="471" t="inlineStr">
        <x:is>
          <x:t xml:space="preserve">Sanity_Checklist</x:t>
        </x:is>
      </x:c>
    </x:row>
    <x:row r="78" s="455" customFormat="1" ht="12.75" customHeight="1">
      <x:c r="A78" s="471" t="inlineStr">
        <x:is>
          <x:t xml:space="preserve">SC-78</x:t>
        </x:is>
      </x:c>
      <x:c r="B78" s="454" t="inlineStr">
        <x:is>
          <x:t xml:space="preserve">SGP_Input visible version synchronized</x:t>
        </x:is>
      </x:c>
      <x:c r="C78" s="471" t="inlineStr">
        <x:is>
          <x:t xml:space="preserve">SGP v5.5</x:t>
        </x:is>
      </x:c>
      <x:c r="D78" s="454" t="inlineStr">
        <x:is>
          <x:t xml:space="preserve">SGP v5.5</x:t>
        </x:is>
      </x:c>
      <x:c r="E78" s="454" t="inlineStr">
        <x:is>
          <x:t xml:space="preserve">PASS</x:t>
        </x:is>
      </x:c>
      <x:c r="F78" s="471" t="inlineStr">
        <x:is>
          <x:t xml:space="preserve">SGP_Input!A4/B1</x:t>
        </x:is>
      </x:c>
    </x:row>
    <x:row r="79" s="455" customFormat="1" ht="12.75" customHeight="1">
      <x:c r="A79" s="471" t="inlineStr">
        <x:is>
          <x:t xml:space="preserve">SC-79</x:t>
        </x:is>
      </x:c>
      <x:c r="B79" s="454" t="inlineStr">
        <x:is>
          <x:t xml:space="preserve">RLS live union weights match PLSS final weights</x:t>
        </x:is>
      </x:c>
      <x:c r="C79" s="471" t="inlineStr">
        <x:is>
          <x:t xml:space="preserve">PASS</x:t>
        </x:is>
      </x:c>
      <x:c r="D79" s="454" t="str">
        <x:f>IF(AND(ABS(RLS!$I$53-PLSS_Local_Scope!$E$12)&lt;0.000000001,ABS(RLS!$I$54-PLSS_Local_Scope!$E$13)&lt;0.000000001,ABS(RLS!$I$55-PLSS_Local_Scope!$E$14)&lt;0.000000001,ABS(RLS!$I$56-PLSS_Local_Scope!$E$15)&lt;0.000000001,ABS(RLS!$I$57-PLSS_Local_Scope!$E$16)&lt;0.000000001,ABS(RLS!$I$58-PLSS_Local_Scope!$E$17)&lt;0.000000001,ABS(RLS!$I$59-PLSS_Local_Scope!$E$18)&lt;0.000000001),"PASS","FAIL")</x:f>
        <x:v>PASS</x:v>
      </x:c>
      <x:c r="E79" s="454" t="str">
        <x:f>IF(C79=D79,"PASS","FAIL")</x:f>
        <x:v>PASS</x:v>
      </x:c>
      <x:c r="F79" s="471" t="inlineStr">
        <x:is>
          <x:t xml:space="preserve">RLS!I53:I59 vs PLSS_Local_Scope!E12:E18</x:t>
        </x:is>
      </x:c>
    </x:row>
    <x:row r="80" s="455" customFormat="1" ht="12.75" customHeight="1">
      <x:c r="A80" s="471" t="inlineStr">
        <x:is>
          <x:t xml:space="preserve">SC-80</x:t>
        </x:is>
      </x:c>
      <x:c r="B80" s="454" t="inlineStr">
        <x:is>
          <x:t xml:space="preserve">RLS union weights sum to 1</x:t>
        </x:is>
      </x:c>
      <x:c r="C80" s="471" t="n">
        <x:v>1</x:v>
      </x:c>
      <x:c r="D80" s="454" t="n">
        <x:f>SUM(RLS!$I$53:$I$59)</x:f>
        <x:v>1.0000000000000002</x:v>
      </x:c>
      <x:c r="E80" s="454" t="str">
        <x:f>IF(AND(ISNUMBER(C80),ISNUMBER(D80)),IF(ABS(C80-D80)&lt;0.000000001,"PASS","FAIL"),IF(C80=D80,"PASS","FAIL"))</x:f>
        <x:v>PASS</x:v>
      </x:c>
      <x:c r="F80" s="471" t="inlineStr">
        <x:is>
          <x:t xml:space="preserve">RLS!I53:I59</x:t>
        </x:is>
      </x:c>
    </x:row>
    <x:row r="81" s="455" customFormat="1" ht="12.75" customHeight="1">
      <x:c r="A81" s="471" t="inlineStr">
        <x:is>
          <x:t xml:space="preserve">SC-81</x:t>
        </x:is>
      </x:c>
      <x:c r="B81" s="454" t="inlineStr">
        <x:is>
          <x:t xml:space="preserve">RLS dimension weights sum to 1</x:t>
        </x:is>
      </x:c>
      <x:c r="C81" s="471" t="n">
        <x:v>1</x:v>
      </x:c>
      <x:c r="D81" s="454" t="n">
        <x:f>SUM(RLS!$B$52:$H$52)</x:f>
        <x:v>1.0000000000000009</x:v>
      </x:c>
      <x:c r="E81" s="454" t="str">
        <x:f>IF(AND(ISNUMBER(C81),ISNUMBER(D81)),IF(ABS(C81-D81)&lt;0.000000001,"PASS","FAIL"),IF(C81=D81,"PASS","FAIL"))</x:f>
        <x:v>PASS</x:v>
      </x:c>
      <x:c r="F81" s="471" t="inlineStr">
        <x:is>
          <x:t xml:space="preserve">RLS!B52:H52</x:t>
        </x:is>
      </x:c>
    </x:row>
    <x:row r="82" s="455" customFormat="1" ht="12.75" customHeight="1">
      <x:c r="A82" s="471" t="inlineStr">
        <x:is>
          <x:t xml:space="preserve">SC-82</x:t>
        </x:is>
      </x:c>
      <x:c r="B82" s="454" t="inlineStr">
        <x:is>
          <x:t xml:space="preserve">RLS displayed values match recomputation</x:t>
        </x:is>
      </x:c>
      <x:c r="C82" s="471" t="inlineStr">
        <x:is>
          <x:t xml:space="preserve">PASS</x:t>
        </x:is>
      </x:c>
      <x:c r="D82" s="454" t="str">
        <x:f>IF(AND(ABS(RLS!$B$5-SUMPRODUCT(I_prop!$B$7:$H$13,RLS!$B$53:$H$59))&lt;0.000000001,ABS(RLS!$B$6-SUMPRODUCT(I_prop!$B$18:$H$24,RLS!$B$53:$H$59))&lt;0.000000001),"PASS","FAIL")</x:f>
        <x:v>PASS</x:v>
      </x:c>
      <x:c r="E82" s="454" t="str">
        <x:f>IF(AND(ISNUMBER(C82),ISNUMBER(D82)),IF(ABS(C82-D82)&lt;0.000000001,"PASS","FAIL"),IF(C82=D82,"PASS","FAIL"))</x:f>
        <x:v>PASS</x:v>
      </x:c>
      <x:c r="F82" s="471" t="inlineStr">
        <x:is>
          <x:t xml:space="preserve">RLS displayed values vs SUMPRODUCT recompute</x:t>
        </x:is>
      </x:c>
    </x:row>
    <x:row r="83" s="455" customFormat="1" ht="12.75" customHeight="1">
      <x:c r="A83" s="471" t="inlineStr">
        <x:is>
          <x:t xml:space="preserve">SC-83</x:t>
        </x:is>
      </x:c>
      <x:c r="B83" s="454" t="inlineStr">
        <x:is>
          <x:t xml:space="preserve">Workbook publishability label is scoped</x:t>
        </x:is>
      </x:c>
      <x:c r="C83" s="471" t="inlineStr">
        <x:is>
          <x:t xml:space="preserve">Worked-run claimable</x:t>
        </x:is>
      </x:c>
      <x:c r="D83" s="454" t="str">
        <x:f>Release_Notes!$A$8</x:f>
        <x:v>Worked-run claimable</x:v>
      </x:c>
      <x:c r="E83" s="454" t="str">
        <x:f>IF(AND(ISNUMBER(C83),ISNUMBER(D83)),IF(ABS(C83-D83)&lt;0.000000001,"PASS","FAIL"),IF(C83=D83,"PASS","FAIL"))</x:f>
        <x:v>PASS</x:v>
      </x:c>
      <x:c r="F83" s="471" t="inlineStr">
        <x:is>
          <x:t xml:space="preserve">Release_Notes!A8</x:t>
        </x:is>
      </x:c>
    </x:row>
    <x:row r="84" s="455" customFormat="1" ht="14.25" customHeight="1">
      <x:c r="A84" s="471" t="inlineStr">
        <x:is>
          <x:t xml:space="preserve">SC-84</x:t>
        </x:is>
      </x:c>
      <x:c r="B84" s="454" t="inlineStr">
        <x:is>
          <x:t xml:space="preserve">ReferenceStructureRecord sheet present</x:t>
        </x:is>
      </x:c>
      <x:c r="C84" s="471" t="inlineStr">
        <x:is>
          <x:t xml:space="preserve">sheet exists</x:t>
        </x:is>
      </x:c>
      <x:c r="D84" s="454" t="inlineStr">
        <x:is>
          <x:t xml:space="preserve">sheet exists</x:t>
        </x:is>
      </x:c>
      <x:c r="E84" s="454" t="inlineStr">
        <x:is>
          <x:t xml:space="preserve">PASS</x:t>
        </x:is>
      </x:c>
      <x:c r="F84" s="471" t="inlineStr">
        <x:is>
          <x:t xml:space="preserve">ReferenceStructureRecord</x:t>
        </x:is>
      </x:c>
    </x:row>
    <x:row r="85" s="455" customFormat="1" ht="14.25" customHeight="1">
      <x:c r="A85" s="471" t="inlineStr">
        <x:is>
          <x:t xml:space="preserve">SC-85</x:t>
        </x:is>
      </x:c>
      <x:c r="B85" s="454" t="inlineStr">
        <x:is>
          <x:t xml:space="preserve">ReferenceStructureRecord worked-run row complete</x:t>
        </x:is>
      </x:c>
      <x:c r="C85" s="471" t="inlineStr">
        <x:is>
          <x:t xml:space="preserve">COMPLETE</x:t>
        </x:is>
      </x:c>
      <x:c r="D85" s="454" t="str">
        <x:f>ReferenceStructureRecord!Z2</x:f>
        <x:v>COMPLETE</x:v>
      </x:c>
      <x:c r="E85" s="454" t="str">
        <x:f>IF(C85=D85,"PASS","FAIL")</x:f>
        <x:v>PASS</x:v>
      </x:c>
      <x:c r="F85" s="471" t="inlineStr">
        <x:is>
          <x:t xml:space="preserve">ReferenceStructureRecord!Z2</x:t>
        </x:is>
      </x:c>
    </x:row>
    <x:row r="86" s="455" customFormat="1" ht="14.25" customHeight="1">
      <x:c r="A86" s="471" t="inlineStr">
        <x:is>
          <x:t xml:space="preserve">SC-86</x:t>
        </x:is>
      </x:c>
      <x:c r="B86" s="454" t="inlineStr">
        <x:is>
          <x:t xml:space="preserve">PCC/Dashboard ReferenceStructureRecord linkage present</x:t>
        </x:is>
      </x:c>
      <x:c r="C86" s="471" t="inlineStr">
        <x:is>
          <x:t xml:space="preserve">PASS</x:t>
        </x:is>
      </x:c>
      <x:c r="D86" s="454" t="inlineStr">
        <x:is>
          <x:t xml:space="preserve">PASS</x:t>
        </x:is>
      </x:c>
      <x:c r="E86" s="454" t="inlineStr">
        <x:is>
          <x:t xml:space="preserve">PASS</x:t>
        </x:is>
      </x:c>
      <x:c r="F86" s="471" t="inlineStr">
        <x:is>
          <x:t xml:space="preserve">PCC Section 26 / Dashboard rows 66-70</x:t>
        </x:is>
      </x:c>
    </x:row>
    <x:row r="87">
      <x:c r="A87" s="626" t="str">
        <x:v>CGP-1</x:v>
      </x:c>
      <x:c r="B87" s="626" t="str">
        <x:v>Category Grounding reviewed for material categories</x:v>
      </x:c>
      <x:c r="C87" s="626" t="str">
        <x:v>Category_Grounding</x:v>
      </x:c>
      <x:c r="D87" s="626" t="str">
        <x:v>Required for material claim-bearing runs</x:v>
      </x:c>
      <x:c r="E87" s="626" t="str">
        <x:v>MANUAL_REVIEW</x:v>
      </x:c>
      <x:c r="F87" s="626" t="str"/>
      <x:c r="G87" s="626" t="str">
        <x:v>Manual Category Grounding reviewer item; not formula-backed and not included in computed PASS count.</x:v>
      </x:c>
    </x:row>
    <x:row r="88">
      <x:c r="A88" s="626" t="str">
        <x:v>CGP-2</x:v>
      </x:c>
      <x:c r="B88" s="626" t="str">
        <x:v>Primitive Audit / category boundary not treated as new cascade gate</x:v>
      </x:c>
      <x:c r="C88" s="626" t="str">
        <x:v>Category_Grounding</x:v>
      </x:c>
      <x:c r="D88" s="626" t="str">
        <x:v>Must remain within Reality Grounding</x:v>
      </x:c>
      <x:c r="E88" s="626" t="str">
        <x:v>MANUAL_REVIEW</x:v>
      </x:c>
      <x:c r="F88" s="626" t="str"/>
      <x:c r="G88" s="626" t="str">
        <x:v>Manual Category Grounding reviewer item; not formula-backed and not included in computed PASS count.</x:v>
      </x:c>
    </x:row>
    <x:row r="89">
      <x:c r="A89" s="626" t="str">
        <x:v>CGP-3</x:v>
      </x:c>
      <x:c r="B89" s="626" t="str">
        <x:v>Semantic debt flagged when categories are stale, inherited, contested, or unreviewed</x:v>
      </x:c>
      <x:c r="C89" s="626" t="str">
        <x:v>Category_Grounding</x:v>
      </x:c>
      <x:c r="D89" s="626" t="str">
        <x:v>Review before stronger public/conformance claims</x:v>
      </x:c>
      <x:c r="E89" s="626" t="str">
        <x:v>MANUAL_REVIEW</x:v>
      </x:c>
      <x:c r="F89" s="626" t="str"/>
      <x:c r="G89" s="626" t="str">
        <x:v>Manual Category Grounding reviewer item; not formula-backed and not included in computed PASS count.</x:v>
      </x:c>
    </x:row>
    <x:row r="90">
      <x:c r="A90" s="626" t="str">
        <x:v>CGP-4</x:v>
      </x:c>
      <x:c r="B90" s="626" t="str">
        <x:v>No category uncertainty laundered through RLS, PLSS, HDW, PCC, or authority selection</x:v>
      </x:c>
      <x:c r="C90" s="626" t="str">
        <x:v>Category_Grounding</x:v>
      </x:c>
      <x:c r="D90" s="626" t="str">
        <x:v>Narrow, escalate, monitor, sensitivity-only, or refuse</x:v>
      </x:c>
      <x:c r="E90" s="626" t="str">
        <x:v>MANUAL_REVIEW</x:v>
      </x:c>
      <x:c r="F90" s="626" t="str"/>
      <x:c r="G90" s="626" t="str">
        <x:v>Manual Category Grounding reviewer item; not formula-backed and not included in computed PASS count.</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baseColWidth="8" defaultColWidth="8.66796875" defaultRowHeight="12.75"/>
  <x:cols>
    <x:col min="1" max="1" width="24" style="497" customWidth="1"/>
    <x:col min="2" max="2" width="60" style="497" customWidth="1"/>
  </x:cols>
  <x:sheetData>
    <x:row r="1" s="455" customFormat="1" ht="14.25" customHeight="1">
      <x:c r="A1" s="506" t="inlineStr">
        <x:is>
          <x:t xml:space="preserve">RIPPLELOGIC ALIGNERS SHEET v3.6</x:t>
        </x:is>
      </x:c>
      <x:c r="B1" s="457" t="n"/>
      <x:c r="C1" s="457" t="n"/>
      <x:c r="D1" s="457" t="n"/>
      <x:c r="E1" s="457" t="n"/>
      <x:c r="F1" s="457" t="n"/>
      <x:c r="G1" s="457" t="n"/>
      <x:c r="H1" s="457" t="n"/>
    </x:row>
    <x:row r="2" s="455" customFormat="1" ht="14.25" customHeight="1">
      <x:c r="A2" s="463" t="inlineStr">
        <x:is>
          <x:t xml:space="preserve">Package release</x:t>
        </x:is>
      </x:c>
      <x:c r="B2" s="507" t="inlineStr">
        <x:is>
          <x:t xml:space="preserve">MathGov / RippleLogic Core Release 2026.07</x:t>
        </x:is>
      </x:c>
      <x:c r="C2" s="460" t="n"/>
    </x:row>
    <x:row r="3" s="455" customFormat="1" ht="14.25" customHeight="1">
      <x:c r="A3" s="508" t="inlineStr">
        <x:is>
          <x:t xml:space="preserve">Canon version</x:t>
        </x:is>
      </x:c>
      <x:c r="B3" s="463" t="inlineStr">
        <x:is>
          <x:t xml:space="preserve">RippleLogic Canon v10.8</x:t>
        </x:is>
      </x:c>
      <x:c r="C3" s="460" t="n"/>
    </x:row>
    <x:row r="4" s="455" customFormat="1" ht="14.25" customHeight="1">
      <x:c r="A4" s="463" t="inlineStr">
        <x:is>
          <x:t xml:space="preserve">SGP version</x:t>
        </x:is>
      </x:c>
      <x:c r="B4" s="463" t="inlineStr">
        <x:is>
          <x:t xml:space="preserve">SGP v5.5</x:t>
        </x:is>
      </x:c>
      <x:c r="C4" s="460" t="n"/>
    </x:row>
    <x:row r="5" s="455" customFormat="1" ht="14.25" customHeight="1">
      <x:c r="A5" s="463" t="inlineStr">
        <x:is>
          <x:t xml:space="preserve">ripple.md version</x:t>
        </x:is>
      </x:c>
      <x:c r="B5" s="463" t="inlineStr">
        <x:is>
          <x:t xml:space="preserve">ripple.md v3.6</x:t>
        </x:is>
      </x:c>
      <x:c r="C5" s="460" t="n"/>
    </x:row>
    <x:row r="6" s="455" customFormat="1" ht="14.25" customHeight="1">
      <x:c r="A6" s="463" t="inlineStr">
        <x:is>
          <x:t xml:space="preserve">Agent System version</x:t>
        </x:is>
      </x:c>
      <x:c r="B6" s="463" t="inlineStr">
        <x:is>
          <x:t xml:space="preserve">RippleLogic Agent System v10.8</x:t>
        </x:is>
      </x:c>
      <x:c r="C6" s="460" t="n"/>
    </x:row>
    <x:row r="7">
      <x:c r="A7" s="460" t="inlineStr">
        <x:is>
          <x:t xml:space="preserve">Primer version</x:t>
        </x:is>
      </x:c>
      <x:c r="B7" s="460" t="inlineStr">
        <x:is>
          <x:t xml:space="preserve">RippleLogic Foundations Primer v2.6</x:t>
        </x:is>
      </x:c>
      <x:c r="C7" s="460" t="n"/>
    </x:row>
    <x:row r="8" s="455" customFormat="1" ht="13.5" customHeight="1">
      <x:c r="A8" s="460" t="inlineStr">
        <x:is>
          <x:t xml:space="preserve">Aligners Sheet version</x:t>
        </x:is>
      </x:c>
      <x:c r="B8" s="460" t="inlineStr">
        <x:is>
          <x:t xml:space="preserve">RippleLogic Aligners Sheet v3.6</x:t>
        </x:is>
      </x:c>
      <x:c r="C8" s="460" t="n"/>
    </x:row>
    <x:row r="9" s="455" customFormat="1" ht="14.25" customHeight="1">
      <x:c r="A9" s="508" t="inlineStr">
        <x:is>
          <x:t xml:space="preserve">TIER &amp; CONTEXT</x:t>
        </x:is>
      </x:c>
      <x:c r="B9" s="460" t="n"/>
      <x:c r="C9" s="460" t="n"/>
    </x:row>
    <x:row r="10" s="455" customFormat="1" ht="14.25" customHeight="1">
      <x:c r="A10" s="463" t="inlineStr">
        <x:is>
          <x:t xml:space="preserve">Tier Level:</x:t>
        </x:is>
      </x:c>
      <x:c r="B10" s="463" t="n">
        <x:f>CANON!B10</x:f>
        <x:v>2</x:v>
      </x:c>
      <x:c r="C10" s="463" t="inlineStr">
        <x:is>
          <x:t xml:space="preserve">1=Personal, 2=Core, 3=High-Stakes, 4=Design target (claim prohibited per v10.8)</x:t>
        </x:is>
      </x:c>
    </x:row>
    <x:row r="11" s="455" customFormat="1" ht="14.25" customHeight="1">
      <x:c r="A11" s="463" t="inlineStr">
        <x:is>
          <x:t xml:space="preserve">Context Type:</x:t>
        </x:is>
      </x:c>
      <x:c r="B11" s="463" t="str">
        <x:f>CANON!B11</x:f>
        <x:v>ORG</x:v>
      </x:c>
      <x:c r="C11" s="463" t="inlineStr">
        <x:is>
          <x:t xml:space="preserve">(PERS/ORG/REV/IRREV/XRISK)</x:t>
        </x:is>
      </x:c>
    </x:row>
    <x:row r="12" s="455" customFormat="1" ht="14.25" customHeight="1">
      <x:c r="A12" s="463" t="inlineStr">
        <x:is>
          <x:t xml:space="preserve">τ_TRC for ORG:</x:t>
        </x:is>
      </x:c>
      <x:c r="B12" s="489" t="n">
        <x:v>0.2</x:v>
      </x:c>
      <x:c r="C12" s="460" t="n"/>
    </x:row>
    <x:row r="13" s="455" customFormat="1" ht="14.25" customHeight="1">
      <x:c r="A13" s="463" t="inlineStr">
        <x:is>
          <x:t xml:space="preserve">AI Deployment:</x:t>
        </x:is>
      </x:c>
      <x:c r="B13" s="463" t="str">
        <x:f>CANON!B12</x:f>
        <x:v>NO</x:v>
      </x:c>
      <x:c r="C13" s="463" t="inlineStr">
        <x:is>
          <x:t xml:space="preserve">(YES/NO; makes WTSL-AIX mandatory)</x:t>
        </x:is>
      </x:c>
    </x:row>
    <x:row r="14" s="455" customFormat="1" ht="14.25" customHeight="1">
      <x:c r="A14" s="508" t="inlineStr">
        <x:is>
          <x:t xml:space="preserve">PROPAGATION &amp; WEIGHTS</x:t>
        </x:is>
      </x:c>
      <x:c r="B14" s="460" t="n"/>
      <x:c r="C14" s="460" t="n"/>
    </x:row>
    <x:row r="15" s="455" customFormat="1" ht="14.25" customHeight="1">
      <x:c r="A15" s="463" t="inlineStr">
        <x:is>
          <x:t xml:space="preserve">Propagation Mode:</x:t>
        </x:is>
      </x:c>
      <x:c r="B15" s="463" t="inlineStr">
        <x:is>
          <x:t xml:space="preserve">NONE</x:t>
        </x:is>
      </x:c>
      <x:c r="C15" s="463" t="inlineStr">
        <x:is>
          <x:t xml:space="preserve">(NONE/QUICK; worked run currently uses NONE)</x:t>
        </x:is>
      </x:c>
    </x:row>
    <x:row r="16" s="455" customFormat="1" ht="14.25" customHeight="1">
      <x:c r="A16" s="475" t="inlineStr">
        <x:is>
          <x:t xml:space="preserve">Kernel Status:</x:t>
        </x:is>
      </x:c>
      <x:c r="B16" s="475" t="inlineStr">
        <x:is>
          <x:t xml:space="preserve">K0_NONE (see Kernel_Posture sheet)</x:t>
        </x:is>
      </x:c>
      <x:c r="C16" s="475" t="inlineStr">
        <x:is>
          <x:t xml:space="preserve">Numerical propagation is not used in this worked-run exemplar; Kernel_Posture records the claim-support posture. PLSS_Local_Scope remains the local-scope weighting helper.</x:t>
        </x:is>
      </x:c>
    </x:row>
    <x:row r="17" s="455" customFormat="1" ht="14.25" customHeight="1">
      <x:c r="A17" s="475" t="inlineStr">
        <x:is>
          <x:t xml:space="preserve">Weight Profile:</x:t>
        </x:is>
      </x:c>
      <x:c r="B17" s="475" t="inlineStr">
        <x:is>
          <x:t xml:space="preserve">PLSS_LOCAL</x:t>
        </x:is>
      </x:c>
      <x:c r="C17" s="475" t="inlineStr">
        <x:is>
          <x:t xml:space="preserve">Weight/scope profile for union weighting (PLSS_LOCAL or UNIFORM)</x:t>
        </x:is>
      </x:c>
    </x:row>
    <x:row r="18" s="455" customFormat="1" ht="13.5" customHeight="1">
      <x:c r="A18" s="475" t="inlineStr">
        <x:is>
          <x:t xml:space="preserve">Current option-surface:</x:t>
        </x:is>
      </x:c>
      <x:c r="B18" s="475" t="inlineStr">
        <x:is>
          <x:t xml:space="preserve">Two-option comparison only (A/B)</x:t>
        </x:is>
      </x:c>
      <x:c r="C18" s="475" t="inlineStr">
        <x:is>
          <x:t xml:space="preserve">Publication disclosure: native final-selection logic currently compares Option A vs Option B only.</x:t>
        </x:is>
      </x:c>
    </x:row>
    <x:row r="19" s="455" customFormat="1" ht="14.25" customHeight="1">
      <x:c r="A19" s="477" t="inlineStr">
        <x:is>
          <x:t xml:space="preserve">MODE LOCKS</x:t>
        </x:is>
      </x:c>
    </x:row>
    <x:row r="20" s="455" customFormat="1" ht="14.25" customHeight="1">
      <x:c r="A20" s="475" t="inlineStr">
        <x:is>
          <x:t xml:space="preserve">σ_est (RLS uncertainty)</x:t>
        </x:is>
      </x:c>
      <x:c r="B20" s="509" t="n">
        <x:f>CANON!B26</x:f>
        <x:v>0.02</x:v>
      </x:c>
      <x:c r="C20" s="475" t="inlineStr">
        <x:is>
          <x:t xml:space="preserve">Tier 2: optional (can support Gap/σ review). Tier 3+: required for decisiveness checks. Tier 4+: prefer empirically estimated σ.</x:t>
        </x:is>
      </x:c>
    </x:row>
    <x:row r="21" s="455" customFormat="1" ht="14.25" customHeight="1">
      <x:c r="A21" s="475" t="inlineStr">
        <x:is>
          <x:t xml:space="preserve">σ_est Available:</x:t>
        </x:is>
      </x:c>
      <x:c r="B21" s="475" t="inlineStr">
        <x:is>
          <x:t xml:space="preserve">YES</x:t>
        </x:is>
      </x:c>
      <x:c r="C21" s="475" t="inlineStr">
        <x:is>
          <x:t xml:space="preserve">(YES/NO; enables Gap/σ test)</x:t>
        </x:is>
      </x:c>
    </x:row>
    <x:row r="22" s="455" customFormat="1" ht="14.25" customHeight="1">
      <x:c r="A22" s="475" t="inlineStr">
        <x:is>
          <x:t xml:space="preserve">δ (discrimination threshold):</x:t>
        </x:is>
      </x:c>
      <x:c r="B22" s="471" t="n">
        <x:v>2</x:v>
      </x:c>
      <x:c r="C22" s="475" t="inlineStr">
        <x:is>
          <x:t xml:space="preserve">(Gap/σ &gt; δ for decisive)</x:t>
        </x:is>
      </x:c>
    </x:row>
    <x:row r="23" s="455" customFormat="1" ht="12.75" customHeight="1">
      <x:c r="A23" s="497" t="inlineStr">
        <x:is>
          <x:t xml:space="preserve">VERSION SEMANTICS</x:t>
        </x:is>
      </x:c>
    </x:row>
    <x:row r="24" s="455" customFormat="1" ht="12.75" customHeight="1">
      <x:c r="A24" s="497" t="inlineStr">
        <x:is>
          <x:t xml:space="preserve">Package release:</x:t>
        </x:is>
      </x:c>
      <x:c r="B24" s="497" t="inlineStr">
        <x:is>
          <x:t xml:space="preserve">MathGov / RippleLogic Core Release 2026.07</x:t>
        </x:is>
      </x:c>
      <x:c r="C24" s="510" t="inlineStr">
        <x:is>
          <x:t xml:space="preserve">Workbook-correctness and verification-integrity patch</x:t>
        </x:is>
      </x:c>
    </x:row>
    <x:row r="25" s="455" customFormat="1" ht="12.75" customHeight="1">
      <x:c r="A25" s="497" t="inlineStr">
        <x:is>
          <x:t xml:space="preserve">Canon content:</x:t>
        </x:is>
      </x:c>
      <x:c r="B25" s="497" t="inlineStr">
        <x:is>
          <x:t xml:space="preserve">RippleLogic v10.8</x:t>
        </x:is>
      </x:c>
      <x:c r="C25" s="510" t="inlineStr">
        <x:is>
          <x:t xml:space="preserve">See Version_Semantics sheet</x:t>
        </x:is>
      </x:c>
    </x:row>
    <x:row r="26" s="455" customFormat="1" ht="12.75" customHeight="1">
      <x:c r="A26" s="497" t="inlineStr">
        <x:is>
          <x:t xml:space="preserve">Workbook version:</x:t>
        </x:is>
      </x:c>
      <x:c r="B26" s="497" t="inlineStr">
        <x:is>
          <x:t xml:space="preserve">v3.6</x:t>
        </x:is>
      </x:c>
      <x:c r="C26" s="510" t="inlineStr">
        <x:is>
          <x:t xml:space="preserve">FrameworkVerdict computed live from CANON cascade cells</x:t>
        </x:is>
      </x:c>
    </x:row>
    <x:row r="27" s="455" customFormat="1" ht="12.75" customHeight="1">
      <x:c r="A27" s="497" t="inlineStr">
        <x:is>
          <x:t xml:space="preserve">Verification gate:</x:t>
        </x:is>
      </x:c>
      <x:c r="B27" s="497" t="inlineStr">
        <x:is>
          <x:t xml:space="preserve">python3 verify_release.py --recalc</x:t>
        </x:is>
      </x:c>
      <x:c r="C27" s="510" t="inlineStr">
        <x:is>
          <x:t xml:space="preserve">Then sha256sum -c SHA256SUMS.txt</x:t>
        </x:is>
      </x:c>
    </x:row>
  </x:sheetData>
  <x:mergeCells>
    <x:mergeCell ref="A1:H1"/>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baseColWidth="8" defaultColWidth="8.66796875" defaultRowHeight="12.75"/>
  <x:cols>
    <x:col min="1" max="1" width="34" style="497" customWidth="1"/>
    <x:col min="2" max="2" width="18" style="497" customWidth="1"/>
    <x:col min="3" max="3" width="14" style="497" customWidth="1"/>
    <x:col min="4" max="4" width="28" style="497" customWidth="1"/>
    <x:col min="5" max="5" width="36" style="497" customWidth="1"/>
  </x:cols>
  <x:sheetData>
    <x:row r="1" s="455" customFormat="1" ht="14.25" customHeight="1">
      <x:c r="A1" s="511" t="inlineStr">
        <x:is>
          <x:t xml:space="preserve">CANONICAL PARAMETERS (LOCKED)</x:t>
        </x:is>
      </x:c>
      <x:c r="B1" s="457" t="n"/>
      <x:c r="C1" s="457" t="n"/>
      <x:c r="D1" s="457" t="n"/>
      <x:c r="E1" s="457" t="n"/>
      <x:c r="F1" s="457" t="n"/>
      <x:c r="G1" s="457" t="n"/>
      <x:c r="H1" s="457" t="n"/>
    </x:row>
    <x:row r="2" s="455" customFormat="1" ht="13.5" customHeight="1"/>
    <x:row r="3" s="455" customFormat="1" ht="14.25" customHeight="1">
      <x:c r="A3" s="512" t="inlineStr">
        <x:is>
          <x:t xml:space="preserve">RIGHTS THRESHOLDS (θ_r) - Canon Anchor Order</x:t>
        </x:is>
      </x:c>
    </x:row>
    <x:row r="4" s="455" customFormat="1" ht="14.25" customHeight="1">
      <x:c r="A4" s="512" t="inlineStr">
        <x:is>
          <x:t xml:space="preserve">Right</x:t>
        </x:is>
      </x:c>
      <x:c r="B4" s="512" t="inlineStr">
        <x:is>
          <x:t xml:space="preserve">Rank (anchor order; non-operational)</x:t>
        </x:is>
      </x:c>
      <x:c r="C4" s="512" t="inlineStr">
        <x:is>
          <x:t xml:space="preserve">θ_r</x:t>
        </x:is>
      </x:c>
      <x:c r="D4" s="512" t="inlineStr">
        <x:is>
          <x:t xml:space="preserve">Coverage Summary</x:t>
        </x:is>
      </x:c>
    </x:row>
    <x:row r="5" s="455" customFormat="1" ht="14.25" customHeight="1">
      <x:c r="A5" s="513" t="inlineStr">
        <x:is>
          <x:t xml:space="preserve">LIFE</x:t>
        </x:is>
      </x:c>
      <x:c r="B5" s="513" t="n">
        <x:v>1</x:v>
      </x:c>
      <x:c r="C5" s="513" t="n">
        <x:v>-0.9</x:v>
      </x:c>
      <x:c r="D5" s="513" t="inlineStr">
        <x:is>
          <x:t xml:space="preserve">U1-U6×D2, plus U6×D7</x:t>
        </x:is>
      </x:c>
    </x:row>
    <x:row r="6" s="455" customFormat="1" ht="14.25" customHeight="1">
      <x:c r="A6" s="513" t="inlineStr">
        <x:is>
          <x:t xml:space="preserve">BODY</x:t>
        </x:is>
      </x:c>
      <x:c r="B6" s="513" t="n">
        <x:v>2</x:v>
      </x:c>
      <x:c r="C6" s="513" t="n">
        <x:v>-0.7</x:v>
      </x:c>
      <x:c r="D6" s="513" t="inlineStr">
        <x:is>
          <x:t xml:space="preserve">U1-U6×D2</x:t>
        </x:is>
      </x:c>
    </x:row>
    <x:row r="7" s="455" customFormat="1" ht="14.25" customHeight="1">
      <x:c r="A7" s="513" t="inlineStr">
        <x:is>
          <x:t xml:space="preserve">LBTY</x:t>
        </x:is>
      </x:c>
      <x:c r="B7" s="513" t="n">
        <x:v>3</x:v>
      </x:c>
      <x:c r="C7" s="513" t="n">
        <x:v>-0.65</x:v>
      </x:c>
      <x:c r="D7" s="513" t="inlineStr">
        <x:is>
          <x:t xml:space="preserve">U1-U6×D5, plus U3-U6×D3</x:t>
        </x:is>
      </x:c>
    </x:row>
    <x:row r="8" s="455" customFormat="1" ht="14.25" customHeight="1">
      <x:c r="A8" s="513" t="inlineStr">
        <x:is>
          <x:t xml:space="preserve">NEED</x:t>
        </x:is>
      </x:c>
      <x:c r="B8" s="513" t="n">
        <x:v>4</x:v>
      </x:c>
      <x:c r="C8" s="513" t="n">
        <x:v>-0.5</x:v>
      </x:c>
      <x:c r="D8" s="513" t="inlineStr">
        <x:is>
          <x:t xml:space="preserve">U1-U6×D1,D2</x:t>
        </x:is>
      </x:c>
    </x:row>
    <x:row r="9" s="455" customFormat="1" ht="14.25" customHeight="1">
      <x:c r="A9" s="513" t="inlineStr">
        <x:is>
          <x:t xml:space="preserve">DIGN</x:t>
        </x:is>
      </x:c>
      <x:c r="B9" s="513" t="n">
        <x:v>5</x:v>
      </x:c>
      <x:c r="C9" s="513" t="n">
        <x:v>-0.55</x:v>
      </x:c>
      <x:c r="D9" s="513" t="inlineStr">
        <x:is>
          <x:t xml:space="preserve">U1-U6×D3,D5</x:t>
        </x:is>
      </x:c>
    </x:row>
    <x:row r="10" s="455" customFormat="1" ht="14.25" customHeight="1">
      <x:c r="A10" s="513" t="inlineStr">
        <x:is>
          <x:t xml:space="preserve">PROC</x:t>
        </x:is>
      </x:c>
      <x:c r="B10" s="513" t="n">
        <x:v>6</x:v>
      </x:c>
      <x:c r="C10" s="513" t="n">
        <x:v>-0.45</x:v>
      </x:c>
      <x:c r="D10" s="513" t="inlineStr">
        <x:is>
          <x:t xml:space="preserve">U4-U6×D3,D4,D5</x:t>
        </x:is>
      </x:c>
    </x:row>
    <x:row r="11" s="455" customFormat="1" ht="14.25" customHeight="1">
      <x:c r="A11" s="513" t="inlineStr">
        <x:is>
          <x:t xml:space="preserve">INFO</x:t>
        </x:is>
      </x:c>
      <x:c r="B11" s="513" t="n">
        <x:v>7</x:v>
      </x:c>
      <x:c r="C11" s="513" t="n">
        <x:v>-0.4</x:v>
      </x:c>
      <x:c r="D11" s="513" t="inlineStr">
        <x:is>
          <x:t xml:space="preserve">U1-U6×D4,D5</x:t>
        </x:is>
      </x:c>
    </x:row>
    <x:row r="12" s="455" customFormat="1" ht="14.25" customHeight="1">
      <x:c r="A12" s="513" t="inlineStr">
        <x:is>
          <x:t xml:space="preserve">ECOL</x:t>
        </x:is>
      </x:c>
      <x:c r="B12" s="513" t="n">
        <x:v>8</x:v>
      </x:c>
      <x:c r="C12" s="513" t="n">
        <x:v>-0.65</x:v>
      </x:c>
      <x:c r="D12" s="513" t="inlineStr">
        <x:is>
          <x:t xml:space="preserve">U6×D7, U7×D7</x:t>
        </x:is>
      </x:c>
    </x:row>
    <x:row r="13" s="455" customFormat="1" ht="13.5" customHeight="1"/>
    <x:row r="14" s="455" customFormat="1" ht="13.5" customHeight="1"/>
    <x:row r="15" s="455" customFormat="1" ht="14.25" customHeight="1">
      <x:c r="A15" s="512" t="inlineStr">
        <x:is>
          <x:t xml:space="preserve">TRC CONTEXT THRESHOLDS (τ_TRC)</x:t>
        </x:is>
      </x:c>
    </x:row>
    <x:row r="16" s="455" customFormat="1" ht="14.25" customHeight="1">
      <x:c r="A16" s="513" t="inlineStr">
        <x:is>
          <x:t xml:space="preserve">PERS</x:t>
        </x:is>
      </x:c>
      <x:c r="B16" s="513" t="n">
        <x:v>0.3</x:v>
      </x:c>
    </x:row>
    <x:row r="17" s="455" customFormat="1" ht="14.25" customHeight="1">
      <x:c r="A17" s="513" t="inlineStr">
        <x:is>
          <x:t xml:space="preserve">ORG</x:t>
        </x:is>
      </x:c>
      <x:c r="B17" s="513" t="n">
        <x:v>0.2</x:v>
      </x:c>
    </x:row>
    <x:row r="18" s="455" customFormat="1" ht="14.25" customHeight="1">
      <x:c r="A18" s="513" t="inlineStr">
        <x:is>
          <x:t xml:space="preserve">REV</x:t>
        </x:is>
      </x:c>
      <x:c r="B18" s="513" t="n">
        <x:v>0.15</x:v>
      </x:c>
    </x:row>
    <x:row r="19" s="455" customFormat="1" ht="14.25" customHeight="1">
      <x:c r="A19" s="513" t="inlineStr">
        <x:is>
          <x:t xml:space="preserve">IRREV</x:t>
        </x:is>
      </x:c>
      <x:c r="B19" s="513" t="n">
        <x:v>0.1</x:v>
      </x:c>
    </x:row>
    <x:row r="20" s="455" customFormat="1" ht="14.25" customHeight="1">
      <x:c r="A20" s="513" t="inlineStr">
        <x:is>
          <x:t xml:space="preserve">XRISK</x:t>
        </x:is>
      </x:c>
      <x:c r="B20" s="513" t="n">
        <x:v>0.05</x:v>
      </x:c>
    </x:row>
    <x:row r="21" s="455" customFormat="1" ht="13.5" customHeight="1"/>
    <x:row r="22" s="455" customFormat="1" ht="13.5" customHeight="1"/>
    <x:row r="23" s="455" customFormat="1" ht="14.25" customHeight="1">
      <x:c r="A23" s="512" t="inlineStr">
        <x:is>
          <x:t xml:space="preserve">SCORING PARAMETERS</x:t>
        </x:is>
      </x:c>
    </x:row>
    <x:row r="24" s="455" customFormat="1" ht="14.25" customHeight="1">
      <x:c r="A24" s="513" t="inlineStr">
        <x:is>
          <x:t xml:space="preserve">β (saturation)</x:t>
        </x:is>
      </x:c>
      <x:c r="B24" s="513" t="n">
        <x:f>CANON!B20</x:f>
        <x:v>2</x:v>
      </x:c>
    </x:row>
    <x:row r="25" s="455" customFormat="1" ht="14.25" customHeight="1">
      <x:c r="A25" s="513" t="inlineStr">
        <x:is>
          <x:t xml:space="preserve">β_prop</x:t>
        </x:is>
      </x:c>
      <x:c r="B25" s="513" t="n">
        <x:f>CANON!B21</x:f>
        <x:v>1</x:v>
      </x:c>
    </x:row>
    <x:row r="26" s="455" customFormat="1" ht="14.25" customHeight="1">
      <x:c r="A26" s="513" t="inlineStr">
        <x:is>
          <x:t xml:space="preserve">δ (discrimination)</x:t>
        </x:is>
      </x:c>
      <x:c r="B26" s="513" t="n">
        <x:f>CANON!B22</x:f>
        <x:v>2</x:v>
      </x:c>
    </x:row>
    <x:row r="27" s="455" customFormat="1" ht="14.25" customHeight="1">
      <x:c r="A27" s="513" t="inlineStr">
        <x:is>
          <x:t xml:space="preserve">τ_c (containment)</x:t>
        </x:is>
      </x:c>
      <x:c r="B27" s="513" t="n">
        <x:f>CANON!B24</x:f>
        <x:v>-0.1</x:v>
      </x:c>
    </x:row>
    <x:row r="28" s="455" customFormat="1" ht="14.25" customHeight="1">
      <x:c r="A28" s="513" t="inlineStr">
        <x:is>
          <x:t xml:space="preserve">θ_pos</x:t>
        </x:is>
      </x:c>
      <x:c r="B28" s="513" t="n">
        <x:f>CANON!B23</x:f>
        <x:v>0.05</x:v>
      </x:c>
    </x:row>
    <x:row r="29" s="455" customFormat="1" ht="14.25" customHeight="1">
      <x:c r="A29" s="513" t="inlineStr">
        <x:is>
          <x:t xml:space="preserve">T_ref</x:t>
        </x:is>
      </x:c>
      <x:c r="B29" s="513" t="n">
        <x:f>CANON!B25</x:f>
        <x:v>25</x:v>
      </x:c>
    </x:row>
    <x:row r="30" s="455" customFormat="1" ht="21.75" customHeight="1">
      <x:c r="A30" s="513" t="inlineStr">
        <x:is>
          <x:t xml:space="preserve">α (CVaR)  -  Personal</x:t>
        </x:is>
      </x:c>
      <x:c r="B30" s="513" t="n">
        <x:v>0.9</x:v>
      </x:c>
    </x:row>
    <x:row r="31" s="455" customFormat="1" ht="21.75" customHeight="1">
      <x:c r="A31" s="513" t="inlineStr">
        <x:is>
          <x:t xml:space="preserve">α (CVaR)  -  Organizational</x:t>
        </x:is>
      </x:c>
      <x:c r="B31" s="513" t="n">
        <x:v>0.95</x:v>
      </x:c>
    </x:row>
    <x:row r="32" s="455" customFormat="1" ht="21.75" customHeight="1">
      <x:c r="A32" s="513" t="inlineStr">
        <x:is>
          <x:t xml:space="preserve">α (CVaR)  -  Reversible policy</x:t>
        </x:is>
      </x:c>
      <x:c r="B32" s="513" t="n">
        <x:v>0.95</x:v>
      </x:c>
    </x:row>
    <x:row r="33" s="455" customFormat="1" ht="21.75" customHeight="1">
      <x:c r="A33" s="513" t="inlineStr">
        <x:is>
          <x:t xml:space="preserve">α (CVaR)  -  Irreversible policy</x:t>
        </x:is>
      </x:c>
      <x:c r="B33" s="513" t="n">
        <x:v>0.99</x:v>
      </x:c>
      <x:c r="D33" s="497" t="inlineStr">
        <x:is>
          <x:t xml:space="preserve">Tier 2 default: e_k = 1.00 unless a named governed instrument is explicitly declared.</x:t>
        </x:is>
      </x:c>
    </x:row>
    <x:row r="34" s="455" customFormat="1" ht="21.75" customHeight="1">
      <x:c r="A34" s="513" t="inlineStr">
        <x:is>
          <x:t xml:space="preserve">α (CVaR)  -  Existential</x:t>
        </x:is>
      </x:c>
      <x:c r="B34" s="513" t="n">
        <x:v>0.999</x:v>
      </x:c>
      <x:c r="D34" s="497" t="inlineStr">
        <x:is>
          <x:t xml:space="preserve">Tier 3 governed interval only; non-default e_k requires provenance + sensitivity disclosure.</x:t>
        </x:is>
      </x:c>
    </x:row>
    <x:row r="35" s="455" customFormat="1" ht="21.75" customHeight="1">
      <x:c r="A35" s="471" t="n"/>
      <x:c r="B35" s="471" t="n"/>
    </x:row>
    <x:row r="36" s="455" customFormat="1" ht="13.5" customHeight="1">
      <x:c r="A36" s="513" t="inlineStr">
        <x:is>
          <x:t xml:space="preserve">p_floor</x:t>
        </x:is>
      </x:c>
      <x:c r="B36" s="513" t="n">
        <x:v>0.02</x:v>
      </x:c>
    </x:row>
    <x:row r="37" s="455" customFormat="1" ht="14.25" customHeight="1">
      <x:c r="A37" s="513" t="inlineStr">
        <x:is>
          <x:t xml:space="preserve">c_min</x:t>
        </x:is>
      </x:c>
      <x:c r="B37" s="513" t="n">
        <x:v>0.1</x:v>
      </x:c>
    </x:row>
    <x:row r="38" s="455" customFormat="1" ht="14.25" customHeight="1">
      <x:c r="A38" s="513" t="inlineStr">
        <x:is>
          <x:t xml:space="preserve">e_min (Tier 3 governed interval)</x:t>
        </x:is>
      </x:c>
      <x:c r="B38" s="513" t="n">
        <x:v>0.75</x:v>
      </x:c>
    </x:row>
    <x:row r="39" s="455" customFormat="1" ht="14.25" customHeight="1">
      <x:c r="A39" s="513" t="inlineStr">
        <x:is>
          <x:t xml:space="preserve">e_max (Tier 3 governed interval)</x:t>
        </x:is>
      </x:c>
      <x:c r="B39" s="513" t="n">
        <x:v>1.25</x:v>
      </x:c>
    </x:row>
    <x:row r="40" s="455" customFormat="1" ht="14.25" customHeight="1">
      <x:c r="A40" s="513" t="inlineStr">
        <x:is>
          <x:t xml:space="preserve">t_min (temporal floor)</x:t>
        </x:is>
      </x:c>
      <x:c r="B40" s="513" t="n">
        <x:f>CANON!B27</x:f>
        <x:v>0.083</x:v>
      </x:c>
    </x:row>
    <x:row r="41" s="455" customFormat="1" ht="14.25" customHeight="1">
      <x:c r="A41" s="471" t="inlineStr">
        <x:is>
          <x:t xml:space="preserve">U4 Organization</x:t>
        </x:is>
      </x:c>
      <x:c r="B41" s="514" t="n">
        <x:f>PLSS_Local_Scope!E15</x:f>
        <x:v>0.11666666666666667</x:v>
      </x:c>
    </x:row>
    <x:row r="42" s="455" customFormat="1" ht="14.25" customHeight="1">
      <x:c r="A42" s="471" t="inlineStr">
        <x:is>
          <x:t xml:space="preserve">U5 Polity</x:t>
        </x:is>
      </x:c>
      <x:c r="B42" s="514" t="n">
        <x:f>PLSS_Local_Scope!E16</x:f>
        <x:v>0.09133333333333334</x:v>
      </x:c>
    </x:row>
    <x:row r="43" s="455" customFormat="1" ht="14.25" customHeight="1">
      <x:c r="A43" s="471" t="inlineStr">
        <x:is>
          <x:t xml:space="preserve">U6 Humanity/CMIU</x:t>
        </x:is>
      </x:c>
      <x:c r="B43" s="514" t="n">
        <x:f>PLSS_Local_Scope!E17</x:f>
        <x:v>0.1034</x:v>
      </x:c>
    </x:row>
    <x:row r="44" s="455" customFormat="1" ht="14.25" customHeight="1">
      <x:c r="A44" s="471" t="inlineStr">
        <x:is>
          <x:t xml:space="preserve">U7 Biosphere</x:t>
        </x:is>
      </x:c>
      <x:c r="B44" s="514" t="n">
        <x:f>PLSS_Local_Scope!E18</x:f>
        <x:v>0.10226666666666667</x:v>
      </x:c>
    </x:row>
    <x:row r="45" s="455" customFormat="1" ht="13.5" customHeight="1"/>
    <x:row r="46" s="455" customFormat="1" ht="13.5" customHeight="1"/>
    <x:row r="47" s="455" customFormat="1" ht="14.25" customHeight="1">
      <x:c r="A47" s="512" t="inlineStr">
        <x:is>
          <x:t xml:space="preserve">DIMENSION WEIGHTS (v_d) - UNIFORM</x:t>
        </x:is>
      </x:c>
    </x:row>
    <x:row r="48" s="455" customFormat="1" ht="14.25" customHeight="1">
      <x:c r="A48" s="471" t="inlineStr">
        <x:is>
          <x:t xml:space="preserve">D1 Material</x:t>
        </x:is>
      </x:c>
      <x:c r="B48" s="514" t="n">
        <x:v>0.142857142857143</x:v>
      </x:c>
    </x:row>
    <x:row r="49" s="455" customFormat="1" ht="14.25" customHeight="1">
      <x:c r="A49" s="471" t="inlineStr">
        <x:is>
          <x:t xml:space="preserve">D2 Health</x:t>
        </x:is>
      </x:c>
      <x:c r="B49" s="514" t="n">
        <x:v>0.142857142857143</x:v>
      </x:c>
    </x:row>
    <x:row r="50" s="455" customFormat="1" ht="14.25" customHeight="1">
      <x:c r="A50" s="471" t="inlineStr">
        <x:is>
          <x:t xml:space="preserve">D3 Social</x:t>
        </x:is>
      </x:c>
      <x:c r="B50" s="514" t="n">
        <x:v>0.142857142857143</x:v>
      </x:c>
    </x:row>
    <x:row r="51" s="455" customFormat="1" ht="14.25" customHeight="1">
      <x:c r="A51" s="471" t="inlineStr">
        <x:is>
          <x:t xml:space="preserve">D4 Knowledge</x:t>
        </x:is>
      </x:c>
      <x:c r="B51" s="514" t="n">
        <x:v>0.142857142857143</x:v>
      </x:c>
    </x:row>
    <x:row r="52" s="455" customFormat="1" ht="14.25" customHeight="1">
      <x:c r="A52" s="471" t="inlineStr">
        <x:is>
          <x:t xml:space="preserve">D5 Agency</x:t>
        </x:is>
      </x:c>
      <x:c r="B52" s="514" t="n">
        <x:v>0.142857142857143</x:v>
      </x:c>
    </x:row>
    <x:row r="53" s="455" customFormat="1" ht="14.25" customHeight="1">
      <x:c r="A53" s="471" t="inlineStr">
        <x:is>
          <x:t xml:space="preserve">D6 Meaning</x:t>
        </x:is>
      </x:c>
      <x:c r="B53" s="514" t="n">
        <x:v>0.142857142857143</x:v>
      </x:c>
    </x:row>
    <x:row r="54" s="455" customFormat="1" ht="14.25" customHeight="1">
      <x:c r="A54" s="471" t="inlineStr">
        <x:is>
          <x:t xml:space="preserve">D7 Environment</x:t>
        </x:is>
      </x:c>
      <x:c r="B54" s="514" t="n">
        <x:v>0.142857142857143</x:v>
      </x:c>
    </x:row>
    <x:row r="55" s="455" customFormat="1" ht="21.75" customHeight="1">
      <x:c r="A55" s="515" t="inlineStr">
        <x:is>
          <x:t xml:space="preserve">SECTION 13.1 FLOOR TABLES (CANON)</x:t>
        </x:is>
      </x:c>
    </x:row>
    <x:row r="56" s="455" customFormat="1" ht="21.75" customHeight="1">
      <x:c r="A56" s="515" t="inlineStr">
        <x:is>
          <x:t xml:space="preserve">UNION FLOOR PRESERVATION (w_u floor)</x:t>
        </x:is>
      </x:c>
    </x:row>
    <x:row r="57" s="455" customFormat="1" ht="21.75" customHeight="1">
      <x:c r="A57" s="515" t="inlineStr">
        <x:is>
          <x:t xml:space="preserve">Union Scope</x:t>
        </x:is>
      </x:c>
      <x:c r="B57" s="515" t="inlineStr">
        <x:is>
          <x:t xml:space="preserve">Floor</x:t>
        </x:is>
      </x:c>
    </x:row>
    <x:row r="58" s="455" customFormat="1" ht="19.5" customHeight="1">
      <x:c r="A58" s="516" t="inlineStr">
        <x:is>
          <x:t xml:space="preserve">U1 Self</x:t>
        </x:is>
      </x:c>
      <x:c r="B58" s="516" t="n">
        <x:v>0.2</x:v>
      </x:c>
    </x:row>
    <x:row r="59" s="455" customFormat="1" ht="19.5" customHeight="1">
      <x:c r="A59" s="516" t="inlineStr">
        <x:is>
          <x:t xml:space="preserve">U2 Household</x:t>
        </x:is>
      </x:c>
      <x:c r="B59" s="516" t="n">
        <x:v>0.06</x:v>
      </x:c>
    </x:row>
    <x:row r="60" s="455" customFormat="1" ht="19.5" customHeight="1">
      <x:c r="A60" s="516" t="inlineStr">
        <x:is>
          <x:t xml:space="preserve">U3 Community</x:t>
        </x:is>
      </x:c>
      <x:c r="B60" s="516" t="n">
        <x:v>0.06</x:v>
      </x:c>
    </x:row>
    <x:row r="61" s="455" customFormat="1" ht="19.5" customHeight="1">
      <x:c r="A61" s="516" t="inlineStr">
        <x:is>
          <x:t xml:space="preserve">U4 Organization</x:t>
        </x:is>
      </x:c>
      <x:c r="B61" s="516" t="n">
        <x:v>0.06</x:v>
      </x:c>
    </x:row>
    <x:row r="62" s="455" customFormat="1" ht="19.5" customHeight="1">
      <x:c r="A62" s="516" t="inlineStr">
        <x:is>
          <x:t xml:space="preserve">U5 Polity</x:t>
        </x:is>
      </x:c>
      <x:c r="B62" s="516" t="n">
        <x:v>0.08</x:v>
      </x:c>
    </x:row>
    <x:row r="63" s="455" customFormat="1" ht="19.5" customHeight="1">
      <x:c r="A63" s="516" t="inlineStr">
        <x:is>
          <x:t xml:space="preserve">U6 Humanity/CMIU</x:t>
        </x:is>
      </x:c>
      <x:c r="B63" s="516" t="n">
        <x:v>0.1</x:v>
      </x:c>
    </x:row>
    <x:row r="64" s="455" customFormat="1" ht="19.5" customHeight="1">
      <x:c r="A64" s="516" t="inlineStr">
        <x:is>
          <x:t xml:space="preserve">U7 Biosphere</x:t>
        </x:is>
      </x:c>
      <x:c r="B64" s="516" t="n">
        <x:v>0.1</x:v>
      </x:c>
    </x:row>
    <x:row r="65" s="455" customFormat="1" ht="19.5" customHeight="1"/>
    <x:row r="66" s="455" customFormat="1" ht="19.5" customHeight="1">
      <x:c r="A66" s="515" t="inlineStr">
        <x:is>
          <x:t xml:space="preserve">DIMENSION FLOOR PRESERVATION (v_d floor)</x:t>
        </x:is>
      </x:c>
    </x:row>
    <x:row r="67" s="455" customFormat="1" ht="19.5" customHeight="1">
      <x:c r="A67" s="515" t="inlineStr">
        <x:is>
          <x:t xml:space="preserve">Dimension</x:t>
        </x:is>
      </x:c>
      <x:c r="B67" s="515" t="inlineStr">
        <x:is>
          <x:t xml:space="preserve">Floor</x:t>
        </x:is>
      </x:c>
    </x:row>
    <x:row r="68" s="455" customFormat="1" ht="19.5" customHeight="1">
      <x:c r="A68" s="516" t="inlineStr">
        <x:is>
          <x:t xml:space="preserve">D1 Material</x:t>
        </x:is>
      </x:c>
      <x:c r="B68" s="516" t="n">
        <x:v>0.08</x:v>
      </x:c>
    </x:row>
    <x:row r="69" s="455" customFormat="1" ht="19.5" customHeight="1">
      <x:c r="A69" s="516" t="inlineStr">
        <x:is>
          <x:t xml:space="preserve">D2 Health</x:t>
        </x:is>
      </x:c>
      <x:c r="B69" s="516" t="n">
        <x:v>0.1</x:v>
      </x:c>
    </x:row>
    <x:row r="70" s="455" customFormat="1" ht="19.5" customHeight="1">
      <x:c r="A70" s="516" t="inlineStr">
        <x:is>
          <x:t xml:space="preserve">D3 Social</x:t>
        </x:is>
      </x:c>
      <x:c r="B70" s="516" t="n">
        <x:v>0.08</x:v>
      </x:c>
    </x:row>
    <x:row r="71" s="455" customFormat="1" ht="19.5" customHeight="1">
      <x:c r="A71" s="516" t="inlineStr">
        <x:is>
          <x:t xml:space="preserve">D4 Knowledge</x:t>
        </x:is>
      </x:c>
      <x:c r="B71" s="516" t="n">
        <x:v>0.08</x:v>
      </x:c>
    </x:row>
    <x:row r="72" s="455" customFormat="1" ht="19.5" customHeight="1">
      <x:c r="A72" s="516" t="inlineStr">
        <x:is>
          <x:t xml:space="preserve">D5 Agency</x:t>
        </x:is>
      </x:c>
      <x:c r="B72" s="516" t="n">
        <x:v>0.1</x:v>
      </x:c>
    </x:row>
    <x:row r="73" s="455" customFormat="1" ht="19.5" customHeight="1">
      <x:c r="A73" s="516" t="inlineStr">
        <x:is>
          <x:t xml:space="preserve">D6 Meaning</x:t>
        </x:is>
      </x:c>
      <x:c r="B73" s="516" t="n">
        <x:v>0.06</x:v>
      </x:c>
    </x:row>
    <x:row r="74" s="455" customFormat="1" ht="19.5" customHeight="1">
      <x:c r="A74" s="516" t="inlineStr">
        <x:is>
          <x:t xml:space="preserve">D7 Environment</x:t>
        </x:is>
      </x:c>
      <x:c r="B74" s="516" t="n">
        <x:v>0.1</x:v>
      </x:c>
    </x:row>
    <x:row r="75"/>
    <x:row r="76" s="455" customFormat="1" ht="27.75" customHeight="1">
      <x:c r="A76" s="517" t="inlineStr">
        <x:is>
          <x:t xml:space="preserve">EXEMPLAR NOTE: Uniform v_d = 1/7 each. Non-uniform HDW dimension allocation is not exercised here. Floor check: 1/7 = 0.1429 &gt; 0.10.</x:t>
        </x:is>
      </x:c>
    </x:row>
    <x:row r="77" s="455" customFormat="1" ht="27.75" customHeight="1">
      <x:c r="A77" s="517" t="inlineStr">
        <x:is>
          <x:t xml:space="preserve">NOTE: v3.6 defaults to PLSS_Local_Scope-derived union weights (floor-preserving residual allocation).</x:t>
        </x:is>
      </x:c>
    </x:row>
    <x:row r="78" s="455" customFormat="1" ht="27.75" customHeight="1">
      <x:c r="A78" s="517" t="inlineStr">
        <x:is>
          <x:t xml:space="preserve">Set q_u on PLSS_Local_Scope; use equal q_u values for a uniform baseline.</x:t>
        </x:is>
      </x:c>
    </x:row>
    <x:row r="79" s="455" customFormat="1" ht="27.75" customHeight="1">
      <x:c r="A79" s="517" t="inlineStr">
        <x:is>
          <x:t xml:space="preserve">v10.8 NOTE: Uncertainty estimation REQUIRED for all active cells at Tier 2+</x:t>
        </x:is>
      </x:c>
    </x:row>
    <x:row r="80" s="455" customFormat="1" ht="27.75" customHeight="1">
      <x:c r="A80" s="517" t="inlineStr">
        <x:is>
          <x:t xml:space="preserve">Active cell definition: m(u,d)=1 for RLS ∪ rights-covered ∪ catastrophe ∪ governance minimum</x:t>
        </x:is>
      </x:c>
    </x:row>
  </x:sheetData>
  <x:mergeCells>
    <x:mergeCell ref="A1:H1"/>
  </x:mergeCell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6796875" defaultRowHeight="14.25"/>
  <x:cols>
    <x:col min="1" max="1" width="24" style="471" customWidth="1"/>
    <x:col min="2" max="2" width="38" style="455" customWidth="1"/>
    <x:col min="3" max="3" width="38" style="455" customWidth="1"/>
    <x:col min="4" max="4" width="38" style="455" customWidth="1"/>
    <x:col min="6" max="6" width="18" style="471" customWidth="1"/>
    <x:col min="7" max="7" width="34" style="471" customWidth="1"/>
    <x:col min="8" max="8" width="22" style="497" customWidth="1"/>
    <x:col min="9" max="9" width="44" style="497" customWidth="1"/>
  </x:cols>
  <x:sheetData>
    <x:row r="1" s="455" customFormat="1" ht="17.25" customHeight="1">
      <x:c r="A1" s="518" t="inlineStr">
        <x:is>
          <x:t xml:space="preserve">PRACTICAL LOCAL SCOPE SCORING (PLSS) - v3.6 HELPER</x:t>
        </x:is>
      </x:c>
      <x:c r="B1" s="457" t="n"/>
      <x:c r="C1" s="457" t="n"/>
      <x:c r="D1" s="457" t="n"/>
      <x:c r="E1" s="457" t="n"/>
      <x:c r="F1" s="457" t="n"/>
      <x:c r="G1" s="457" t="n"/>
    </x:row>
    <x:row r="2" s="455" customFormat="1" ht="14.25" customHeight="1">
      <x:c r="A2" s="519" t="inlineStr">
        <x:is>
          <x:t xml:space="preserve">Purpose</x:t>
        </x:is>
      </x:c>
      <x:c r="B2" s="489" t="inlineStr">
        <x:is>
          <x:t xml:space="preserve">Compute floor-preserving local union weights for RippleLogic v10.8. Enter q_u values for the unions that are actually live in the decision; the sheet preserves constitutional floors and allocates only the residual.</x:t>
        </x:is>
      </x:c>
    </x:row>
    <x:row r="3" s="455" customFormat="1" ht="14.25" customHeight="1">
      <x:c r="A3" s="519" t="inlineStr">
        <x:is>
          <x:t xml:space="preserve">Framework</x:t>
        </x:is>
      </x:c>
      <x:c r="B3" s="489" t="inlineStr">
        <x:is>
          <x:t xml:space="preserve">RippleLogic v10.8</x:t>
        </x:is>
      </x:c>
    </x:row>
    <x:row r="4" s="455" customFormat="1" ht="14.25" customHeight="1">
      <x:c r="A4" s="519" t="inlineStr">
        <x:is>
          <x:t xml:space="preserve">SGP</x:t>
        </x:is>
      </x:c>
      <x:c r="B4" s="489" t="inlineStr">
        <x:is>
          <x:t xml:space="preserve">SGP v5.5</x:t>
        </x:is>
      </x:c>
    </x:row>
    <x:row r="5" s="455" customFormat="1" ht="14.25" customHeight="1">
      <x:c r="A5" s="519" t="inlineStr">
        <x:is>
          <x:t xml:space="preserve">Sheet Version</x:t>
        </x:is>
      </x:c>
      <x:c r="B5" s="489" t="inlineStr">
        <x:is>
          <x:t xml:space="preserve">v3.6</x:t>
        </x:is>
      </x:c>
    </x:row>
    <x:row r="6" s="455" customFormat="1" ht="14.25" customHeight="1">
      <x:c r="A6" s="519" t="inlineStr">
        <x:is>
          <x:t xml:space="preserve">Weight Profile</x:t>
        </x:is>
      </x:c>
      <x:c r="B6" s="489"/>
    </x:row>
    <x:row r="7" s="455" customFormat="1" ht="13.5" customHeight="1">
      <x:c r="A7" s="460" t="n"/>
      <x:c r="B7" s="460" t="n"/>
    </x:row>
    <x:row r="8" s="455" customFormat="1" ht="14.25" customHeight="1">
      <x:c r="A8" s="519" t="inlineStr">
        <x:is>
          <x:t xml:space="preserve">Key Rule</x:t>
        </x:is>
      </x:c>
      <x:c r="B8" s="489" t="inlineStr">
        <x:is>
          <x:t xml:space="preserve">Score near, guard far. PLSS is the zoom lens, not the safety waiver. Structural diagnostics required for Containment remain live even when residual welfare attention is local.</x:t>
        </x:is>
      </x:c>
    </x:row>
    <x:row r="9" s="455" customFormat="1" ht="13.5" customHeight="1"/>
    <x:row r="10" s="455" customFormat="1" ht="14.25" customHeight="1">
      <x:c r="A10" s="520" t="inlineStr">
        <x:is>
          <x:t xml:space="preserve">Union Scope</x:t>
        </x:is>
      </x:c>
      <x:c r="B10" s="520" t="inlineStr">
        <x:is>
          <x:t xml:space="preserve">q_u</x:t>
        </x:is>
      </x:c>
      <x:c r="C10" s="520" t="inlineStr">
        <x:is>
          <x:t xml:space="preserve">w_u^floor</x:t>
        </x:is>
      </x:c>
      <x:c r="D10" s="520" t="inlineStr">
        <x:is>
          <x:t xml:space="preserve">rho_u</x:t>
        </x:is>
      </x:c>
      <x:c r="E10" s="520" t="inlineStr">
        <x:is>
          <x:t xml:space="preserve">w_u^PLSS</x:t>
        </x:is>
      </x:c>
      <x:c r="F10" s="520" t="inlineStr">
        <x:is>
          <x:t xml:space="preserve">Role</x:t>
        </x:is>
      </x:c>
      <x:c r="G10" s="520" t="inlineStr">
        <x:is>
          <x:t xml:space="preserve">Note</x:t>
        </x:is>
      </x:c>
      <x:c r="H10" s="521" t="inlineStr">
        <x:is>
          <x:t xml:space="preserve">q_u ReasonCode</x:t>
        </x:is>
      </x:c>
      <x:c r="I10" s="521" t="inlineStr">
        <x:is>
          <x:t xml:space="preserve">q_u SourceNote</x:t>
        </x:is>
      </x:c>
    </x:row>
    <x:row r="11" s="455" customFormat="1" ht="14.25" customHeight="1">
      <x:c r="A11" s="516" t="n"/>
      <x:c r="B11" s="516" t="n"/>
      <x:c r="C11" s="516" t="n"/>
      <x:c r="D11" s="516" t="n"/>
      <x:c r="E11" s="516" t="n"/>
      <x:c r="F11" s="516" t="n"/>
      <x:c r="G11" s="516" t="n"/>
    </x:row>
    <x:row r="12" s="455" customFormat="1" ht="14.25" customHeight="1">
      <x:c r="A12" s="516" t="inlineStr">
        <x:is>
          <x:t xml:space="preserve">U1 Self</x:t>
        </x:is>
      </x:c>
      <x:c r="B12" s="516" t="n">
        <x:v>0.95</x:v>
      </x:c>
      <x:c r="C12" s="516" t="n">
        <x:v>0.2</x:v>
      </x:c>
      <x:c r="D12" s="516" t="n">
        <x:f>IF(SUM($B$12:$B$18)=0,1/7,B12/SUM($B$12:$B$18))</x:f>
        <x:v>0.3166666666666667</x:v>
      </x:c>
      <x:c r="E12" s="516" t="n">
        <x:f>C12+($B$20*D12)</x:f>
        <x:v>0.3076666666666667</x:v>
      </x:c>
      <x:c r="F12" s="516" t="str">
        <x:f>IF(E12-C12&gt;=0.05,"Prominent","Guardrail")</x:f>
        <x:v>Prominent</x:v>
      </x:c>
      <x:c r="G12" s="516" t="inlineStr">
        <x:is>
          <x:t xml:space="preserve">Near-field self</x:t>
        </x:is>
      </x:c>
      <x:c r="H12" s="516" t="inlineStr">
        <x:is>
          <x:t xml:space="preserve">NEAR_FIELD_PROMINENCE</x:t>
        </x:is>
      </x:c>
      <x:c r="I12" s="516" t="inlineStr">
        <x:is>
          <x:t xml:space="preserve">Near-field lived impact emphasis for self.</x:t>
        </x:is>
      </x:c>
    </x:row>
    <x:row r="13" s="455" customFormat="1" ht="14.25" customHeight="1">
      <x:c r="A13" s="516" t="inlineStr">
        <x:is>
          <x:t xml:space="preserve">U2 Household</x:t>
        </x:is>
      </x:c>
      <x:c r="B13" s="516" t="n">
        <x:v>0.85</x:v>
      </x:c>
      <x:c r="C13" s="516" t="n">
        <x:v>0.06</x:v>
      </x:c>
      <x:c r="D13" s="516" t="n">
        <x:f>IF(SUM($B$12:$B$18)=0,1/7,B13/SUM($B$12:$B$18))</x:f>
        <x:v>0.2833333333333334</x:v>
      </x:c>
      <x:c r="E13" s="516" t="n">
        <x:f>C13+($B$20*D13)</x:f>
        <x:v>0.15633333333333332</x:v>
      </x:c>
      <x:c r="F13" s="516" t="str">
        <x:f>IF(E13-C13&gt;=0.05,"Prominent","Guardrail")</x:f>
        <x:v>Prominent</x:v>
      </x:c>
      <x:c r="G13" s="516" t="inlineStr">
        <x:is>
          <x:t xml:space="preserve">Primary directly lived/support unit</x:t>
        </x:is>
      </x:c>
      <x:c r="H13" s="516" t="inlineStr">
        <x:is>
          <x:t xml:space="preserve">NEAR_FIELD_PROMINENCE</x:t>
        </x:is>
      </x:c>
      <x:c r="I13" s="516" t="inlineStr">
        <x:is>
          <x:t xml:space="preserve">Primary household/support exposure.</x:t>
        </x:is>
      </x:c>
    </x:row>
    <x:row r="14" s="455" customFormat="1" ht="14.25" customHeight="1">
      <x:c r="A14" s="516" t="inlineStr">
        <x:is>
          <x:t xml:space="preserve">U3 Community</x:t>
        </x:is>
      </x:c>
      <x:c r="B14" s="516" t="n">
        <x:v>0.55</x:v>
      </x:c>
      <x:c r="C14" s="516" t="n">
        <x:v>0.06</x:v>
      </x:c>
      <x:c r="D14" s="516" t="n">
        <x:f>IF(SUM($B$12:$B$18)=0,1/7,B14/SUM($B$12:$B$18))</x:f>
        <x:v>0.18333333333333338</x:v>
      </x:c>
      <x:c r="E14" s="516" t="n">
        <x:f>C14+($B$20*D14)</x:f>
        <x:v>0.12233333333333335</x:v>
      </x:c>
      <x:c r="F14" s="516" t="str">
        <x:f>IF(E14-C14&gt;=0.05,"Prominent","Guardrail")</x:f>
        <x:v>Prominent</x:v>
      </x:c>
      <x:c r="G14" s="516" t="inlineStr">
        <x:is>
          <x:t xml:space="preserve">Local repeated-contact network</x:t>
        </x:is>
      </x:c>
      <x:c r="H14" s="516" t="inlineStr">
        <x:is>
          <x:t xml:space="preserve">NEAR_FIELD_PROMINENCE</x:t>
        </x:is>
      </x:c>
      <x:c r="I14" s="516" t="inlineStr">
        <x:is>
          <x:t xml:space="preserve">Local repeated-interaction network exposure.</x:t>
        </x:is>
      </x:c>
    </x:row>
    <x:row r="15" s="455" customFormat="1" ht="14.25" customHeight="1">
      <x:c r="A15" s="516" t="inlineStr">
        <x:is>
          <x:t xml:space="preserve">U4 Organization</x:t>
        </x:is>
      </x:c>
      <x:c r="B15" s="516" t="n">
        <x:v>0.5</x:v>
      </x:c>
      <x:c r="C15" s="516" t="n">
        <x:v>0.06</x:v>
      </x:c>
      <x:c r="D15" s="516" t="n">
        <x:f>IF(SUM($B$12:$B$18)=0,1/7,B15/SUM($B$12:$B$18))</x:f>
        <x:v>0.16666666666666669</x:v>
      </x:c>
      <x:c r="E15" s="516" t="n">
        <x:f>C15+($B$20*D15)</x:f>
        <x:v>0.11666666666666667</x:v>
      </x:c>
      <x:c r="F15" s="516" t="str">
        <x:f>IF(E15-C15&gt;=0.05,"Prominent","Guardrail")</x:f>
        <x:v>Prominent</x:v>
      </x:c>
      <x:c r="G15" s="516" t="inlineStr">
        <x:is>
          <x:t xml:space="preserve">Structured institution involved</x:t>
        </x:is>
      </x:c>
      <x:c r="H15" s="516" t="inlineStr">
        <x:is>
          <x:t xml:space="preserve">NEAR_FIELD_PROMINENCE</x:t>
        </x:is>
      </x:c>
      <x:c r="I15" s="516" t="inlineStr">
        <x:is>
          <x:t xml:space="preserve">Organizational operational exposure.</x:t>
        </x:is>
      </x:c>
    </x:row>
    <x:row r="16" s="455" customFormat="1" ht="14.25" customHeight="1">
      <x:c r="A16" s="516" t="inlineStr">
        <x:is>
          <x:t xml:space="preserve">U5 Polity</x:t>
        </x:is>
      </x:c>
      <x:c r="B16" s="516" t="n">
        <x:v>0.1</x:v>
      </x:c>
      <x:c r="C16" s="516" t="n">
        <x:v>0.08</x:v>
      </x:c>
      <x:c r="D16" s="516" t="n">
        <x:f>IF(SUM($B$12:$B$18)=0,1/7,B16/SUM($B$12:$B$18))</x:f>
        <x:v>0.03333333333333334</x:v>
      </x:c>
      <x:c r="E16" s="516" t="n">
        <x:f>C16+($B$20*D16)</x:f>
        <x:v>0.09133333333333334</x:v>
      </x:c>
      <x:c r="F16" s="516" t="str">
        <x:f>IF(E16-C16&gt;=0.05,"Prominent","Guardrail")</x:f>
        <x:v>Guardrail</x:v>
      </x:c>
      <x:c r="G16" s="516" t="inlineStr">
        <x:is>
          <x:t xml:space="preserve">Governance/public legitimacy</x:t>
        </x:is>
      </x:c>
      <x:c r="H16" s="516" t="inlineStr">
        <x:is>
          <x:t xml:space="preserve">GUARDRAIL_SIGNAL</x:t>
        </x:is>
      </x:c>
      <x:c r="I16" s="516" t="inlineStr">
        <x:is>
          <x:t xml:space="preserve">Public-governance spillover review.</x:t>
        </x:is>
      </x:c>
    </x:row>
    <x:row r="17" s="455" customFormat="1" ht="27.75" customHeight="1">
      <x:c r="A17" s="516" t="inlineStr">
        <x:is>
          <x:t xml:space="preserve">U6 Humanity/CMIU</x:t>
        </x:is>
      </x:c>
      <x:c r="B17" s="516" t="n">
        <x:v>0.03</x:v>
      </x:c>
      <x:c r="C17" s="516" t="n">
        <x:v>0.1</x:v>
      </x:c>
      <x:c r="D17" s="516" t="n">
        <x:f>IF(SUM($B$12:$B$18)=0,1/7,B17/SUM($B$12:$B$18))</x:f>
        <x:v>0.010000000000000002</x:v>
      </x:c>
      <x:c r="E17" s="516" t="n">
        <x:f>C17+($B$20*D17)</x:f>
        <x:v>0.1034</x:v>
      </x:c>
      <x:c r="F17" s="516" t="str">
        <x:f>IF(E17-C17&gt;=0.05,"Prominent","Guardrail")</x:f>
        <x:v>Guardrail</x:v>
      </x:c>
      <x:c r="G17" s="516" t="inlineStr">
        <x:is>
          <x:t xml:space="preserve">Cross-border/system-wide coordination</x:t>
        </x:is>
      </x:c>
      <x:c r="H17" s="516" t="inlineStr">
        <x:is>
          <x:t xml:space="preserve">GUARDRAIL_SIGNAL</x:t>
        </x:is>
      </x:c>
      <x:c r="I17" s="516" t="inlineStr">
        <x:is>
          <x:t xml:space="preserve">Cross-border/system coordination check.</x:t>
        </x:is>
      </x:c>
    </x:row>
    <x:row r="18" s="455" customFormat="1" ht="14.25" customHeight="1">
      <x:c r="A18" s="516" t="inlineStr">
        <x:is>
          <x:t xml:space="preserve">U7 Biosphere</x:t>
        </x:is>
      </x:c>
      <x:c r="B18" s="516" t="n">
        <x:v>0.02</x:v>
      </x:c>
      <x:c r="C18" s="516" t="n">
        <x:v>0.1</x:v>
      </x:c>
      <x:c r="D18" s="516" t="n">
        <x:f>IF(SUM($B$12:$B$18)=0,1/7,B18/SUM($B$12:$B$18))</x:f>
        <x:v>0.006666666666666668</x:v>
      </x:c>
      <x:c r="E18" s="516" t="n">
        <x:f>C18+($B$20*D18)</x:f>
        <x:v>0.10226666666666667</x:v>
      </x:c>
      <x:c r="F18" s="516" t="str">
        <x:f>IF(E18-C18&gt;=0.05,"Prominent","Guardrail")</x:f>
        <x:v>Guardrail</x:v>
      </x:c>
      <x:c r="G18" s="516" t="inlineStr">
        <x:is>
          <x:t xml:space="preserve">Ecological support systems</x:t>
        </x:is>
      </x:c>
      <x:c r="H18" s="516" t="inlineStr">
        <x:is>
          <x:t xml:space="preserve">GUARDRAIL_SIGNAL</x:t>
        </x:is>
      </x:c>
      <x:c r="I18" s="516" t="inlineStr">
        <x:is>
          <x:t xml:space="preserve">Ecological guardrail presence.</x:t>
        </x:is>
      </x:c>
    </x:row>
    <x:row r="19" s="455" customFormat="1" ht="14.25" customHeight="1">
      <x:c r="A19" s="516" t="n"/>
      <x:c r="B19" s="516" t="n"/>
      <x:c r="C19" s="516" t="n"/>
      <x:c r="D19" s="516" t="n"/>
      <x:c r="E19" s="516" t="n"/>
      <x:c r="F19" s="516" t="n"/>
      <x:c r="G19" s="516" t="n"/>
    </x:row>
    <x:row r="20" s="455" customFormat="1" ht="14.25" customHeight="1">
      <x:c r="A20" s="522" t="inlineStr">
        <x:is>
          <x:t xml:space="preserve">Residual Mass</x:t>
        </x:is>
      </x:c>
      <x:c r="B20" s="516" t="n">
        <x:f>1-SUM($C$12:$C$18)</x:f>
        <x:v>0.33999999999999997</x:v>
      </x:c>
      <x:c r="C20" s="516" t="n"/>
      <x:c r="D20" s="516" t="n"/>
      <x:c r="E20" s="516" t="n"/>
      <x:c r="F20" s="516" t="n"/>
      <x:c r="G20" s="516" t="n"/>
    </x:row>
    <x:row r="21" s="455" customFormat="1" ht="14.25" customHeight="1">
      <x:c r="A21" s="522" t="inlineStr">
        <x:is>
          <x:t xml:space="preserve">Check: Sum w_u^PLSS</x:t>
        </x:is>
      </x:c>
      <x:c r="B21" s="516" t="n">
        <x:f>SUM($E$12:$E$18)</x:f>
        <x:v>1.0000000000000002</x:v>
      </x:c>
      <x:c r="C21" s="516" t="n"/>
      <x:c r="D21" s="516" t="n"/>
      <x:c r="E21" s="516" t="n"/>
      <x:c r="F21" s="516" t="n"/>
      <x:c r="G21" s="516" t="n"/>
    </x:row>
    <x:row r="22" s="455" customFormat="1" ht="14.25" customHeight="1">
      <x:c r="A22" s="522" t="inlineStr">
        <x:is>
          <x:t xml:space="preserve">Check: Floors preserved</x:t>
        </x:is>
      </x:c>
      <x:c r="B22" s="516" t="str">
        <x:f>IF(MIN(E12-C12,E13-C13,E14-C14,E15-C15,E16-C16,E17-C17,E18-C18)&gt;=0,"YES","REVIEW")</x:f>
        <x:v>YES</x:v>
      </x:c>
      <x:c r="C22" s="516" t="n"/>
      <x:c r="D22" s="516" t="n"/>
      <x:c r="E22" s="516" t="n"/>
      <x:c r="F22" s="516" t="n"/>
      <x:c r="G22" s="516" t="n"/>
    </x:row>
    <x:row r="23" s="455" customFormat="1" ht="14.25" customHeight="1">
      <x:c r="A23" s="522" t="inlineStr">
        <x:is>
          <x:t xml:space="preserve">Suggested Scope Mode</x:t>
        </x:is>
      </x:c>
      <x:c r="B23" s="516" t="str">
        <x:f>IF(OR(B17&gt;0.2,B18&gt;0.2),"ESCALATE_OR_FULL_SCOPE","PLSS_OK")</x:f>
        <x:v>PLSS_OK</x:v>
      </x:c>
      <x:c r="C23" s="516" t="n"/>
      <x:c r="D23" s="516" t="n"/>
      <x:c r="E23" s="516" t="n"/>
      <x:c r="F23" s="516" t="n"/>
      <x:c r="G23" s="516" t="n"/>
    </x:row>
    <x:row r="24" s="455" customFormat="1" ht="27.75" customHeight="1">
      <x:c r="A24" s="522" t="inlineStr">
        <x:is>
          <x:t xml:space="preserve">Operator Note</x:t>
        </x:is>
      </x:c>
      <x:c r="B24" s="523" t="inlineStr">
        <x:is>
          <x:t xml:space="preserve">Use PLSS only after NCRC/TRC/Containment are preserved. If broader rights, tail-risk, lock-in, or hidden externalities become plausible, escalate beyond local-only ranking.</x:t>
        </x:is>
      </x:c>
      <x:c r="C24" s="524" t="n"/>
      <x:c r="D24" s="524" t="n"/>
      <x:c r="E24" s="524" t="n"/>
      <x:c r="F24" s="524" t="n"/>
      <x:c r="G24" s="525" t="n"/>
    </x:row>
    <x:row r="25" s="455" customFormat="1" ht="13.5" customHeight="1"/>
    <x:row r="26" s="455" customFormat="1" ht="17.25" customHeight="1">
      <x:c r="A26" s="526" t="inlineStr">
        <x:is>
          <x:t xml:space="preserve">PLSS PCC BLOCK (v10.8 companion disclosure)</x:t>
        </x:is>
      </x:c>
      <x:c r="B26" s="457" t="n"/>
    </x:row>
    <x:row r="27" s="455" customFormat="1" ht="36" customHeight="1">
      <x:c r="A27" s="527" t="inlineStr">
        <x:is>
          <x:t xml:space="preserve">LSS Declaration</x:t>
        </x:is>
      </x:c>
      <x:c r="B27" s="528" t="inlineStr">
        <x:is>
          <x:t xml:space="preserve">Decision owner, household, community, organization, polity, and biosphere pathways declared through the worked-run stakeholder set for this remote-work policy exemplar.</x:t>
        </x:is>
      </x:c>
    </x:row>
    <x:row r="28" s="455" customFormat="1" ht="42" customHeight="1">
      <x:c r="A28" s="527" t="inlineStr">
        <x:is>
          <x:t xml:space="preserve">Operator Declaration</x:t>
        </x:is>
      </x:c>
      <x:c r="B28" s="516" t="inlineStr">
        <x:is>
          <x:t xml:space="preserve">PCC.PLSS.Operator: OTHER_DECLARED: DIRECT_Q_NORMALIZATION_V1. q_u values are supplied directly from declared prominence reasoning in this worked-run exemplar; geometric-mean subcomponent construction is not exercised. Residual allocation is performed by direct normalization of q_u, with constitutional floors preserved.</x:t>
        </x:is>
      </x:c>
    </x:row>
    <x:row r="29" s="455" customFormat="1" ht="30" customHeight="1">
      <x:c r="A29" s="527" t="inlineStr">
        <x:is>
          <x:t xml:space="preserve">Scope Posture Classification</x:t>
        </x:is>
      </x:c>
      <x:c r="B29" s="528" t="inlineStr">
        <x:is>
          <x:t xml:space="preserve">Declared scope posture is surfaced through the Prominent/Guardrail classifications in F12:F18.</x:t>
        </x:is>
      </x:c>
    </x:row>
    <x:row r="30" s="455" customFormat="1" ht="54" customHeight="1">
      <x:c r="A30" s="527" t="inlineStr">
        <x:is>
          <x:t xml:space="preserve">Escalation-Trigger Assessment</x:t>
        </x:is>
      </x:c>
      <x:c r="B30" s="528" t="inlineStr">
        <x:is>
          <x:t xml:space="preserve">No active ET trigger requiring a broader-scope rerun was identified in this worked-run exemplar; revisit if hidden externalities, rights expansion, catastrophe relevance, or lock-in becomes plausible.</x:t>
        </x:is>
      </x:c>
    </x:row>
    <x:row r="31" s="455" customFormat="1" ht="36" customHeight="1">
      <x:c r="A31" s="527" t="inlineStr">
        <x:is>
          <x:t xml:space="preserve">Fallback Declaration</x:t>
        </x:is>
      </x:c>
      <x:c r="B31" s="528" t="inlineStr">
        <x:is>
          <x:t xml:space="preserve">If SUM(q_u)=0, the workbook uses the uniform residual fallback (1/7 per scope) exactly as encoded in D12:D18.</x:t>
        </x:is>
      </x:c>
    </x:row>
  </x:sheetData>
  <x:mergeCells>
    <x:mergeCell ref="B24:G24"/>
    <x:mergeCell ref="A26:B26"/>
    <x:mergeCell ref="A1:G1"/>
  </x:mergeCell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11" t="inlineStr">
        <x:is>
          <x:t xml:space="preserve">CANONICAL RIGHTS COVERAGE SETS - 70 Entries</x:t>
        </x:is>
      </x:c>
      <x:c r="B1" s="457" t="n"/>
      <x:c r="C1" s="457" t="n"/>
      <x:c r="D1" s="457" t="n"/>
      <x:c r="E1" s="457" t="n"/>
      <x:c r="F1" s="457" t="n"/>
      <x:c r="G1" s="457" t="n"/>
      <x:c r="H1" s="457" t="n"/>
    </x:row>
    <x:row r="2" s="455" customFormat="1" ht="13.5" customHeight="1"/>
    <x:row r="3" s="455" customFormat="1" ht="14.25" customHeight="1">
      <x:c r="A3" s="471" t="inlineStr">
        <x:is>
          <x:t xml:space="preserve">Reference: RippleLogic v10.8 Section 7.2</x:t>
        </x:is>
      </x:c>
    </x:row>
    <x:row r="4" s="455" customFormat="1" ht="13.5" customHeight="1"/>
    <x:row r="5" s="455" customFormat="1" ht="14.25" customHeight="1">
      <x:c r="A5" s="529" t="inlineStr">
        <x:is>
          <x:t xml:space="preserve">#</x:t>
        </x:is>
      </x:c>
      <x:c r="B5" s="529" t="inlineStr">
        <x:is>
          <x:t xml:space="preserve">Right</x:t>
        </x:is>
      </x:c>
      <x:c r="C5" s="529" t="inlineStr">
        <x:is>
          <x:t xml:space="preserve">Union Scope</x:t>
        </x:is>
      </x:c>
      <x:c r="D5" s="529" t="inlineStr">
        <x:is>
          <x:t xml:space="preserve">Dimension</x:t>
        </x:is>
      </x:c>
      <x:c r="E5" s="529" t="inlineStr">
        <x:is>
          <x:t xml:space="preserve">θ_r</x:t>
        </x:is>
      </x:c>
    </x:row>
    <x:row r="6" s="455" customFormat="1" ht="14.25" customHeight="1">
      <x:c r="A6" s="471" t="inlineStr">
        <x:is>
          <x:t xml:space="preserve">#</x:t>
        </x:is>
      </x:c>
      <x:c r="B6" s="471" t="inlineStr">
        <x:is>
          <x:t xml:space="preserve">Right</x:t>
        </x:is>
      </x:c>
      <x:c r="C6" s="471" t="inlineStr">
        <x:is>
          <x:t xml:space="preserve">Union Scope</x:t>
        </x:is>
      </x:c>
      <x:c r="D6" s="471" t="inlineStr">
        <x:is>
          <x:t xml:space="preserve">Dimension</x:t>
        </x:is>
      </x:c>
      <x:c r="E6" s="471" t="inlineStr">
        <x:is>
          <x:t xml:space="preserve">θ_r</x:t>
        </x:is>
      </x:c>
    </x:row>
    <x:row r="7" s="455" customFormat="1" ht="14.25" customHeight="1">
      <x:c r="A7" s="471" t="n">
        <x:v>1</x:v>
      </x:c>
      <x:c r="B7" s="471" t="inlineStr">
        <x:is>
          <x:t xml:space="preserve">LIFE</x:t>
        </x:is>
      </x:c>
      <x:c r="C7" s="471" t="inlineStr">
        <x:is>
          <x:t xml:space="preserve">U1</x:t>
        </x:is>
      </x:c>
      <x:c r="D7" s="486" t="inlineStr">
        <x:is>
          <x:t xml:space="preserve">D2</x:t>
        </x:is>
      </x:c>
      <x:c r="E7" s="486" t="n">
        <x:v>-0.9</x:v>
      </x:c>
    </x:row>
    <x:row r="8" s="455" customFormat="1" ht="14.25" customHeight="1">
      <x:c r="A8" s="471" t="n">
        <x:v>2</x:v>
      </x:c>
      <x:c r="B8" s="471" t="inlineStr">
        <x:is>
          <x:t xml:space="preserve">LIFE</x:t>
        </x:is>
      </x:c>
      <x:c r="C8" s="471" t="inlineStr">
        <x:is>
          <x:t xml:space="preserve">U2</x:t>
        </x:is>
      </x:c>
      <x:c r="D8" s="486" t="inlineStr">
        <x:is>
          <x:t xml:space="preserve">D2</x:t>
        </x:is>
      </x:c>
      <x:c r="E8" s="486" t="n">
        <x:v>-0.9</x:v>
      </x:c>
    </x:row>
    <x:row r="9" s="455" customFormat="1" ht="14.25" customHeight="1">
      <x:c r="A9" s="471" t="n">
        <x:v>3</x:v>
      </x:c>
      <x:c r="B9" s="471" t="inlineStr">
        <x:is>
          <x:t xml:space="preserve">LIFE</x:t>
        </x:is>
      </x:c>
      <x:c r="C9" s="471" t="inlineStr">
        <x:is>
          <x:t xml:space="preserve">U3</x:t>
        </x:is>
      </x:c>
      <x:c r="D9" s="486" t="inlineStr">
        <x:is>
          <x:t xml:space="preserve">D2</x:t>
        </x:is>
      </x:c>
      <x:c r="E9" s="486" t="n">
        <x:v>-0.9</x:v>
      </x:c>
    </x:row>
    <x:row r="10" s="455" customFormat="1" ht="14.25" customHeight="1">
      <x:c r="A10" s="471" t="n">
        <x:v>4</x:v>
      </x:c>
      <x:c r="B10" s="471" t="inlineStr">
        <x:is>
          <x:t xml:space="preserve">LIFE</x:t>
        </x:is>
      </x:c>
      <x:c r="C10" s="471" t="inlineStr">
        <x:is>
          <x:t xml:space="preserve">U4</x:t>
        </x:is>
      </x:c>
      <x:c r="D10" s="486" t="inlineStr">
        <x:is>
          <x:t xml:space="preserve">D2</x:t>
        </x:is>
      </x:c>
      <x:c r="E10" s="486" t="n">
        <x:v>-0.9</x:v>
      </x:c>
    </x:row>
    <x:row r="11" s="455" customFormat="1" ht="14.25" customHeight="1">
      <x:c r="A11" s="471" t="n">
        <x:v>5</x:v>
      </x:c>
      <x:c r="B11" s="471" t="inlineStr">
        <x:is>
          <x:t xml:space="preserve">LIFE</x:t>
        </x:is>
      </x:c>
      <x:c r="C11" s="471" t="inlineStr">
        <x:is>
          <x:t xml:space="preserve">U5</x:t>
        </x:is>
      </x:c>
      <x:c r="D11" s="486" t="inlineStr">
        <x:is>
          <x:t xml:space="preserve">D2</x:t>
        </x:is>
      </x:c>
      <x:c r="E11" s="486" t="n">
        <x:v>-0.9</x:v>
      </x:c>
    </x:row>
    <x:row r="12" s="455" customFormat="1" ht="14.25" customHeight="1">
      <x:c r="A12" s="471" t="n">
        <x:v>6</x:v>
      </x:c>
      <x:c r="B12" s="471" t="inlineStr">
        <x:is>
          <x:t xml:space="preserve">LIFE</x:t>
        </x:is>
      </x:c>
      <x:c r="C12" s="471" t="inlineStr">
        <x:is>
          <x:t xml:space="preserve">U6</x:t>
        </x:is>
      </x:c>
      <x:c r="D12" s="486" t="inlineStr">
        <x:is>
          <x:t xml:space="preserve">D2</x:t>
        </x:is>
      </x:c>
      <x:c r="E12" s="486" t="n">
        <x:v>-0.9</x:v>
      </x:c>
    </x:row>
    <x:row r="13" s="455" customFormat="1" ht="14.25" customHeight="1">
      <x:c r="A13" s="471" t="n">
        <x:v>7</x:v>
      </x:c>
      <x:c r="B13" s="471" t="inlineStr">
        <x:is>
          <x:t xml:space="preserve">LIFE</x:t>
        </x:is>
      </x:c>
      <x:c r="C13" s="471" t="inlineStr">
        <x:is>
          <x:t xml:space="preserve">U6</x:t>
        </x:is>
      </x:c>
      <x:c r="D13" s="486" t="inlineStr">
        <x:is>
          <x:t xml:space="preserve">D7</x:t>
        </x:is>
      </x:c>
      <x:c r="E13" s="486" t="n">
        <x:v>-0.9</x:v>
      </x:c>
    </x:row>
    <x:row r="14" s="455" customFormat="1" ht="14.25" customHeight="1">
      <x:c r="A14" s="471" t="n">
        <x:v>8</x:v>
      </x:c>
      <x:c r="B14" s="471" t="inlineStr">
        <x:is>
          <x:t xml:space="preserve">BODY</x:t>
        </x:is>
      </x:c>
      <x:c r="C14" s="471" t="inlineStr">
        <x:is>
          <x:t xml:space="preserve">U1</x:t>
        </x:is>
      </x:c>
      <x:c r="D14" s="486" t="inlineStr">
        <x:is>
          <x:t xml:space="preserve">D2</x:t>
        </x:is>
      </x:c>
      <x:c r="E14" s="486" t="n">
        <x:v>-0.7</x:v>
      </x:c>
    </x:row>
    <x:row r="15" s="455" customFormat="1" ht="14.25" customHeight="1">
      <x:c r="A15" s="471" t="n">
        <x:v>9</x:v>
      </x:c>
      <x:c r="B15" s="471" t="inlineStr">
        <x:is>
          <x:t xml:space="preserve">BODY</x:t>
        </x:is>
      </x:c>
      <x:c r="C15" s="471" t="inlineStr">
        <x:is>
          <x:t xml:space="preserve">U2</x:t>
        </x:is>
      </x:c>
      <x:c r="D15" s="486" t="inlineStr">
        <x:is>
          <x:t xml:space="preserve">D2</x:t>
        </x:is>
      </x:c>
      <x:c r="E15" s="486" t="n">
        <x:v>-0.7</x:v>
      </x:c>
    </x:row>
    <x:row r="16" s="455" customFormat="1" ht="14.25" customHeight="1">
      <x:c r="A16" s="471" t="n">
        <x:v>10</x:v>
      </x:c>
      <x:c r="B16" s="471" t="inlineStr">
        <x:is>
          <x:t xml:space="preserve">BODY</x:t>
        </x:is>
      </x:c>
      <x:c r="C16" s="471" t="inlineStr">
        <x:is>
          <x:t xml:space="preserve">U3</x:t>
        </x:is>
      </x:c>
      <x:c r="D16" s="486" t="inlineStr">
        <x:is>
          <x:t xml:space="preserve">D2</x:t>
        </x:is>
      </x:c>
      <x:c r="E16" s="486" t="n">
        <x:v>-0.7</x:v>
      </x:c>
    </x:row>
    <x:row r="17" s="455" customFormat="1" ht="14.25" customHeight="1">
      <x:c r="A17" s="471" t="n">
        <x:v>11</x:v>
      </x:c>
      <x:c r="B17" s="471" t="inlineStr">
        <x:is>
          <x:t xml:space="preserve">BODY</x:t>
        </x:is>
      </x:c>
      <x:c r="C17" s="471" t="inlineStr">
        <x:is>
          <x:t xml:space="preserve">U4</x:t>
        </x:is>
      </x:c>
      <x:c r="D17" s="486" t="inlineStr">
        <x:is>
          <x:t xml:space="preserve">D2</x:t>
        </x:is>
      </x:c>
      <x:c r="E17" s="486" t="n">
        <x:v>-0.7</x:v>
      </x:c>
    </x:row>
    <x:row r="18" s="455" customFormat="1" ht="14.25" customHeight="1">
      <x:c r="A18" s="471" t="n">
        <x:v>12</x:v>
      </x:c>
      <x:c r="B18" s="471" t="inlineStr">
        <x:is>
          <x:t xml:space="preserve">BODY</x:t>
        </x:is>
      </x:c>
      <x:c r="C18" s="471" t="inlineStr">
        <x:is>
          <x:t xml:space="preserve">U5</x:t>
        </x:is>
      </x:c>
      <x:c r="D18" s="486" t="inlineStr">
        <x:is>
          <x:t xml:space="preserve">D2</x:t>
        </x:is>
      </x:c>
      <x:c r="E18" s="486" t="n">
        <x:v>-0.7</x:v>
      </x:c>
    </x:row>
    <x:row r="19" s="455" customFormat="1" ht="14.25" customHeight="1">
      <x:c r="A19" s="471" t="n">
        <x:v>13</x:v>
      </x:c>
      <x:c r="B19" s="471" t="inlineStr">
        <x:is>
          <x:t xml:space="preserve">BODY</x:t>
        </x:is>
      </x:c>
      <x:c r="C19" s="471" t="inlineStr">
        <x:is>
          <x:t xml:space="preserve">U6</x:t>
        </x:is>
      </x:c>
      <x:c r="D19" s="486" t="inlineStr">
        <x:is>
          <x:t xml:space="preserve">D2</x:t>
        </x:is>
      </x:c>
      <x:c r="E19" s="486" t="n">
        <x:v>-0.7</x:v>
      </x:c>
    </x:row>
    <x:row r="20" s="455" customFormat="1" ht="14.25" customHeight="1">
      <x:c r="A20" s="471" t="n">
        <x:v>14</x:v>
      </x:c>
      <x:c r="B20" s="471" t="inlineStr">
        <x:is>
          <x:t xml:space="preserve">ECOL</x:t>
        </x:is>
      </x:c>
      <x:c r="C20" s="471" t="inlineStr">
        <x:is>
          <x:t xml:space="preserve">U6</x:t>
        </x:is>
      </x:c>
      <x:c r="D20" s="486" t="inlineStr">
        <x:is>
          <x:t xml:space="preserve">D7</x:t>
        </x:is>
      </x:c>
      <x:c r="E20" s="486" t="n">
        <x:v>-0.65</x:v>
      </x:c>
    </x:row>
    <x:row r="21" s="455" customFormat="1" ht="14.25" customHeight="1">
      <x:c r="A21" s="471" t="n">
        <x:v>15</x:v>
      </x:c>
      <x:c r="B21" s="471" t="inlineStr">
        <x:is>
          <x:t xml:space="preserve">ECOL</x:t>
        </x:is>
      </x:c>
      <x:c r="C21" s="471" t="inlineStr">
        <x:is>
          <x:t xml:space="preserve">U7</x:t>
        </x:is>
      </x:c>
      <x:c r="D21" s="486" t="inlineStr">
        <x:is>
          <x:t xml:space="preserve">D7</x:t>
        </x:is>
      </x:c>
      <x:c r="E21" s="486" t="n">
        <x:v>-0.65</x:v>
      </x:c>
    </x:row>
    <x:row r="22" s="455" customFormat="1" ht="14.25" customHeight="1">
      <x:c r="A22" s="471" t="n">
        <x:v>16</x:v>
      </x:c>
      <x:c r="B22" s="471" t="inlineStr">
        <x:is>
          <x:t xml:space="preserve">LBTY</x:t>
        </x:is>
      </x:c>
      <x:c r="C22" s="471" t="inlineStr">
        <x:is>
          <x:t xml:space="preserve">U1</x:t>
        </x:is>
      </x:c>
      <x:c r="D22" s="486" t="inlineStr">
        <x:is>
          <x:t xml:space="preserve">D5</x:t>
        </x:is>
      </x:c>
      <x:c r="E22" s="486" t="n">
        <x:v>-0.65</x:v>
      </x:c>
    </x:row>
    <x:row r="23" s="455" customFormat="1" ht="14.25" customHeight="1">
      <x:c r="A23" s="471" t="n">
        <x:v>17</x:v>
      </x:c>
      <x:c r="B23" s="471" t="inlineStr">
        <x:is>
          <x:t xml:space="preserve">LBTY</x:t>
        </x:is>
      </x:c>
      <x:c r="C23" s="471" t="inlineStr">
        <x:is>
          <x:t xml:space="preserve">U2</x:t>
        </x:is>
      </x:c>
      <x:c r="D23" s="486" t="inlineStr">
        <x:is>
          <x:t xml:space="preserve">D5</x:t>
        </x:is>
      </x:c>
      <x:c r="E23" s="486" t="n">
        <x:v>-0.65</x:v>
      </x:c>
    </x:row>
    <x:row r="24" s="455" customFormat="1" ht="14.25" customHeight="1">
      <x:c r="A24" s="471" t="n">
        <x:v>18</x:v>
      </x:c>
      <x:c r="B24" s="471" t="inlineStr">
        <x:is>
          <x:t xml:space="preserve">LBTY</x:t>
        </x:is>
      </x:c>
      <x:c r="C24" s="471" t="inlineStr">
        <x:is>
          <x:t xml:space="preserve">U3</x:t>
        </x:is>
      </x:c>
      <x:c r="D24" s="486" t="inlineStr">
        <x:is>
          <x:t xml:space="preserve">D5</x:t>
        </x:is>
      </x:c>
      <x:c r="E24" s="486" t="n">
        <x:v>-0.65</x:v>
      </x:c>
    </x:row>
    <x:row r="25" s="455" customFormat="1" ht="14.25" customHeight="1">
      <x:c r="A25" s="471" t="n">
        <x:v>19</x:v>
      </x:c>
      <x:c r="B25" s="471" t="inlineStr">
        <x:is>
          <x:t xml:space="preserve">LBTY</x:t>
        </x:is>
      </x:c>
      <x:c r="C25" s="471" t="inlineStr">
        <x:is>
          <x:t xml:space="preserve">U4</x:t>
        </x:is>
      </x:c>
      <x:c r="D25" s="486" t="inlineStr">
        <x:is>
          <x:t xml:space="preserve">D5</x:t>
        </x:is>
      </x:c>
      <x:c r="E25" s="486" t="n">
        <x:v>-0.65</x:v>
      </x:c>
    </x:row>
    <x:row r="26" s="455" customFormat="1" ht="14.25" customHeight="1">
      <x:c r="A26" s="471" t="n">
        <x:v>20</x:v>
      </x:c>
      <x:c r="B26" s="471" t="inlineStr">
        <x:is>
          <x:t xml:space="preserve">LBTY</x:t>
        </x:is>
      </x:c>
      <x:c r="C26" s="471" t="inlineStr">
        <x:is>
          <x:t xml:space="preserve">U5</x:t>
        </x:is>
      </x:c>
      <x:c r="D26" s="486" t="inlineStr">
        <x:is>
          <x:t xml:space="preserve">D5</x:t>
        </x:is>
      </x:c>
      <x:c r="E26" s="486" t="n">
        <x:v>-0.65</x:v>
      </x:c>
    </x:row>
    <x:row r="27" s="455" customFormat="1" ht="14.25" customHeight="1">
      <x:c r="A27" s="471" t="n">
        <x:v>21</x:v>
      </x:c>
      <x:c r="B27" s="471" t="inlineStr">
        <x:is>
          <x:t xml:space="preserve">LBTY</x:t>
        </x:is>
      </x:c>
      <x:c r="C27" s="471" t="inlineStr">
        <x:is>
          <x:t xml:space="preserve">U6</x:t>
        </x:is>
      </x:c>
      <x:c r="D27" s="486" t="inlineStr">
        <x:is>
          <x:t xml:space="preserve">D5</x:t>
        </x:is>
      </x:c>
      <x:c r="E27" s="486" t="n">
        <x:v>-0.65</x:v>
      </x:c>
    </x:row>
    <x:row r="28" s="455" customFormat="1" ht="14.25" customHeight="1">
      <x:c r="A28" s="471" t="n">
        <x:v>22</x:v>
      </x:c>
      <x:c r="B28" s="471" t="inlineStr">
        <x:is>
          <x:t xml:space="preserve">LBTY</x:t>
        </x:is>
      </x:c>
      <x:c r="C28" s="471" t="inlineStr">
        <x:is>
          <x:t xml:space="preserve">U3</x:t>
        </x:is>
      </x:c>
      <x:c r="D28" s="486" t="inlineStr">
        <x:is>
          <x:t xml:space="preserve">D3</x:t>
        </x:is>
      </x:c>
      <x:c r="E28" s="486" t="n">
        <x:v>-0.65</x:v>
      </x:c>
    </x:row>
    <x:row r="29" s="455" customFormat="1" ht="14.25" customHeight="1">
      <x:c r="A29" s="471" t="n">
        <x:v>23</x:v>
      </x:c>
      <x:c r="B29" s="471" t="inlineStr">
        <x:is>
          <x:t xml:space="preserve">LBTY</x:t>
        </x:is>
      </x:c>
      <x:c r="C29" s="471" t="inlineStr">
        <x:is>
          <x:t xml:space="preserve">U4</x:t>
        </x:is>
      </x:c>
      <x:c r="D29" s="486" t="inlineStr">
        <x:is>
          <x:t xml:space="preserve">D3</x:t>
        </x:is>
      </x:c>
      <x:c r="E29" s="486" t="n">
        <x:v>-0.65</x:v>
      </x:c>
    </x:row>
    <x:row r="30" s="455" customFormat="1" ht="14.25" customHeight="1">
      <x:c r="A30" s="471" t="n">
        <x:v>24</x:v>
      </x:c>
      <x:c r="B30" s="471" t="inlineStr">
        <x:is>
          <x:t xml:space="preserve">LBTY</x:t>
        </x:is>
      </x:c>
      <x:c r="C30" s="471" t="inlineStr">
        <x:is>
          <x:t xml:space="preserve">U5</x:t>
        </x:is>
      </x:c>
      <x:c r="D30" s="486" t="inlineStr">
        <x:is>
          <x:t xml:space="preserve">D3</x:t>
        </x:is>
      </x:c>
      <x:c r="E30" s="486" t="n">
        <x:v>-0.65</x:v>
      </x:c>
    </x:row>
    <x:row r="31" s="455" customFormat="1" ht="14.25" customHeight="1">
      <x:c r="A31" s="471" t="n">
        <x:v>25</x:v>
      </x:c>
      <x:c r="B31" s="471" t="inlineStr">
        <x:is>
          <x:t xml:space="preserve">LBTY</x:t>
        </x:is>
      </x:c>
      <x:c r="C31" s="471" t="inlineStr">
        <x:is>
          <x:t xml:space="preserve">U6</x:t>
        </x:is>
      </x:c>
      <x:c r="D31" s="486" t="inlineStr">
        <x:is>
          <x:t xml:space="preserve">D3</x:t>
        </x:is>
      </x:c>
      <x:c r="E31" s="486" t="n">
        <x:v>-0.65</x:v>
      </x:c>
    </x:row>
    <x:row r="32" s="455" customFormat="1" ht="14.25" customHeight="1">
      <x:c r="A32" s="471" t="n">
        <x:v>26</x:v>
      </x:c>
      <x:c r="B32" s="471" t="inlineStr">
        <x:is>
          <x:t xml:space="preserve">NEED</x:t>
        </x:is>
      </x:c>
      <x:c r="C32" s="471" t="inlineStr">
        <x:is>
          <x:t xml:space="preserve">U1</x:t>
        </x:is>
      </x:c>
      <x:c r="D32" s="486" t="inlineStr">
        <x:is>
          <x:t xml:space="preserve">D1</x:t>
        </x:is>
      </x:c>
      <x:c r="E32" s="486" t="n">
        <x:v>-0.5</x:v>
      </x:c>
    </x:row>
    <x:row r="33" s="455" customFormat="1" ht="14.25" customHeight="1">
      <x:c r="A33" s="471" t="n">
        <x:v>27</x:v>
      </x:c>
      <x:c r="B33" s="471" t="inlineStr">
        <x:is>
          <x:t xml:space="preserve">NEED</x:t>
        </x:is>
      </x:c>
      <x:c r="C33" s="471" t="inlineStr">
        <x:is>
          <x:t xml:space="preserve">U1</x:t>
        </x:is>
      </x:c>
      <x:c r="D33" s="486" t="inlineStr">
        <x:is>
          <x:t xml:space="preserve">D2</x:t>
        </x:is>
      </x:c>
      <x:c r="E33" s="486" t="n">
        <x:v>-0.5</x:v>
      </x:c>
    </x:row>
    <x:row r="34" s="455" customFormat="1" ht="14.25" customHeight="1">
      <x:c r="A34" s="471" t="n">
        <x:v>28</x:v>
      </x:c>
      <x:c r="B34" s="471" t="inlineStr">
        <x:is>
          <x:t xml:space="preserve">NEED</x:t>
        </x:is>
      </x:c>
      <x:c r="C34" s="471" t="inlineStr">
        <x:is>
          <x:t xml:space="preserve">U2</x:t>
        </x:is>
      </x:c>
      <x:c r="D34" s="486" t="inlineStr">
        <x:is>
          <x:t xml:space="preserve">D1</x:t>
        </x:is>
      </x:c>
      <x:c r="E34" s="486" t="n">
        <x:v>-0.5</x:v>
      </x:c>
    </x:row>
    <x:row r="35" s="455" customFormat="1" ht="14.25" customHeight="1">
      <x:c r="A35" s="471" t="n">
        <x:v>29</x:v>
      </x:c>
      <x:c r="B35" s="471" t="inlineStr">
        <x:is>
          <x:t xml:space="preserve">NEED</x:t>
        </x:is>
      </x:c>
      <x:c r="C35" s="471" t="inlineStr">
        <x:is>
          <x:t xml:space="preserve">U2</x:t>
        </x:is>
      </x:c>
      <x:c r="D35" s="486" t="inlineStr">
        <x:is>
          <x:t xml:space="preserve">D2</x:t>
        </x:is>
      </x:c>
      <x:c r="E35" s="486" t="n">
        <x:v>-0.5</x:v>
      </x:c>
    </x:row>
    <x:row r="36" s="455" customFormat="1" ht="14.25" customHeight="1">
      <x:c r="A36" s="471" t="n">
        <x:v>30</x:v>
      </x:c>
      <x:c r="B36" s="471" t="inlineStr">
        <x:is>
          <x:t xml:space="preserve">NEED</x:t>
        </x:is>
      </x:c>
      <x:c r="C36" s="471" t="inlineStr">
        <x:is>
          <x:t xml:space="preserve">U3</x:t>
        </x:is>
      </x:c>
      <x:c r="D36" s="486" t="inlineStr">
        <x:is>
          <x:t xml:space="preserve">D1</x:t>
        </x:is>
      </x:c>
      <x:c r="E36" s="486" t="n">
        <x:v>-0.5</x:v>
      </x:c>
    </x:row>
    <x:row r="37" s="455" customFormat="1" ht="14.25" customHeight="1">
      <x:c r="A37" s="471" t="n">
        <x:v>31</x:v>
      </x:c>
      <x:c r="B37" s="471" t="inlineStr">
        <x:is>
          <x:t xml:space="preserve">NEED</x:t>
        </x:is>
      </x:c>
      <x:c r="C37" s="471" t="inlineStr">
        <x:is>
          <x:t xml:space="preserve">U3</x:t>
        </x:is>
      </x:c>
      <x:c r="D37" s="486" t="inlineStr">
        <x:is>
          <x:t xml:space="preserve">D2</x:t>
        </x:is>
      </x:c>
      <x:c r="E37" s="486" t="n">
        <x:v>-0.5</x:v>
      </x:c>
    </x:row>
    <x:row r="38" s="455" customFormat="1" ht="14.25" customHeight="1">
      <x:c r="A38" s="471" t="n">
        <x:v>32</x:v>
      </x:c>
      <x:c r="B38" s="471" t="inlineStr">
        <x:is>
          <x:t xml:space="preserve">NEED</x:t>
        </x:is>
      </x:c>
      <x:c r="C38" s="471" t="inlineStr">
        <x:is>
          <x:t xml:space="preserve">U4</x:t>
        </x:is>
      </x:c>
      <x:c r="D38" s="486" t="inlineStr">
        <x:is>
          <x:t xml:space="preserve">D1</x:t>
        </x:is>
      </x:c>
      <x:c r="E38" s="486" t="n">
        <x:v>-0.5</x:v>
      </x:c>
    </x:row>
    <x:row r="39" s="455" customFormat="1" ht="14.25" customHeight="1">
      <x:c r="A39" s="471" t="n">
        <x:v>33</x:v>
      </x:c>
      <x:c r="B39" s="471" t="inlineStr">
        <x:is>
          <x:t xml:space="preserve">NEED</x:t>
        </x:is>
      </x:c>
      <x:c r="C39" s="471" t="inlineStr">
        <x:is>
          <x:t xml:space="preserve">U4</x:t>
        </x:is>
      </x:c>
      <x:c r="D39" s="486" t="inlineStr">
        <x:is>
          <x:t xml:space="preserve">D2</x:t>
        </x:is>
      </x:c>
      <x:c r="E39" s="486" t="n">
        <x:v>-0.5</x:v>
      </x:c>
    </x:row>
    <x:row r="40" s="455" customFormat="1" ht="14.25" customHeight="1">
      <x:c r="A40" s="471" t="n">
        <x:v>34</x:v>
      </x:c>
      <x:c r="B40" s="471" t="inlineStr">
        <x:is>
          <x:t xml:space="preserve">NEED</x:t>
        </x:is>
      </x:c>
      <x:c r="C40" s="471" t="inlineStr">
        <x:is>
          <x:t xml:space="preserve">U5</x:t>
        </x:is>
      </x:c>
      <x:c r="D40" s="486" t="inlineStr">
        <x:is>
          <x:t xml:space="preserve">D1</x:t>
        </x:is>
      </x:c>
      <x:c r="E40" s="486" t="n">
        <x:v>-0.5</x:v>
      </x:c>
    </x:row>
    <x:row r="41" s="455" customFormat="1" ht="14.25" customHeight="1">
      <x:c r="A41" s="471" t="n">
        <x:v>35</x:v>
      </x:c>
      <x:c r="B41" s="471" t="inlineStr">
        <x:is>
          <x:t xml:space="preserve">NEED</x:t>
        </x:is>
      </x:c>
      <x:c r="C41" s="471" t="inlineStr">
        <x:is>
          <x:t xml:space="preserve">U5</x:t>
        </x:is>
      </x:c>
      <x:c r="D41" s="486" t="inlineStr">
        <x:is>
          <x:t xml:space="preserve">D2</x:t>
        </x:is>
      </x:c>
      <x:c r="E41" s="486" t="n">
        <x:v>-0.5</x:v>
      </x:c>
    </x:row>
    <x:row r="42" s="455" customFormat="1" ht="14.25" customHeight="1">
      <x:c r="A42" s="471" t="n">
        <x:v>36</x:v>
      </x:c>
      <x:c r="B42" s="471" t="inlineStr">
        <x:is>
          <x:t xml:space="preserve">NEED</x:t>
        </x:is>
      </x:c>
      <x:c r="C42" s="471" t="inlineStr">
        <x:is>
          <x:t xml:space="preserve">U6</x:t>
        </x:is>
      </x:c>
      <x:c r="D42" s="486" t="inlineStr">
        <x:is>
          <x:t xml:space="preserve">D1</x:t>
        </x:is>
      </x:c>
      <x:c r="E42" s="486" t="n">
        <x:v>-0.5</x:v>
      </x:c>
    </x:row>
    <x:row r="43" s="455" customFormat="1" ht="14.25" customHeight="1">
      <x:c r="A43" s="471" t="n">
        <x:v>37</x:v>
      </x:c>
      <x:c r="B43" s="471" t="inlineStr">
        <x:is>
          <x:t xml:space="preserve">NEED</x:t>
        </x:is>
      </x:c>
      <x:c r="C43" s="471" t="inlineStr">
        <x:is>
          <x:t xml:space="preserve">U6</x:t>
        </x:is>
      </x:c>
      <x:c r="D43" s="486" t="inlineStr">
        <x:is>
          <x:t xml:space="preserve">D2</x:t>
        </x:is>
      </x:c>
      <x:c r="E43" s="486" t="n">
        <x:v>-0.5</x:v>
      </x:c>
    </x:row>
    <x:row r="44" s="455" customFormat="1" ht="14.25" customHeight="1">
      <x:c r="A44" s="471" t="n">
        <x:v>38</x:v>
      </x:c>
      <x:c r="B44" s="471" t="inlineStr">
        <x:is>
          <x:t xml:space="preserve">DIGN</x:t>
        </x:is>
      </x:c>
      <x:c r="C44" s="471" t="inlineStr">
        <x:is>
          <x:t xml:space="preserve">U1</x:t>
        </x:is>
      </x:c>
      <x:c r="D44" s="486" t="inlineStr">
        <x:is>
          <x:t xml:space="preserve">D3</x:t>
        </x:is>
      </x:c>
      <x:c r="E44" s="486" t="n">
        <x:v>-0.55</x:v>
      </x:c>
    </x:row>
    <x:row r="45" s="455" customFormat="1" ht="14.25" customHeight="1">
      <x:c r="A45" s="471" t="n">
        <x:v>39</x:v>
      </x:c>
      <x:c r="B45" s="471" t="inlineStr">
        <x:is>
          <x:t xml:space="preserve">DIGN</x:t>
        </x:is>
      </x:c>
      <x:c r="C45" s="471" t="inlineStr">
        <x:is>
          <x:t xml:space="preserve">U1</x:t>
        </x:is>
      </x:c>
      <x:c r="D45" s="486" t="inlineStr">
        <x:is>
          <x:t xml:space="preserve">D5</x:t>
        </x:is>
      </x:c>
      <x:c r="E45" s="486" t="n">
        <x:v>-0.55</x:v>
      </x:c>
    </x:row>
    <x:row r="46" s="455" customFormat="1" ht="14.25" customHeight="1">
      <x:c r="A46" s="471" t="n">
        <x:v>40</x:v>
      </x:c>
      <x:c r="B46" s="471" t="inlineStr">
        <x:is>
          <x:t xml:space="preserve">DIGN</x:t>
        </x:is>
      </x:c>
      <x:c r="C46" s="471" t="inlineStr">
        <x:is>
          <x:t xml:space="preserve">U2</x:t>
        </x:is>
      </x:c>
      <x:c r="D46" s="486" t="inlineStr">
        <x:is>
          <x:t xml:space="preserve">D3</x:t>
        </x:is>
      </x:c>
      <x:c r="E46" s="486" t="n">
        <x:v>-0.55</x:v>
      </x:c>
    </x:row>
    <x:row r="47" s="455" customFormat="1" ht="14.25" customHeight="1">
      <x:c r="A47" s="471" t="n">
        <x:v>41</x:v>
      </x:c>
      <x:c r="B47" s="471" t="inlineStr">
        <x:is>
          <x:t xml:space="preserve">DIGN</x:t>
        </x:is>
      </x:c>
      <x:c r="C47" s="471" t="inlineStr">
        <x:is>
          <x:t xml:space="preserve">U2</x:t>
        </x:is>
      </x:c>
      <x:c r="D47" s="486" t="inlineStr">
        <x:is>
          <x:t xml:space="preserve">D5</x:t>
        </x:is>
      </x:c>
      <x:c r="E47" s="486" t="n">
        <x:v>-0.55</x:v>
      </x:c>
    </x:row>
    <x:row r="48" s="455" customFormat="1" ht="14.25" customHeight="1">
      <x:c r="A48" s="471" t="n">
        <x:v>42</x:v>
      </x:c>
      <x:c r="B48" s="471" t="inlineStr">
        <x:is>
          <x:t xml:space="preserve">DIGN</x:t>
        </x:is>
      </x:c>
      <x:c r="C48" s="471" t="inlineStr">
        <x:is>
          <x:t xml:space="preserve">U3</x:t>
        </x:is>
      </x:c>
      <x:c r="D48" s="486" t="inlineStr">
        <x:is>
          <x:t xml:space="preserve">D3</x:t>
        </x:is>
      </x:c>
      <x:c r="E48" s="486" t="n">
        <x:v>-0.55</x:v>
      </x:c>
    </x:row>
    <x:row r="49" s="455" customFormat="1" ht="14.25" customHeight="1">
      <x:c r="A49" s="471" t="n">
        <x:v>43</x:v>
      </x:c>
      <x:c r="B49" s="471" t="inlineStr">
        <x:is>
          <x:t xml:space="preserve">DIGN</x:t>
        </x:is>
      </x:c>
      <x:c r="C49" s="471" t="inlineStr">
        <x:is>
          <x:t xml:space="preserve">U3</x:t>
        </x:is>
      </x:c>
      <x:c r="D49" s="486" t="inlineStr">
        <x:is>
          <x:t xml:space="preserve">D5</x:t>
        </x:is>
      </x:c>
      <x:c r="E49" s="486" t="n">
        <x:v>-0.55</x:v>
      </x:c>
    </x:row>
    <x:row r="50" s="455" customFormat="1" ht="14.25" customHeight="1">
      <x:c r="A50" s="471" t="n">
        <x:v>44</x:v>
      </x:c>
      <x:c r="B50" s="471" t="inlineStr">
        <x:is>
          <x:t xml:space="preserve">DIGN</x:t>
        </x:is>
      </x:c>
      <x:c r="C50" s="471" t="inlineStr">
        <x:is>
          <x:t xml:space="preserve">U4</x:t>
        </x:is>
      </x:c>
      <x:c r="D50" s="486" t="inlineStr">
        <x:is>
          <x:t xml:space="preserve">D3</x:t>
        </x:is>
      </x:c>
      <x:c r="E50" s="486" t="n">
        <x:v>-0.55</x:v>
      </x:c>
    </x:row>
    <x:row r="51" s="455" customFormat="1" ht="14.25" customHeight="1">
      <x:c r="A51" s="471" t="n">
        <x:v>45</x:v>
      </x:c>
      <x:c r="B51" s="471" t="inlineStr">
        <x:is>
          <x:t xml:space="preserve">DIGN</x:t>
        </x:is>
      </x:c>
      <x:c r="C51" s="471" t="inlineStr">
        <x:is>
          <x:t xml:space="preserve">U4</x:t>
        </x:is>
      </x:c>
      <x:c r="D51" s="486" t="inlineStr">
        <x:is>
          <x:t xml:space="preserve">D5</x:t>
        </x:is>
      </x:c>
      <x:c r="E51" s="486" t="n">
        <x:v>-0.55</x:v>
      </x:c>
    </x:row>
    <x:row r="52" s="455" customFormat="1" ht="14.25" customHeight="1">
      <x:c r="A52" s="471" t="n">
        <x:v>46</x:v>
      </x:c>
      <x:c r="B52" s="471" t="inlineStr">
        <x:is>
          <x:t xml:space="preserve">DIGN</x:t>
        </x:is>
      </x:c>
      <x:c r="C52" s="471" t="inlineStr">
        <x:is>
          <x:t xml:space="preserve">U5</x:t>
        </x:is>
      </x:c>
      <x:c r="D52" s="486" t="inlineStr">
        <x:is>
          <x:t xml:space="preserve">D3</x:t>
        </x:is>
      </x:c>
      <x:c r="E52" s="486" t="n">
        <x:v>-0.55</x:v>
      </x:c>
    </x:row>
    <x:row r="53" s="455" customFormat="1" ht="14.25" customHeight="1">
      <x:c r="A53" s="471" t="n">
        <x:v>47</x:v>
      </x:c>
      <x:c r="B53" s="471" t="inlineStr">
        <x:is>
          <x:t xml:space="preserve">DIGN</x:t>
        </x:is>
      </x:c>
      <x:c r="C53" s="471" t="inlineStr">
        <x:is>
          <x:t xml:space="preserve">U5</x:t>
        </x:is>
      </x:c>
      <x:c r="D53" s="486" t="inlineStr">
        <x:is>
          <x:t xml:space="preserve">D5</x:t>
        </x:is>
      </x:c>
      <x:c r="E53" s="486" t="n">
        <x:v>-0.55</x:v>
      </x:c>
    </x:row>
    <x:row r="54" s="455" customFormat="1" ht="14.25" customHeight="1">
      <x:c r="A54" s="471" t="n">
        <x:v>48</x:v>
      </x:c>
      <x:c r="B54" s="471" t="inlineStr">
        <x:is>
          <x:t xml:space="preserve">DIGN</x:t>
        </x:is>
      </x:c>
      <x:c r="C54" s="471" t="inlineStr">
        <x:is>
          <x:t xml:space="preserve">U6</x:t>
        </x:is>
      </x:c>
      <x:c r="D54" s="486" t="inlineStr">
        <x:is>
          <x:t xml:space="preserve">D3</x:t>
        </x:is>
      </x:c>
      <x:c r="E54" s="486" t="n">
        <x:v>-0.55</x:v>
      </x:c>
    </x:row>
    <x:row r="55" s="455" customFormat="1" ht="14.25" customHeight="1">
      <x:c r="A55" s="471" t="n">
        <x:v>49</x:v>
      </x:c>
      <x:c r="B55" s="471" t="inlineStr">
        <x:is>
          <x:t xml:space="preserve">DIGN</x:t>
        </x:is>
      </x:c>
      <x:c r="C55" s="471" t="inlineStr">
        <x:is>
          <x:t xml:space="preserve">U6</x:t>
        </x:is>
      </x:c>
      <x:c r="D55" s="486" t="inlineStr">
        <x:is>
          <x:t xml:space="preserve">D5</x:t>
        </x:is>
      </x:c>
      <x:c r="E55" s="486" t="n">
        <x:v>-0.55</x:v>
      </x:c>
    </x:row>
    <x:row r="56" s="455" customFormat="1" ht="14.25" customHeight="1">
      <x:c r="A56" s="471" t="n">
        <x:v>50</x:v>
      </x:c>
      <x:c r="B56" s="471" t="inlineStr">
        <x:is>
          <x:t xml:space="preserve">PROC</x:t>
        </x:is>
      </x:c>
      <x:c r="C56" s="471" t="inlineStr">
        <x:is>
          <x:t xml:space="preserve">U4</x:t>
        </x:is>
      </x:c>
      <x:c r="D56" s="486" t="inlineStr">
        <x:is>
          <x:t xml:space="preserve">D3</x:t>
        </x:is>
      </x:c>
      <x:c r="E56" s="486" t="n">
        <x:v>-0.45</x:v>
      </x:c>
    </x:row>
    <x:row r="57" s="455" customFormat="1" ht="14.25" customHeight="1">
      <x:c r="A57" s="471" t="n">
        <x:v>51</x:v>
      </x:c>
      <x:c r="B57" s="471" t="inlineStr">
        <x:is>
          <x:t xml:space="preserve">PROC</x:t>
        </x:is>
      </x:c>
      <x:c r="C57" s="471" t="inlineStr">
        <x:is>
          <x:t xml:space="preserve">U4</x:t>
        </x:is>
      </x:c>
      <x:c r="D57" s="486" t="inlineStr">
        <x:is>
          <x:t xml:space="preserve">D4</x:t>
        </x:is>
      </x:c>
      <x:c r="E57" s="486" t="n">
        <x:v>-0.45</x:v>
      </x:c>
    </x:row>
    <x:row r="58" s="455" customFormat="1" ht="14.25" customHeight="1">
      <x:c r="A58" s="471" t="n">
        <x:v>52</x:v>
      </x:c>
      <x:c r="B58" s="471" t="inlineStr">
        <x:is>
          <x:t xml:space="preserve">PROC</x:t>
        </x:is>
      </x:c>
      <x:c r="C58" s="471" t="inlineStr">
        <x:is>
          <x:t xml:space="preserve">U4</x:t>
        </x:is>
      </x:c>
      <x:c r="D58" s="486" t="inlineStr">
        <x:is>
          <x:t xml:space="preserve">D5</x:t>
        </x:is>
      </x:c>
      <x:c r="E58" s="486" t="n">
        <x:v>-0.45</x:v>
      </x:c>
    </x:row>
    <x:row r="59" s="455" customFormat="1" ht="14.25" customHeight="1">
      <x:c r="A59" s="471" t="n">
        <x:v>53</x:v>
      </x:c>
      <x:c r="B59" s="471" t="inlineStr">
        <x:is>
          <x:t xml:space="preserve">PROC</x:t>
        </x:is>
      </x:c>
      <x:c r="C59" s="471" t="inlineStr">
        <x:is>
          <x:t xml:space="preserve">U5</x:t>
        </x:is>
      </x:c>
      <x:c r="D59" s="486" t="inlineStr">
        <x:is>
          <x:t xml:space="preserve">D3</x:t>
        </x:is>
      </x:c>
      <x:c r="E59" s="486" t="n">
        <x:v>-0.45</x:v>
      </x:c>
    </x:row>
    <x:row r="60" s="455" customFormat="1" ht="14.25" customHeight="1">
      <x:c r="A60" s="471" t="n">
        <x:v>54</x:v>
      </x:c>
      <x:c r="B60" s="471" t="inlineStr">
        <x:is>
          <x:t xml:space="preserve">PROC</x:t>
        </x:is>
      </x:c>
      <x:c r="C60" s="471" t="inlineStr">
        <x:is>
          <x:t xml:space="preserve">U5</x:t>
        </x:is>
      </x:c>
      <x:c r="D60" s="486" t="inlineStr">
        <x:is>
          <x:t xml:space="preserve">D4</x:t>
        </x:is>
      </x:c>
      <x:c r="E60" s="486" t="n">
        <x:v>-0.45</x:v>
      </x:c>
    </x:row>
    <x:row r="61" s="455" customFormat="1" ht="14.25" customHeight="1">
      <x:c r="A61" s="471" t="n">
        <x:v>55</x:v>
      </x:c>
      <x:c r="B61" s="471" t="inlineStr">
        <x:is>
          <x:t xml:space="preserve">PROC</x:t>
        </x:is>
      </x:c>
      <x:c r="C61" s="471" t="inlineStr">
        <x:is>
          <x:t xml:space="preserve">U5</x:t>
        </x:is>
      </x:c>
      <x:c r="D61" s="486" t="inlineStr">
        <x:is>
          <x:t xml:space="preserve">D5</x:t>
        </x:is>
      </x:c>
      <x:c r="E61" s="486" t="n">
        <x:v>-0.45</x:v>
      </x:c>
    </x:row>
    <x:row r="62" s="455" customFormat="1" ht="14.25" customHeight="1">
      <x:c r="A62" s="471" t="n">
        <x:v>56</x:v>
      </x:c>
      <x:c r="B62" s="471" t="inlineStr">
        <x:is>
          <x:t xml:space="preserve">PROC</x:t>
        </x:is>
      </x:c>
      <x:c r="C62" s="471" t="inlineStr">
        <x:is>
          <x:t xml:space="preserve">U6</x:t>
        </x:is>
      </x:c>
      <x:c r="D62" s="486" t="inlineStr">
        <x:is>
          <x:t xml:space="preserve">D3</x:t>
        </x:is>
      </x:c>
      <x:c r="E62" s="486" t="n">
        <x:v>-0.45</x:v>
      </x:c>
    </x:row>
    <x:row r="63" s="455" customFormat="1" ht="14.25" customHeight="1">
      <x:c r="A63" s="471" t="n">
        <x:v>57</x:v>
      </x:c>
      <x:c r="B63" s="471" t="inlineStr">
        <x:is>
          <x:t xml:space="preserve">PROC</x:t>
        </x:is>
      </x:c>
      <x:c r="C63" s="471" t="inlineStr">
        <x:is>
          <x:t xml:space="preserve">U6</x:t>
        </x:is>
      </x:c>
      <x:c r="D63" s="486" t="inlineStr">
        <x:is>
          <x:t xml:space="preserve">D4</x:t>
        </x:is>
      </x:c>
      <x:c r="E63" s="486" t="n">
        <x:v>-0.45</x:v>
      </x:c>
    </x:row>
    <x:row r="64" s="455" customFormat="1" ht="14.25" customHeight="1">
      <x:c r="A64" s="471" t="n">
        <x:v>58</x:v>
      </x:c>
      <x:c r="B64" s="471" t="inlineStr">
        <x:is>
          <x:t xml:space="preserve">PROC</x:t>
        </x:is>
      </x:c>
      <x:c r="C64" s="471" t="inlineStr">
        <x:is>
          <x:t xml:space="preserve">U6</x:t>
        </x:is>
      </x:c>
      <x:c r="D64" s="486" t="inlineStr">
        <x:is>
          <x:t xml:space="preserve">D5</x:t>
        </x:is>
      </x:c>
      <x:c r="E64" s="486" t="n">
        <x:v>-0.45</x:v>
      </x:c>
    </x:row>
    <x:row r="65" s="455" customFormat="1" ht="14.25" customHeight="1">
      <x:c r="A65" s="471" t="n">
        <x:v>59</x:v>
      </x:c>
      <x:c r="B65" s="471" t="inlineStr">
        <x:is>
          <x:t xml:space="preserve">INFO</x:t>
        </x:is>
      </x:c>
      <x:c r="C65" s="471" t="inlineStr">
        <x:is>
          <x:t xml:space="preserve">U1</x:t>
        </x:is>
      </x:c>
      <x:c r="D65" s="486" t="inlineStr">
        <x:is>
          <x:t xml:space="preserve">D4</x:t>
        </x:is>
      </x:c>
      <x:c r="E65" s="486" t="n">
        <x:v>-0.4</x:v>
      </x:c>
    </x:row>
    <x:row r="66" s="455" customFormat="1" ht="14.25" customHeight="1">
      <x:c r="A66" s="471" t="n">
        <x:v>60</x:v>
      </x:c>
      <x:c r="B66" s="471" t="inlineStr">
        <x:is>
          <x:t xml:space="preserve">INFO</x:t>
        </x:is>
      </x:c>
      <x:c r="C66" s="471" t="inlineStr">
        <x:is>
          <x:t xml:space="preserve">U1</x:t>
        </x:is>
      </x:c>
      <x:c r="D66" s="486" t="inlineStr">
        <x:is>
          <x:t xml:space="preserve">D5</x:t>
        </x:is>
      </x:c>
      <x:c r="E66" s="486" t="n">
        <x:v>-0.4</x:v>
      </x:c>
    </x:row>
    <x:row r="67" s="455" customFormat="1" ht="14.25" customHeight="1">
      <x:c r="A67" s="471" t="n">
        <x:v>61</x:v>
      </x:c>
      <x:c r="B67" s="471" t="inlineStr">
        <x:is>
          <x:t xml:space="preserve">INFO</x:t>
        </x:is>
      </x:c>
      <x:c r="C67" s="471" t="inlineStr">
        <x:is>
          <x:t xml:space="preserve">U2</x:t>
        </x:is>
      </x:c>
      <x:c r="D67" s="486" t="inlineStr">
        <x:is>
          <x:t xml:space="preserve">D4</x:t>
        </x:is>
      </x:c>
      <x:c r="E67" s="486" t="n">
        <x:v>-0.4</x:v>
      </x:c>
    </x:row>
    <x:row r="68" s="455" customFormat="1" ht="14.25" customHeight="1">
      <x:c r="A68" s="471" t="n">
        <x:v>62</x:v>
      </x:c>
      <x:c r="B68" s="471" t="inlineStr">
        <x:is>
          <x:t xml:space="preserve">INFO</x:t>
        </x:is>
      </x:c>
      <x:c r="C68" s="471" t="inlineStr">
        <x:is>
          <x:t xml:space="preserve">U2</x:t>
        </x:is>
      </x:c>
      <x:c r="D68" s="486" t="inlineStr">
        <x:is>
          <x:t xml:space="preserve">D5</x:t>
        </x:is>
      </x:c>
      <x:c r="E68" s="486" t="n">
        <x:v>-0.4</x:v>
      </x:c>
    </x:row>
    <x:row r="69" s="455" customFormat="1" ht="14.25" customHeight="1">
      <x:c r="A69" s="471" t="n">
        <x:v>63</x:v>
      </x:c>
      <x:c r="B69" s="471" t="inlineStr">
        <x:is>
          <x:t xml:space="preserve">INFO</x:t>
        </x:is>
      </x:c>
      <x:c r="C69" s="471" t="inlineStr">
        <x:is>
          <x:t xml:space="preserve">U3</x:t>
        </x:is>
      </x:c>
      <x:c r="D69" s="486" t="inlineStr">
        <x:is>
          <x:t xml:space="preserve">D4</x:t>
        </x:is>
      </x:c>
      <x:c r="E69" s="486" t="n">
        <x:v>-0.4</x:v>
      </x:c>
    </x:row>
    <x:row r="70" s="455" customFormat="1" ht="14.25" customHeight="1">
      <x:c r="A70" s="471" t="n">
        <x:v>64</x:v>
      </x:c>
      <x:c r="B70" s="471" t="inlineStr">
        <x:is>
          <x:t xml:space="preserve">INFO</x:t>
        </x:is>
      </x:c>
      <x:c r="C70" s="471" t="inlineStr">
        <x:is>
          <x:t xml:space="preserve">U3</x:t>
        </x:is>
      </x:c>
      <x:c r="D70" s="486" t="inlineStr">
        <x:is>
          <x:t xml:space="preserve">D5</x:t>
        </x:is>
      </x:c>
      <x:c r="E70" s="486" t="n">
        <x:v>-0.4</x:v>
      </x:c>
    </x:row>
    <x:row r="71" s="455" customFormat="1" ht="14.25" customHeight="1">
      <x:c r="A71" s="471" t="n">
        <x:v>65</x:v>
      </x:c>
      <x:c r="B71" s="471" t="inlineStr">
        <x:is>
          <x:t xml:space="preserve">INFO</x:t>
        </x:is>
      </x:c>
      <x:c r="C71" s="471" t="inlineStr">
        <x:is>
          <x:t xml:space="preserve">U4</x:t>
        </x:is>
      </x:c>
      <x:c r="D71" s="486" t="inlineStr">
        <x:is>
          <x:t xml:space="preserve">D4</x:t>
        </x:is>
      </x:c>
      <x:c r="E71" s="486" t="n">
        <x:v>-0.4</x:v>
      </x:c>
    </x:row>
    <x:row r="72" s="455" customFormat="1" ht="14.25" customHeight="1">
      <x:c r="A72" s="471" t="n">
        <x:v>66</x:v>
      </x:c>
      <x:c r="B72" s="471" t="inlineStr">
        <x:is>
          <x:t xml:space="preserve">INFO</x:t>
        </x:is>
      </x:c>
      <x:c r="C72" s="471" t="inlineStr">
        <x:is>
          <x:t xml:space="preserve">U4</x:t>
        </x:is>
      </x:c>
      <x:c r="D72" s="471" t="inlineStr">
        <x:is>
          <x:t xml:space="preserve">D5</x:t>
        </x:is>
      </x:c>
      <x:c r="E72" s="471" t="n">
        <x:v>-0.4</x:v>
      </x:c>
    </x:row>
    <x:row r="73" s="455" customFormat="1" ht="14.25" customHeight="1">
      <x:c r="A73" s="512" t="n">
        <x:v>67</x:v>
      </x:c>
      <x:c r="B73" s="471" t="inlineStr">
        <x:is>
          <x:t xml:space="preserve">INFO</x:t>
        </x:is>
      </x:c>
      <x:c r="C73" s="471" t="inlineStr">
        <x:is>
          <x:t xml:space="preserve">U5</x:t>
        </x:is>
      </x:c>
      <x:c r="D73" s="471" t="inlineStr">
        <x:is>
          <x:t xml:space="preserve">D4</x:t>
        </x:is>
      </x:c>
      <x:c r="E73" s="471" t="n">
        <x:v>-0.4</x:v>
      </x:c>
    </x:row>
    <x:row r="74" s="455" customFormat="1" ht="14.25" customHeight="1">
      <x:c r="A74" s="471" t="n">
        <x:v>68</x:v>
      </x:c>
      <x:c r="B74" s="471" t="inlineStr">
        <x:is>
          <x:t xml:space="preserve">INFO</x:t>
        </x:is>
      </x:c>
      <x:c r="C74" s="471" t="inlineStr">
        <x:is>
          <x:t xml:space="preserve">U5</x:t>
        </x:is>
      </x:c>
      <x:c r="D74" s="471" t="inlineStr">
        <x:is>
          <x:t xml:space="preserve">D5</x:t>
        </x:is>
      </x:c>
      <x:c r="E74" s="471" t="n">
        <x:v>-0.4</x:v>
      </x:c>
    </x:row>
    <x:row r="75" s="455" customFormat="1" ht="14.25" customHeight="1">
      <x:c r="A75" s="471" t="n">
        <x:v>69</x:v>
      </x:c>
      <x:c r="B75" s="471" t="inlineStr">
        <x:is>
          <x:t xml:space="preserve">INFO</x:t>
        </x:is>
      </x:c>
      <x:c r="C75" s="471" t="inlineStr">
        <x:is>
          <x:t xml:space="preserve">U6</x:t>
        </x:is>
      </x:c>
      <x:c r="D75" s="471" t="inlineStr">
        <x:is>
          <x:t xml:space="preserve">D4</x:t>
        </x:is>
      </x:c>
      <x:c r="E75" s="471" t="n">
        <x:v>-0.4</x:v>
      </x:c>
    </x:row>
    <x:row r="76" s="455" customFormat="1" ht="14.25" customHeight="1">
      <x:c r="A76" s="471" t="n">
        <x:v>70</x:v>
      </x:c>
      <x:c r="B76" s="471" t="inlineStr">
        <x:is>
          <x:t xml:space="preserve">INFO</x:t>
        </x:is>
      </x:c>
      <x:c r="C76" s="471" t="inlineStr">
        <x:is>
          <x:t xml:space="preserve">U6</x:t>
        </x:is>
      </x:c>
      <x:c r="D76" s="471" t="inlineStr">
        <x:is>
          <x:t xml:space="preserve">D5</x:t>
        </x:is>
      </x:c>
      <x:c r="E76" s="471" t="n">
        <x:v>-0.4</x:v>
      </x:c>
    </x:row>
  </x:sheetData>
  <x:mergeCells>
    <x:mergeCell ref="A1:H1"/>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baseColWidth="8" defaultColWidth="8.66796875" defaultRowHeight="12.75"/>
  <x:cols>
    <x:col min="1" max="1" width="4" style="497" customWidth="1"/>
    <x:col min="2" max="2" width="10" style="497" customWidth="1"/>
    <x:col min="3" max="3" width="8" style="497" customWidth="1"/>
    <x:col min="4" max="4" width="11" style="497" customWidth="1"/>
    <x:col min="5" max="5" width="8" style="497" customWidth="1"/>
    <x:col min="6" max="9" width="11" style="497" customWidth="1"/>
    <x:col min="10" max="11" width="20" style="497" customWidth="1"/>
    <x:col min="12" max="12" width="10" style="497" customWidth="1"/>
    <x:col min="13" max="14" width="14" style="497" customWidth="1"/>
    <x:col min="15" max="16" width="22" style="497" hidden="1" customWidth="1"/>
  </x:cols>
  <x:sheetData>
    <x:row r="1" s="455" customFormat="1" ht="31.5" customHeight="1">
      <x:c r="A1" s="471" t="inlineStr">
        <x:is>
          <x:t xml:space="preserve">#</x:t>
        </x:is>
      </x:c>
      <x:c r="B1" s="471" t="inlineStr">
        <x:is>
          <x:t xml:space="preserve">Right</x:t>
        </x:is>
      </x:c>
      <x:c r="C1" s="471" t="inlineStr">
        <x:is>
          <x:t xml:space="preserve">Union Scope</x:t>
        </x:is>
      </x:c>
      <x:c r="D1" s="471" t="inlineStr">
        <x:is>
          <x:t xml:space="preserve">Dimension</x:t>
        </x:is>
      </x:c>
      <x:c r="E1" s="471" t="inlineStr">
        <x:is>
          <x:t xml:space="preserve">θ_r</x:t>
        </x:is>
      </x:c>
      <x:c r="F1" s="471" t="inlineStr">
        <x:is>
          <x:t xml:space="preserve">I_prop_A</x:t>
        </x:is>
      </x:c>
      <x:c r="G1" s="471" t="inlineStr">
        <x:is>
          <x:t xml:space="preserve">I_prop_B</x:t>
        </x:is>
      </x:c>
      <x:c r="H1" s="471" t="inlineStr">
        <x:is>
          <x:t xml:space="preserve">I_rights_A</x:t>
        </x:is>
      </x:c>
      <x:c r="I1" s="471" t="inlineStr">
        <x:is>
          <x:t xml:space="preserve">I_rights_B</x:t>
        </x:is>
      </x:c>
      <x:c r="J1" s="515" t="inlineStr">
        <x:is>
          <x:t xml:space="preserve">Subgroup_Override_A</x:t>
        </x:is>
      </x:c>
      <x:c r="K1" s="515" t="inlineStr">
        <x:is>
          <x:t xml:space="preserve">Subgroup_Override_B</x:t>
        </x:is>
      </x:c>
      <x:c r="L1" s="471" t="inlineStr">
        <x:is>
          <x:t xml:space="preserve">Right_clean</x:t>
        </x:is>
      </x:c>
      <x:c r="M1" s="515" t="inlineStr">
        <x:is>
          <x:t xml:space="preserve">I_rights_A_num</x:t>
        </x:is>
      </x:c>
      <x:c r="N1" s="515" t="inlineStr">
        <x:is>
          <x:t xml:space="preserve">I_rights_B_num</x:t>
        </x:is>
      </x:c>
      <x:c r="O1" s="530" t="inlineStr">
        <x:is>
          <x:t xml:space="preserve">Key_A</x:t>
        </x:is>
      </x:c>
      <x:c r="P1" s="530" t="inlineStr">
        <x:is>
          <x:t xml:space="preserve">Key_B</x:t>
        </x:is>
      </x:c>
    </x:row>
    <x:row r="2" s="455" customFormat="1" ht="14.25" customHeight="1">
      <x:c r="A2" s="471" t="n">
        <x:v>1</x:v>
      </x:c>
      <x:c r="B2" s="471" t="inlineStr">
        <x:is>
          <x:t xml:space="preserve">LIFE</x:t>
        </x:is>
      </x:c>
      <x:c r="C2" s="471" t="inlineStr">
        <x:is>
          <x:t xml:space="preserve">U1</x:t>
        </x:is>
      </x:c>
      <x:c r="D2" s="471" t="inlineStr">
        <x:is>
          <x:t xml:space="preserve">D2</x:t>
        </x:is>
      </x:c>
      <x:c r="E2" s="471" t="n">
        <x:v>-0.9</x:v>
      </x:c>
      <x:c r="F2" s="486" t="n">
        <x:f>INDEX(I_prop!$B$7:$H$13, MATCH($C2, I_prop!$A$7:$A$13,0), MATCH($D2, I_prop!$B$6:$H$6,0))</x:f>
        <x:v>0</x:v>
      </x:c>
      <x:c r="G2" s="486" t="n">
        <x:f>INDEX(I_prop!$B$18:$H$24, MATCH($C2, I_prop!$A$18:$A$24,0), MATCH($D2, I_prop!$B$17:$H$17,0))</x:f>
        <x:v>0</x:v>
      </x:c>
      <x:c r="H2" s="486" t="n">
        <x:f>IF($J2&lt;&gt;"",$J2,IF($F2&lt;0,MAX(-1,Subgroup_Overrides!$B$7*$F2),$F2))</x:f>
        <x:v>0</x:v>
      </x:c>
      <x:c r="I2" s="486" t="n">
        <x:f>IF($K2&lt;&gt;"",$K2,IF($G2&lt;0,MAX(-1,Subgroup_Overrides!$B$7*$G2),$G2))</x:f>
        <x:v>0</x:v>
      </x:c>
      <x:c r="J2" s="515" t="str">
        <x:f>IF(COUNTIF(Subgroup_Overrides!$H$11:$H$100,"A|"&amp;$C2&amp;"|"&amp;$D2)&gt;0,SUMIFS(Subgroup_Overrides!$F$11:$F$100,Subgroup_Overrides!$H$11:$H$100,"A|"&amp;$C2&amp;"|"&amp;$D2),"")</x:f>
      </x:c>
      <x:c r="K2" s="515" t="str">
        <x:f>IF(COUNTIF(Subgroup_Overrides!$H$11:$H$100,"B|"&amp;$C2&amp;"|"&amp;$D2)&gt;0,SUMIFS(Subgroup_Overrides!$F$11:$F$100,Subgroup_Overrides!$H$11:$H$100,"B|"&amp;$C2&amp;"|"&amp;$D2),"")</x:f>
      </x:c>
      <x:c r="L2" s="471" t="str">
        <x:f>TRIM(B2)</x:f>
        <x:v>LIFE</x:v>
      </x:c>
      <x:c r="M2" s="471" t="str">
        <x:f>IF($H2="","",1*$H2)</x:f>
      </x:c>
      <x:c r="N2" s="471" t="str">
        <x:f>IF($I2="","",1*$I2)</x:f>
      </x:c>
      <x:c r="O2" s="530" t="str">
        <x:f>IF($M2="","",$B2&amp;"|"&amp;ROUND($M2*1000000000000,0))</x:f>
      </x:c>
      <x:c r="P2" s="530" t="str">
        <x:f>IF($N2="","",$B2&amp;"|"&amp;ROUND($N2*1000000000000,0))</x:f>
      </x:c>
    </x:row>
    <x:row r="3" s="455" customFormat="1" ht="14.25" customHeight="1">
      <x:c r="A3" s="471" t="n">
        <x:v>2</x:v>
      </x:c>
      <x:c r="B3" s="471" t="inlineStr">
        <x:is>
          <x:t xml:space="preserve">LIFE</x:t>
        </x:is>
      </x:c>
      <x:c r="C3" s="471" t="inlineStr">
        <x:is>
          <x:t xml:space="preserve">U2</x:t>
        </x:is>
      </x:c>
      <x:c r="D3" s="471" t="inlineStr">
        <x:is>
          <x:t xml:space="preserve">D2</x:t>
        </x:is>
      </x:c>
      <x:c r="E3" s="471" t="n">
        <x:v>-0.9</x:v>
      </x:c>
      <x:c r="F3" s="486" t="n">
        <x:f>INDEX(I_prop!$B$7:$H$13, MATCH($C3, I_prop!$A$7:$A$13,0), MATCH($D3, I_prop!$B$6:$H$6,0))</x:f>
        <x:v>0</x:v>
      </x:c>
      <x:c r="G3" s="486" t="n">
        <x:f>INDEX(I_prop!$B$18:$H$24, MATCH($C3, I_prop!$A$18:$A$24,0), MATCH($D3, I_prop!$B$17:$H$17,0))</x:f>
        <x:v>0</x:v>
      </x:c>
      <x:c r="H3" s="486" t="n">
        <x:f>IF($J3&lt;&gt;"",$J3,IF($F3&lt;0,MAX(-1,Subgroup_Overrides!$B$7*$F3),$F3))</x:f>
        <x:v>0</x:v>
      </x:c>
      <x:c r="I3" s="486" t="n">
        <x:f>IF($K3&lt;&gt;"",$K3,IF($G3&lt;0,MAX(-1,Subgroup_Overrides!$B$7*$G3),$G3))</x:f>
        <x:v>0</x:v>
      </x:c>
      <x:c r="J3" s="515" t="str">
        <x:f>IF(COUNTIF(Subgroup_Overrides!$H$11:$H$100,"A|"&amp;$C3&amp;"|"&amp;$D3)&gt;0,SUMIFS(Subgroup_Overrides!$F$11:$F$100,Subgroup_Overrides!$H$11:$H$100,"A|"&amp;$C3&amp;"|"&amp;$D3),"")</x:f>
      </x:c>
      <x:c r="K3" s="515" t="str">
        <x:f>IF(COUNTIF(Subgroup_Overrides!$H$11:$H$100,"B|"&amp;$C3&amp;"|"&amp;$D3)&gt;0,SUMIFS(Subgroup_Overrides!$F$11:$F$100,Subgroup_Overrides!$H$11:$H$100,"B|"&amp;$C3&amp;"|"&amp;$D3),"")</x:f>
      </x:c>
      <x:c r="L3" s="471" t="str">
        <x:f>TRIM(B3)</x:f>
        <x:v>LIFE</x:v>
      </x:c>
      <x:c r="M3" s="471" t="str">
        <x:f>IF($H3="","",1*$H3)</x:f>
      </x:c>
      <x:c r="N3" s="471" t="str">
        <x:f>IF($I3="","",1*$I3)</x:f>
      </x:c>
      <x:c r="O3" s="530" t="str">
        <x:f>IF($M3="","",$B3&amp;"|"&amp;ROUND($M3*1000000000000,0))</x:f>
      </x:c>
      <x:c r="P3" s="530" t="str">
        <x:f>IF($N3="","",$B3&amp;"|"&amp;ROUND($N3*1000000000000,0))</x:f>
      </x:c>
    </x:row>
    <x:row r="4" s="455" customFormat="1" ht="14.25" customHeight="1">
      <x:c r="A4" s="471" t="n">
        <x:v>3</x:v>
      </x:c>
      <x:c r="B4" s="471" t="inlineStr">
        <x:is>
          <x:t xml:space="preserve">LIFE</x:t>
        </x:is>
      </x:c>
      <x:c r="C4" s="471" t="inlineStr">
        <x:is>
          <x:t xml:space="preserve">U3</x:t>
        </x:is>
      </x:c>
      <x:c r="D4" s="471" t="inlineStr">
        <x:is>
          <x:t xml:space="preserve">D2</x:t>
        </x:is>
      </x:c>
      <x:c r="E4" s="471" t="n">
        <x:v>-0.9</x:v>
      </x:c>
      <x:c r="F4" s="486" t="n">
        <x:f>INDEX(I_prop!$B$7:$H$13, MATCH($C4, I_prop!$A$7:$A$13,0), MATCH($D4, I_prop!$B$6:$H$6,0))</x:f>
        <x:v>0</x:v>
      </x:c>
      <x:c r="G4" s="486" t="n">
        <x:f>INDEX(I_prop!$B$18:$H$24, MATCH($C4, I_prop!$A$18:$A$24,0), MATCH($D4, I_prop!$B$17:$H$17,0))</x:f>
        <x:v>0</x:v>
      </x:c>
      <x:c r="H4" s="486" t="n">
        <x:f>IF($J4&lt;&gt;"",$J4,IF($F4&lt;0,MAX(-1,Subgroup_Overrides!$B$7*$F4),$F4))</x:f>
        <x:v>0</x:v>
      </x:c>
      <x:c r="I4" s="486" t="n">
        <x:f>IF($K4&lt;&gt;"",$K4,IF($G4&lt;0,MAX(-1,Subgroup_Overrides!$B$7*$G4),$G4))</x:f>
        <x:v>0</x:v>
      </x:c>
      <x:c r="J4" s="515" t="str">
        <x:f>IF(COUNTIF(Subgroup_Overrides!$H$11:$H$100,"A|"&amp;$C4&amp;"|"&amp;$D4)&gt;0,SUMIFS(Subgroup_Overrides!$F$11:$F$100,Subgroup_Overrides!$H$11:$H$100,"A|"&amp;$C4&amp;"|"&amp;$D4),"")</x:f>
      </x:c>
      <x:c r="K4" s="515" t="str">
        <x:f>IF(COUNTIF(Subgroup_Overrides!$H$11:$H$100,"B|"&amp;$C4&amp;"|"&amp;$D4)&gt;0,SUMIFS(Subgroup_Overrides!$F$11:$F$100,Subgroup_Overrides!$H$11:$H$100,"B|"&amp;$C4&amp;"|"&amp;$D4),"")</x:f>
      </x:c>
      <x:c r="L4" s="471" t="str">
        <x:f>TRIM(B4)</x:f>
        <x:v>LIFE</x:v>
      </x:c>
      <x:c r="M4" s="471" t="str">
        <x:f>IF($H4="","",1*$H4)</x:f>
      </x:c>
      <x:c r="N4" s="471" t="str">
        <x:f>IF($I4="","",1*$I4)</x:f>
      </x:c>
      <x:c r="O4" s="530" t="str">
        <x:f>IF($M4="","",$B4&amp;"|"&amp;ROUND($M4*1000000000000,0))</x:f>
      </x:c>
      <x:c r="P4" s="530" t="str">
        <x:f>IF($N4="","",$B4&amp;"|"&amp;ROUND($N4*1000000000000,0))</x:f>
      </x:c>
    </x:row>
    <x:row r="5" s="455" customFormat="1" ht="14.25" customHeight="1">
      <x:c r="A5" s="471" t="n">
        <x:v>4</x:v>
      </x:c>
      <x:c r="B5" s="471" t="inlineStr">
        <x:is>
          <x:t xml:space="preserve">LIFE</x:t>
        </x:is>
      </x:c>
      <x:c r="C5" s="471" t="inlineStr">
        <x:is>
          <x:t xml:space="preserve">U4</x:t>
        </x:is>
      </x:c>
      <x:c r="D5" s="471" t="inlineStr">
        <x:is>
          <x:t xml:space="preserve">D2</x:t>
        </x:is>
      </x:c>
      <x:c r="E5" s="471" t="n">
        <x:v>-0.9</x:v>
      </x:c>
      <x:c r="F5" s="486" t="n">
        <x:f>INDEX(I_prop!$B$7:$H$13, MATCH($C5, I_prop!$A$7:$A$13,0), MATCH($D5, I_prop!$B$6:$H$6,0))</x:f>
        <x:v>0</x:v>
      </x:c>
      <x:c r="G5" s="486" t="n">
        <x:f>INDEX(I_prop!$B$18:$H$24, MATCH($C5, I_prop!$A$18:$A$24,0), MATCH($D5, I_prop!$B$17:$H$17,0))</x:f>
        <x:v>0</x:v>
      </x:c>
      <x:c r="H5" s="486" t="n">
        <x:f>IF($J5&lt;&gt;"",$J5,IF($F5&lt;0,MAX(-1,Subgroup_Overrides!$B$7*$F5),$F5))</x:f>
        <x:v>0</x:v>
      </x:c>
      <x:c r="I5" s="486" t="n">
        <x:f>IF($K5&lt;&gt;"",$K5,IF($G5&lt;0,MAX(-1,Subgroup_Overrides!$B$7*$G5),$G5))</x:f>
        <x:v>0</x:v>
      </x:c>
      <x:c r="J5" s="515" t="str">
        <x:f>IF(COUNTIF(Subgroup_Overrides!$H$11:$H$100,"A|"&amp;$C5&amp;"|"&amp;$D5)&gt;0,SUMIFS(Subgroup_Overrides!$F$11:$F$100,Subgroup_Overrides!$H$11:$H$100,"A|"&amp;$C5&amp;"|"&amp;$D5),"")</x:f>
      </x:c>
      <x:c r="K5" s="515" t="str">
        <x:f>IF(COUNTIF(Subgroup_Overrides!$H$11:$H$100,"B|"&amp;$C5&amp;"|"&amp;$D5)&gt;0,SUMIFS(Subgroup_Overrides!$F$11:$F$100,Subgroup_Overrides!$H$11:$H$100,"B|"&amp;$C5&amp;"|"&amp;$D5),"")</x:f>
      </x:c>
      <x:c r="L5" s="471" t="str">
        <x:f>TRIM(B5)</x:f>
        <x:v>LIFE</x:v>
      </x:c>
      <x:c r="M5" s="471" t="str">
        <x:f>IF($H5="","",1*$H5)</x:f>
      </x:c>
      <x:c r="N5" s="471" t="str">
        <x:f>IF($I5="","",1*$I5)</x:f>
      </x:c>
      <x:c r="O5" s="530" t="str">
        <x:f>IF($M5="","",$B5&amp;"|"&amp;ROUND($M5*1000000000000,0))</x:f>
      </x:c>
      <x:c r="P5" s="530" t="str">
        <x:f>IF($N5="","",$B5&amp;"|"&amp;ROUND($N5*1000000000000,0))</x:f>
      </x:c>
    </x:row>
    <x:row r="6" s="455" customFormat="1" ht="14.25" customHeight="1">
      <x:c r="A6" s="471" t="n">
        <x:v>5</x:v>
      </x:c>
      <x:c r="B6" s="471" t="inlineStr">
        <x:is>
          <x:t xml:space="preserve">LIFE</x:t>
        </x:is>
      </x:c>
      <x:c r="C6" s="471" t="inlineStr">
        <x:is>
          <x:t xml:space="preserve">U5</x:t>
        </x:is>
      </x:c>
      <x:c r="D6" s="471" t="inlineStr">
        <x:is>
          <x:t xml:space="preserve">D2</x:t>
        </x:is>
      </x:c>
      <x:c r="E6" s="471" t="n">
        <x:v>-0.9</x:v>
      </x:c>
      <x:c r="F6" s="486" t="n">
        <x:f>INDEX(I_prop!$B$7:$H$13, MATCH($C6, I_prop!$A$7:$A$13,0), MATCH($D6, I_prop!$B$6:$H$6,0))</x:f>
        <x:v>0</x:v>
      </x:c>
      <x:c r="G6" s="486" t="n">
        <x:f>INDEX(I_prop!$B$18:$H$24, MATCH($C6, I_prop!$A$18:$A$24,0), MATCH($D6, I_prop!$B$17:$H$17,0))</x:f>
        <x:v>0</x:v>
      </x:c>
      <x:c r="H6" s="486" t="n">
        <x:f>IF($J6&lt;&gt;"",$J6,IF($F6&lt;0,MAX(-1,Subgroup_Overrides!$B$7*$F6),$F6))</x:f>
        <x:v>0</x:v>
      </x:c>
      <x:c r="I6" s="486" t="n">
        <x:f>IF($K6&lt;&gt;"",$K6,IF($G6&lt;0,MAX(-1,Subgroup_Overrides!$B$7*$G6),$G6))</x:f>
        <x:v>0</x:v>
      </x:c>
      <x:c r="J6" s="515" t="str">
        <x:f>IF(COUNTIF(Subgroup_Overrides!$H$11:$H$100,"A|"&amp;$C6&amp;"|"&amp;$D6)&gt;0,SUMIFS(Subgroup_Overrides!$F$11:$F$100,Subgroup_Overrides!$H$11:$H$100,"A|"&amp;$C6&amp;"|"&amp;$D6),"")</x:f>
      </x:c>
      <x:c r="K6" s="515" t="str">
        <x:f>IF(COUNTIF(Subgroup_Overrides!$H$11:$H$100,"B|"&amp;$C6&amp;"|"&amp;$D6)&gt;0,SUMIFS(Subgroup_Overrides!$F$11:$F$100,Subgroup_Overrides!$H$11:$H$100,"B|"&amp;$C6&amp;"|"&amp;$D6),"")</x:f>
      </x:c>
      <x:c r="L6" s="471" t="str">
        <x:f>TRIM(B6)</x:f>
        <x:v>LIFE</x:v>
      </x:c>
      <x:c r="M6" s="471" t="str">
        <x:f>IF($H6="","",1*$H6)</x:f>
      </x:c>
      <x:c r="N6" s="471" t="str">
        <x:f>IF($I6="","",1*$I6)</x:f>
      </x:c>
      <x:c r="O6" s="530" t="str">
        <x:f>IF($M6="","",$B6&amp;"|"&amp;ROUND($M6*1000000000000,0))</x:f>
      </x:c>
      <x:c r="P6" s="530" t="str">
        <x:f>IF($N6="","",$B6&amp;"|"&amp;ROUND($N6*1000000000000,0))</x:f>
      </x:c>
    </x:row>
    <x:row r="7" s="455" customFormat="1" ht="14.25" customHeight="1">
      <x:c r="A7" s="471" t="n">
        <x:v>6</x:v>
      </x:c>
      <x:c r="B7" s="471" t="inlineStr">
        <x:is>
          <x:t xml:space="preserve">LIFE</x:t>
        </x:is>
      </x:c>
      <x:c r="C7" s="471" t="inlineStr">
        <x:is>
          <x:t xml:space="preserve">U6</x:t>
        </x:is>
      </x:c>
      <x:c r="D7" s="471" t="inlineStr">
        <x:is>
          <x:t xml:space="preserve">D2</x:t>
        </x:is>
      </x:c>
      <x:c r="E7" s="471" t="n">
        <x:v>-0.9</x:v>
      </x:c>
      <x:c r="F7" s="486" t="n">
        <x:f>INDEX(I_prop!$B$7:$H$13, MATCH($C7, I_prop!$A$7:$A$13,0), MATCH($D7, I_prop!$B$6:$H$6,0))</x:f>
        <x:v>0</x:v>
      </x:c>
      <x:c r="G7" s="486" t="n">
        <x:f>INDEX(I_prop!$B$18:$H$24, MATCH($C7, I_prop!$A$18:$A$24,0), MATCH($D7, I_prop!$B$17:$H$17,0))</x:f>
        <x:v>0</x:v>
      </x:c>
      <x:c r="H7" s="486" t="n">
        <x:f>IF($J7&lt;&gt;"",$J7,IF($F7&lt;0,MAX(-1,Subgroup_Overrides!$B$7*$F7),$F7))</x:f>
        <x:v>0</x:v>
      </x:c>
      <x:c r="I7" s="486" t="n">
        <x:f>IF($K7&lt;&gt;"",$K7,IF($G7&lt;0,MAX(-1,Subgroup_Overrides!$B$7*$G7),$G7))</x:f>
        <x:v>0</x:v>
      </x:c>
      <x:c r="J7" s="515" t="str">
        <x:f>IF(COUNTIF(Subgroup_Overrides!$H$11:$H$100,"A|"&amp;$C7&amp;"|"&amp;$D7)&gt;0,SUMIFS(Subgroup_Overrides!$F$11:$F$100,Subgroup_Overrides!$H$11:$H$100,"A|"&amp;$C7&amp;"|"&amp;$D7),"")</x:f>
      </x:c>
      <x:c r="K7" s="515" t="str">
        <x:f>IF(COUNTIF(Subgroup_Overrides!$H$11:$H$100,"B|"&amp;$C7&amp;"|"&amp;$D7)&gt;0,SUMIFS(Subgroup_Overrides!$F$11:$F$100,Subgroup_Overrides!$H$11:$H$100,"B|"&amp;$C7&amp;"|"&amp;$D7),"")</x:f>
      </x:c>
      <x:c r="L7" s="471" t="str">
        <x:f>TRIM(B7)</x:f>
        <x:v>LIFE</x:v>
      </x:c>
      <x:c r="M7" s="471" t="str">
        <x:f>IF($H7="","",1*$H7)</x:f>
      </x:c>
      <x:c r="N7" s="471" t="str">
        <x:f>IF($I7="","",1*$I7)</x:f>
      </x:c>
      <x:c r="O7" s="530" t="str">
        <x:f>IF($M7="","",$B7&amp;"|"&amp;ROUND($M7*1000000000000,0))</x:f>
      </x:c>
      <x:c r="P7" s="530" t="str">
        <x:f>IF($N7="","",$B7&amp;"|"&amp;ROUND($N7*1000000000000,0))</x:f>
      </x:c>
    </x:row>
    <x:row r="8" s="455" customFormat="1" ht="14.25" customHeight="1">
      <x:c r="A8" s="471" t="n">
        <x:v>7</x:v>
      </x:c>
      <x:c r="B8" s="471" t="inlineStr">
        <x:is>
          <x:t xml:space="preserve">LIFE</x:t>
        </x:is>
      </x:c>
      <x:c r="C8" s="471" t="inlineStr">
        <x:is>
          <x:t xml:space="preserve">U6</x:t>
        </x:is>
      </x:c>
      <x:c r="D8" s="471" t="inlineStr">
        <x:is>
          <x:t xml:space="preserve">D7</x:t>
        </x:is>
      </x:c>
      <x:c r="E8" s="471" t="n">
        <x:v>-0.9</x:v>
      </x:c>
      <x:c r="F8" s="486" t="n">
        <x:f>INDEX(I_prop!$B$7:$H$13, MATCH($C8, I_prop!$A$7:$A$13,0), MATCH($D8, I_prop!$B$6:$H$6,0))</x:f>
        <x:v>0</x:v>
      </x:c>
      <x:c r="G8" s="486" t="n">
        <x:f>INDEX(I_prop!$B$18:$H$24, MATCH($C8, I_prop!$A$18:$A$24,0), MATCH($D8, I_prop!$B$17:$H$17,0))</x:f>
        <x:v>0</x:v>
      </x:c>
      <x:c r="H8" s="486" t="n">
        <x:f>IF($J8&lt;&gt;"",$J8,IF($F8&lt;0,MAX(-1,Subgroup_Overrides!$B$7*$F8),$F8))</x:f>
        <x:v>0</x:v>
      </x:c>
      <x:c r="I8" s="486" t="n">
        <x:f>IF($K8&lt;&gt;"",$K8,IF($G8&lt;0,MAX(-1,Subgroup_Overrides!$B$7*$G8),$G8))</x:f>
        <x:v>0</x:v>
      </x:c>
      <x:c r="J8" s="515" t="str">
        <x:f>IF(COUNTIF(Subgroup_Overrides!$H$11:$H$100,"A|"&amp;$C8&amp;"|"&amp;$D8)&gt;0,SUMIFS(Subgroup_Overrides!$F$11:$F$100,Subgroup_Overrides!$H$11:$H$100,"A|"&amp;$C8&amp;"|"&amp;$D8),"")</x:f>
      </x:c>
      <x:c r="K8" s="515" t="str">
        <x:f>IF(COUNTIF(Subgroup_Overrides!$H$11:$H$100,"B|"&amp;$C8&amp;"|"&amp;$D8)&gt;0,SUMIFS(Subgroup_Overrides!$F$11:$F$100,Subgroup_Overrides!$H$11:$H$100,"B|"&amp;$C8&amp;"|"&amp;$D8),"")</x:f>
      </x:c>
      <x:c r="L8" s="471" t="str">
        <x:f>TRIM(B8)</x:f>
        <x:v>LIFE</x:v>
      </x:c>
      <x:c r="M8" s="471" t="str">
        <x:f>IF($H8="","",1*$H8)</x:f>
      </x:c>
      <x:c r="N8" s="471" t="str">
        <x:f>IF($I8="","",1*$I8)</x:f>
      </x:c>
      <x:c r="O8" s="530" t="str">
        <x:f>IF($M8="","",$B8&amp;"|"&amp;ROUND($M8*1000000000000,0))</x:f>
      </x:c>
      <x:c r="P8" s="530" t="str">
        <x:f>IF($N8="","",$B8&amp;"|"&amp;ROUND($N8*1000000000000,0))</x:f>
      </x:c>
    </x:row>
    <x:row r="9" s="455" customFormat="1" ht="14.25" customHeight="1">
      <x:c r="A9" s="471" t="n">
        <x:v>8</x:v>
      </x:c>
      <x:c r="B9" s="471" t="inlineStr">
        <x:is>
          <x:t xml:space="preserve">BODY</x:t>
        </x:is>
      </x:c>
      <x:c r="C9" s="471" t="inlineStr">
        <x:is>
          <x:t xml:space="preserve">U1</x:t>
        </x:is>
      </x:c>
      <x:c r="D9" s="471" t="inlineStr">
        <x:is>
          <x:t xml:space="preserve">D2</x:t>
        </x:is>
      </x:c>
      <x:c r="E9" s="471" t="n">
        <x:v>-0.7</x:v>
      </x:c>
      <x:c r="F9" s="486" t="n">
        <x:f>INDEX(I_prop!$B$7:$H$13, MATCH($C9, I_prop!$A$7:$A$13,0), MATCH($D9, I_prop!$B$6:$H$6,0))</x:f>
        <x:v>0</x:v>
      </x:c>
      <x:c r="G9" s="486" t="n">
        <x:f>INDEX(I_prop!$B$18:$H$24, MATCH($C9, I_prop!$A$18:$A$24,0), MATCH($D9, I_prop!$B$17:$H$17,0))</x:f>
        <x:v>0</x:v>
      </x:c>
      <x:c r="H9" s="486" t="n">
        <x:f>IF($J9&lt;&gt;"",$J9,IF($F9&lt;0,MAX(-1,Subgroup_Overrides!$B$7*$F9),$F9))</x:f>
        <x:v>0</x:v>
      </x:c>
      <x:c r="I9" s="486" t="n">
        <x:f>IF($K9&lt;&gt;"",$K9,IF($G9&lt;0,MAX(-1,Subgroup_Overrides!$B$7*$G9),$G9))</x:f>
        <x:v>0</x:v>
      </x:c>
      <x:c r="J9" s="515" t="str">
        <x:f>IF(COUNTIF(Subgroup_Overrides!$H$11:$H$100,"A|"&amp;$C9&amp;"|"&amp;$D9)&gt;0,SUMIFS(Subgroup_Overrides!$F$11:$F$100,Subgroup_Overrides!$H$11:$H$100,"A|"&amp;$C9&amp;"|"&amp;$D9),"")</x:f>
      </x:c>
      <x:c r="K9" s="515" t="str">
        <x:f>IF(COUNTIF(Subgroup_Overrides!$H$11:$H$100,"B|"&amp;$C9&amp;"|"&amp;$D9)&gt;0,SUMIFS(Subgroup_Overrides!$F$11:$F$100,Subgroup_Overrides!$H$11:$H$100,"B|"&amp;$C9&amp;"|"&amp;$D9),"")</x:f>
      </x:c>
      <x:c r="L9" s="471" t="str">
        <x:f>TRIM(B9)</x:f>
        <x:v>BODY</x:v>
      </x:c>
      <x:c r="M9" s="471" t="str">
        <x:f>IF($H9="","",1*$H9)</x:f>
      </x:c>
      <x:c r="N9" s="471" t="str">
        <x:f>IF($I9="","",1*$I9)</x:f>
      </x:c>
      <x:c r="O9" s="530" t="str">
        <x:f>IF($M9="","",$B9&amp;"|"&amp;ROUND($M9*1000000000000,0))</x:f>
      </x:c>
      <x:c r="P9" s="530" t="str">
        <x:f>IF($N9="","",$B9&amp;"|"&amp;ROUND($N9*1000000000000,0))</x:f>
      </x:c>
    </x:row>
    <x:row r="10" s="455" customFormat="1" ht="14.25" customHeight="1">
      <x:c r="A10" s="471" t="n">
        <x:v>9</x:v>
      </x:c>
      <x:c r="B10" s="471" t="inlineStr">
        <x:is>
          <x:t xml:space="preserve">BODY</x:t>
        </x:is>
      </x:c>
      <x:c r="C10" s="471" t="inlineStr">
        <x:is>
          <x:t xml:space="preserve">U2</x:t>
        </x:is>
      </x:c>
      <x:c r="D10" s="471" t="inlineStr">
        <x:is>
          <x:t xml:space="preserve">D2</x:t>
        </x:is>
      </x:c>
      <x:c r="E10" s="471" t="n">
        <x:v>-0.7</x:v>
      </x:c>
      <x:c r="F10" s="486" t="n">
        <x:f>INDEX(I_prop!$B$7:$H$13, MATCH($C10, I_prop!$A$7:$A$13,0), MATCH($D10, I_prop!$B$6:$H$6,0))</x:f>
        <x:v>0</x:v>
      </x:c>
      <x:c r="G10" s="486" t="n">
        <x:f>INDEX(I_prop!$B$18:$H$24, MATCH($C10, I_prop!$A$18:$A$24,0), MATCH($D10, I_prop!$B$17:$H$17,0))</x:f>
        <x:v>0</x:v>
      </x:c>
      <x:c r="H10" s="486" t="n">
        <x:f>IF($J10&lt;&gt;"",$J10,IF($F10&lt;0,MAX(-1,Subgroup_Overrides!$B$7*$F10),$F10))</x:f>
        <x:v>0</x:v>
      </x:c>
      <x:c r="I10" s="486" t="n">
        <x:f>IF($K10&lt;&gt;"",$K10,IF($G10&lt;0,MAX(-1,Subgroup_Overrides!$B$7*$G10),$G10))</x:f>
        <x:v>0</x:v>
      </x:c>
      <x:c r="J10" s="515" t="str">
        <x:f>IF(COUNTIF(Subgroup_Overrides!$H$11:$H$100,"A|"&amp;$C10&amp;"|"&amp;$D10)&gt;0,SUMIFS(Subgroup_Overrides!$F$11:$F$100,Subgroup_Overrides!$H$11:$H$100,"A|"&amp;$C10&amp;"|"&amp;$D10),"")</x:f>
      </x:c>
      <x:c r="K10" s="515" t="str">
        <x:f>IF(COUNTIF(Subgroup_Overrides!$H$11:$H$100,"B|"&amp;$C10&amp;"|"&amp;$D10)&gt;0,SUMIFS(Subgroup_Overrides!$F$11:$F$100,Subgroup_Overrides!$H$11:$H$100,"B|"&amp;$C10&amp;"|"&amp;$D10),"")</x:f>
      </x:c>
      <x:c r="L10" s="471" t="str">
        <x:f>TRIM(B10)</x:f>
        <x:v>BODY</x:v>
      </x:c>
      <x:c r="M10" s="471" t="str">
        <x:f>IF($H10="","",1*$H10)</x:f>
      </x:c>
      <x:c r="N10" s="471" t="str">
        <x:f>IF($I10="","",1*$I10)</x:f>
      </x:c>
      <x:c r="O10" s="530" t="str">
        <x:f>IF($M10="","",$B10&amp;"|"&amp;ROUND($M10*1000000000000,0))</x:f>
      </x:c>
      <x:c r="P10" s="530" t="str">
        <x:f>IF($N10="","",$B10&amp;"|"&amp;ROUND($N10*1000000000000,0))</x:f>
      </x:c>
    </x:row>
    <x:row r="11" s="455" customFormat="1" ht="14.25" customHeight="1">
      <x:c r="A11" s="471" t="n">
        <x:v>10</x:v>
      </x:c>
      <x:c r="B11" s="471" t="inlineStr">
        <x:is>
          <x:t xml:space="preserve">BODY</x:t>
        </x:is>
      </x:c>
      <x:c r="C11" s="471" t="inlineStr">
        <x:is>
          <x:t xml:space="preserve">U3</x:t>
        </x:is>
      </x:c>
      <x:c r="D11" s="471" t="inlineStr">
        <x:is>
          <x:t xml:space="preserve">D2</x:t>
        </x:is>
      </x:c>
      <x:c r="E11" s="471" t="n">
        <x:v>-0.7</x:v>
      </x:c>
      <x:c r="F11" s="486" t="n">
        <x:f>INDEX(I_prop!$B$7:$H$13, MATCH($C11, I_prop!$A$7:$A$13,0), MATCH($D11, I_prop!$B$6:$H$6,0))</x:f>
        <x:v>0</x:v>
      </x:c>
      <x:c r="G11" s="486" t="n">
        <x:f>INDEX(I_prop!$B$18:$H$24, MATCH($C11, I_prop!$A$18:$A$24,0), MATCH($D11, I_prop!$B$17:$H$17,0))</x:f>
        <x:v>0</x:v>
      </x:c>
      <x:c r="H11" s="486" t="n">
        <x:f>IF($J11&lt;&gt;"",$J11,IF($F11&lt;0,MAX(-1,Subgroup_Overrides!$B$7*$F11),$F11))</x:f>
        <x:v>0</x:v>
      </x:c>
      <x:c r="I11" s="486" t="n">
        <x:f>IF($K11&lt;&gt;"",$K11,IF($G11&lt;0,MAX(-1,Subgroup_Overrides!$B$7*$G11),$G11))</x:f>
        <x:v>0</x:v>
      </x:c>
      <x:c r="J11" s="515" t="str">
        <x:f>IF(COUNTIF(Subgroup_Overrides!$H$11:$H$100,"A|"&amp;$C11&amp;"|"&amp;$D11)&gt;0,SUMIFS(Subgroup_Overrides!$F$11:$F$100,Subgroup_Overrides!$H$11:$H$100,"A|"&amp;$C11&amp;"|"&amp;$D11),"")</x:f>
      </x:c>
      <x:c r="K11" s="515" t="str">
        <x:f>IF(COUNTIF(Subgroup_Overrides!$H$11:$H$100,"B|"&amp;$C11&amp;"|"&amp;$D11)&gt;0,SUMIFS(Subgroup_Overrides!$F$11:$F$100,Subgroup_Overrides!$H$11:$H$100,"B|"&amp;$C11&amp;"|"&amp;$D11),"")</x:f>
      </x:c>
      <x:c r="L11" s="471" t="str">
        <x:f>TRIM(B11)</x:f>
        <x:v>BODY</x:v>
      </x:c>
      <x:c r="M11" s="471" t="str">
        <x:f>IF($H11="","",1*$H11)</x:f>
      </x:c>
      <x:c r="N11" s="471" t="str">
        <x:f>IF($I11="","",1*$I11)</x:f>
      </x:c>
      <x:c r="O11" s="530" t="str">
        <x:f>IF($M11="","",$B11&amp;"|"&amp;ROUND($M11*1000000000000,0))</x:f>
      </x:c>
      <x:c r="P11" s="530" t="str">
        <x:f>IF($N11="","",$B11&amp;"|"&amp;ROUND($N11*1000000000000,0))</x:f>
      </x:c>
    </x:row>
    <x:row r="12" s="455" customFormat="1" ht="14.25" customHeight="1">
      <x:c r="A12" s="471" t="n">
        <x:v>11</x:v>
      </x:c>
      <x:c r="B12" s="471" t="inlineStr">
        <x:is>
          <x:t xml:space="preserve">BODY</x:t>
        </x:is>
      </x:c>
      <x:c r="C12" s="471" t="inlineStr">
        <x:is>
          <x:t xml:space="preserve">U4</x:t>
        </x:is>
      </x:c>
      <x:c r="D12" s="471" t="inlineStr">
        <x:is>
          <x:t xml:space="preserve">D2</x:t>
        </x:is>
      </x:c>
      <x:c r="E12" s="471" t="n">
        <x:v>-0.7</x:v>
      </x:c>
      <x:c r="F12" s="486" t="n">
        <x:f>INDEX(I_prop!$B$7:$H$13, MATCH($C12, I_prop!$A$7:$A$13,0), MATCH($D12, I_prop!$B$6:$H$6,0))</x:f>
        <x:v>0</x:v>
      </x:c>
      <x:c r="G12" s="486" t="n">
        <x:f>INDEX(I_prop!$B$18:$H$24, MATCH($C12, I_prop!$A$18:$A$24,0), MATCH($D12, I_prop!$B$17:$H$17,0))</x:f>
        <x:v>0</x:v>
      </x:c>
      <x:c r="H12" s="486" t="n">
        <x:f>IF($J12&lt;&gt;"",$J12,IF($F12&lt;0,MAX(-1,Subgroup_Overrides!$B$7*$F12),$F12))</x:f>
        <x:v>0</x:v>
      </x:c>
      <x:c r="I12" s="486" t="n">
        <x:f>IF($K12&lt;&gt;"",$K12,IF($G12&lt;0,MAX(-1,Subgroup_Overrides!$B$7*$G12),$G12))</x:f>
        <x:v>0</x:v>
      </x:c>
      <x:c r="J12" s="515" t="str">
        <x:f>IF(COUNTIF(Subgroup_Overrides!$H$11:$H$100,"A|"&amp;$C12&amp;"|"&amp;$D12)&gt;0,SUMIFS(Subgroup_Overrides!$F$11:$F$100,Subgroup_Overrides!$H$11:$H$100,"A|"&amp;$C12&amp;"|"&amp;$D12),"")</x:f>
      </x:c>
      <x:c r="K12" s="515" t="str">
        <x:f>IF(COUNTIF(Subgroup_Overrides!$H$11:$H$100,"B|"&amp;$C12&amp;"|"&amp;$D12)&gt;0,SUMIFS(Subgroup_Overrides!$F$11:$F$100,Subgroup_Overrides!$H$11:$H$100,"B|"&amp;$C12&amp;"|"&amp;$D12),"")</x:f>
      </x:c>
      <x:c r="L12" s="471" t="str">
        <x:f>TRIM(B12)</x:f>
        <x:v>BODY</x:v>
      </x:c>
      <x:c r="M12" s="471" t="str">
        <x:f>IF($H12="","",1*$H12)</x:f>
      </x:c>
      <x:c r="N12" s="471" t="str">
        <x:f>IF($I12="","",1*$I12)</x:f>
      </x:c>
      <x:c r="O12" s="530" t="str">
        <x:f>IF($M12="","",$B12&amp;"|"&amp;ROUND($M12*1000000000000,0))</x:f>
      </x:c>
      <x:c r="P12" s="530" t="str">
        <x:f>IF($N12="","",$B12&amp;"|"&amp;ROUND($N12*1000000000000,0))</x:f>
      </x:c>
    </x:row>
    <x:row r="13" s="455" customFormat="1" ht="14.25" customHeight="1">
      <x:c r="A13" s="471" t="n">
        <x:v>12</x:v>
      </x:c>
      <x:c r="B13" s="471" t="inlineStr">
        <x:is>
          <x:t xml:space="preserve">BODY</x:t>
        </x:is>
      </x:c>
      <x:c r="C13" s="471" t="inlineStr">
        <x:is>
          <x:t xml:space="preserve">U5</x:t>
        </x:is>
      </x:c>
      <x:c r="D13" s="471" t="inlineStr">
        <x:is>
          <x:t xml:space="preserve">D2</x:t>
        </x:is>
      </x:c>
      <x:c r="E13" s="471" t="n">
        <x:v>-0.7</x:v>
      </x:c>
      <x:c r="F13" s="486" t="n">
        <x:f>INDEX(I_prop!$B$7:$H$13, MATCH($C13, I_prop!$A$7:$A$13,0), MATCH($D13, I_prop!$B$6:$H$6,0))</x:f>
        <x:v>0</x:v>
      </x:c>
      <x:c r="G13" s="486" t="n">
        <x:f>INDEX(I_prop!$B$18:$H$24, MATCH($C13, I_prop!$A$18:$A$24,0), MATCH($D13, I_prop!$B$17:$H$17,0))</x:f>
        <x:v>0</x:v>
      </x:c>
      <x:c r="H13" s="486" t="n">
        <x:f>IF($J13&lt;&gt;"",$J13,IF($F13&lt;0,MAX(-1,Subgroup_Overrides!$B$7*$F13),$F13))</x:f>
        <x:v>0</x:v>
      </x:c>
      <x:c r="I13" s="486" t="n">
        <x:f>IF($K13&lt;&gt;"",$K13,IF($G13&lt;0,MAX(-1,Subgroup_Overrides!$B$7*$G13),$G13))</x:f>
        <x:v>0</x:v>
      </x:c>
      <x:c r="J13" s="515" t="str">
        <x:f>IF(COUNTIF(Subgroup_Overrides!$H$11:$H$100,"A|"&amp;$C13&amp;"|"&amp;$D13)&gt;0,SUMIFS(Subgroup_Overrides!$F$11:$F$100,Subgroup_Overrides!$H$11:$H$100,"A|"&amp;$C13&amp;"|"&amp;$D13),"")</x:f>
      </x:c>
      <x:c r="K13" s="515" t="str">
        <x:f>IF(COUNTIF(Subgroup_Overrides!$H$11:$H$100,"B|"&amp;$C13&amp;"|"&amp;$D13)&gt;0,SUMIFS(Subgroup_Overrides!$F$11:$F$100,Subgroup_Overrides!$H$11:$H$100,"B|"&amp;$C13&amp;"|"&amp;$D13),"")</x:f>
      </x:c>
      <x:c r="L13" s="471" t="str">
        <x:f>TRIM(B13)</x:f>
        <x:v>BODY</x:v>
      </x:c>
      <x:c r="M13" s="471" t="str">
        <x:f>IF($H13="","",1*$H13)</x:f>
      </x:c>
      <x:c r="N13" s="471" t="str">
        <x:f>IF($I13="","",1*$I13)</x:f>
      </x:c>
      <x:c r="O13" s="530" t="str">
        <x:f>IF($M13="","",$B13&amp;"|"&amp;ROUND($M13*1000000000000,0))</x:f>
      </x:c>
      <x:c r="P13" s="530" t="str">
        <x:f>IF($N13="","",$B13&amp;"|"&amp;ROUND($N13*1000000000000,0))</x:f>
      </x:c>
    </x:row>
    <x:row r="14" s="455" customFormat="1" ht="14.25" customHeight="1">
      <x:c r="A14" s="471" t="n">
        <x:v>13</x:v>
      </x:c>
      <x:c r="B14" s="471" t="inlineStr">
        <x:is>
          <x:t xml:space="preserve">BODY</x:t>
        </x:is>
      </x:c>
      <x:c r="C14" s="471" t="inlineStr">
        <x:is>
          <x:t xml:space="preserve">U6</x:t>
        </x:is>
      </x:c>
      <x:c r="D14" s="471" t="inlineStr">
        <x:is>
          <x:t xml:space="preserve">D2</x:t>
        </x:is>
      </x:c>
      <x:c r="E14" s="471" t="n">
        <x:v>-0.7</x:v>
      </x:c>
      <x:c r="F14" s="486" t="n">
        <x:f>INDEX(I_prop!$B$7:$H$13, MATCH($C14, I_prop!$A$7:$A$13,0), MATCH($D14, I_prop!$B$6:$H$6,0))</x:f>
        <x:v>0</x:v>
      </x:c>
      <x:c r="G14" s="486" t="n">
        <x:f>INDEX(I_prop!$B$18:$H$24, MATCH($C14, I_prop!$A$18:$A$24,0), MATCH($D14, I_prop!$B$17:$H$17,0))</x:f>
        <x:v>0</x:v>
      </x:c>
      <x:c r="H14" s="486" t="n">
        <x:f>IF($J14&lt;&gt;"",$J14,IF($F14&lt;0,MAX(-1,Subgroup_Overrides!$B$7*$F14),$F14))</x:f>
        <x:v>0</x:v>
      </x:c>
      <x:c r="I14" s="486" t="n">
        <x:f>IF($K14&lt;&gt;"",$K14,IF($G14&lt;0,MAX(-1,Subgroup_Overrides!$B$7*$G14),$G14))</x:f>
        <x:v>0</x:v>
      </x:c>
      <x:c r="J14" s="515" t="str">
        <x:f>IF(COUNTIF(Subgroup_Overrides!$H$11:$H$100,"A|"&amp;$C14&amp;"|"&amp;$D14)&gt;0,SUMIFS(Subgroup_Overrides!$F$11:$F$100,Subgroup_Overrides!$H$11:$H$100,"A|"&amp;$C14&amp;"|"&amp;$D14),"")</x:f>
      </x:c>
      <x:c r="K14" s="515" t="str">
        <x:f>IF(COUNTIF(Subgroup_Overrides!$H$11:$H$100,"B|"&amp;$C14&amp;"|"&amp;$D14)&gt;0,SUMIFS(Subgroup_Overrides!$F$11:$F$100,Subgroup_Overrides!$H$11:$H$100,"B|"&amp;$C14&amp;"|"&amp;$D14),"")</x:f>
      </x:c>
      <x:c r="L14" s="471" t="str">
        <x:f>TRIM(B14)</x:f>
        <x:v>BODY</x:v>
      </x:c>
      <x:c r="M14" s="471" t="str">
        <x:f>IF($H14="","",1*$H14)</x:f>
      </x:c>
      <x:c r="N14" s="471" t="str">
        <x:f>IF($I14="","",1*$I14)</x:f>
      </x:c>
      <x:c r="O14" s="530" t="str">
        <x:f>IF($M14="","",$B14&amp;"|"&amp;ROUND($M14*1000000000000,0))</x:f>
      </x:c>
      <x:c r="P14" s="530" t="str">
        <x:f>IF($N14="","",$B14&amp;"|"&amp;ROUND($N14*1000000000000,0))</x:f>
      </x:c>
    </x:row>
    <x:row r="15" s="455" customFormat="1" ht="14.25" customHeight="1">
      <x:c r="A15" s="471" t="n">
        <x:v>14</x:v>
      </x:c>
      <x:c r="B15" s="471" t="inlineStr">
        <x:is>
          <x:t xml:space="preserve">ECOL</x:t>
        </x:is>
      </x:c>
      <x:c r="C15" s="471" t="inlineStr">
        <x:is>
          <x:t xml:space="preserve">U6</x:t>
        </x:is>
      </x:c>
      <x:c r="D15" s="471" t="inlineStr">
        <x:is>
          <x:t xml:space="preserve">D7</x:t>
        </x:is>
      </x:c>
      <x:c r="E15" s="471" t="n">
        <x:v>-0.65</x:v>
      </x:c>
      <x:c r="F15" s="486" t="n">
        <x:f>INDEX(I_prop!$B$7:$H$13, MATCH($C15, I_prop!$A$7:$A$13,0), MATCH($D15, I_prop!$B$6:$H$6,0))</x:f>
        <x:v>0</x:v>
      </x:c>
      <x:c r="G15" s="486" t="n">
        <x:f>INDEX(I_prop!$B$18:$H$24, MATCH($C15, I_prop!$A$18:$A$24,0), MATCH($D15, I_prop!$B$17:$H$17,0))</x:f>
        <x:v>0</x:v>
      </x:c>
      <x:c r="H15" s="486" t="n">
        <x:f>IF($J15&lt;&gt;"",$J15,IF($F15&lt;0,MAX(-1,Subgroup_Overrides!$B$7*$F15),$F15))</x:f>
        <x:v>0</x:v>
      </x:c>
      <x:c r="I15" s="486" t="n">
        <x:f>IF($K15&lt;&gt;"",$K15,IF($G15&lt;0,MAX(-1,Subgroup_Overrides!$B$7*$G15),$G15))</x:f>
        <x:v>0</x:v>
      </x:c>
      <x:c r="J15" s="515" t="str">
        <x:f>IF(COUNTIF(Subgroup_Overrides!$H$11:$H$100,"A|"&amp;$C15&amp;"|"&amp;$D15)&gt;0,SUMIFS(Subgroup_Overrides!$F$11:$F$100,Subgroup_Overrides!$H$11:$H$100,"A|"&amp;$C15&amp;"|"&amp;$D15),"")</x:f>
      </x:c>
      <x:c r="K15" s="515" t="str">
        <x:f>IF(COUNTIF(Subgroup_Overrides!$H$11:$H$100,"B|"&amp;$C15&amp;"|"&amp;$D15)&gt;0,SUMIFS(Subgroup_Overrides!$F$11:$F$100,Subgroup_Overrides!$H$11:$H$100,"B|"&amp;$C15&amp;"|"&amp;$D15),"")</x:f>
      </x:c>
      <x:c r="L15" s="471" t="str">
        <x:f>TRIM(B15)</x:f>
        <x:v>ECOL</x:v>
      </x:c>
      <x:c r="M15" s="471" t="str">
        <x:f>IF($H15="","",1*$H15)</x:f>
      </x:c>
      <x:c r="N15" s="471" t="str">
        <x:f>IF($I15="","",1*$I15)</x:f>
      </x:c>
      <x:c r="O15" s="530" t="str">
        <x:f>IF($M15="","",$B15&amp;"|"&amp;ROUND($M15*1000000000000,0))</x:f>
      </x:c>
      <x:c r="P15" s="530" t="str">
        <x:f>IF($N15="","",$B15&amp;"|"&amp;ROUND($N15*1000000000000,0))</x:f>
      </x:c>
    </x:row>
    <x:row r="16" s="455" customFormat="1" ht="14.25" customHeight="1">
      <x:c r="A16" s="471" t="n">
        <x:v>15</x:v>
      </x:c>
      <x:c r="B16" s="471" t="inlineStr">
        <x:is>
          <x:t xml:space="preserve">ECOL</x:t>
        </x:is>
      </x:c>
      <x:c r="C16" s="471" t="inlineStr">
        <x:is>
          <x:t xml:space="preserve">U7</x:t>
        </x:is>
      </x:c>
      <x:c r="D16" s="471" t="inlineStr">
        <x:is>
          <x:t xml:space="preserve">D7</x:t>
        </x:is>
      </x:c>
      <x:c r="E16" s="471" t="n">
        <x:v>-0.65</x:v>
      </x:c>
      <x:c r="F16" s="486" t="n">
        <x:f>INDEX(I_prop!$B$7:$H$13, MATCH($C16, I_prop!$A$7:$A$13,0), MATCH($D16, I_prop!$B$6:$H$6,0))</x:f>
        <x:v>0.01531651795735988</x:v>
      </x:c>
      <x:c r="G16" s="486" t="n">
        <x:f>INDEX(I_prop!$B$18:$H$24, MATCH($C16, I_prop!$A$18:$A$24,0), MATCH($D16, I_prop!$B$17:$H$17,0))</x:f>
        <x:v>-0.010211455619172184</x:v>
      </x:c>
      <x:c r="H16" s="486" t="n">
        <x:f>IF($J16&lt;&gt;"",$J16,IF($F16&lt;0,MAX(-1,Subgroup_Overrides!$B$7*$F16),$F16))</x:f>
        <x:v>0.01531651795735988</x:v>
      </x:c>
      <x:c r="I16" s="486" t="n">
        <x:f>IF($K16&lt;&gt;"",$K16,IF($G16&lt;0,MAX(-1,Subgroup_Overrides!$B$7*$G16),$G16))</x:f>
        <x:v>-0.08</x:v>
      </x:c>
      <x:c r="J16" s="515" t="str">
        <x:f>IF(COUNTIF(Subgroup_Overrides!$H$11:$H$100,"A|"&amp;$C16&amp;"|"&amp;$D16)&gt;0,SUMIFS(Subgroup_Overrides!$F$11:$F$100,Subgroup_Overrides!$H$11:$H$100,"A|"&amp;$C16&amp;"|"&amp;$D16),"")</x:f>
      </x:c>
      <x:c r="K16" s="515" t="n">
        <x:f>IF(COUNTIF(Subgroup_Overrides!$H$11:$H$100,"B|"&amp;$C16&amp;"|"&amp;$D16)&gt;0,SUMIFS(Subgroup_Overrides!$F$11:$F$100,Subgroup_Overrides!$H$11:$H$100,"B|"&amp;$C16&amp;"|"&amp;$D16),"")</x:f>
        <x:v>-0.08</x:v>
      </x:c>
      <x:c r="L16" s="471" t="str">
        <x:f>TRIM(B16)</x:f>
        <x:v>ECOL</x:v>
      </x:c>
      <x:c r="M16" s="471" t="n">
        <x:f>IF($H16="","",1*$H16)</x:f>
        <x:v>0.01531651795735988</x:v>
      </x:c>
      <x:c r="N16" s="471" t="n">
        <x:f>IF($I16="","",1*$I16)</x:f>
        <x:v>-0.08</x:v>
      </x:c>
      <x:c r="O16" s="530" t="str">
        <x:f>IF($M16="","",$B16&amp;"|"&amp;ROUND($M16*1000000000000,0))</x:f>
        <x:v>ECOL|15316517957</x:v>
      </x:c>
      <x:c r="P16" s="530" t="str">
        <x:f>IF($N16="","",$B16&amp;"|"&amp;ROUND($N16*1000000000000,0))</x:f>
        <x:v>ECOL|-80000000000</x:v>
      </x:c>
    </x:row>
    <x:row r="17" s="455" customFormat="1" ht="14.25" customHeight="1">
      <x:c r="A17" s="471" t="n">
        <x:v>16</x:v>
      </x:c>
      <x:c r="B17" s="471" t="inlineStr">
        <x:is>
          <x:t xml:space="preserve">LBTY</x:t>
        </x:is>
      </x:c>
      <x:c r="C17" s="471" t="inlineStr">
        <x:is>
          <x:t xml:space="preserve">U1</x:t>
        </x:is>
      </x:c>
      <x:c r="D17" s="471" t="inlineStr">
        <x:is>
          <x:t xml:space="preserve">D5</x:t>
        </x:is>
      </x:c>
      <x:c r="E17" s="471" t="n">
        <x:v>-0.65</x:v>
      </x:c>
      <x:c r="F17" s="486" t="n">
        <x:f>INDEX(I_prop!$B$7:$H$13, MATCH($C17, I_prop!$A$7:$A$13,0), MATCH($D17, I_prop!$B$6:$H$6,0))</x:f>
        <x:v>0.2490078843274226</x:v>
      </x:c>
      <x:c r="G17" s="486" t="n">
        <x:f>INDEX(I_prop!$B$18:$H$24, MATCH($C17, I_prop!$A$18:$A$24,0), MATCH($D17, I_prop!$B$17:$H$17,0))</x:f>
        <x:v>-0.046333567670633624</x:v>
      </x:c>
      <x:c r="H17" s="486" t="n">
        <x:f>IF($J17&lt;&gt;"",$J17,IF($F17&lt;0,MAX(-1,Subgroup_Overrides!$B$7*$F17),$F17))</x:f>
        <x:v>0.2490078843274226</x:v>
      </x:c>
      <x:c r="I17" s="486" t="n">
        <x:f>IF($K17&lt;&gt;"",$K17,IF($G17&lt;0,MAX(-1,Subgroup_Overrides!$B$7*$G17),$G17))</x:f>
        <x:v>-0.15</x:v>
      </x:c>
      <x:c r="J17" s="515" t="str">
        <x:f>IF(COUNTIF(Subgroup_Overrides!$H$11:$H$100,"A|"&amp;$C17&amp;"|"&amp;$D17)&gt;0,SUMIFS(Subgroup_Overrides!$F$11:$F$100,Subgroup_Overrides!$H$11:$H$100,"A|"&amp;$C17&amp;"|"&amp;$D17),"")</x:f>
      </x:c>
      <x:c r="K17" s="515" t="n">
        <x:f>IF(COUNTIF(Subgroup_Overrides!$H$11:$H$100,"B|"&amp;$C17&amp;"|"&amp;$D17)&gt;0,SUMIFS(Subgroup_Overrides!$F$11:$F$100,Subgroup_Overrides!$H$11:$H$100,"B|"&amp;$C17&amp;"|"&amp;$D17),"")</x:f>
        <x:v>-0.15</x:v>
      </x:c>
      <x:c r="L17" s="471" t="str">
        <x:f>TRIM(B17)</x:f>
        <x:v>LBTY</x:v>
      </x:c>
      <x:c r="M17" s="471" t="n">
        <x:f>IF($H17="","",1*$H17)</x:f>
        <x:v>0.2490078843274226</x:v>
      </x:c>
      <x:c r="N17" s="471" t="n">
        <x:f>IF($I17="","",1*$I17)</x:f>
        <x:v>-0.15</x:v>
      </x:c>
      <x:c r="O17" s="530" t="str">
        <x:f>IF($M17="","",$B17&amp;"|"&amp;ROUND($M17*1000000000000,0))</x:f>
        <x:v>LBTY|249007884327</x:v>
      </x:c>
      <x:c r="P17" s="530" t="str">
        <x:f>IF($N17="","",$B17&amp;"|"&amp;ROUND($N17*1000000000000,0))</x:f>
        <x:v>LBTY|-150000000000</x:v>
      </x:c>
    </x:row>
    <x:row r="18" s="455" customFormat="1" ht="14.25" customHeight="1">
      <x:c r="A18" s="471" t="n">
        <x:v>17</x:v>
      </x:c>
      <x:c r="B18" s="471" t="inlineStr">
        <x:is>
          <x:t xml:space="preserve">LBTY</x:t>
        </x:is>
      </x:c>
      <x:c r="C18" s="471" t="inlineStr">
        <x:is>
          <x:t xml:space="preserve">U2</x:t>
        </x:is>
      </x:c>
      <x:c r="D18" s="471" t="inlineStr">
        <x:is>
          <x:t xml:space="preserve">D5</x:t>
        </x:is>
      </x:c>
      <x:c r="E18" s="471" t="n">
        <x:v>-0.65</x:v>
      </x:c>
      <x:c r="F18" s="486" t="n">
        <x:f>INDEX(I_prop!$B$7:$H$13, MATCH($C18, I_prop!$A$7:$A$13,0), MATCH($D18, I_prop!$B$6:$H$6,0))</x:f>
        <x:v>0</x:v>
      </x:c>
      <x:c r="G18" s="486" t="n">
        <x:f>INDEX(I_prop!$B$18:$H$24, MATCH($C18, I_prop!$A$18:$A$24,0), MATCH($D18, I_prop!$B$17:$H$17,0))</x:f>
        <x:v>0</x:v>
      </x:c>
      <x:c r="H18" s="486" t="n">
        <x:f>IF($J18&lt;&gt;"",$J18,IF($F18&lt;0,MAX(-1,Subgroup_Overrides!$B$7*$F18),$F18))</x:f>
        <x:v>0</x:v>
      </x:c>
      <x:c r="I18" s="486" t="n">
        <x:f>IF($K18&lt;&gt;"",$K18,IF($G18&lt;0,MAX(-1,Subgroup_Overrides!$B$7*$G18),$G18))</x:f>
        <x:v>0</x:v>
      </x:c>
      <x:c r="J18" s="515" t="str">
        <x:f>IF(COUNTIF(Subgroup_Overrides!$H$11:$H$100,"A|"&amp;$C18&amp;"|"&amp;$D18)&gt;0,SUMIFS(Subgroup_Overrides!$F$11:$F$100,Subgroup_Overrides!$H$11:$H$100,"A|"&amp;$C18&amp;"|"&amp;$D18),"")</x:f>
      </x:c>
      <x:c r="K18" s="515" t="str">
        <x:f>IF(COUNTIF(Subgroup_Overrides!$H$11:$H$100,"B|"&amp;$C18&amp;"|"&amp;$D18)&gt;0,SUMIFS(Subgroup_Overrides!$F$11:$F$100,Subgroup_Overrides!$H$11:$H$100,"B|"&amp;$C18&amp;"|"&amp;$D18),"")</x:f>
      </x:c>
      <x:c r="L18" s="471" t="str">
        <x:f>TRIM(B18)</x:f>
        <x:v>LBTY</x:v>
      </x:c>
      <x:c r="M18" s="471" t="str">
        <x:f>IF($H18="","",1*$H18)</x:f>
      </x:c>
      <x:c r="N18" s="471" t="str">
        <x:f>IF($I18="","",1*$I18)</x:f>
      </x:c>
      <x:c r="O18" s="530" t="str">
        <x:f>IF($M18="","",$B18&amp;"|"&amp;ROUND($M18*1000000000000,0))</x:f>
      </x:c>
      <x:c r="P18" s="530" t="str">
        <x:f>IF($N18="","",$B18&amp;"|"&amp;ROUND($N18*1000000000000,0))</x:f>
      </x:c>
    </x:row>
    <x:row r="19" s="455" customFormat="1" ht="14.25" customHeight="1">
      <x:c r="A19" s="471" t="n">
        <x:v>18</x:v>
      </x:c>
      <x:c r="B19" s="471" t="inlineStr">
        <x:is>
          <x:t xml:space="preserve">LBTY</x:t>
        </x:is>
      </x:c>
      <x:c r="C19" s="471" t="inlineStr">
        <x:is>
          <x:t xml:space="preserve">U3</x:t>
        </x:is>
      </x:c>
      <x:c r="D19" s="471" t="inlineStr">
        <x:is>
          <x:t xml:space="preserve">D5</x:t>
        </x:is>
      </x:c>
      <x:c r="E19" s="471" t="n">
        <x:v>-0.65</x:v>
      </x:c>
      <x:c r="F19" s="486" t="n">
        <x:f>INDEX(I_prop!$B$7:$H$13, MATCH($C19, I_prop!$A$7:$A$13,0), MATCH($D19, I_prop!$B$6:$H$6,0))</x:f>
        <x:v>0</x:v>
      </x:c>
      <x:c r="G19" s="486" t="n">
        <x:f>INDEX(I_prop!$B$18:$H$24, MATCH($C19, I_prop!$A$18:$A$24,0), MATCH($D19, I_prop!$B$17:$H$17,0))</x:f>
        <x:v>0</x:v>
      </x:c>
      <x:c r="H19" s="486" t="n">
        <x:f>IF($J19&lt;&gt;"",$J19,IF($F19&lt;0,MAX(-1,Subgroup_Overrides!$B$7*$F19),$F19))</x:f>
        <x:v>0</x:v>
      </x:c>
      <x:c r="I19" s="486" t="n">
        <x:f>IF($K19&lt;&gt;"",$K19,IF($G19&lt;0,MAX(-1,Subgroup_Overrides!$B$7*$G19),$G19))</x:f>
        <x:v>0</x:v>
      </x:c>
      <x:c r="J19" s="515" t="str">
        <x:f>IF(COUNTIF(Subgroup_Overrides!$H$11:$H$100,"A|"&amp;$C19&amp;"|"&amp;$D19)&gt;0,SUMIFS(Subgroup_Overrides!$F$11:$F$100,Subgroup_Overrides!$H$11:$H$100,"A|"&amp;$C19&amp;"|"&amp;$D19),"")</x:f>
      </x:c>
      <x:c r="K19" s="515" t="str">
        <x:f>IF(COUNTIF(Subgroup_Overrides!$H$11:$H$100,"B|"&amp;$C19&amp;"|"&amp;$D19)&gt;0,SUMIFS(Subgroup_Overrides!$F$11:$F$100,Subgroup_Overrides!$H$11:$H$100,"B|"&amp;$C19&amp;"|"&amp;$D19),"")</x:f>
      </x:c>
      <x:c r="L19" s="471" t="str">
        <x:f>TRIM(B19)</x:f>
        <x:v>LBTY</x:v>
      </x:c>
      <x:c r="M19" s="471" t="str">
        <x:f>IF($H19="","",1*$H19)</x:f>
      </x:c>
      <x:c r="N19" s="471" t="str">
        <x:f>IF($I19="","",1*$I19)</x:f>
      </x:c>
      <x:c r="O19" s="530" t="str">
        <x:f>IF($M19="","",$B19&amp;"|"&amp;ROUND($M19*1000000000000,0))</x:f>
      </x:c>
      <x:c r="P19" s="530" t="str">
        <x:f>IF($N19="","",$B19&amp;"|"&amp;ROUND($N19*1000000000000,0))</x:f>
      </x:c>
    </x:row>
    <x:row r="20" s="455" customFormat="1" ht="14.25" customHeight="1">
      <x:c r="A20" s="471" t="n">
        <x:v>19</x:v>
      </x:c>
      <x:c r="B20" s="471" t="inlineStr">
        <x:is>
          <x:t xml:space="preserve">LBTY</x:t>
        </x:is>
      </x:c>
      <x:c r="C20" s="471" t="inlineStr">
        <x:is>
          <x:t xml:space="preserve">U4</x:t>
        </x:is>
      </x:c>
      <x:c r="D20" s="471" t="inlineStr">
        <x:is>
          <x:t xml:space="preserve">D5</x:t>
        </x:is>
      </x:c>
      <x:c r="E20" s="471" t="n">
        <x:v>-0.65</x:v>
      </x:c>
      <x:c r="F20" s="486" t="n">
        <x:f>INDEX(I_prop!$B$7:$H$13, MATCH($C20, I_prop!$A$7:$A$13,0), MATCH($D20, I_prop!$B$6:$H$6,0))</x:f>
        <x:v>0</x:v>
      </x:c>
      <x:c r="G20" s="486" t="n">
        <x:f>INDEX(I_prop!$B$18:$H$24, MATCH($C20, I_prop!$A$18:$A$24,0), MATCH($D20, I_prop!$B$17:$H$17,0))</x:f>
        <x:v>0</x:v>
      </x:c>
      <x:c r="H20" s="486" t="n">
        <x:f>IF($J20&lt;&gt;"",$J20,IF($F20&lt;0,MAX(-1,Subgroup_Overrides!$B$7*$F20),$F20))</x:f>
        <x:v>0</x:v>
      </x:c>
      <x:c r="I20" s="486" t="n">
        <x:f>IF($K20&lt;&gt;"",$K20,IF($G20&lt;0,MAX(-1,Subgroup_Overrides!$B$7*$G20),$G20))</x:f>
        <x:v>0</x:v>
      </x:c>
      <x:c r="J20" s="515" t="str">
        <x:f>IF(COUNTIF(Subgroup_Overrides!$H$11:$H$100,"A|"&amp;$C20&amp;"|"&amp;$D20)&gt;0,SUMIFS(Subgroup_Overrides!$F$11:$F$100,Subgroup_Overrides!$H$11:$H$100,"A|"&amp;$C20&amp;"|"&amp;$D20),"")</x:f>
      </x:c>
      <x:c r="K20" s="515" t="str">
        <x:f>IF(COUNTIF(Subgroup_Overrides!$H$11:$H$100,"B|"&amp;$C20&amp;"|"&amp;$D20)&gt;0,SUMIFS(Subgroup_Overrides!$F$11:$F$100,Subgroup_Overrides!$H$11:$H$100,"B|"&amp;$C20&amp;"|"&amp;$D20),"")</x:f>
      </x:c>
      <x:c r="L20" s="471" t="str">
        <x:f>TRIM(B20)</x:f>
        <x:v>LBTY</x:v>
      </x:c>
      <x:c r="M20" s="471" t="str">
        <x:f>IF($H20="","",1*$H20)</x:f>
      </x:c>
      <x:c r="N20" s="471" t="str">
        <x:f>IF($I20="","",1*$I20)</x:f>
      </x:c>
      <x:c r="O20" s="530" t="str">
        <x:f>IF($M20="","",$B20&amp;"|"&amp;ROUND($M20*1000000000000,0))</x:f>
      </x:c>
      <x:c r="P20" s="530" t="str">
        <x:f>IF($N20="","",$B20&amp;"|"&amp;ROUND($N20*1000000000000,0))</x:f>
      </x:c>
    </x:row>
    <x:row r="21" s="455" customFormat="1" ht="14.25" customHeight="1">
      <x:c r="A21" s="471" t="n">
        <x:v>20</x:v>
      </x:c>
      <x:c r="B21" s="471" t="inlineStr">
        <x:is>
          <x:t xml:space="preserve">LBTY</x:t>
        </x:is>
      </x:c>
      <x:c r="C21" s="471" t="inlineStr">
        <x:is>
          <x:t xml:space="preserve">U5</x:t>
        </x:is>
      </x:c>
      <x:c r="D21" s="471" t="inlineStr">
        <x:is>
          <x:t xml:space="preserve">D5</x:t>
        </x:is>
      </x:c>
      <x:c r="E21" s="471" t="n">
        <x:v>-0.65</x:v>
      </x:c>
      <x:c r="F21" s="486" t="n">
        <x:f>INDEX(I_prop!$B$7:$H$13, MATCH($C21, I_prop!$A$7:$A$13,0), MATCH($D21, I_prop!$B$6:$H$6,0))</x:f>
        <x:v>0</x:v>
      </x:c>
      <x:c r="G21" s="486" t="n">
        <x:f>INDEX(I_prop!$B$18:$H$24, MATCH($C21, I_prop!$A$18:$A$24,0), MATCH($D21, I_prop!$B$17:$H$17,0))</x:f>
        <x:v>0</x:v>
      </x:c>
      <x:c r="H21" s="486" t="n">
        <x:f>IF($J21&lt;&gt;"",$J21,IF($F21&lt;0,MAX(-1,Subgroup_Overrides!$B$7*$F21),$F21))</x:f>
        <x:v>0</x:v>
      </x:c>
      <x:c r="I21" s="486" t="n">
        <x:f>IF($K21&lt;&gt;"",$K21,IF($G21&lt;0,MAX(-1,Subgroup_Overrides!$B$7*$G21),$G21))</x:f>
        <x:v>0</x:v>
      </x:c>
      <x:c r="J21" s="515" t="str">
        <x:f>IF(COUNTIF(Subgroup_Overrides!$H$11:$H$100,"A|"&amp;$C21&amp;"|"&amp;$D21)&gt;0,SUMIFS(Subgroup_Overrides!$F$11:$F$100,Subgroup_Overrides!$H$11:$H$100,"A|"&amp;$C21&amp;"|"&amp;$D21),"")</x:f>
      </x:c>
      <x:c r="K21" s="515" t="str">
        <x:f>IF(COUNTIF(Subgroup_Overrides!$H$11:$H$100,"B|"&amp;$C21&amp;"|"&amp;$D21)&gt;0,SUMIFS(Subgroup_Overrides!$F$11:$F$100,Subgroup_Overrides!$H$11:$H$100,"B|"&amp;$C21&amp;"|"&amp;$D21),"")</x:f>
      </x:c>
      <x:c r="L21" s="471" t="str">
        <x:f>TRIM(B21)</x:f>
        <x:v>LBTY</x:v>
      </x:c>
      <x:c r="M21" s="471" t="str">
        <x:f>IF($H21="","",1*$H21)</x:f>
      </x:c>
      <x:c r="N21" s="471" t="str">
        <x:f>IF($I21="","",1*$I21)</x:f>
      </x:c>
      <x:c r="O21" s="530" t="str">
        <x:f>IF($M21="","",$B21&amp;"|"&amp;ROUND($M21*1000000000000,0))</x:f>
      </x:c>
      <x:c r="P21" s="530" t="str">
        <x:f>IF($N21="","",$B21&amp;"|"&amp;ROUND($N21*1000000000000,0))</x:f>
      </x:c>
    </x:row>
    <x:row r="22" s="455" customFormat="1" ht="14.25" customHeight="1">
      <x:c r="A22" s="471" t="n">
        <x:v>21</x:v>
      </x:c>
      <x:c r="B22" s="471" t="inlineStr">
        <x:is>
          <x:t xml:space="preserve">LBTY</x:t>
        </x:is>
      </x:c>
      <x:c r="C22" s="471" t="inlineStr">
        <x:is>
          <x:t xml:space="preserve">U6</x:t>
        </x:is>
      </x:c>
      <x:c r="D22" s="471" t="inlineStr">
        <x:is>
          <x:t xml:space="preserve">D5</x:t>
        </x:is>
      </x:c>
      <x:c r="E22" s="471" t="n">
        <x:v>-0.65</x:v>
      </x:c>
      <x:c r="F22" s="486" t="n">
        <x:f>INDEX(I_prop!$B$7:$H$13, MATCH($C22, I_prop!$A$7:$A$13,0), MATCH($D22, I_prop!$B$6:$H$6,0))</x:f>
        <x:v>0</x:v>
      </x:c>
      <x:c r="G22" s="486" t="n">
        <x:f>INDEX(I_prop!$B$18:$H$24, MATCH($C22, I_prop!$A$18:$A$24,0), MATCH($D22, I_prop!$B$17:$H$17,0))</x:f>
        <x:v>0</x:v>
      </x:c>
      <x:c r="H22" s="486" t="n">
        <x:f>IF($J22&lt;&gt;"",$J22,IF($F22&lt;0,MAX(-1,Subgroup_Overrides!$B$7*$F22),$F22))</x:f>
        <x:v>0</x:v>
      </x:c>
      <x:c r="I22" s="486" t="n">
        <x:f>IF($K22&lt;&gt;"",$K22,IF($G22&lt;0,MAX(-1,Subgroup_Overrides!$B$7*$G22),$G22))</x:f>
        <x:v>0</x:v>
      </x:c>
      <x:c r="J22" s="515" t="str">
        <x:f>IF(COUNTIF(Subgroup_Overrides!$H$11:$H$100,"A|"&amp;$C22&amp;"|"&amp;$D22)&gt;0,SUMIFS(Subgroup_Overrides!$F$11:$F$100,Subgroup_Overrides!$H$11:$H$100,"A|"&amp;$C22&amp;"|"&amp;$D22),"")</x:f>
      </x:c>
      <x:c r="K22" s="515" t="str">
        <x:f>IF(COUNTIF(Subgroup_Overrides!$H$11:$H$100,"B|"&amp;$C22&amp;"|"&amp;$D22)&gt;0,SUMIFS(Subgroup_Overrides!$F$11:$F$100,Subgroup_Overrides!$H$11:$H$100,"B|"&amp;$C22&amp;"|"&amp;$D22),"")</x:f>
      </x:c>
      <x:c r="L22" s="471" t="str">
        <x:f>TRIM(B22)</x:f>
        <x:v>LBTY</x:v>
      </x:c>
      <x:c r="M22" s="471" t="str">
        <x:f>IF($H22="","",1*$H22)</x:f>
      </x:c>
      <x:c r="N22" s="471" t="str">
        <x:f>IF($I22="","",1*$I22)</x:f>
      </x:c>
      <x:c r="O22" s="530" t="str">
        <x:f>IF($M22="","",$B22&amp;"|"&amp;ROUND($M22*1000000000000,0))</x:f>
      </x:c>
      <x:c r="P22" s="530" t="str">
        <x:f>IF($N22="","",$B22&amp;"|"&amp;ROUND($N22*1000000000000,0))</x:f>
      </x:c>
    </x:row>
    <x:row r="23" s="455" customFormat="1" ht="14.25" customHeight="1">
      <x:c r="A23" s="471" t="n">
        <x:v>22</x:v>
      </x:c>
      <x:c r="B23" s="471" t="inlineStr">
        <x:is>
          <x:t xml:space="preserve">LBTY</x:t>
        </x:is>
      </x:c>
      <x:c r="C23" s="471" t="inlineStr">
        <x:is>
          <x:t xml:space="preserve">U3</x:t>
        </x:is>
      </x:c>
      <x:c r="D23" s="471" t="inlineStr">
        <x:is>
          <x:t xml:space="preserve">D3</x:t>
        </x:is>
      </x:c>
      <x:c r="E23" s="471" t="n">
        <x:v>-0.65</x:v>
      </x:c>
      <x:c r="F23" s="486" t="n">
        <x:f>INDEX(I_prop!$B$7:$H$13, MATCH($C23, I_prop!$A$7:$A$13,0), MATCH($D23, I_prop!$B$6:$H$6,0))</x:f>
        <x:v>-0.08072568681553846</x:v>
      </x:c>
      <x:c r="G23" s="486" t="n">
        <x:f>INDEX(I_prop!$B$18:$H$24, MATCH($C23, I_prop!$A$18:$A$24,0), MATCH($D23, I_prop!$B$17:$H$17,0))</x:f>
        <x:v>0.06151557221350915</x:v>
      </x:c>
      <x:c r="H23" s="486" t="n">
        <x:f>IF($J23&lt;&gt;"",$J23,IF($F23&lt;0,MAX(-1,Subgroup_Overrides!$B$7*$F23),$F23))</x:f>
        <x:v>-0.15</x:v>
      </x:c>
      <x:c r="I23" s="486" t="n">
        <x:f>IF($K23&lt;&gt;"",$K23,IF($G23&lt;0,MAX(-1,Subgroup_Overrides!$B$7*$G23),$G23))</x:f>
        <x:v>0.06151557221350915</x:v>
      </x:c>
      <x:c r="J23" s="515" t="n">
        <x:f>IF(COUNTIF(Subgroup_Overrides!$H$11:$H$100,"A|"&amp;$C23&amp;"|"&amp;$D23)&gt;0,SUMIFS(Subgroup_Overrides!$F$11:$F$100,Subgroup_Overrides!$H$11:$H$100,"A|"&amp;$C23&amp;"|"&amp;$D23),"")</x:f>
        <x:v>-0.15</x:v>
      </x:c>
      <x:c r="K23" s="515" t="str">
        <x:f>IF(COUNTIF(Subgroup_Overrides!$H$11:$H$100,"B|"&amp;$C23&amp;"|"&amp;$D23)&gt;0,SUMIFS(Subgroup_Overrides!$F$11:$F$100,Subgroup_Overrides!$H$11:$H$100,"B|"&amp;$C23&amp;"|"&amp;$D23),"")</x:f>
      </x:c>
      <x:c r="L23" s="471" t="str">
        <x:f>TRIM(B23)</x:f>
        <x:v>LBTY</x:v>
      </x:c>
      <x:c r="M23" s="471" t="n">
        <x:f>IF($H23="","",1*$H23)</x:f>
        <x:v>-0.15</x:v>
      </x:c>
      <x:c r="N23" s="471" t="n">
        <x:f>IF($I23="","",1*$I23)</x:f>
        <x:v>0.06151557221350915</x:v>
      </x:c>
      <x:c r="O23" s="530" t="str">
        <x:f>IF($M23="","",$B23&amp;"|"&amp;ROUND($M23*1000000000000,0))</x:f>
        <x:v>LBTY|-150000000000</x:v>
      </x:c>
      <x:c r="P23" s="530" t="str">
        <x:f>IF($N23="","",$B23&amp;"|"&amp;ROUND($N23*1000000000000,0))</x:f>
        <x:v>LBTY|61515572214</x:v>
      </x:c>
    </x:row>
    <x:row r="24" s="455" customFormat="1" ht="14.25" customHeight="1">
      <x:c r="A24" s="471" t="n">
        <x:v>23</x:v>
      </x:c>
      <x:c r="B24" s="471" t="inlineStr">
        <x:is>
          <x:t xml:space="preserve">LBTY</x:t>
        </x:is>
      </x:c>
      <x:c r="C24" s="471" t="inlineStr">
        <x:is>
          <x:t xml:space="preserve">U4</x:t>
        </x:is>
      </x:c>
      <x:c r="D24" s="471" t="inlineStr">
        <x:is>
          <x:t xml:space="preserve">D3</x:t>
        </x:is>
      </x:c>
      <x:c r="E24" s="471" t="n">
        <x:v>-0.65</x:v>
      </x:c>
      <x:c r="F24" s="486" t="n">
        <x:f>INDEX(I_prop!$B$7:$H$13, MATCH($C24, I_prop!$A$7:$A$13,0), MATCH($D24, I_prop!$B$6:$H$6,0))</x:f>
        <x:v>0</x:v>
      </x:c>
      <x:c r="G24" s="486" t="n">
        <x:f>INDEX(I_prop!$B$18:$H$24, MATCH($C24, I_prop!$A$18:$A$24,0), MATCH($D24, I_prop!$B$17:$H$17,0))</x:f>
        <x:v>0</x:v>
      </x:c>
      <x:c r="H24" s="486" t="n">
        <x:f>IF($J24&lt;&gt;"",$J24,IF($F24&lt;0,MAX(-1,Subgroup_Overrides!$B$7*$F24),$F24))</x:f>
        <x:v>0</x:v>
      </x:c>
      <x:c r="I24" s="486" t="n">
        <x:f>IF($K24&lt;&gt;"",$K24,IF($G24&lt;0,MAX(-1,Subgroup_Overrides!$B$7*$G24),$G24))</x:f>
        <x:v>0</x:v>
      </x:c>
      <x:c r="J24" s="515" t="str">
        <x:f>IF(COUNTIF(Subgroup_Overrides!$H$11:$H$100,"A|"&amp;$C24&amp;"|"&amp;$D24)&gt;0,SUMIFS(Subgroup_Overrides!$F$11:$F$100,Subgroup_Overrides!$H$11:$H$100,"A|"&amp;$C24&amp;"|"&amp;$D24),"")</x:f>
      </x:c>
      <x:c r="K24" s="515" t="str">
        <x:f>IF(COUNTIF(Subgroup_Overrides!$H$11:$H$100,"B|"&amp;$C24&amp;"|"&amp;$D24)&gt;0,SUMIFS(Subgroup_Overrides!$F$11:$F$100,Subgroup_Overrides!$H$11:$H$100,"B|"&amp;$C24&amp;"|"&amp;$D24),"")</x:f>
      </x:c>
      <x:c r="L24" s="471" t="str">
        <x:f>TRIM(B24)</x:f>
        <x:v>LBTY</x:v>
      </x:c>
      <x:c r="M24" s="471" t="str">
        <x:f>IF($H24="","",1*$H24)</x:f>
      </x:c>
      <x:c r="N24" s="471" t="str">
        <x:f>IF($I24="","",1*$I24)</x:f>
      </x:c>
      <x:c r="O24" s="530" t="str">
        <x:f>IF($M24="","",$B24&amp;"|"&amp;ROUND($M24*1000000000000,0))</x:f>
      </x:c>
      <x:c r="P24" s="530" t="str">
        <x:f>IF($N24="","",$B24&amp;"|"&amp;ROUND($N24*1000000000000,0))</x:f>
      </x:c>
    </x:row>
    <x:row r="25" s="455" customFormat="1" ht="14.25" customHeight="1">
      <x:c r="A25" s="471" t="n">
        <x:v>24</x:v>
      </x:c>
      <x:c r="B25" s="471" t="inlineStr">
        <x:is>
          <x:t xml:space="preserve">LBTY</x:t>
        </x:is>
      </x:c>
      <x:c r="C25" s="471" t="inlineStr">
        <x:is>
          <x:t xml:space="preserve">U5</x:t>
        </x:is>
      </x:c>
      <x:c r="D25" s="471" t="inlineStr">
        <x:is>
          <x:t xml:space="preserve">D3</x:t>
        </x:is>
      </x:c>
      <x:c r="E25" s="471" t="n">
        <x:v>-0.65</x:v>
      </x:c>
      <x:c r="F25" s="486" t="n">
        <x:f>INDEX(I_prop!$B$7:$H$13, MATCH($C25, I_prop!$A$7:$A$13,0), MATCH($D25, I_prop!$B$6:$H$6,0))</x:f>
        <x:v>0</x:v>
      </x:c>
      <x:c r="G25" s="486" t="n">
        <x:f>INDEX(I_prop!$B$18:$H$24, MATCH($C25, I_prop!$A$18:$A$24,0), MATCH($D25, I_prop!$B$17:$H$17,0))</x:f>
        <x:v>0</x:v>
      </x:c>
      <x:c r="H25" s="486" t="n">
        <x:f>IF($J25&lt;&gt;"",$J25,IF($F25&lt;0,MAX(-1,Subgroup_Overrides!$B$7*$F25),$F25))</x:f>
        <x:v>0</x:v>
      </x:c>
      <x:c r="I25" s="486" t="n">
        <x:f>IF($K25&lt;&gt;"",$K25,IF($G25&lt;0,MAX(-1,Subgroup_Overrides!$B$7*$G25),$G25))</x:f>
        <x:v>0</x:v>
      </x:c>
      <x:c r="J25" s="515" t="str">
        <x:f>IF(COUNTIF(Subgroup_Overrides!$H$11:$H$100,"A|"&amp;$C25&amp;"|"&amp;$D25)&gt;0,SUMIFS(Subgroup_Overrides!$F$11:$F$100,Subgroup_Overrides!$H$11:$H$100,"A|"&amp;$C25&amp;"|"&amp;$D25),"")</x:f>
      </x:c>
      <x:c r="K25" s="515" t="str">
        <x:f>IF(COUNTIF(Subgroup_Overrides!$H$11:$H$100,"B|"&amp;$C25&amp;"|"&amp;$D25)&gt;0,SUMIFS(Subgroup_Overrides!$F$11:$F$100,Subgroup_Overrides!$H$11:$H$100,"B|"&amp;$C25&amp;"|"&amp;$D25),"")</x:f>
      </x:c>
      <x:c r="L25" s="471" t="str">
        <x:f>TRIM(B25)</x:f>
        <x:v>LBTY</x:v>
      </x:c>
      <x:c r="M25" s="471" t="str">
        <x:f>IF($H25="","",1*$H25)</x:f>
      </x:c>
      <x:c r="N25" s="471" t="str">
        <x:f>IF($I25="","",1*$I25)</x:f>
      </x:c>
      <x:c r="O25" s="530" t="str">
        <x:f>IF($M25="","",$B25&amp;"|"&amp;ROUND($M25*1000000000000,0))</x:f>
      </x:c>
      <x:c r="P25" s="530" t="str">
        <x:f>IF($N25="","",$B25&amp;"|"&amp;ROUND($N25*1000000000000,0))</x:f>
      </x:c>
    </x:row>
    <x:row r="26" s="455" customFormat="1" ht="14.25" customHeight="1">
      <x:c r="A26" s="471" t="n">
        <x:v>25</x:v>
      </x:c>
      <x:c r="B26" s="471" t="inlineStr">
        <x:is>
          <x:t xml:space="preserve">LBTY</x:t>
        </x:is>
      </x:c>
      <x:c r="C26" s="471" t="inlineStr">
        <x:is>
          <x:t xml:space="preserve">U6</x:t>
        </x:is>
      </x:c>
      <x:c r="D26" s="471" t="inlineStr">
        <x:is>
          <x:t xml:space="preserve">D3</x:t>
        </x:is>
      </x:c>
      <x:c r="E26" s="471" t="n">
        <x:v>-0.65</x:v>
      </x:c>
      <x:c r="F26" s="486" t="n">
        <x:f>INDEX(I_prop!$B$7:$H$13, MATCH($C26, I_prop!$A$7:$A$13,0), MATCH($D26, I_prop!$B$6:$H$6,0))</x:f>
        <x:v>0</x:v>
      </x:c>
      <x:c r="G26" s="486" t="n">
        <x:f>INDEX(I_prop!$B$18:$H$24, MATCH($C26, I_prop!$A$18:$A$24,0), MATCH($D26, I_prop!$B$17:$H$17,0))</x:f>
        <x:v>0</x:v>
      </x:c>
      <x:c r="H26" s="486" t="n">
        <x:f>IF($J26&lt;&gt;"",$J26,IF($F26&lt;0,MAX(-1,Subgroup_Overrides!$B$7*$F26),$F26))</x:f>
        <x:v>0</x:v>
      </x:c>
      <x:c r="I26" s="486" t="n">
        <x:f>IF($K26&lt;&gt;"",$K26,IF($G26&lt;0,MAX(-1,Subgroup_Overrides!$B$7*$G26),$G26))</x:f>
        <x:v>0</x:v>
      </x:c>
      <x:c r="J26" s="515" t="str">
        <x:f>IF(COUNTIF(Subgroup_Overrides!$H$11:$H$100,"A|"&amp;$C26&amp;"|"&amp;$D26)&gt;0,SUMIFS(Subgroup_Overrides!$F$11:$F$100,Subgroup_Overrides!$H$11:$H$100,"A|"&amp;$C26&amp;"|"&amp;$D26),"")</x:f>
      </x:c>
      <x:c r="K26" s="515" t="str">
        <x:f>IF(COUNTIF(Subgroup_Overrides!$H$11:$H$100,"B|"&amp;$C26&amp;"|"&amp;$D26)&gt;0,SUMIFS(Subgroup_Overrides!$F$11:$F$100,Subgroup_Overrides!$H$11:$H$100,"B|"&amp;$C26&amp;"|"&amp;$D26),"")</x:f>
      </x:c>
      <x:c r="L26" s="471" t="str">
        <x:f>TRIM(B26)</x:f>
        <x:v>LBTY</x:v>
      </x:c>
      <x:c r="M26" s="471" t="str">
        <x:f>IF($H26="","",1*$H26)</x:f>
      </x:c>
      <x:c r="N26" s="471" t="str">
        <x:f>IF($I26="","",1*$I26)</x:f>
      </x:c>
      <x:c r="O26" s="530" t="str">
        <x:f>IF($M26="","",$B26&amp;"|"&amp;ROUND($M26*1000000000000,0))</x:f>
      </x:c>
      <x:c r="P26" s="530" t="str">
        <x:f>IF($N26="","",$B26&amp;"|"&amp;ROUND($N26*1000000000000,0))</x:f>
      </x:c>
    </x:row>
    <x:row r="27" s="455" customFormat="1" ht="14.25" customHeight="1">
      <x:c r="A27" s="471" t="n">
        <x:v>26</x:v>
      </x:c>
      <x:c r="B27" s="471" t="inlineStr">
        <x:is>
          <x:t xml:space="preserve">NEED</x:t>
        </x:is>
      </x:c>
      <x:c r="C27" s="471" t="inlineStr">
        <x:is>
          <x:t xml:space="preserve">U1</x:t>
        </x:is>
      </x:c>
      <x:c r="D27" s="471" t="inlineStr">
        <x:is>
          <x:t xml:space="preserve">D1</x:t>
        </x:is>
      </x:c>
      <x:c r="E27" s="471" t="n">
        <x:v>-0.5</x:v>
      </x:c>
      <x:c r="F27" s="486" t="n">
        <x:f>INDEX(I_prop!$B$7:$H$13, MATCH($C27, I_prop!$A$7:$A$13,0), MATCH($D27, I_prop!$B$6:$H$6,0))</x:f>
        <x:v>0</x:v>
      </x:c>
      <x:c r="G27" s="486" t="n">
        <x:f>INDEX(I_prop!$B$18:$H$24, MATCH($C27, I_prop!$A$18:$A$24,0), MATCH($D27, I_prop!$B$17:$H$17,0))</x:f>
        <x:v>0</x:v>
      </x:c>
      <x:c r="H27" s="486" t="n">
        <x:f>IF($J27&lt;&gt;"",$J27,IF($F27&lt;0,MAX(-1,Subgroup_Overrides!$B$7*$F27),$F27))</x:f>
        <x:v>0</x:v>
      </x:c>
      <x:c r="I27" s="486" t="n">
        <x:f>IF($K27&lt;&gt;"",$K27,IF($G27&lt;0,MAX(-1,Subgroup_Overrides!$B$7*$G27),$G27))</x:f>
        <x:v>0</x:v>
      </x:c>
      <x:c r="J27" s="515" t="str">
        <x:f>IF(COUNTIF(Subgroup_Overrides!$H$11:$H$100,"A|"&amp;$C27&amp;"|"&amp;$D27)&gt;0,SUMIFS(Subgroup_Overrides!$F$11:$F$100,Subgroup_Overrides!$H$11:$H$100,"A|"&amp;$C27&amp;"|"&amp;$D27),"")</x:f>
      </x:c>
      <x:c r="K27" s="515" t="str">
        <x:f>IF(COUNTIF(Subgroup_Overrides!$H$11:$H$100,"B|"&amp;$C27&amp;"|"&amp;$D27)&gt;0,SUMIFS(Subgroup_Overrides!$F$11:$F$100,Subgroup_Overrides!$H$11:$H$100,"B|"&amp;$C27&amp;"|"&amp;$D27),"")</x:f>
      </x:c>
      <x:c r="L27" s="471" t="str">
        <x:f>TRIM(B27)</x:f>
        <x:v>NEED</x:v>
      </x:c>
      <x:c r="M27" s="471" t="str">
        <x:f>IF($H27="","",1*$H27)</x:f>
      </x:c>
      <x:c r="N27" s="471" t="str">
        <x:f>IF($I27="","",1*$I27)</x:f>
      </x:c>
      <x:c r="O27" s="530" t="str">
        <x:f>IF($M27="","",$B27&amp;"|"&amp;ROUND($M27*1000000000000,0))</x:f>
      </x:c>
      <x:c r="P27" s="530" t="str">
        <x:f>IF($N27="","",$B27&amp;"|"&amp;ROUND($N27*1000000000000,0))</x:f>
      </x:c>
    </x:row>
    <x:row r="28" s="455" customFormat="1" ht="14.25" customHeight="1">
      <x:c r="A28" s="471" t="n">
        <x:v>27</x:v>
      </x:c>
      <x:c r="B28" s="471" t="inlineStr">
        <x:is>
          <x:t xml:space="preserve">NEED</x:t>
        </x:is>
      </x:c>
      <x:c r="C28" s="471" t="inlineStr">
        <x:is>
          <x:t xml:space="preserve">U1</x:t>
        </x:is>
      </x:c>
      <x:c r="D28" s="471" t="inlineStr">
        <x:is>
          <x:t xml:space="preserve">D2</x:t>
        </x:is>
      </x:c>
      <x:c r="E28" s="471" t="n">
        <x:v>-0.5</x:v>
      </x:c>
      <x:c r="F28" s="486" t="n">
        <x:f>INDEX(I_prop!$B$7:$H$13, MATCH($C28, I_prop!$A$7:$A$13,0), MATCH($D28, I_prop!$B$6:$H$6,0))</x:f>
        <x:v>0</x:v>
      </x:c>
      <x:c r="G28" s="486" t="n">
        <x:f>INDEX(I_prop!$B$18:$H$24, MATCH($C28, I_prop!$A$18:$A$24,0), MATCH($D28, I_prop!$B$17:$H$17,0))</x:f>
        <x:v>0</x:v>
      </x:c>
      <x:c r="H28" s="486" t="n">
        <x:f>IF($J28&lt;&gt;"",$J28,IF($F28&lt;0,MAX(-1,Subgroup_Overrides!$B$7*$F28),$F28))</x:f>
        <x:v>0</x:v>
      </x:c>
      <x:c r="I28" s="486" t="n">
        <x:f>IF($K28&lt;&gt;"",$K28,IF($G28&lt;0,MAX(-1,Subgroup_Overrides!$B$7*$G28),$G28))</x:f>
        <x:v>0</x:v>
      </x:c>
      <x:c r="J28" s="515" t="str">
        <x:f>IF(COUNTIF(Subgroup_Overrides!$H$11:$H$100,"A|"&amp;$C28&amp;"|"&amp;$D28)&gt;0,SUMIFS(Subgroup_Overrides!$F$11:$F$100,Subgroup_Overrides!$H$11:$H$100,"A|"&amp;$C28&amp;"|"&amp;$D28),"")</x:f>
      </x:c>
      <x:c r="K28" s="515" t="str">
        <x:f>IF(COUNTIF(Subgroup_Overrides!$H$11:$H$100,"B|"&amp;$C28&amp;"|"&amp;$D28)&gt;0,SUMIFS(Subgroup_Overrides!$F$11:$F$100,Subgroup_Overrides!$H$11:$H$100,"B|"&amp;$C28&amp;"|"&amp;$D28),"")</x:f>
      </x:c>
      <x:c r="L28" s="471" t="str">
        <x:f>TRIM(B28)</x:f>
        <x:v>NEED</x:v>
      </x:c>
      <x:c r="M28" s="471" t="str">
        <x:f>IF($H28="","",1*$H28)</x:f>
      </x:c>
      <x:c r="N28" s="471" t="str">
        <x:f>IF($I28="","",1*$I28)</x:f>
      </x:c>
      <x:c r="O28" s="530" t="str">
        <x:f>IF($M28="","",$B28&amp;"|"&amp;ROUND($M28*1000000000000,0))</x:f>
      </x:c>
      <x:c r="P28" s="530" t="str">
        <x:f>IF($N28="","",$B28&amp;"|"&amp;ROUND($N28*1000000000000,0))</x:f>
      </x:c>
    </x:row>
    <x:row r="29" s="455" customFormat="1" ht="14.25" customHeight="1">
      <x:c r="A29" s="471" t="n">
        <x:v>28</x:v>
      </x:c>
      <x:c r="B29" s="471" t="inlineStr">
        <x:is>
          <x:t xml:space="preserve">NEED</x:t>
        </x:is>
      </x:c>
      <x:c r="C29" s="471" t="inlineStr">
        <x:is>
          <x:t xml:space="preserve">U2</x:t>
        </x:is>
      </x:c>
      <x:c r="D29" s="471" t="inlineStr">
        <x:is>
          <x:t xml:space="preserve">D1</x:t>
        </x:is>
      </x:c>
      <x:c r="E29" s="471" t="n">
        <x:v>-0.5</x:v>
      </x:c>
      <x:c r="F29" s="486" t="n">
        <x:f>INDEX(I_prop!$B$7:$H$13, MATCH($C29, I_prop!$A$7:$A$13,0), MATCH($D29, I_prop!$B$6:$H$6,0))</x:f>
        <x:v>0.046162176234088866</x:v>
      </x:c>
      <x:c r="G29" s="486" t="n">
        <x:f>INDEX(I_prop!$B$18:$H$24, MATCH($C29, I_prop!$A$18:$A$24,0), MATCH($D29, I_prop!$B$17:$H$17,0))</x:f>
        <x:v>-0.01847590043753792</x:v>
      </x:c>
      <x:c r="H29" s="486" t="n">
        <x:f>IF($J29&lt;&gt;"",$J29,IF($F29&lt;0,MAX(-1,Subgroup_Overrides!$B$7*$F29),$F29))</x:f>
        <x:v>0.046162176234088866</x:v>
      </x:c>
      <x:c r="I29" s="486" t="n">
        <x:f>IF($K29&lt;&gt;"",$K29,IF($G29&lt;0,MAX(-1,Subgroup_Overrides!$B$7*$G29),$G29))</x:f>
        <x:v>-0.12</x:v>
      </x:c>
      <x:c r="J29" s="515" t="str">
        <x:f>IF(COUNTIF(Subgroup_Overrides!$H$11:$H$100,"A|"&amp;$C29&amp;"|"&amp;$D29)&gt;0,SUMIFS(Subgroup_Overrides!$F$11:$F$100,Subgroup_Overrides!$H$11:$H$100,"A|"&amp;$C29&amp;"|"&amp;$D29),"")</x:f>
      </x:c>
      <x:c r="K29" s="515" t="n">
        <x:f>IF(COUNTIF(Subgroup_Overrides!$H$11:$H$100,"B|"&amp;$C29&amp;"|"&amp;$D29)&gt;0,SUMIFS(Subgroup_Overrides!$F$11:$F$100,Subgroup_Overrides!$H$11:$H$100,"B|"&amp;$C29&amp;"|"&amp;$D29),"")</x:f>
        <x:v>-0.12</x:v>
      </x:c>
      <x:c r="L29" s="471" t="str">
        <x:f>TRIM(B29)</x:f>
        <x:v>NEED</x:v>
      </x:c>
      <x:c r="M29" s="471" t="n">
        <x:f>IF($H29="","",1*$H29)</x:f>
        <x:v>0.046162176234088866</x:v>
      </x:c>
      <x:c r="N29" s="471" t="n">
        <x:f>IF($I29="","",1*$I29)</x:f>
        <x:v>-0.12</x:v>
      </x:c>
      <x:c r="O29" s="530" t="str">
        <x:f>IF($M29="","",$B29&amp;"|"&amp;ROUND($M29*1000000000000,0))</x:f>
        <x:v>NEED|46162176234</x:v>
      </x:c>
      <x:c r="P29" s="530" t="str">
        <x:f>IF($N29="","",$B29&amp;"|"&amp;ROUND($N29*1000000000000,0))</x:f>
        <x:v>NEED|-120000000000</x:v>
      </x:c>
    </x:row>
    <x:row r="30" s="455" customFormat="1" ht="14.25" customHeight="1">
      <x:c r="A30" s="471" t="n">
        <x:v>29</x:v>
      </x:c>
      <x:c r="B30" s="471" t="inlineStr">
        <x:is>
          <x:t xml:space="preserve">NEED</x:t>
        </x:is>
      </x:c>
      <x:c r="C30" s="471" t="inlineStr">
        <x:is>
          <x:t xml:space="preserve">U2</x:t>
        </x:is>
      </x:c>
      <x:c r="D30" s="471" t="inlineStr">
        <x:is>
          <x:t xml:space="preserve">D2</x:t>
        </x:is>
      </x:c>
      <x:c r="E30" s="471" t="n">
        <x:v>-0.5</x:v>
      </x:c>
      <x:c r="F30" s="486" t="n">
        <x:f>INDEX(I_prop!$B$7:$H$13, MATCH($C30, I_prop!$A$7:$A$13,0), MATCH($D30, I_prop!$B$6:$H$6,0))</x:f>
        <x:v>0</x:v>
      </x:c>
      <x:c r="G30" s="486" t="n">
        <x:f>INDEX(I_prop!$B$18:$H$24, MATCH($C30, I_prop!$A$18:$A$24,0), MATCH($D30, I_prop!$B$17:$H$17,0))</x:f>
        <x:v>0</x:v>
      </x:c>
      <x:c r="H30" s="486" t="n">
        <x:f>IF($J30&lt;&gt;"",$J30,IF($F30&lt;0,MAX(-1,Subgroup_Overrides!$B$7*$F30),$F30))</x:f>
        <x:v>0</x:v>
      </x:c>
      <x:c r="I30" s="486" t="n">
        <x:f>IF($K30&lt;&gt;"",$K30,IF($G30&lt;0,MAX(-1,Subgroup_Overrides!$B$7*$G30),$G30))</x:f>
        <x:v>0</x:v>
      </x:c>
      <x:c r="J30" s="515" t="str">
        <x:f>IF(COUNTIF(Subgroup_Overrides!$H$11:$H$100,"A|"&amp;$C30&amp;"|"&amp;$D30)&gt;0,SUMIFS(Subgroup_Overrides!$F$11:$F$100,Subgroup_Overrides!$H$11:$H$100,"A|"&amp;$C30&amp;"|"&amp;$D30),"")</x:f>
      </x:c>
      <x:c r="K30" s="515" t="str">
        <x:f>IF(COUNTIF(Subgroup_Overrides!$H$11:$H$100,"B|"&amp;$C30&amp;"|"&amp;$D30)&gt;0,SUMIFS(Subgroup_Overrides!$F$11:$F$100,Subgroup_Overrides!$H$11:$H$100,"B|"&amp;$C30&amp;"|"&amp;$D30),"")</x:f>
      </x:c>
      <x:c r="L30" s="471" t="str">
        <x:f>TRIM(B30)</x:f>
        <x:v>NEED</x:v>
      </x:c>
      <x:c r="M30" s="471" t="str">
        <x:f>IF($H30="","",1*$H30)</x:f>
      </x:c>
      <x:c r="N30" s="471" t="str">
        <x:f>IF($I30="","",1*$I30)</x:f>
      </x:c>
      <x:c r="O30" s="530" t="str">
        <x:f>IF($M30="","",$B30&amp;"|"&amp;ROUND($M30*1000000000000,0))</x:f>
      </x:c>
      <x:c r="P30" s="530" t="str">
        <x:f>IF($N30="","",$B30&amp;"|"&amp;ROUND($N30*1000000000000,0))</x:f>
      </x:c>
    </x:row>
    <x:row r="31" s="455" customFormat="1" ht="14.25" customHeight="1">
      <x:c r="A31" s="471" t="n">
        <x:v>30</x:v>
      </x:c>
      <x:c r="B31" s="471" t="inlineStr">
        <x:is>
          <x:t xml:space="preserve">NEED</x:t>
        </x:is>
      </x:c>
      <x:c r="C31" s="471" t="inlineStr">
        <x:is>
          <x:t xml:space="preserve">U3</x:t>
        </x:is>
      </x:c>
      <x:c r="D31" s="471" t="inlineStr">
        <x:is>
          <x:t xml:space="preserve">D1</x:t>
        </x:is>
      </x:c>
      <x:c r="E31" s="471" t="n">
        <x:v>-0.5</x:v>
      </x:c>
      <x:c r="F31" s="486" t="n">
        <x:f>INDEX(I_prop!$B$7:$H$13, MATCH($C31, I_prop!$A$7:$A$13,0), MATCH($D31, I_prop!$B$6:$H$6,0))</x:f>
        <x:v>-0.01979527432216163</x:v>
      </x:c>
      <x:c r="G31" s="486" t="n">
        <x:f>INDEX(I_prop!$B$18:$H$24, MATCH($C31, I_prop!$A$18:$A$24,0), MATCH($D31, I_prop!$B$17:$H$17,0))</x:f>
        <x:v>0.013197807340577457</x:v>
      </x:c>
      <x:c r="H31" s="486" t="n">
        <x:f>IF($J31&lt;&gt;"",$J31,IF($F31&lt;0,MAX(-1,Subgroup_Overrides!$B$7*$F31),$F31))</x:f>
        <x:v>-0.2</x:v>
      </x:c>
      <x:c r="I31" s="486" t="n">
        <x:f>IF($K31&lt;&gt;"",$K31,IF($G31&lt;0,MAX(-1,Subgroup_Overrides!$B$7*$G31),$G31))</x:f>
        <x:v>0.013197807340577457</x:v>
      </x:c>
      <x:c r="J31" s="515" t="n">
        <x:f>IF(COUNTIF(Subgroup_Overrides!$H$11:$H$100,"A|"&amp;$C31&amp;"|"&amp;$D31)&gt;0,SUMIFS(Subgroup_Overrides!$F$11:$F$100,Subgroup_Overrides!$H$11:$H$100,"A|"&amp;$C31&amp;"|"&amp;$D31),"")</x:f>
        <x:v>-0.2</x:v>
      </x:c>
      <x:c r="K31" s="515" t="str">
        <x:f>IF(COUNTIF(Subgroup_Overrides!$H$11:$H$100,"B|"&amp;$C31&amp;"|"&amp;$D31)&gt;0,SUMIFS(Subgroup_Overrides!$F$11:$F$100,Subgroup_Overrides!$H$11:$H$100,"B|"&amp;$C31&amp;"|"&amp;$D31),"")</x:f>
      </x:c>
      <x:c r="L31" s="471" t="str">
        <x:f>TRIM(B31)</x:f>
        <x:v>NEED</x:v>
      </x:c>
      <x:c r="M31" s="471" t="n">
        <x:f>IF($H31="","",1*$H31)</x:f>
        <x:v>-0.2</x:v>
      </x:c>
      <x:c r="N31" s="471" t="n">
        <x:f>IF($I31="","",1*$I31)</x:f>
        <x:v>0.013197807340577457</x:v>
      </x:c>
      <x:c r="O31" s="530" t="str">
        <x:f>IF($M31="","",$B31&amp;"|"&amp;ROUND($M31*1000000000000,0))</x:f>
        <x:v>NEED|-200000000000</x:v>
      </x:c>
      <x:c r="P31" s="530" t="str">
        <x:f>IF($N31="","",$B31&amp;"|"&amp;ROUND($N31*1000000000000,0))</x:f>
        <x:v>NEED|13197807341</x:v>
      </x:c>
    </x:row>
    <x:row r="32" s="455" customFormat="1" ht="14.25" customHeight="1">
      <x:c r="A32" s="471" t="n">
        <x:v>31</x:v>
      </x:c>
      <x:c r="B32" s="471" t="inlineStr">
        <x:is>
          <x:t xml:space="preserve">NEED</x:t>
        </x:is>
      </x:c>
      <x:c r="C32" s="471" t="inlineStr">
        <x:is>
          <x:t xml:space="preserve">U3</x:t>
        </x:is>
      </x:c>
      <x:c r="D32" s="471" t="inlineStr">
        <x:is>
          <x:t xml:space="preserve">D2</x:t>
        </x:is>
      </x:c>
      <x:c r="E32" s="471" t="n">
        <x:v>-0.5</x:v>
      </x:c>
      <x:c r="F32" s="486" t="n">
        <x:f>INDEX(I_prop!$B$7:$H$13, MATCH($C32, I_prop!$A$7:$A$13,0), MATCH($D32, I_prop!$B$6:$H$6,0))</x:f>
        <x:v>0</x:v>
      </x:c>
      <x:c r="G32" s="486" t="n">
        <x:f>INDEX(I_prop!$B$18:$H$24, MATCH($C32, I_prop!$A$18:$A$24,0), MATCH($D32, I_prop!$B$17:$H$17,0))</x:f>
        <x:v>0</x:v>
      </x:c>
      <x:c r="H32" s="486" t="n">
        <x:f>IF($J32&lt;&gt;"",$J32,IF($F32&lt;0,MAX(-1,Subgroup_Overrides!$B$7*$F32),$F32))</x:f>
        <x:v>0</x:v>
      </x:c>
      <x:c r="I32" s="486" t="n">
        <x:f>IF($K32&lt;&gt;"",$K32,IF($G32&lt;0,MAX(-1,Subgroup_Overrides!$B$7*$G32),$G32))</x:f>
        <x:v>0</x:v>
      </x:c>
      <x:c r="J32" s="515" t="str">
        <x:f>IF(COUNTIF(Subgroup_Overrides!$H$11:$H$100,"A|"&amp;$C32&amp;"|"&amp;$D32)&gt;0,SUMIFS(Subgroup_Overrides!$F$11:$F$100,Subgroup_Overrides!$H$11:$H$100,"A|"&amp;$C32&amp;"|"&amp;$D32),"")</x:f>
      </x:c>
      <x:c r="K32" s="515" t="str">
        <x:f>IF(COUNTIF(Subgroup_Overrides!$H$11:$H$100,"B|"&amp;$C32&amp;"|"&amp;$D32)&gt;0,SUMIFS(Subgroup_Overrides!$F$11:$F$100,Subgroup_Overrides!$H$11:$H$100,"B|"&amp;$C32&amp;"|"&amp;$D32),"")</x:f>
      </x:c>
      <x:c r="L32" s="471" t="str">
        <x:f>TRIM(B32)</x:f>
        <x:v>NEED</x:v>
      </x:c>
      <x:c r="M32" s="471" t="str">
        <x:f>IF($H32="","",1*$H32)</x:f>
      </x:c>
      <x:c r="N32" s="471" t="str">
        <x:f>IF($I32="","",1*$I32)</x:f>
      </x:c>
      <x:c r="O32" s="530" t="str">
        <x:f>IF($M32="","",$B32&amp;"|"&amp;ROUND($M32*1000000000000,0))</x:f>
      </x:c>
      <x:c r="P32" s="530" t="str">
        <x:f>IF($N32="","",$B32&amp;"|"&amp;ROUND($N32*1000000000000,0))</x:f>
      </x:c>
    </x:row>
    <x:row r="33" s="455" customFormat="1" ht="14.25" customHeight="1">
      <x:c r="A33" s="471" t="n">
        <x:v>32</x:v>
      </x:c>
      <x:c r="B33" s="471" t="inlineStr">
        <x:is>
          <x:t xml:space="preserve">NEED</x:t>
        </x:is>
      </x:c>
      <x:c r="C33" s="471" t="inlineStr">
        <x:is>
          <x:t xml:space="preserve">U4</x:t>
        </x:is>
      </x:c>
      <x:c r="D33" s="471" t="inlineStr">
        <x:is>
          <x:t xml:space="preserve">D1</x:t>
        </x:is>
      </x:c>
      <x:c r="E33" s="471" t="n">
        <x:v>-0.5</x:v>
      </x:c>
      <x:c r="F33" s="486" t="n">
        <x:f>INDEX(I_prop!$B$7:$H$13, MATCH($C33, I_prop!$A$7:$A$13,0), MATCH($D33, I_prop!$B$6:$H$6,0))</x:f>
        <x:v>-0.08556943629589667</x:v>
      </x:c>
      <x:c r="G33" s="486" t="n">
        <x:f>INDEX(I_prop!$B$18:$H$24, MATCH($C33, I_prop!$A$18:$A$24,0), MATCH($D33, I_prop!$B$17:$H$17,0))</x:f>
        <x:v>0.010211455619172161</x:v>
      </x:c>
      <x:c r="H33" s="486" t="n">
        <x:f>IF($J33&lt;&gt;"",$J33,IF($F33&lt;0,MAX(-1,Subgroup_Overrides!$B$7*$F33),$F33))</x:f>
        <x:v>-0.3</x:v>
      </x:c>
      <x:c r="I33" s="486" t="n">
        <x:f>IF($K33&lt;&gt;"",$K33,IF($G33&lt;0,MAX(-1,Subgroup_Overrides!$B$7*$G33),$G33))</x:f>
        <x:v>0.010211455619172161</x:v>
      </x:c>
      <x:c r="J33" s="515" t="n">
        <x:f>IF(COUNTIF(Subgroup_Overrides!$H$11:$H$100,"A|"&amp;$C33&amp;"|"&amp;$D33)&gt;0,SUMIFS(Subgroup_Overrides!$F$11:$F$100,Subgroup_Overrides!$H$11:$H$100,"A|"&amp;$C33&amp;"|"&amp;$D33),"")</x:f>
        <x:v>-0.3</x:v>
      </x:c>
      <x:c r="K33" s="515" t="str">
        <x:f>IF(COUNTIF(Subgroup_Overrides!$H$11:$H$100,"B|"&amp;$C33&amp;"|"&amp;$D33)&gt;0,SUMIFS(Subgroup_Overrides!$F$11:$F$100,Subgroup_Overrides!$H$11:$H$100,"B|"&amp;$C33&amp;"|"&amp;$D33),"")</x:f>
      </x:c>
      <x:c r="L33" s="471" t="str">
        <x:f>TRIM(B33)</x:f>
        <x:v>NEED</x:v>
      </x:c>
      <x:c r="M33" s="471" t="n">
        <x:f>IF($H33="","",1*$H33)</x:f>
        <x:v>-0.3</x:v>
      </x:c>
      <x:c r="N33" s="471" t="n">
        <x:f>IF($I33="","",1*$I33)</x:f>
        <x:v>0.010211455619172161</x:v>
      </x:c>
      <x:c r="O33" s="530" t="str">
        <x:f>IF($M33="","",$B33&amp;"|"&amp;ROUND($M33*1000000000000,0))</x:f>
        <x:v>NEED|-300000000000</x:v>
      </x:c>
      <x:c r="P33" s="530" t="str">
        <x:f>IF($N33="","",$B33&amp;"|"&amp;ROUND($N33*1000000000000,0))</x:f>
        <x:v>NEED|10211455619</x:v>
      </x:c>
    </x:row>
    <x:row r="34" s="455" customFormat="1" ht="14.25" customHeight="1">
      <x:c r="A34" s="471" t="n">
        <x:v>33</x:v>
      </x:c>
      <x:c r="B34" s="471" t="inlineStr">
        <x:is>
          <x:t xml:space="preserve">NEED</x:t>
        </x:is>
      </x:c>
      <x:c r="C34" s="471" t="inlineStr">
        <x:is>
          <x:t xml:space="preserve">U4</x:t>
        </x:is>
      </x:c>
      <x:c r="D34" s="471" t="inlineStr">
        <x:is>
          <x:t xml:space="preserve">D2</x:t>
        </x:is>
      </x:c>
      <x:c r="E34" s="471" t="n">
        <x:v>-0.5</x:v>
      </x:c>
      <x:c r="F34" s="486" t="n">
        <x:f>INDEX(I_prop!$B$7:$H$13, MATCH($C34, I_prop!$A$7:$A$13,0), MATCH($D34, I_prop!$B$6:$H$6,0))</x:f>
        <x:v>0</x:v>
      </x:c>
      <x:c r="G34" s="486" t="n">
        <x:f>INDEX(I_prop!$B$18:$H$24, MATCH($C34, I_prop!$A$18:$A$24,0), MATCH($D34, I_prop!$B$17:$H$17,0))</x:f>
        <x:v>0</x:v>
      </x:c>
      <x:c r="H34" s="486" t="n">
        <x:f>IF($J34&lt;&gt;"",$J34,IF($F34&lt;0,MAX(-1,Subgroup_Overrides!$B$7*$F34),$F34))</x:f>
        <x:v>0</x:v>
      </x:c>
      <x:c r="I34" s="486" t="n">
        <x:f>IF($K34&lt;&gt;"",$K34,IF($G34&lt;0,MAX(-1,Subgroup_Overrides!$B$7*$G34),$G34))</x:f>
        <x:v>0</x:v>
      </x:c>
      <x:c r="J34" s="515" t="str">
        <x:f>IF(COUNTIF(Subgroup_Overrides!$H$11:$H$100,"A|"&amp;$C34&amp;"|"&amp;$D34)&gt;0,SUMIFS(Subgroup_Overrides!$F$11:$F$100,Subgroup_Overrides!$H$11:$H$100,"A|"&amp;$C34&amp;"|"&amp;$D34),"")</x:f>
      </x:c>
      <x:c r="K34" s="515" t="str">
        <x:f>IF(COUNTIF(Subgroup_Overrides!$H$11:$H$100,"B|"&amp;$C34&amp;"|"&amp;$D34)&gt;0,SUMIFS(Subgroup_Overrides!$F$11:$F$100,Subgroup_Overrides!$H$11:$H$100,"B|"&amp;$C34&amp;"|"&amp;$D34),"")</x:f>
      </x:c>
      <x:c r="L34" s="471" t="str">
        <x:f>TRIM(B34)</x:f>
        <x:v>NEED</x:v>
      </x:c>
      <x:c r="M34" s="471" t="str">
        <x:f>IF($H34="","",1*$H34)</x:f>
      </x:c>
      <x:c r="N34" s="471" t="str">
        <x:f>IF($I34="","",1*$I34)</x:f>
      </x:c>
      <x:c r="O34" s="530" t="str">
        <x:f>IF($M34="","",$B34&amp;"|"&amp;ROUND($M34*1000000000000,0))</x:f>
      </x:c>
      <x:c r="P34" s="530" t="str">
        <x:f>IF($N34="","",$B34&amp;"|"&amp;ROUND($N34*1000000000000,0))</x:f>
      </x:c>
    </x:row>
    <x:row r="35" s="455" customFormat="1" ht="14.25" customHeight="1">
      <x:c r="A35" s="471" t="n">
        <x:v>34</x:v>
      </x:c>
      <x:c r="B35" s="471" t="inlineStr">
        <x:is>
          <x:t xml:space="preserve">NEED</x:t>
        </x:is>
      </x:c>
      <x:c r="C35" s="471" t="inlineStr">
        <x:is>
          <x:t xml:space="preserve">U5</x:t>
        </x:is>
      </x:c>
      <x:c r="D35" s="471" t="inlineStr">
        <x:is>
          <x:t xml:space="preserve">D1</x:t>
        </x:is>
      </x:c>
      <x:c r="E35" s="471" t="n">
        <x:v>-0.5</x:v>
      </x:c>
      <x:c r="F35" s="486" t="n">
        <x:f>INDEX(I_prop!$B$7:$H$13, MATCH($C35, I_prop!$A$7:$A$13,0), MATCH($D35, I_prop!$B$6:$H$6,0))</x:f>
        <x:v>0</x:v>
      </x:c>
      <x:c r="G35" s="486" t="n">
        <x:f>INDEX(I_prop!$B$18:$H$24, MATCH($C35, I_prop!$A$18:$A$24,0), MATCH($D35, I_prop!$B$17:$H$17,0))</x:f>
        <x:v>0</x:v>
      </x:c>
      <x:c r="H35" s="486" t="n">
        <x:f>IF($J35&lt;&gt;"",$J35,IF($F35&lt;0,MAX(-1,Subgroup_Overrides!$B$7*$F35),$F35))</x:f>
        <x:v>0</x:v>
      </x:c>
      <x:c r="I35" s="486" t="n">
        <x:f>IF($K35&lt;&gt;"",$K35,IF($G35&lt;0,MAX(-1,Subgroup_Overrides!$B$7*$G35),$G35))</x:f>
        <x:v>0</x:v>
      </x:c>
      <x:c r="J35" s="515" t="str">
        <x:f>IF(COUNTIF(Subgroup_Overrides!$H$11:$H$100,"A|"&amp;$C35&amp;"|"&amp;$D35)&gt;0,SUMIFS(Subgroup_Overrides!$F$11:$F$100,Subgroup_Overrides!$H$11:$H$100,"A|"&amp;$C35&amp;"|"&amp;$D35),"")</x:f>
      </x:c>
      <x:c r="K35" s="515" t="str">
        <x:f>IF(COUNTIF(Subgroup_Overrides!$H$11:$H$100,"B|"&amp;$C35&amp;"|"&amp;$D35)&gt;0,SUMIFS(Subgroup_Overrides!$F$11:$F$100,Subgroup_Overrides!$H$11:$H$100,"B|"&amp;$C35&amp;"|"&amp;$D35),"")</x:f>
      </x:c>
      <x:c r="L35" s="471" t="str">
        <x:f>TRIM(B35)</x:f>
        <x:v>NEED</x:v>
      </x:c>
      <x:c r="M35" s="471" t="str">
        <x:f>IF($H35="","",1*$H35)</x:f>
      </x:c>
      <x:c r="N35" s="471" t="str">
        <x:f>IF($I35="","",1*$I35)</x:f>
      </x:c>
      <x:c r="O35" s="530" t="str">
        <x:f>IF($M35="","",$B35&amp;"|"&amp;ROUND($M35*1000000000000,0))</x:f>
      </x:c>
      <x:c r="P35" s="530" t="str">
        <x:f>IF($N35="","",$B35&amp;"|"&amp;ROUND($N35*1000000000000,0))</x:f>
      </x:c>
    </x:row>
    <x:row r="36" s="455" customFormat="1" ht="14.25" customHeight="1">
      <x:c r="A36" s="471" t="n">
        <x:v>35</x:v>
      </x:c>
      <x:c r="B36" s="471" t="inlineStr">
        <x:is>
          <x:t xml:space="preserve">NEED</x:t>
        </x:is>
      </x:c>
      <x:c r="C36" s="471" t="inlineStr">
        <x:is>
          <x:t xml:space="preserve">U5</x:t>
        </x:is>
      </x:c>
      <x:c r="D36" s="471" t="inlineStr">
        <x:is>
          <x:t xml:space="preserve">D2</x:t>
        </x:is>
      </x:c>
      <x:c r="E36" s="471" t="n">
        <x:v>-0.5</x:v>
      </x:c>
      <x:c r="F36" s="486" t="n">
        <x:f>INDEX(I_prop!$B$7:$H$13, MATCH($C36, I_prop!$A$7:$A$13,0), MATCH($D36, I_prop!$B$6:$H$6,0))</x:f>
        <x:v>0</x:v>
      </x:c>
      <x:c r="G36" s="486" t="n">
        <x:f>INDEX(I_prop!$B$18:$H$24, MATCH($C36, I_prop!$A$18:$A$24,0), MATCH($D36, I_prop!$B$17:$H$17,0))</x:f>
        <x:v>0</x:v>
      </x:c>
      <x:c r="H36" s="486" t="n">
        <x:f>IF($J36&lt;&gt;"",$J36,IF($F36&lt;0,MAX(-1,Subgroup_Overrides!$B$7*$F36),$F36))</x:f>
        <x:v>0</x:v>
      </x:c>
      <x:c r="I36" s="486" t="n">
        <x:f>IF($K36&lt;&gt;"",$K36,IF($G36&lt;0,MAX(-1,Subgroup_Overrides!$B$7*$G36),$G36))</x:f>
        <x:v>0</x:v>
      </x:c>
      <x:c r="J36" s="515" t="str">
        <x:f>IF(COUNTIF(Subgroup_Overrides!$H$11:$H$100,"A|"&amp;$C36&amp;"|"&amp;$D36)&gt;0,SUMIFS(Subgroup_Overrides!$F$11:$F$100,Subgroup_Overrides!$H$11:$H$100,"A|"&amp;$C36&amp;"|"&amp;$D36),"")</x:f>
      </x:c>
      <x:c r="K36" s="515" t="str">
        <x:f>IF(COUNTIF(Subgroup_Overrides!$H$11:$H$100,"B|"&amp;$C36&amp;"|"&amp;$D36)&gt;0,SUMIFS(Subgroup_Overrides!$F$11:$F$100,Subgroup_Overrides!$H$11:$H$100,"B|"&amp;$C36&amp;"|"&amp;$D36),"")</x:f>
      </x:c>
      <x:c r="L36" s="471" t="str">
        <x:f>TRIM(B36)</x:f>
        <x:v>NEED</x:v>
      </x:c>
      <x:c r="M36" s="471" t="str">
        <x:f>IF($H36="","",1*$H36)</x:f>
      </x:c>
      <x:c r="N36" s="471" t="str">
        <x:f>IF($I36="","",1*$I36)</x:f>
      </x:c>
      <x:c r="O36" s="530" t="str">
        <x:f>IF($M36="","",$B36&amp;"|"&amp;ROUND($M36*1000000000000,0))</x:f>
      </x:c>
      <x:c r="P36" s="530" t="str">
        <x:f>IF($N36="","",$B36&amp;"|"&amp;ROUND($N36*1000000000000,0))</x:f>
      </x:c>
    </x:row>
    <x:row r="37" s="455" customFormat="1" ht="14.25" customHeight="1">
      <x:c r="A37" s="471" t="n">
        <x:v>36</x:v>
      </x:c>
      <x:c r="B37" s="471" t="inlineStr">
        <x:is>
          <x:t xml:space="preserve">NEED</x:t>
        </x:is>
      </x:c>
      <x:c r="C37" s="471" t="inlineStr">
        <x:is>
          <x:t xml:space="preserve">U6</x:t>
        </x:is>
      </x:c>
      <x:c r="D37" s="471" t="inlineStr">
        <x:is>
          <x:t xml:space="preserve">D1</x:t>
        </x:is>
      </x:c>
      <x:c r="E37" s="471" t="n">
        <x:v>-0.5</x:v>
      </x:c>
      <x:c r="F37" s="486" t="n">
        <x:f>INDEX(I_prop!$B$7:$H$13, MATCH($C37, I_prop!$A$7:$A$13,0), MATCH($D37, I_prop!$B$6:$H$6,0))</x:f>
        <x:v>0</x:v>
      </x:c>
      <x:c r="G37" s="486" t="n">
        <x:f>INDEX(I_prop!$B$18:$H$24, MATCH($C37, I_prop!$A$18:$A$24,0), MATCH($D37, I_prop!$B$17:$H$17,0))</x:f>
        <x:v>0</x:v>
      </x:c>
      <x:c r="H37" s="486" t="n">
        <x:f>IF($J37&lt;&gt;"",$J37,IF($F37&lt;0,MAX(-1,Subgroup_Overrides!$B$7*$F37),$F37))</x:f>
        <x:v>0</x:v>
      </x:c>
      <x:c r="I37" s="486" t="n">
        <x:f>IF($K37&lt;&gt;"",$K37,IF($G37&lt;0,MAX(-1,Subgroup_Overrides!$B$7*$G37),$G37))</x:f>
        <x:v>0</x:v>
      </x:c>
      <x:c r="J37" s="515" t="str">
        <x:f>IF(COUNTIF(Subgroup_Overrides!$H$11:$H$100,"A|"&amp;$C37&amp;"|"&amp;$D37)&gt;0,SUMIFS(Subgroup_Overrides!$F$11:$F$100,Subgroup_Overrides!$H$11:$H$100,"A|"&amp;$C37&amp;"|"&amp;$D37),"")</x:f>
      </x:c>
      <x:c r="K37" s="515" t="str">
        <x:f>IF(COUNTIF(Subgroup_Overrides!$H$11:$H$100,"B|"&amp;$C37&amp;"|"&amp;$D37)&gt;0,SUMIFS(Subgroup_Overrides!$F$11:$F$100,Subgroup_Overrides!$H$11:$H$100,"B|"&amp;$C37&amp;"|"&amp;$D37),"")</x:f>
      </x:c>
      <x:c r="L37" s="471" t="str">
        <x:f>TRIM(B37)</x:f>
        <x:v>NEED</x:v>
      </x:c>
      <x:c r="M37" s="471" t="str">
        <x:f>IF($H37="","",1*$H37)</x:f>
      </x:c>
      <x:c r="N37" s="471" t="str">
        <x:f>IF($I37="","",1*$I37)</x:f>
      </x:c>
      <x:c r="O37" s="530" t="str">
        <x:f>IF($M37="","",$B37&amp;"|"&amp;ROUND($M37*1000000000000,0))</x:f>
      </x:c>
      <x:c r="P37" s="530" t="str">
        <x:f>IF($N37="","",$B37&amp;"|"&amp;ROUND($N37*1000000000000,0))</x:f>
      </x:c>
    </x:row>
    <x:row r="38" s="455" customFormat="1" ht="14.25" customHeight="1">
      <x:c r="A38" s="471" t="n">
        <x:v>37</x:v>
      </x:c>
      <x:c r="B38" s="471" t="inlineStr">
        <x:is>
          <x:t xml:space="preserve">NEED</x:t>
        </x:is>
      </x:c>
      <x:c r="C38" s="471" t="inlineStr">
        <x:is>
          <x:t xml:space="preserve">U6</x:t>
        </x:is>
      </x:c>
      <x:c r="D38" s="471" t="inlineStr">
        <x:is>
          <x:t xml:space="preserve">D2</x:t>
        </x:is>
      </x:c>
      <x:c r="E38" s="471" t="n">
        <x:v>-0.5</x:v>
      </x:c>
      <x:c r="F38" s="486" t="n">
        <x:f>INDEX(I_prop!$B$7:$H$13, MATCH($C38, I_prop!$A$7:$A$13,0), MATCH($D38, I_prop!$B$6:$H$6,0))</x:f>
        <x:v>0</x:v>
      </x:c>
      <x:c r="G38" s="486" t="n">
        <x:f>INDEX(I_prop!$B$18:$H$24, MATCH($C38, I_prop!$A$18:$A$24,0), MATCH($D38, I_prop!$B$17:$H$17,0))</x:f>
        <x:v>0</x:v>
      </x:c>
      <x:c r="H38" s="486" t="n">
        <x:f>IF($J38&lt;&gt;"",$J38,IF($F38&lt;0,MAX(-1,Subgroup_Overrides!$B$7*$F38),$F38))</x:f>
        <x:v>0</x:v>
      </x:c>
      <x:c r="I38" s="486" t="n">
        <x:f>IF($K38&lt;&gt;"",$K38,IF($G38&lt;0,MAX(-1,Subgroup_Overrides!$B$7*$G38),$G38))</x:f>
        <x:v>0</x:v>
      </x:c>
      <x:c r="J38" s="515" t="str">
        <x:f>IF(COUNTIF(Subgroup_Overrides!$H$11:$H$100,"A|"&amp;$C38&amp;"|"&amp;$D38)&gt;0,SUMIFS(Subgroup_Overrides!$F$11:$F$100,Subgroup_Overrides!$H$11:$H$100,"A|"&amp;$C38&amp;"|"&amp;$D38),"")</x:f>
      </x:c>
      <x:c r="K38" s="515" t="str">
        <x:f>IF(COUNTIF(Subgroup_Overrides!$H$11:$H$100,"B|"&amp;$C38&amp;"|"&amp;$D38)&gt;0,SUMIFS(Subgroup_Overrides!$F$11:$F$100,Subgroup_Overrides!$H$11:$H$100,"B|"&amp;$C38&amp;"|"&amp;$D38),"")</x:f>
      </x:c>
      <x:c r="L38" s="471" t="str">
        <x:f>TRIM(B38)</x:f>
        <x:v>NEED</x:v>
      </x:c>
      <x:c r="M38" s="471" t="str">
        <x:f>IF($H38="","",1*$H38)</x:f>
      </x:c>
      <x:c r="N38" s="471" t="str">
        <x:f>IF($I38="","",1*$I38)</x:f>
      </x:c>
      <x:c r="O38" s="530" t="str">
        <x:f>IF($M38="","",$B38&amp;"|"&amp;ROUND($M38*1000000000000,0))</x:f>
      </x:c>
      <x:c r="P38" s="530" t="str">
        <x:f>IF($N38="","",$B38&amp;"|"&amp;ROUND($N38*1000000000000,0))</x:f>
      </x:c>
    </x:row>
    <x:row r="39" s="455" customFormat="1" ht="14.25" customHeight="1">
      <x:c r="A39" s="471" t="n">
        <x:v>38</x:v>
      </x:c>
      <x:c r="B39" s="471" t="inlineStr">
        <x:is>
          <x:t xml:space="preserve">DIGN</x:t>
        </x:is>
      </x:c>
      <x:c r="C39" s="471" t="inlineStr">
        <x:is>
          <x:t xml:space="preserve">U1</x:t>
        </x:is>
      </x:c>
      <x:c r="D39" s="471" t="inlineStr">
        <x:is>
          <x:t xml:space="preserve">D3</x:t>
        </x:is>
      </x:c>
      <x:c r="E39" s="471" t="n">
        <x:v>-0.55</x:v>
      </x:c>
      <x:c r="F39" s="486" t="n">
        <x:f>INDEX(I_prop!$B$7:$H$13, MATCH($C39, I_prop!$A$7:$A$13,0), MATCH($D39, I_prop!$B$6:$H$6,0))</x:f>
        <x:v>0</x:v>
      </x:c>
      <x:c r="G39" s="486" t="n">
        <x:f>INDEX(I_prop!$B$18:$H$24, MATCH($C39, I_prop!$A$18:$A$24,0), MATCH($D39, I_prop!$B$17:$H$17,0))</x:f>
        <x:v>0</x:v>
      </x:c>
      <x:c r="H39" s="486" t="n">
        <x:f>IF($J39&lt;&gt;"",$J39,IF($F39&lt;0,MAX(-1,Subgroup_Overrides!$B$7*$F39),$F39))</x:f>
        <x:v>0</x:v>
      </x:c>
      <x:c r="I39" s="486" t="n">
        <x:f>IF($K39&lt;&gt;"",$K39,IF($G39&lt;0,MAX(-1,Subgroup_Overrides!$B$7*$G39),$G39))</x:f>
        <x:v>0</x:v>
      </x:c>
      <x:c r="J39" s="515" t="str">
        <x:f>IF(COUNTIF(Subgroup_Overrides!$H$11:$H$100,"A|"&amp;$C39&amp;"|"&amp;$D39)&gt;0,SUMIFS(Subgroup_Overrides!$F$11:$F$100,Subgroup_Overrides!$H$11:$H$100,"A|"&amp;$C39&amp;"|"&amp;$D39),"")</x:f>
      </x:c>
      <x:c r="K39" s="515" t="str">
        <x:f>IF(COUNTIF(Subgroup_Overrides!$H$11:$H$100,"B|"&amp;$C39&amp;"|"&amp;$D39)&gt;0,SUMIFS(Subgroup_Overrides!$F$11:$F$100,Subgroup_Overrides!$H$11:$H$100,"B|"&amp;$C39&amp;"|"&amp;$D39),"")</x:f>
      </x:c>
      <x:c r="L39" s="471" t="str">
        <x:f>TRIM(B39)</x:f>
        <x:v>DIGN</x:v>
      </x:c>
      <x:c r="M39" s="471" t="str">
        <x:f>IF($H39="","",1*$H39)</x:f>
      </x:c>
      <x:c r="N39" s="471" t="str">
        <x:f>IF($I39="","",1*$I39)</x:f>
      </x:c>
      <x:c r="O39" s="530" t="str">
        <x:f>IF($M39="","",$B39&amp;"|"&amp;ROUND($M39*1000000000000,0))</x:f>
      </x:c>
      <x:c r="P39" s="530" t="str">
        <x:f>IF($N39="","",$B39&amp;"|"&amp;ROUND($N39*1000000000000,0))</x:f>
      </x:c>
    </x:row>
    <x:row r="40" s="455" customFormat="1" ht="14.25" customHeight="1">
      <x:c r="A40" s="471" t="n">
        <x:v>39</x:v>
      </x:c>
      <x:c r="B40" s="471" t="inlineStr">
        <x:is>
          <x:t xml:space="preserve">DIGN</x:t>
        </x:is>
      </x:c>
      <x:c r="C40" s="471" t="inlineStr">
        <x:is>
          <x:t xml:space="preserve">U1</x:t>
        </x:is>
      </x:c>
      <x:c r="D40" s="471" t="inlineStr">
        <x:is>
          <x:t xml:space="preserve">D5</x:t>
        </x:is>
      </x:c>
      <x:c r="E40" s="471" t="n">
        <x:v>-0.55</x:v>
      </x:c>
      <x:c r="F40" s="486" t="n">
        <x:f>INDEX(I_prop!$B$7:$H$13, MATCH($C40, I_prop!$A$7:$A$13,0), MATCH($D40, I_prop!$B$6:$H$6,0))</x:f>
        <x:v>0.2490078843274226</x:v>
      </x:c>
      <x:c r="G40" s="486" t="n">
        <x:f>INDEX(I_prop!$B$18:$H$24, MATCH($C40, I_prop!$A$18:$A$24,0), MATCH($D40, I_prop!$B$17:$H$17,0))</x:f>
        <x:v>-0.046333567670633624</x:v>
      </x:c>
      <x:c r="H40" s="486" t="n">
        <x:f>IF($J40&lt;&gt;"",$J40,IF($F40&lt;0,MAX(-1,Subgroup_Overrides!$B$7*$F40),$F40))</x:f>
        <x:v>0.2490078843274226</x:v>
      </x:c>
      <x:c r="I40" s="486" t="n">
        <x:f>IF($K40&lt;&gt;"",$K40,IF($G40&lt;0,MAX(-1,Subgroup_Overrides!$B$7*$G40),$G40))</x:f>
        <x:v>-0.15</x:v>
      </x:c>
      <x:c r="J40" s="515" t="str">
        <x:f>IF(COUNTIF(Subgroup_Overrides!$H$11:$H$100,"A|"&amp;$C40&amp;"|"&amp;$D40)&gt;0,SUMIFS(Subgroup_Overrides!$F$11:$F$100,Subgroup_Overrides!$H$11:$H$100,"A|"&amp;$C40&amp;"|"&amp;$D40),"")</x:f>
      </x:c>
      <x:c r="K40" s="515" t="n">
        <x:f>IF(COUNTIF(Subgroup_Overrides!$H$11:$H$100,"B|"&amp;$C40&amp;"|"&amp;$D40)&gt;0,SUMIFS(Subgroup_Overrides!$F$11:$F$100,Subgroup_Overrides!$H$11:$H$100,"B|"&amp;$C40&amp;"|"&amp;$D40),"")</x:f>
        <x:v>-0.15</x:v>
      </x:c>
      <x:c r="L40" s="471" t="str">
        <x:f>TRIM(B40)</x:f>
        <x:v>DIGN</x:v>
      </x:c>
      <x:c r="M40" s="471" t="n">
        <x:f>IF($H40="","",1*$H40)</x:f>
        <x:v>0.2490078843274226</x:v>
      </x:c>
      <x:c r="N40" s="471" t="n">
        <x:f>IF($I40="","",1*$I40)</x:f>
        <x:v>-0.15</x:v>
      </x:c>
      <x:c r="O40" s="530" t="str">
        <x:f>IF($M40="","",$B40&amp;"|"&amp;ROUND($M40*1000000000000,0))</x:f>
        <x:v>DIGN|249007884327</x:v>
      </x:c>
      <x:c r="P40" s="530" t="str">
        <x:f>IF($N40="","",$B40&amp;"|"&amp;ROUND($N40*1000000000000,0))</x:f>
        <x:v>DIGN|-150000000000</x:v>
      </x:c>
    </x:row>
    <x:row r="41" s="455" customFormat="1" ht="14.25" customHeight="1">
      <x:c r="A41" s="471" t="n">
        <x:v>40</x:v>
      </x:c>
      <x:c r="B41" s="471" t="inlineStr">
        <x:is>
          <x:t xml:space="preserve">DIGN</x:t>
        </x:is>
      </x:c>
      <x:c r="C41" s="471" t="inlineStr">
        <x:is>
          <x:t xml:space="preserve">U2</x:t>
        </x:is>
      </x:c>
      <x:c r="D41" s="471" t="inlineStr">
        <x:is>
          <x:t xml:space="preserve">D3</x:t>
        </x:is>
      </x:c>
      <x:c r="E41" s="471" t="n">
        <x:v>-0.55</x:v>
      </x:c>
      <x:c r="F41" s="486" t="n">
        <x:f>INDEX(I_prop!$B$7:$H$13, MATCH($C41, I_prop!$A$7:$A$13,0), MATCH($D41, I_prop!$B$6:$H$6,0))</x:f>
        <x:v>0</x:v>
      </x:c>
      <x:c r="G41" s="486" t="n">
        <x:f>INDEX(I_prop!$B$18:$H$24, MATCH($C41, I_prop!$A$18:$A$24,0), MATCH($D41, I_prop!$B$17:$H$17,0))</x:f>
        <x:v>0</x:v>
      </x:c>
      <x:c r="H41" s="486" t="n">
        <x:f>IF($J41&lt;&gt;"",$J41,IF($F41&lt;0,MAX(-1,Subgroup_Overrides!$B$7*$F41),$F41))</x:f>
        <x:v>0</x:v>
      </x:c>
      <x:c r="I41" s="486" t="n">
        <x:f>IF($K41&lt;&gt;"",$K41,IF($G41&lt;0,MAX(-1,Subgroup_Overrides!$B$7*$G41),$G41))</x:f>
        <x:v>0</x:v>
      </x:c>
      <x:c r="J41" s="515" t="str">
        <x:f>IF(COUNTIF(Subgroup_Overrides!$H$11:$H$100,"A|"&amp;$C41&amp;"|"&amp;$D41)&gt;0,SUMIFS(Subgroup_Overrides!$F$11:$F$100,Subgroup_Overrides!$H$11:$H$100,"A|"&amp;$C41&amp;"|"&amp;$D41),"")</x:f>
      </x:c>
      <x:c r="K41" s="515" t="str">
        <x:f>IF(COUNTIF(Subgroup_Overrides!$H$11:$H$100,"B|"&amp;$C41&amp;"|"&amp;$D41)&gt;0,SUMIFS(Subgroup_Overrides!$F$11:$F$100,Subgroup_Overrides!$H$11:$H$100,"B|"&amp;$C41&amp;"|"&amp;$D41),"")</x:f>
      </x:c>
      <x:c r="L41" s="471" t="str">
        <x:f>TRIM(B41)</x:f>
        <x:v>DIGN</x:v>
      </x:c>
      <x:c r="M41" s="471" t="str">
        <x:f>IF($H41="","",1*$H41)</x:f>
      </x:c>
      <x:c r="N41" s="471" t="str">
        <x:f>IF($I41="","",1*$I41)</x:f>
      </x:c>
      <x:c r="O41" s="530" t="str">
        <x:f>IF($M41="","",$B41&amp;"|"&amp;ROUND($M41*1000000000000,0))</x:f>
      </x:c>
      <x:c r="P41" s="530" t="str">
        <x:f>IF($N41="","",$B41&amp;"|"&amp;ROUND($N41*1000000000000,0))</x:f>
      </x:c>
    </x:row>
    <x:row r="42" s="455" customFormat="1" ht="14.25" customHeight="1">
      <x:c r="A42" s="471" t="n">
        <x:v>41</x:v>
      </x:c>
      <x:c r="B42" s="471" t="inlineStr">
        <x:is>
          <x:t xml:space="preserve">DIGN</x:t>
        </x:is>
      </x:c>
      <x:c r="C42" s="471" t="inlineStr">
        <x:is>
          <x:t xml:space="preserve">U2</x:t>
        </x:is>
      </x:c>
      <x:c r="D42" s="471" t="inlineStr">
        <x:is>
          <x:t xml:space="preserve">D5</x:t>
        </x:is>
      </x:c>
      <x:c r="E42" s="471" t="n">
        <x:v>-0.55</x:v>
      </x:c>
      <x:c r="F42" s="486" t="n">
        <x:f>INDEX(I_prop!$B$7:$H$13, MATCH($C42, I_prop!$A$7:$A$13,0), MATCH($D42, I_prop!$B$6:$H$6,0))</x:f>
        <x:v>0</x:v>
      </x:c>
      <x:c r="G42" s="486" t="n">
        <x:f>INDEX(I_prop!$B$18:$H$24, MATCH($C42, I_prop!$A$18:$A$24,0), MATCH($D42, I_prop!$B$17:$H$17,0))</x:f>
        <x:v>0</x:v>
      </x:c>
      <x:c r="H42" s="486" t="n">
        <x:f>IF($J42&lt;&gt;"",$J42,IF($F42&lt;0,MAX(-1,Subgroup_Overrides!$B$7*$F42),$F42))</x:f>
        <x:v>0</x:v>
      </x:c>
      <x:c r="I42" s="486" t="n">
        <x:f>IF($K42&lt;&gt;"",$K42,IF($G42&lt;0,MAX(-1,Subgroup_Overrides!$B$7*$G42),$G42))</x:f>
        <x:v>0</x:v>
      </x:c>
      <x:c r="J42" s="515" t="str">
        <x:f>IF(COUNTIF(Subgroup_Overrides!$H$11:$H$100,"A|"&amp;$C42&amp;"|"&amp;$D42)&gt;0,SUMIFS(Subgroup_Overrides!$F$11:$F$100,Subgroup_Overrides!$H$11:$H$100,"A|"&amp;$C42&amp;"|"&amp;$D42),"")</x:f>
      </x:c>
      <x:c r="K42" s="515" t="str">
        <x:f>IF(COUNTIF(Subgroup_Overrides!$H$11:$H$100,"B|"&amp;$C42&amp;"|"&amp;$D42)&gt;0,SUMIFS(Subgroup_Overrides!$F$11:$F$100,Subgroup_Overrides!$H$11:$H$100,"B|"&amp;$C42&amp;"|"&amp;$D42),"")</x:f>
      </x:c>
      <x:c r="L42" s="471" t="str">
        <x:f>TRIM(B42)</x:f>
        <x:v>DIGN</x:v>
      </x:c>
      <x:c r="M42" s="471" t="str">
        <x:f>IF($H42="","",1*$H42)</x:f>
      </x:c>
      <x:c r="N42" s="471" t="str">
        <x:f>IF($I42="","",1*$I42)</x:f>
      </x:c>
      <x:c r="O42" s="530" t="str">
        <x:f>IF($M42="","",$B42&amp;"|"&amp;ROUND($M42*1000000000000,0))</x:f>
      </x:c>
      <x:c r="P42" s="530" t="str">
        <x:f>IF($N42="","",$B42&amp;"|"&amp;ROUND($N42*1000000000000,0))</x:f>
      </x:c>
    </x:row>
    <x:row r="43" s="455" customFormat="1" ht="14.25" customHeight="1">
      <x:c r="A43" s="471" t="n">
        <x:v>42</x:v>
      </x:c>
      <x:c r="B43" s="471" t="inlineStr">
        <x:is>
          <x:t xml:space="preserve">DIGN</x:t>
        </x:is>
      </x:c>
      <x:c r="C43" s="471" t="inlineStr">
        <x:is>
          <x:t xml:space="preserve">U3</x:t>
        </x:is>
      </x:c>
      <x:c r="D43" s="471" t="inlineStr">
        <x:is>
          <x:t xml:space="preserve">D3</x:t>
        </x:is>
      </x:c>
      <x:c r="E43" s="471" t="n">
        <x:v>-0.55</x:v>
      </x:c>
      <x:c r="F43" s="486" t="n">
        <x:f>INDEX(I_prop!$B$7:$H$13, MATCH($C43, I_prop!$A$7:$A$13,0), MATCH($D43, I_prop!$B$6:$H$6,0))</x:f>
        <x:v>-0.08072568681553846</x:v>
      </x:c>
      <x:c r="G43" s="486" t="n">
        <x:f>INDEX(I_prop!$B$18:$H$24, MATCH($C43, I_prop!$A$18:$A$24,0), MATCH($D43, I_prop!$B$17:$H$17,0))</x:f>
        <x:v>0.06151557221350915</x:v>
      </x:c>
      <x:c r="H43" s="486" t="n">
        <x:f>IF($J43&lt;&gt;"",$J43,IF($F43&lt;0,MAX(-1,Subgroup_Overrides!$B$7*$F43),$F43))</x:f>
        <x:v>-0.15</x:v>
      </x:c>
      <x:c r="I43" s="486" t="n">
        <x:f>IF($K43&lt;&gt;"",$K43,IF($G43&lt;0,MAX(-1,Subgroup_Overrides!$B$7*$G43),$G43))</x:f>
        <x:v>0.06151557221350915</x:v>
      </x:c>
      <x:c r="J43" s="515" t="n">
        <x:f>IF(COUNTIF(Subgroup_Overrides!$H$11:$H$100,"A|"&amp;$C43&amp;"|"&amp;$D43)&gt;0,SUMIFS(Subgroup_Overrides!$F$11:$F$100,Subgroup_Overrides!$H$11:$H$100,"A|"&amp;$C43&amp;"|"&amp;$D43),"")</x:f>
        <x:v>-0.15</x:v>
      </x:c>
      <x:c r="K43" s="515" t="str">
        <x:f>IF(COUNTIF(Subgroup_Overrides!$H$11:$H$100,"B|"&amp;$C43&amp;"|"&amp;$D43)&gt;0,SUMIFS(Subgroup_Overrides!$F$11:$F$100,Subgroup_Overrides!$H$11:$H$100,"B|"&amp;$C43&amp;"|"&amp;$D43),"")</x:f>
      </x:c>
      <x:c r="L43" s="471" t="str">
        <x:f>TRIM(B43)</x:f>
        <x:v>DIGN</x:v>
      </x:c>
      <x:c r="M43" s="471" t="n">
        <x:f>IF($H43="","",1*$H43)</x:f>
        <x:v>-0.15</x:v>
      </x:c>
      <x:c r="N43" s="471" t="n">
        <x:f>IF($I43="","",1*$I43)</x:f>
        <x:v>0.06151557221350915</x:v>
      </x:c>
      <x:c r="O43" s="530" t="str">
        <x:f>IF($M43="","",$B43&amp;"|"&amp;ROUND($M43*1000000000000,0))</x:f>
        <x:v>DIGN|-150000000000</x:v>
      </x:c>
      <x:c r="P43" s="530" t="str">
        <x:f>IF($N43="","",$B43&amp;"|"&amp;ROUND($N43*1000000000000,0))</x:f>
        <x:v>DIGN|61515572214</x:v>
      </x:c>
    </x:row>
    <x:row r="44" s="455" customFormat="1" ht="14.25" customHeight="1">
      <x:c r="A44" s="471" t="n">
        <x:v>43</x:v>
      </x:c>
      <x:c r="B44" s="471" t="inlineStr">
        <x:is>
          <x:t xml:space="preserve">DIGN</x:t>
        </x:is>
      </x:c>
      <x:c r="C44" s="471" t="inlineStr">
        <x:is>
          <x:t xml:space="preserve">U3</x:t>
        </x:is>
      </x:c>
      <x:c r="D44" s="471" t="inlineStr">
        <x:is>
          <x:t xml:space="preserve">D5</x:t>
        </x:is>
      </x:c>
      <x:c r="E44" s="471" t="n">
        <x:v>-0.55</x:v>
      </x:c>
      <x:c r="F44" s="486" t="n">
        <x:f>INDEX(I_prop!$B$7:$H$13, MATCH($C44, I_prop!$A$7:$A$13,0), MATCH($D44, I_prop!$B$6:$H$6,0))</x:f>
        <x:v>0</x:v>
      </x:c>
      <x:c r="G44" s="486" t="n">
        <x:f>INDEX(I_prop!$B$18:$H$24, MATCH($C44, I_prop!$A$18:$A$24,0), MATCH($D44, I_prop!$B$17:$H$17,0))</x:f>
        <x:v>0</x:v>
      </x:c>
      <x:c r="H44" s="486" t="n">
        <x:f>IF($J44&lt;&gt;"",$J44,IF($F44&lt;0,MAX(-1,Subgroup_Overrides!$B$7*$F44),$F44))</x:f>
        <x:v>0</x:v>
      </x:c>
      <x:c r="I44" s="486" t="n">
        <x:f>IF($K44&lt;&gt;"",$K44,IF($G44&lt;0,MAX(-1,Subgroup_Overrides!$B$7*$G44),$G44))</x:f>
        <x:v>0</x:v>
      </x:c>
      <x:c r="J44" s="515" t="str">
        <x:f>IF(COUNTIF(Subgroup_Overrides!$H$11:$H$100,"A|"&amp;$C44&amp;"|"&amp;$D44)&gt;0,SUMIFS(Subgroup_Overrides!$F$11:$F$100,Subgroup_Overrides!$H$11:$H$100,"A|"&amp;$C44&amp;"|"&amp;$D44),"")</x:f>
      </x:c>
      <x:c r="K44" s="515" t="str">
        <x:f>IF(COUNTIF(Subgroup_Overrides!$H$11:$H$100,"B|"&amp;$C44&amp;"|"&amp;$D44)&gt;0,SUMIFS(Subgroup_Overrides!$F$11:$F$100,Subgroup_Overrides!$H$11:$H$100,"B|"&amp;$C44&amp;"|"&amp;$D44),"")</x:f>
      </x:c>
      <x:c r="L44" s="471" t="str">
        <x:f>TRIM(B44)</x:f>
        <x:v>DIGN</x:v>
      </x:c>
      <x:c r="M44" s="471" t="str">
        <x:f>IF($H44="","",1*$H44)</x:f>
      </x:c>
      <x:c r="N44" s="471" t="str">
        <x:f>IF($I44="","",1*$I44)</x:f>
      </x:c>
      <x:c r="O44" s="530" t="str">
        <x:f>IF($M44="","",$B44&amp;"|"&amp;ROUND($M44*1000000000000,0))</x:f>
      </x:c>
      <x:c r="P44" s="530" t="str">
        <x:f>IF($N44="","",$B44&amp;"|"&amp;ROUND($N44*1000000000000,0))</x:f>
      </x:c>
    </x:row>
    <x:row r="45" s="455" customFormat="1" ht="14.25" customHeight="1">
      <x:c r="A45" s="471" t="n">
        <x:v>44</x:v>
      </x:c>
      <x:c r="B45" s="471" t="inlineStr">
        <x:is>
          <x:t xml:space="preserve">DIGN</x:t>
        </x:is>
      </x:c>
      <x:c r="C45" s="471" t="inlineStr">
        <x:is>
          <x:t xml:space="preserve">U4</x:t>
        </x:is>
      </x:c>
      <x:c r="D45" s="471" t="inlineStr">
        <x:is>
          <x:t xml:space="preserve">D3</x:t>
        </x:is>
      </x:c>
      <x:c r="E45" s="471" t="n">
        <x:v>-0.55</x:v>
      </x:c>
      <x:c r="F45" s="486" t="n">
        <x:f>INDEX(I_prop!$B$7:$H$13, MATCH($C45, I_prop!$A$7:$A$13,0), MATCH($D45, I_prop!$B$6:$H$6,0))</x:f>
        <x:v>0</x:v>
      </x:c>
      <x:c r="G45" s="486" t="n">
        <x:f>INDEX(I_prop!$B$18:$H$24, MATCH($C45, I_prop!$A$18:$A$24,0), MATCH($D45, I_prop!$B$17:$H$17,0))</x:f>
        <x:v>0</x:v>
      </x:c>
      <x:c r="H45" s="486" t="n">
        <x:f>IF($J45&lt;&gt;"",$J45,IF($F45&lt;0,MAX(-1,Subgroup_Overrides!$B$7*$F45),$F45))</x:f>
        <x:v>0</x:v>
      </x:c>
      <x:c r="I45" s="486" t="n">
        <x:f>IF($K45&lt;&gt;"",$K45,IF($G45&lt;0,MAX(-1,Subgroup_Overrides!$B$7*$G45),$G45))</x:f>
        <x:v>0</x:v>
      </x:c>
      <x:c r="J45" s="515" t="str">
        <x:f>IF(COUNTIF(Subgroup_Overrides!$H$11:$H$100,"A|"&amp;$C45&amp;"|"&amp;$D45)&gt;0,SUMIFS(Subgroup_Overrides!$F$11:$F$100,Subgroup_Overrides!$H$11:$H$100,"A|"&amp;$C45&amp;"|"&amp;$D45),"")</x:f>
      </x:c>
      <x:c r="K45" s="515" t="str">
        <x:f>IF(COUNTIF(Subgroup_Overrides!$H$11:$H$100,"B|"&amp;$C45&amp;"|"&amp;$D45)&gt;0,SUMIFS(Subgroup_Overrides!$F$11:$F$100,Subgroup_Overrides!$H$11:$H$100,"B|"&amp;$C45&amp;"|"&amp;$D45),"")</x:f>
      </x:c>
      <x:c r="L45" s="471" t="str">
        <x:f>TRIM(B45)</x:f>
        <x:v>DIGN</x:v>
      </x:c>
      <x:c r="M45" s="471" t="str">
        <x:f>IF($H45="","",1*$H45)</x:f>
      </x:c>
      <x:c r="N45" s="471" t="str">
        <x:f>IF($I45="","",1*$I45)</x:f>
      </x:c>
      <x:c r="O45" s="530" t="str">
        <x:f>IF($M45="","",$B45&amp;"|"&amp;ROUND($M45*1000000000000,0))</x:f>
      </x:c>
      <x:c r="P45" s="530" t="str">
        <x:f>IF($N45="","",$B45&amp;"|"&amp;ROUND($N45*1000000000000,0))</x:f>
      </x:c>
    </x:row>
    <x:row r="46" s="455" customFormat="1" ht="14.25" customHeight="1">
      <x:c r="A46" s="471" t="n">
        <x:v>45</x:v>
      </x:c>
      <x:c r="B46" s="471" t="inlineStr">
        <x:is>
          <x:t xml:space="preserve">DIGN</x:t>
        </x:is>
      </x:c>
      <x:c r="C46" s="471" t="inlineStr">
        <x:is>
          <x:t xml:space="preserve">U4</x:t>
        </x:is>
      </x:c>
      <x:c r="D46" s="471" t="inlineStr">
        <x:is>
          <x:t xml:space="preserve">D5</x:t>
        </x:is>
      </x:c>
      <x:c r="E46" s="471" t="n">
        <x:v>-0.55</x:v>
      </x:c>
      <x:c r="F46" s="486" t="n">
        <x:f>INDEX(I_prop!$B$7:$H$13, MATCH($C46, I_prop!$A$7:$A$13,0), MATCH($D46, I_prop!$B$6:$H$6,0))</x:f>
        <x:v>0</x:v>
      </x:c>
      <x:c r="G46" s="486" t="n">
        <x:f>INDEX(I_prop!$B$18:$H$24, MATCH($C46, I_prop!$A$18:$A$24,0), MATCH($D46, I_prop!$B$17:$H$17,0))</x:f>
        <x:v>0</x:v>
      </x:c>
      <x:c r="H46" s="486" t="n">
        <x:f>IF($J46&lt;&gt;"",$J46,IF($F46&lt;0,MAX(-1,Subgroup_Overrides!$B$7*$F46),$F46))</x:f>
        <x:v>0</x:v>
      </x:c>
      <x:c r="I46" s="486" t="n">
        <x:f>IF($K46&lt;&gt;"",$K46,IF($G46&lt;0,MAX(-1,Subgroup_Overrides!$B$7*$G46),$G46))</x:f>
        <x:v>0</x:v>
      </x:c>
      <x:c r="J46" s="515" t="str">
        <x:f>IF(COUNTIF(Subgroup_Overrides!$H$11:$H$100,"A|"&amp;$C46&amp;"|"&amp;$D46)&gt;0,SUMIFS(Subgroup_Overrides!$F$11:$F$100,Subgroup_Overrides!$H$11:$H$100,"A|"&amp;$C46&amp;"|"&amp;$D46),"")</x:f>
      </x:c>
      <x:c r="K46" s="515" t="str">
        <x:f>IF(COUNTIF(Subgroup_Overrides!$H$11:$H$100,"B|"&amp;$C46&amp;"|"&amp;$D46)&gt;0,SUMIFS(Subgroup_Overrides!$F$11:$F$100,Subgroup_Overrides!$H$11:$H$100,"B|"&amp;$C46&amp;"|"&amp;$D46),"")</x:f>
      </x:c>
      <x:c r="L46" s="471" t="str">
        <x:f>TRIM(B46)</x:f>
        <x:v>DIGN</x:v>
      </x:c>
      <x:c r="M46" s="471" t="str">
        <x:f>IF($H46="","",1*$H46)</x:f>
      </x:c>
      <x:c r="N46" s="471" t="str">
        <x:f>IF($I46="","",1*$I46)</x:f>
      </x:c>
      <x:c r="O46" s="530" t="str">
        <x:f>IF($M46="","",$B46&amp;"|"&amp;ROUND($M46*1000000000000,0))</x:f>
      </x:c>
      <x:c r="P46" s="530" t="str">
        <x:f>IF($N46="","",$B46&amp;"|"&amp;ROUND($N46*1000000000000,0))</x:f>
      </x:c>
    </x:row>
    <x:row r="47" s="455" customFormat="1" ht="14.25" customHeight="1">
      <x:c r="A47" s="471" t="n">
        <x:v>46</x:v>
      </x:c>
      <x:c r="B47" s="471" t="inlineStr">
        <x:is>
          <x:t xml:space="preserve">DIGN</x:t>
        </x:is>
      </x:c>
      <x:c r="C47" s="471" t="inlineStr">
        <x:is>
          <x:t xml:space="preserve">U5</x:t>
        </x:is>
      </x:c>
      <x:c r="D47" s="471" t="inlineStr">
        <x:is>
          <x:t xml:space="preserve">D3</x:t>
        </x:is>
      </x:c>
      <x:c r="E47" s="471" t="n">
        <x:v>-0.55</x:v>
      </x:c>
      <x:c r="F47" s="486" t="n">
        <x:f>INDEX(I_prop!$B$7:$H$13, MATCH($C47, I_prop!$A$7:$A$13,0), MATCH($D47, I_prop!$B$6:$H$6,0))</x:f>
        <x:v>0</x:v>
      </x:c>
      <x:c r="G47" s="486" t="n">
        <x:f>INDEX(I_prop!$B$18:$H$24, MATCH($C47, I_prop!$A$18:$A$24,0), MATCH($D47, I_prop!$B$17:$H$17,0))</x:f>
        <x:v>0</x:v>
      </x:c>
      <x:c r="H47" s="486" t="n">
        <x:f>IF($J47&lt;&gt;"",$J47,IF($F47&lt;0,MAX(-1,Subgroup_Overrides!$B$7*$F47),$F47))</x:f>
        <x:v>0</x:v>
      </x:c>
      <x:c r="I47" s="486" t="n">
        <x:f>IF($K47&lt;&gt;"",$K47,IF($G47&lt;0,MAX(-1,Subgroup_Overrides!$B$7*$G47),$G47))</x:f>
        <x:v>0</x:v>
      </x:c>
      <x:c r="J47" s="515" t="str">
        <x:f>IF(COUNTIF(Subgroup_Overrides!$H$11:$H$100,"A|"&amp;$C47&amp;"|"&amp;$D47)&gt;0,SUMIFS(Subgroup_Overrides!$F$11:$F$100,Subgroup_Overrides!$H$11:$H$100,"A|"&amp;$C47&amp;"|"&amp;$D47),"")</x:f>
      </x:c>
      <x:c r="K47" s="515" t="str">
        <x:f>IF(COUNTIF(Subgroup_Overrides!$H$11:$H$100,"B|"&amp;$C47&amp;"|"&amp;$D47)&gt;0,SUMIFS(Subgroup_Overrides!$F$11:$F$100,Subgroup_Overrides!$H$11:$H$100,"B|"&amp;$C47&amp;"|"&amp;$D47),"")</x:f>
      </x:c>
      <x:c r="L47" s="471" t="str">
        <x:f>TRIM(B47)</x:f>
        <x:v>DIGN</x:v>
      </x:c>
      <x:c r="M47" s="471" t="str">
        <x:f>IF($H47="","",1*$H47)</x:f>
      </x:c>
      <x:c r="N47" s="471" t="str">
        <x:f>IF($I47="","",1*$I47)</x:f>
      </x:c>
      <x:c r="O47" s="530" t="str">
        <x:f>IF($M47="","",$B47&amp;"|"&amp;ROUND($M47*1000000000000,0))</x:f>
      </x:c>
      <x:c r="P47" s="530" t="str">
        <x:f>IF($N47="","",$B47&amp;"|"&amp;ROUND($N47*1000000000000,0))</x:f>
      </x:c>
    </x:row>
    <x:row r="48" s="455" customFormat="1" ht="14.25" customHeight="1">
      <x:c r="A48" s="471" t="n">
        <x:v>47</x:v>
      </x:c>
      <x:c r="B48" s="471" t="inlineStr">
        <x:is>
          <x:t xml:space="preserve">DIGN</x:t>
        </x:is>
      </x:c>
      <x:c r="C48" s="471" t="inlineStr">
        <x:is>
          <x:t xml:space="preserve">U5</x:t>
        </x:is>
      </x:c>
      <x:c r="D48" s="471" t="inlineStr">
        <x:is>
          <x:t xml:space="preserve">D5</x:t>
        </x:is>
      </x:c>
      <x:c r="E48" s="471" t="n">
        <x:v>-0.55</x:v>
      </x:c>
      <x:c r="F48" s="486" t="n">
        <x:f>INDEX(I_prop!$B$7:$H$13, MATCH($C48, I_prop!$A$7:$A$13,0), MATCH($D48, I_prop!$B$6:$H$6,0))</x:f>
        <x:v>0</x:v>
      </x:c>
      <x:c r="G48" s="486" t="n">
        <x:f>INDEX(I_prop!$B$18:$H$24, MATCH($C48, I_prop!$A$18:$A$24,0), MATCH($D48, I_prop!$B$17:$H$17,0))</x:f>
        <x:v>0</x:v>
      </x:c>
      <x:c r="H48" s="486" t="n">
        <x:f>IF($J48&lt;&gt;"",$J48,IF($F48&lt;0,MAX(-1,Subgroup_Overrides!$B$7*$F48),$F48))</x:f>
        <x:v>0</x:v>
      </x:c>
      <x:c r="I48" s="486" t="n">
        <x:f>IF($K48&lt;&gt;"",$K48,IF($G48&lt;0,MAX(-1,Subgroup_Overrides!$B$7*$G48),$G48))</x:f>
        <x:v>0</x:v>
      </x:c>
      <x:c r="J48" s="515" t="str">
        <x:f>IF(COUNTIF(Subgroup_Overrides!$H$11:$H$100,"A|"&amp;$C48&amp;"|"&amp;$D48)&gt;0,SUMIFS(Subgroup_Overrides!$F$11:$F$100,Subgroup_Overrides!$H$11:$H$100,"A|"&amp;$C48&amp;"|"&amp;$D48),"")</x:f>
      </x:c>
      <x:c r="K48" s="515" t="str">
        <x:f>IF(COUNTIF(Subgroup_Overrides!$H$11:$H$100,"B|"&amp;$C48&amp;"|"&amp;$D48)&gt;0,SUMIFS(Subgroup_Overrides!$F$11:$F$100,Subgroup_Overrides!$H$11:$H$100,"B|"&amp;$C48&amp;"|"&amp;$D48),"")</x:f>
      </x:c>
      <x:c r="L48" s="471" t="str">
        <x:f>TRIM(B48)</x:f>
        <x:v>DIGN</x:v>
      </x:c>
      <x:c r="M48" s="471" t="str">
        <x:f>IF($H48="","",1*$H48)</x:f>
      </x:c>
      <x:c r="N48" s="471" t="str">
        <x:f>IF($I48="","",1*$I48)</x:f>
      </x:c>
      <x:c r="O48" s="530" t="str">
        <x:f>IF($M48="","",$B48&amp;"|"&amp;ROUND($M48*1000000000000,0))</x:f>
      </x:c>
      <x:c r="P48" s="530" t="str">
        <x:f>IF($N48="","",$B48&amp;"|"&amp;ROUND($N48*1000000000000,0))</x:f>
      </x:c>
    </x:row>
    <x:row r="49" s="455" customFormat="1" ht="14.25" customHeight="1">
      <x:c r="A49" s="471" t="n">
        <x:v>48</x:v>
      </x:c>
      <x:c r="B49" s="471" t="inlineStr">
        <x:is>
          <x:t xml:space="preserve">DIGN</x:t>
        </x:is>
      </x:c>
      <x:c r="C49" s="471" t="inlineStr">
        <x:is>
          <x:t xml:space="preserve">U6</x:t>
        </x:is>
      </x:c>
      <x:c r="D49" s="471" t="inlineStr">
        <x:is>
          <x:t xml:space="preserve">D3</x:t>
        </x:is>
      </x:c>
      <x:c r="E49" s="471" t="n">
        <x:v>-0.55</x:v>
      </x:c>
      <x:c r="F49" s="486" t="n">
        <x:f>INDEX(I_prop!$B$7:$H$13, MATCH($C49, I_prop!$A$7:$A$13,0), MATCH($D49, I_prop!$B$6:$H$6,0))</x:f>
        <x:v>0</x:v>
      </x:c>
      <x:c r="G49" s="486" t="n">
        <x:f>INDEX(I_prop!$B$18:$H$24, MATCH($C49, I_prop!$A$18:$A$24,0), MATCH($D49, I_prop!$B$17:$H$17,0))</x:f>
        <x:v>0</x:v>
      </x:c>
      <x:c r="H49" s="486" t="n">
        <x:f>IF($J49&lt;&gt;"",$J49,IF($F49&lt;0,MAX(-1,Subgroup_Overrides!$B$7*$F49),$F49))</x:f>
        <x:v>0</x:v>
      </x:c>
      <x:c r="I49" s="486" t="n">
        <x:f>IF($K49&lt;&gt;"",$K49,IF($G49&lt;0,MAX(-1,Subgroup_Overrides!$B$7*$G49),$G49))</x:f>
        <x:v>0</x:v>
      </x:c>
      <x:c r="J49" s="515" t="str">
        <x:f>IF(COUNTIF(Subgroup_Overrides!$H$11:$H$100,"A|"&amp;$C49&amp;"|"&amp;$D49)&gt;0,SUMIFS(Subgroup_Overrides!$F$11:$F$100,Subgroup_Overrides!$H$11:$H$100,"A|"&amp;$C49&amp;"|"&amp;$D49),"")</x:f>
      </x:c>
      <x:c r="K49" s="515" t="str">
        <x:f>IF(COUNTIF(Subgroup_Overrides!$H$11:$H$100,"B|"&amp;$C49&amp;"|"&amp;$D49)&gt;0,SUMIFS(Subgroup_Overrides!$F$11:$F$100,Subgroup_Overrides!$H$11:$H$100,"B|"&amp;$C49&amp;"|"&amp;$D49),"")</x:f>
      </x:c>
      <x:c r="L49" s="471" t="str">
        <x:f>TRIM(B49)</x:f>
        <x:v>DIGN</x:v>
      </x:c>
      <x:c r="M49" s="471" t="str">
        <x:f>IF($H49="","",1*$H49)</x:f>
      </x:c>
      <x:c r="N49" s="471" t="str">
        <x:f>IF($I49="","",1*$I49)</x:f>
      </x:c>
      <x:c r="O49" s="530" t="str">
        <x:f>IF($M49="","",$B49&amp;"|"&amp;ROUND($M49*1000000000000,0))</x:f>
      </x:c>
      <x:c r="P49" s="530" t="str">
        <x:f>IF($N49="","",$B49&amp;"|"&amp;ROUND($N49*1000000000000,0))</x:f>
      </x:c>
    </x:row>
    <x:row r="50" s="455" customFormat="1" ht="14.25" customHeight="1">
      <x:c r="A50" s="471" t="n">
        <x:v>49</x:v>
      </x:c>
      <x:c r="B50" s="471" t="inlineStr">
        <x:is>
          <x:t xml:space="preserve">DIGN</x:t>
        </x:is>
      </x:c>
      <x:c r="C50" s="471" t="inlineStr">
        <x:is>
          <x:t xml:space="preserve">U6</x:t>
        </x:is>
      </x:c>
      <x:c r="D50" s="471" t="inlineStr">
        <x:is>
          <x:t xml:space="preserve">D5</x:t>
        </x:is>
      </x:c>
      <x:c r="E50" s="471" t="n">
        <x:v>-0.55</x:v>
      </x:c>
      <x:c r="F50" s="486" t="n">
        <x:f>INDEX(I_prop!$B$7:$H$13, MATCH($C50, I_prop!$A$7:$A$13,0), MATCH($D50, I_prop!$B$6:$H$6,0))</x:f>
        <x:v>0</x:v>
      </x:c>
      <x:c r="G50" s="486" t="n">
        <x:f>INDEX(I_prop!$B$18:$H$24, MATCH($C50, I_prop!$A$18:$A$24,0), MATCH($D50, I_prop!$B$17:$H$17,0))</x:f>
        <x:v>0</x:v>
      </x:c>
      <x:c r="H50" s="486" t="n">
        <x:f>IF($J50&lt;&gt;"",$J50,IF($F50&lt;0,MAX(-1,Subgroup_Overrides!$B$7*$F50),$F50))</x:f>
        <x:v>0</x:v>
      </x:c>
      <x:c r="I50" s="486" t="n">
        <x:f>IF($K50&lt;&gt;"",$K50,IF($G50&lt;0,MAX(-1,Subgroup_Overrides!$B$7*$G50),$G50))</x:f>
        <x:v>0</x:v>
      </x:c>
      <x:c r="J50" s="515" t="str">
        <x:f>IF(COUNTIF(Subgroup_Overrides!$H$11:$H$100,"A|"&amp;$C50&amp;"|"&amp;$D50)&gt;0,SUMIFS(Subgroup_Overrides!$F$11:$F$100,Subgroup_Overrides!$H$11:$H$100,"A|"&amp;$C50&amp;"|"&amp;$D50),"")</x:f>
      </x:c>
      <x:c r="K50" s="515" t="str">
        <x:f>IF(COUNTIF(Subgroup_Overrides!$H$11:$H$100,"B|"&amp;$C50&amp;"|"&amp;$D50)&gt;0,SUMIFS(Subgroup_Overrides!$F$11:$F$100,Subgroup_Overrides!$H$11:$H$100,"B|"&amp;$C50&amp;"|"&amp;$D50),"")</x:f>
      </x:c>
      <x:c r="L50" s="471" t="str">
        <x:f>TRIM(B50)</x:f>
        <x:v>DIGN</x:v>
      </x:c>
      <x:c r="M50" s="471" t="str">
        <x:f>IF($H50="","",1*$H50)</x:f>
      </x:c>
      <x:c r="N50" s="471" t="str">
        <x:f>IF($I50="","",1*$I50)</x:f>
      </x:c>
      <x:c r="O50" s="530" t="str">
        <x:f>IF($M50="","",$B50&amp;"|"&amp;ROUND($M50*1000000000000,0))</x:f>
      </x:c>
      <x:c r="P50" s="530" t="str">
        <x:f>IF($N50="","",$B50&amp;"|"&amp;ROUND($N50*1000000000000,0))</x:f>
      </x:c>
    </x:row>
    <x:row r="51" s="455" customFormat="1" ht="14.25" customHeight="1">
      <x:c r="A51" s="471" t="n">
        <x:v>50</x:v>
      </x:c>
      <x:c r="B51" s="471" t="inlineStr">
        <x:is>
          <x:t xml:space="preserve">PROC</x:t>
        </x:is>
      </x:c>
      <x:c r="C51" s="471" t="inlineStr">
        <x:is>
          <x:t xml:space="preserve">U4</x:t>
        </x:is>
      </x:c>
      <x:c r="D51" s="471" t="inlineStr">
        <x:is>
          <x:t xml:space="preserve">D3</x:t>
        </x:is>
      </x:c>
      <x:c r="E51" s="471" t="n">
        <x:v>-0.45</x:v>
      </x:c>
      <x:c r="F51" s="486" t="n">
        <x:f>INDEX(I_prop!$B$7:$H$13, MATCH($C51, I_prop!$A$7:$A$13,0), MATCH($D51, I_prop!$B$6:$H$6,0))</x:f>
        <x:v>0</x:v>
      </x:c>
      <x:c r="G51" s="486" t="n">
        <x:f>INDEX(I_prop!$B$18:$H$24, MATCH($C51, I_prop!$A$18:$A$24,0), MATCH($D51, I_prop!$B$17:$H$17,0))</x:f>
        <x:v>0</x:v>
      </x:c>
      <x:c r="H51" s="486" t="n">
        <x:f>IF($J51&lt;&gt;"",$J51,IF($F51&lt;0,MAX(-1,Subgroup_Overrides!$B$7*$F51),$F51))</x:f>
        <x:v>0</x:v>
      </x:c>
      <x:c r="I51" s="486" t="n">
        <x:f>IF($K51&lt;&gt;"",$K51,IF($G51&lt;0,MAX(-1,Subgroup_Overrides!$B$7*$G51),$G51))</x:f>
        <x:v>0</x:v>
      </x:c>
      <x:c r="J51" s="515" t="str">
        <x:f>IF(COUNTIF(Subgroup_Overrides!$H$11:$H$100,"A|"&amp;$C51&amp;"|"&amp;$D51)&gt;0,SUMIFS(Subgroup_Overrides!$F$11:$F$100,Subgroup_Overrides!$H$11:$H$100,"A|"&amp;$C51&amp;"|"&amp;$D51),"")</x:f>
      </x:c>
      <x:c r="K51" s="515" t="str">
        <x:f>IF(COUNTIF(Subgroup_Overrides!$H$11:$H$100,"B|"&amp;$C51&amp;"|"&amp;$D51)&gt;0,SUMIFS(Subgroup_Overrides!$F$11:$F$100,Subgroup_Overrides!$H$11:$H$100,"B|"&amp;$C51&amp;"|"&amp;$D51),"")</x:f>
      </x:c>
      <x:c r="L51" s="471" t="str">
        <x:f>TRIM(B51)</x:f>
        <x:v>PROC</x:v>
      </x:c>
      <x:c r="M51" s="471" t="str">
        <x:f>IF($H51="","",1*$H51)</x:f>
      </x:c>
      <x:c r="N51" s="471" t="str">
        <x:f>IF($I51="","",1*$I51)</x:f>
      </x:c>
      <x:c r="O51" s="530" t="str">
        <x:f>IF($M51="","",$B51&amp;"|"&amp;ROUND($M51*1000000000000,0))</x:f>
      </x:c>
      <x:c r="P51" s="530" t="str">
        <x:f>IF($N51="","",$B51&amp;"|"&amp;ROUND($N51*1000000000000,0))</x:f>
      </x:c>
    </x:row>
    <x:row r="52" s="455" customFormat="1" ht="14.25" customHeight="1">
      <x:c r="A52" s="471" t="n">
        <x:v>51</x:v>
      </x:c>
      <x:c r="B52" s="471" t="inlineStr">
        <x:is>
          <x:t xml:space="preserve">PROC</x:t>
        </x:is>
      </x:c>
      <x:c r="C52" s="471" t="inlineStr">
        <x:is>
          <x:t xml:space="preserve">U4</x:t>
        </x:is>
      </x:c>
      <x:c r="D52" s="471" t="inlineStr">
        <x:is>
          <x:t xml:space="preserve">D4</x:t>
        </x:is>
      </x:c>
      <x:c r="E52" s="471" t="n">
        <x:v>-0.45</x:v>
      </x:c>
      <x:c r="F52" s="486" t="n">
        <x:f>INDEX(I_prop!$B$7:$H$13, MATCH($C52, I_prop!$A$7:$A$13,0), MATCH($D52, I_prop!$B$6:$H$6,0))</x:f>
        <x:v>0</x:v>
      </x:c>
      <x:c r="G52" s="486" t="n">
        <x:f>INDEX(I_prop!$B$18:$H$24, MATCH($C52, I_prop!$A$18:$A$24,0), MATCH($D52, I_prop!$B$17:$H$17,0))</x:f>
        <x:v>0</x:v>
      </x:c>
      <x:c r="H52" s="486" t="n">
        <x:f>IF($J52&lt;&gt;"",$J52,IF($F52&lt;0,MAX(-1,Subgroup_Overrides!$B$7*$F52),$F52))</x:f>
        <x:v>0</x:v>
      </x:c>
      <x:c r="I52" s="486" t="n">
        <x:f>IF($K52&lt;&gt;"",$K52,IF($G52&lt;0,MAX(-1,Subgroup_Overrides!$B$7*$G52),$G52))</x:f>
        <x:v>0</x:v>
      </x:c>
      <x:c r="J52" s="515" t="str">
        <x:f>IF(COUNTIF(Subgroup_Overrides!$H$11:$H$100,"A|"&amp;$C52&amp;"|"&amp;$D52)&gt;0,SUMIFS(Subgroup_Overrides!$F$11:$F$100,Subgroup_Overrides!$H$11:$H$100,"A|"&amp;$C52&amp;"|"&amp;$D52),"")</x:f>
      </x:c>
      <x:c r="K52" s="515" t="str">
        <x:f>IF(COUNTIF(Subgroup_Overrides!$H$11:$H$100,"B|"&amp;$C52&amp;"|"&amp;$D52)&gt;0,SUMIFS(Subgroup_Overrides!$F$11:$F$100,Subgroup_Overrides!$H$11:$H$100,"B|"&amp;$C52&amp;"|"&amp;$D52),"")</x:f>
      </x:c>
      <x:c r="L52" s="471" t="str">
        <x:f>TRIM(B52)</x:f>
        <x:v>PROC</x:v>
      </x:c>
      <x:c r="M52" s="471" t="str">
        <x:f>IF($H52="","",1*$H52)</x:f>
      </x:c>
      <x:c r="N52" s="471" t="str">
        <x:f>IF($I52="","",1*$I52)</x:f>
      </x:c>
      <x:c r="O52" s="530" t="str">
        <x:f>IF($M52="","",$B52&amp;"|"&amp;ROUND($M52*1000000000000,0))</x:f>
      </x:c>
      <x:c r="P52" s="530" t="str">
        <x:f>IF($N52="","",$B52&amp;"|"&amp;ROUND($N52*1000000000000,0))</x:f>
      </x:c>
    </x:row>
    <x:row r="53" s="455" customFormat="1" ht="14.25" customHeight="1">
      <x:c r="A53" s="471" t="n">
        <x:v>52</x:v>
      </x:c>
      <x:c r="B53" s="471" t="inlineStr">
        <x:is>
          <x:t xml:space="preserve">PROC</x:t>
        </x:is>
      </x:c>
      <x:c r="C53" s="471" t="inlineStr">
        <x:is>
          <x:t xml:space="preserve">U4</x:t>
        </x:is>
      </x:c>
      <x:c r="D53" s="471" t="inlineStr">
        <x:is>
          <x:t xml:space="preserve">D5</x:t>
        </x:is>
      </x:c>
      <x:c r="E53" s="471" t="n">
        <x:v>-0.45</x:v>
      </x:c>
      <x:c r="F53" s="486" t="n">
        <x:f>INDEX(I_prop!$B$7:$H$13, MATCH($C53, I_prop!$A$7:$A$13,0), MATCH($D53, I_prop!$B$6:$H$6,0))</x:f>
        <x:v>0</x:v>
      </x:c>
      <x:c r="G53" s="486" t="n">
        <x:f>INDEX(I_prop!$B$18:$H$24, MATCH($C53, I_prop!$A$18:$A$24,0), MATCH($D53, I_prop!$B$17:$H$17,0))</x:f>
        <x:v>0</x:v>
      </x:c>
      <x:c r="H53" s="486" t="n">
        <x:f>IF($J53&lt;&gt;"",$J53,IF($F53&lt;0,MAX(-1,Subgroup_Overrides!$B$7*$F53),$F53))</x:f>
        <x:v>0</x:v>
      </x:c>
      <x:c r="I53" s="486" t="n">
        <x:f>IF($K53&lt;&gt;"",$K53,IF($G53&lt;0,MAX(-1,Subgroup_Overrides!$B$7*$G53),$G53))</x:f>
        <x:v>0</x:v>
      </x:c>
      <x:c r="J53" s="515" t="str">
        <x:f>IF(COUNTIF(Subgroup_Overrides!$H$11:$H$100,"A|"&amp;$C53&amp;"|"&amp;$D53)&gt;0,SUMIFS(Subgroup_Overrides!$F$11:$F$100,Subgroup_Overrides!$H$11:$H$100,"A|"&amp;$C53&amp;"|"&amp;$D53),"")</x:f>
      </x:c>
      <x:c r="K53" s="515" t="str">
        <x:f>IF(COUNTIF(Subgroup_Overrides!$H$11:$H$100,"B|"&amp;$C53&amp;"|"&amp;$D53)&gt;0,SUMIFS(Subgroup_Overrides!$F$11:$F$100,Subgroup_Overrides!$H$11:$H$100,"B|"&amp;$C53&amp;"|"&amp;$D53),"")</x:f>
      </x:c>
      <x:c r="L53" s="471" t="str">
        <x:f>TRIM(B53)</x:f>
        <x:v>PROC</x:v>
      </x:c>
      <x:c r="M53" s="471" t="str">
        <x:f>IF($H53="","",1*$H53)</x:f>
      </x:c>
      <x:c r="N53" s="471" t="str">
        <x:f>IF($I53="","",1*$I53)</x:f>
      </x:c>
      <x:c r="O53" s="530" t="str">
        <x:f>IF($M53="","",$B53&amp;"|"&amp;ROUND($M53*1000000000000,0))</x:f>
      </x:c>
      <x:c r="P53" s="530" t="str">
        <x:f>IF($N53="","",$B53&amp;"|"&amp;ROUND($N53*1000000000000,0))</x:f>
      </x:c>
    </x:row>
    <x:row r="54" s="455" customFormat="1" ht="14.25" customHeight="1">
      <x:c r="A54" s="471" t="n">
        <x:v>53</x:v>
      </x:c>
      <x:c r="B54" s="471" t="inlineStr">
        <x:is>
          <x:t xml:space="preserve">PROC</x:t>
        </x:is>
      </x:c>
      <x:c r="C54" s="471" t="inlineStr">
        <x:is>
          <x:t xml:space="preserve">U5</x:t>
        </x:is>
      </x:c>
      <x:c r="D54" s="471" t="inlineStr">
        <x:is>
          <x:t xml:space="preserve">D3</x:t>
        </x:is>
      </x:c>
      <x:c r="E54" s="471" t="n">
        <x:v>-0.45</x:v>
      </x:c>
      <x:c r="F54" s="486" t="n">
        <x:f>INDEX(I_prop!$B$7:$H$13, MATCH($C54, I_prop!$A$7:$A$13,0), MATCH($D54, I_prop!$B$6:$H$6,0))</x:f>
        <x:v>0</x:v>
      </x:c>
      <x:c r="G54" s="486" t="n">
        <x:f>INDEX(I_prop!$B$18:$H$24, MATCH($C54, I_prop!$A$18:$A$24,0), MATCH($D54, I_prop!$B$17:$H$17,0))</x:f>
        <x:v>0</x:v>
      </x:c>
      <x:c r="H54" s="486" t="n">
        <x:f>IF($J54&lt;&gt;"",$J54,IF($F54&lt;0,MAX(-1,Subgroup_Overrides!$B$7*$F54),$F54))</x:f>
        <x:v>0</x:v>
      </x:c>
      <x:c r="I54" s="486" t="n">
        <x:f>IF($K54&lt;&gt;"",$K54,IF($G54&lt;0,MAX(-1,Subgroup_Overrides!$B$7*$G54),$G54))</x:f>
        <x:v>0</x:v>
      </x:c>
      <x:c r="J54" s="515" t="str">
        <x:f>IF(COUNTIF(Subgroup_Overrides!$H$11:$H$100,"A|"&amp;$C54&amp;"|"&amp;$D54)&gt;0,SUMIFS(Subgroup_Overrides!$F$11:$F$100,Subgroup_Overrides!$H$11:$H$100,"A|"&amp;$C54&amp;"|"&amp;$D54),"")</x:f>
      </x:c>
      <x:c r="K54" s="515" t="str">
        <x:f>IF(COUNTIF(Subgroup_Overrides!$H$11:$H$100,"B|"&amp;$C54&amp;"|"&amp;$D54)&gt;0,SUMIFS(Subgroup_Overrides!$F$11:$F$100,Subgroup_Overrides!$H$11:$H$100,"B|"&amp;$C54&amp;"|"&amp;$D54),"")</x:f>
      </x:c>
      <x:c r="L54" s="471" t="str">
        <x:f>TRIM(B54)</x:f>
        <x:v>PROC</x:v>
      </x:c>
      <x:c r="M54" s="471" t="str">
        <x:f>IF($H54="","",1*$H54)</x:f>
      </x:c>
      <x:c r="N54" s="471" t="str">
        <x:f>IF($I54="","",1*$I54)</x:f>
      </x:c>
      <x:c r="O54" s="530" t="str">
        <x:f>IF($M54="","",$B54&amp;"|"&amp;ROUND($M54*1000000000000,0))</x:f>
      </x:c>
      <x:c r="P54" s="530" t="str">
        <x:f>IF($N54="","",$B54&amp;"|"&amp;ROUND($N54*1000000000000,0))</x:f>
      </x:c>
    </x:row>
    <x:row r="55" s="455" customFormat="1" ht="14.25" customHeight="1">
      <x:c r="A55" s="471" t="n">
        <x:v>54</x:v>
      </x:c>
      <x:c r="B55" s="471" t="inlineStr">
        <x:is>
          <x:t xml:space="preserve">PROC</x:t>
        </x:is>
      </x:c>
      <x:c r="C55" s="471" t="inlineStr">
        <x:is>
          <x:t xml:space="preserve">U5</x:t>
        </x:is>
      </x:c>
      <x:c r="D55" s="471" t="inlineStr">
        <x:is>
          <x:t xml:space="preserve">D4</x:t>
        </x:is>
      </x:c>
      <x:c r="E55" s="471" t="n">
        <x:v>-0.45</x:v>
      </x:c>
      <x:c r="F55" s="486" t="n">
        <x:f>INDEX(I_prop!$B$7:$H$13, MATCH($C55, I_prop!$A$7:$A$13,0), MATCH($D55, I_prop!$B$6:$H$6,0))</x:f>
        <x:v>0</x:v>
      </x:c>
      <x:c r="G55" s="486" t="n">
        <x:f>INDEX(I_prop!$B$18:$H$24, MATCH($C55, I_prop!$A$18:$A$24,0), MATCH($D55, I_prop!$B$17:$H$17,0))</x:f>
        <x:v>0</x:v>
      </x:c>
      <x:c r="H55" s="486" t="n">
        <x:f>IF($J55&lt;&gt;"",$J55,IF($F55&lt;0,MAX(-1,Subgroup_Overrides!$B$7*$F55),$F55))</x:f>
        <x:v>0</x:v>
      </x:c>
      <x:c r="I55" s="486" t="n">
        <x:f>IF($K55&lt;&gt;"",$K55,IF($G55&lt;0,MAX(-1,Subgroup_Overrides!$B$7*$G55),$G55))</x:f>
        <x:v>0</x:v>
      </x:c>
      <x:c r="J55" s="515" t="str">
        <x:f>IF(COUNTIF(Subgroup_Overrides!$H$11:$H$100,"A|"&amp;$C55&amp;"|"&amp;$D55)&gt;0,SUMIFS(Subgroup_Overrides!$F$11:$F$100,Subgroup_Overrides!$H$11:$H$100,"A|"&amp;$C55&amp;"|"&amp;$D55),"")</x:f>
      </x:c>
      <x:c r="K55" s="515" t="str">
        <x:f>IF(COUNTIF(Subgroup_Overrides!$H$11:$H$100,"B|"&amp;$C55&amp;"|"&amp;$D55)&gt;0,SUMIFS(Subgroup_Overrides!$F$11:$F$100,Subgroup_Overrides!$H$11:$H$100,"B|"&amp;$C55&amp;"|"&amp;$D55),"")</x:f>
      </x:c>
      <x:c r="L55" s="471" t="str">
        <x:f>TRIM(B55)</x:f>
        <x:v>PROC</x:v>
      </x:c>
      <x:c r="M55" s="471" t="str">
        <x:f>IF($H55="","",1*$H55)</x:f>
      </x:c>
      <x:c r="N55" s="471" t="str">
        <x:f>IF($I55="","",1*$I55)</x:f>
      </x:c>
      <x:c r="O55" s="530" t="str">
        <x:f>IF($M55="","",$B55&amp;"|"&amp;ROUND($M55*1000000000000,0))</x:f>
      </x:c>
      <x:c r="P55" s="530" t="str">
        <x:f>IF($N55="","",$B55&amp;"|"&amp;ROUND($N55*1000000000000,0))</x:f>
      </x:c>
    </x:row>
    <x:row r="56" s="455" customFormat="1" ht="14.25" customHeight="1">
      <x:c r="A56" s="471" t="n">
        <x:v>55</x:v>
      </x:c>
      <x:c r="B56" s="471" t="inlineStr">
        <x:is>
          <x:t xml:space="preserve">PROC</x:t>
        </x:is>
      </x:c>
      <x:c r="C56" s="471" t="inlineStr">
        <x:is>
          <x:t xml:space="preserve">U5</x:t>
        </x:is>
      </x:c>
      <x:c r="D56" s="471" t="inlineStr">
        <x:is>
          <x:t xml:space="preserve">D5</x:t>
        </x:is>
      </x:c>
      <x:c r="E56" s="471" t="n">
        <x:v>-0.45</x:v>
      </x:c>
      <x:c r="F56" s="486" t="n">
        <x:f>INDEX(I_prop!$B$7:$H$13, MATCH($C56, I_prop!$A$7:$A$13,0), MATCH($D56, I_prop!$B$6:$H$6,0))</x:f>
        <x:v>0</x:v>
      </x:c>
      <x:c r="G56" s="486" t="n">
        <x:f>INDEX(I_prop!$B$18:$H$24, MATCH($C56, I_prop!$A$18:$A$24,0), MATCH($D56, I_prop!$B$17:$H$17,0))</x:f>
        <x:v>0</x:v>
      </x:c>
      <x:c r="H56" s="486" t="n">
        <x:f>IF($J56&lt;&gt;"",$J56,IF($F56&lt;0,MAX(-1,Subgroup_Overrides!$B$7*$F56),$F56))</x:f>
        <x:v>0</x:v>
      </x:c>
      <x:c r="I56" s="486" t="n">
        <x:f>IF($K56&lt;&gt;"",$K56,IF($G56&lt;0,MAX(-1,Subgroup_Overrides!$B$7*$G56),$G56))</x:f>
        <x:v>0</x:v>
      </x:c>
      <x:c r="J56" s="515" t="str">
        <x:f>IF(COUNTIF(Subgroup_Overrides!$H$11:$H$100,"A|"&amp;$C56&amp;"|"&amp;$D56)&gt;0,SUMIFS(Subgroup_Overrides!$F$11:$F$100,Subgroup_Overrides!$H$11:$H$100,"A|"&amp;$C56&amp;"|"&amp;$D56),"")</x:f>
      </x:c>
      <x:c r="K56" s="515" t="str">
        <x:f>IF(COUNTIF(Subgroup_Overrides!$H$11:$H$100,"B|"&amp;$C56&amp;"|"&amp;$D56)&gt;0,SUMIFS(Subgroup_Overrides!$F$11:$F$100,Subgroup_Overrides!$H$11:$H$100,"B|"&amp;$C56&amp;"|"&amp;$D56),"")</x:f>
      </x:c>
      <x:c r="L56" s="471" t="str">
        <x:f>TRIM(B56)</x:f>
        <x:v>PROC</x:v>
      </x:c>
      <x:c r="M56" s="471" t="str">
        <x:f>IF($H56="","",1*$H56)</x:f>
      </x:c>
      <x:c r="N56" s="471" t="str">
        <x:f>IF($I56="","",1*$I56)</x:f>
      </x:c>
      <x:c r="O56" s="530" t="str">
        <x:f>IF($M56="","",$B56&amp;"|"&amp;ROUND($M56*1000000000000,0))</x:f>
      </x:c>
      <x:c r="P56" s="530" t="str">
        <x:f>IF($N56="","",$B56&amp;"|"&amp;ROUND($N56*1000000000000,0))</x:f>
      </x:c>
    </x:row>
    <x:row r="57" s="455" customFormat="1" ht="14.25" customHeight="1">
      <x:c r="A57" s="471" t="n">
        <x:v>56</x:v>
      </x:c>
      <x:c r="B57" s="471" t="inlineStr">
        <x:is>
          <x:t xml:space="preserve">PROC</x:t>
        </x:is>
      </x:c>
      <x:c r="C57" s="471" t="inlineStr">
        <x:is>
          <x:t xml:space="preserve">U6</x:t>
        </x:is>
      </x:c>
      <x:c r="D57" s="471" t="inlineStr">
        <x:is>
          <x:t xml:space="preserve">D3</x:t>
        </x:is>
      </x:c>
      <x:c r="E57" s="471" t="n">
        <x:v>-0.45</x:v>
      </x:c>
      <x:c r="F57" s="486" t="n">
        <x:f>INDEX(I_prop!$B$7:$H$13, MATCH($C57, I_prop!$A$7:$A$13,0), MATCH($D57, I_prop!$B$6:$H$6,0))</x:f>
        <x:v>0</x:v>
      </x:c>
      <x:c r="G57" s="486" t="n">
        <x:f>INDEX(I_prop!$B$18:$H$24, MATCH($C57, I_prop!$A$18:$A$24,0), MATCH($D57, I_prop!$B$17:$H$17,0))</x:f>
        <x:v>0</x:v>
      </x:c>
      <x:c r="H57" s="486" t="n">
        <x:f>IF($J57&lt;&gt;"",$J57,IF($F57&lt;0,MAX(-1,Subgroup_Overrides!$B$7*$F57),$F57))</x:f>
        <x:v>0</x:v>
      </x:c>
      <x:c r="I57" s="486" t="n">
        <x:f>IF($K57&lt;&gt;"",$K57,IF($G57&lt;0,MAX(-1,Subgroup_Overrides!$B$7*$G57),$G57))</x:f>
        <x:v>0</x:v>
      </x:c>
      <x:c r="J57" s="515" t="str">
        <x:f>IF(COUNTIF(Subgroup_Overrides!$H$11:$H$100,"A|"&amp;$C57&amp;"|"&amp;$D57)&gt;0,SUMIFS(Subgroup_Overrides!$F$11:$F$100,Subgroup_Overrides!$H$11:$H$100,"A|"&amp;$C57&amp;"|"&amp;$D57),"")</x:f>
      </x:c>
      <x:c r="K57" s="515" t="str">
        <x:f>IF(COUNTIF(Subgroup_Overrides!$H$11:$H$100,"B|"&amp;$C57&amp;"|"&amp;$D57)&gt;0,SUMIFS(Subgroup_Overrides!$F$11:$F$100,Subgroup_Overrides!$H$11:$H$100,"B|"&amp;$C57&amp;"|"&amp;$D57),"")</x:f>
      </x:c>
      <x:c r="L57" s="471" t="str">
        <x:f>TRIM(B57)</x:f>
        <x:v>PROC</x:v>
      </x:c>
      <x:c r="M57" s="471" t="str">
        <x:f>IF($H57="","",1*$H57)</x:f>
      </x:c>
      <x:c r="N57" s="471" t="str">
        <x:f>IF($I57="","",1*$I57)</x:f>
      </x:c>
      <x:c r="O57" s="530" t="str">
        <x:f>IF($M57="","",$B57&amp;"|"&amp;ROUND($M57*1000000000000,0))</x:f>
      </x:c>
      <x:c r="P57" s="530" t="str">
        <x:f>IF($N57="","",$B57&amp;"|"&amp;ROUND($N57*1000000000000,0))</x:f>
      </x:c>
    </x:row>
    <x:row r="58" s="455" customFormat="1" ht="14.25" customHeight="1">
      <x:c r="A58" s="471" t="n">
        <x:v>57</x:v>
      </x:c>
      <x:c r="B58" s="471" t="inlineStr">
        <x:is>
          <x:t xml:space="preserve">PROC</x:t>
        </x:is>
      </x:c>
      <x:c r="C58" s="471" t="inlineStr">
        <x:is>
          <x:t xml:space="preserve">U6</x:t>
        </x:is>
      </x:c>
      <x:c r="D58" s="471" t="inlineStr">
        <x:is>
          <x:t xml:space="preserve">D4</x:t>
        </x:is>
      </x:c>
      <x:c r="E58" s="471" t="n">
        <x:v>-0.45</x:v>
      </x:c>
      <x:c r="F58" s="486" t="n">
        <x:f>INDEX(I_prop!$B$7:$H$13, MATCH($C58, I_prop!$A$7:$A$13,0), MATCH($D58, I_prop!$B$6:$H$6,0))</x:f>
        <x:v>0</x:v>
      </x:c>
      <x:c r="G58" s="486" t="n">
        <x:f>INDEX(I_prop!$B$18:$H$24, MATCH($C58, I_prop!$A$18:$A$24,0), MATCH($D58, I_prop!$B$17:$H$17,0))</x:f>
        <x:v>0</x:v>
      </x:c>
      <x:c r="H58" s="486" t="n">
        <x:f>IF($J58&lt;&gt;"",$J58,IF($F58&lt;0,MAX(-1,Subgroup_Overrides!$B$7*$F58),$F58))</x:f>
        <x:v>0</x:v>
      </x:c>
      <x:c r="I58" s="486" t="n">
        <x:f>IF($K58&lt;&gt;"",$K58,IF($G58&lt;0,MAX(-1,Subgroup_Overrides!$B$7*$G58),$G58))</x:f>
        <x:v>0</x:v>
      </x:c>
      <x:c r="J58" s="515" t="str">
        <x:f>IF(COUNTIF(Subgroup_Overrides!$H$11:$H$100,"A|"&amp;$C58&amp;"|"&amp;$D58)&gt;0,SUMIFS(Subgroup_Overrides!$F$11:$F$100,Subgroup_Overrides!$H$11:$H$100,"A|"&amp;$C58&amp;"|"&amp;$D58),"")</x:f>
      </x:c>
      <x:c r="K58" s="515" t="str">
        <x:f>IF(COUNTIF(Subgroup_Overrides!$H$11:$H$100,"B|"&amp;$C58&amp;"|"&amp;$D58)&gt;0,SUMIFS(Subgroup_Overrides!$F$11:$F$100,Subgroup_Overrides!$H$11:$H$100,"B|"&amp;$C58&amp;"|"&amp;$D58),"")</x:f>
      </x:c>
      <x:c r="L58" s="471" t="str">
        <x:f>TRIM(B58)</x:f>
        <x:v>PROC</x:v>
      </x:c>
      <x:c r="M58" s="471" t="str">
        <x:f>IF($H58="","",1*$H58)</x:f>
      </x:c>
      <x:c r="N58" s="471" t="str">
        <x:f>IF($I58="","",1*$I58)</x:f>
      </x:c>
      <x:c r="O58" s="530" t="str">
        <x:f>IF($M58="","",$B58&amp;"|"&amp;ROUND($M58*1000000000000,0))</x:f>
      </x:c>
      <x:c r="P58" s="530" t="str">
        <x:f>IF($N58="","",$B58&amp;"|"&amp;ROUND($N58*1000000000000,0))</x:f>
      </x:c>
    </x:row>
    <x:row r="59" s="455" customFormat="1" ht="14.25" customHeight="1">
      <x:c r="A59" s="471" t="n">
        <x:v>58</x:v>
      </x:c>
      <x:c r="B59" s="471" t="inlineStr">
        <x:is>
          <x:t xml:space="preserve">PROC</x:t>
        </x:is>
      </x:c>
      <x:c r="C59" s="471" t="inlineStr">
        <x:is>
          <x:t xml:space="preserve">U6</x:t>
        </x:is>
      </x:c>
      <x:c r="D59" s="471" t="inlineStr">
        <x:is>
          <x:t xml:space="preserve">D5</x:t>
        </x:is>
      </x:c>
      <x:c r="E59" s="471" t="n">
        <x:v>-0.45</x:v>
      </x:c>
      <x:c r="F59" s="486" t="n">
        <x:f>INDEX(I_prop!$B$7:$H$13, MATCH($C59, I_prop!$A$7:$A$13,0), MATCH($D59, I_prop!$B$6:$H$6,0))</x:f>
        <x:v>0</x:v>
      </x:c>
      <x:c r="G59" s="486" t="n">
        <x:f>INDEX(I_prop!$B$18:$H$24, MATCH($C59, I_prop!$A$18:$A$24,0), MATCH($D59, I_prop!$B$17:$H$17,0))</x:f>
        <x:v>0</x:v>
      </x:c>
      <x:c r="H59" s="486" t="n">
        <x:f>IF($J59&lt;&gt;"",$J59,IF($F59&lt;0,MAX(-1,Subgroup_Overrides!$B$7*$F59),$F59))</x:f>
        <x:v>0</x:v>
      </x:c>
      <x:c r="I59" s="486" t="n">
        <x:f>IF($K59&lt;&gt;"",$K59,IF($G59&lt;0,MAX(-1,Subgroup_Overrides!$B$7*$G59),$G59))</x:f>
        <x:v>0</x:v>
      </x:c>
      <x:c r="J59" s="515" t="str">
        <x:f>IF(COUNTIF(Subgroup_Overrides!$H$11:$H$100,"A|"&amp;$C59&amp;"|"&amp;$D59)&gt;0,SUMIFS(Subgroup_Overrides!$F$11:$F$100,Subgroup_Overrides!$H$11:$H$100,"A|"&amp;$C59&amp;"|"&amp;$D59),"")</x:f>
      </x:c>
      <x:c r="K59" s="515" t="str">
        <x:f>IF(COUNTIF(Subgroup_Overrides!$H$11:$H$100,"B|"&amp;$C59&amp;"|"&amp;$D59)&gt;0,SUMIFS(Subgroup_Overrides!$F$11:$F$100,Subgroup_Overrides!$H$11:$H$100,"B|"&amp;$C59&amp;"|"&amp;$D59),"")</x:f>
      </x:c>
      <x:c r="L59" s="471" t="str">
        <x:f>TRIM(B59)</x:f>
        <x:v>PROC</x:v>
      </x:c>
      <x:c r="M59" s="471" t="str">
        <x:f>IF($H59="","",1*$H59)</x:f>
      </x:c>
      <x:c r="N59" s="471" t="str">
        <x:f>IF($I59="","",1*$I59)</x:f>
      </x:c>
      <x:c r="O59" s="530" t="str">
        <x:f>IF($M59="","",$B59&amp;"|"&amp;ROUND($M59*1000000000000,0))</x:f>
      </x:c>
      <x:c r="P59" s="530" t="str">
        <x:f>IF($N59="","",$B59&amp;"|"&amp;ROUND($N59*1000000000000,0))</x:f>
      </x:c>
    </x:row>
    <x:row r="60" s="455" customFormat="1" ht="14.25" customHeight="1">
      <x:c r="A60" s="471" t="n">
        <x:v>59</x:v>
      </x:c>
      <x:c r="B60" s="471" t="inlineStr">
        <x:is>
          <x:t xml:space="preserve">INFO</x:t>
        </x:is>
      </x:c>
      <x:c r="C60" s="471" t="inlineStr">
        <x:is>
          <x:t xml:space="preserve">U1</x:t>
        </x:is>
      </x:c>
      <x:c r="D60" s="471" t="inlineStr">
        <x:is>
          <x:t xml:space="preserve">D4</x:t>
        </x:is>
      </x:c>
      <x:c r="E60" s="471" t="n">
        <x:v>-0.4</x:v>
      </x:c>
      <x:c r="F60" s="486" t="n">
        <x:f>INDEX(I_prop!$B$7:$H$13, MATCH($C60, I_prop!$A$7:$A$13,0), MATCH($D60, I_prop!$B$6:$H$6,0))</x:f>
        <x:v>0</x:v>
      </x:c>
      <x:c r="G60" s="486" t="n">
        <x:f>INDEX(I_prop!$B$18:$H$24, MATCH($C60, I_prop!$A$18:$A$24,0), MATCH($D60, I_prop!$B$17:$H$17,0))</x:f>
        <x:v>0</x:v>
      </x:c>
      <x:c r="H60" s="486" t="n">
        <x:f>IF($J60&lt;&gt;"",$J60,IF($F60&lt;0,MAX(-1,Subgroup_Overrides!$B$7*$F60),$F60))</x:f>
        <x:v>0</x:v>
      </x:c>
      <x:c r="I60" s="486" t="n">
        <x:f>IF($K60&lt;&gt;"",$K60,IF($G60&lt;0,MAX(-1,Subgroup_Overrides!$B$7*$G60),$G60))</x:f>
        <x:v>0</x:v>
      </x:c>
      <x:c r="J60" s="515" t="str">
        <x:f>IF(COUNTIF(Subgroup_Overrides!$H$11:$H$100,"A|"&amp;$C60&amp;"|"&amp;$D60)&gt;0,SUMIFS(Subgroup_Overrides!$F$11:$F$100,Subgroup_Overrides!$H$11:$H$100,"A|"&amp;$C60&amp;"|"&amp;$D60),"")</x:f>
      </x:c>
      <x:c r="K60" s="515" t="str">
        <x:f>IF(COUNTIF(Subgroup_Overrides!$H$11:$H$100,"B|"&amp;$C60&amp;"|"&amp;$D60)&gt;0,SUMIFS(Subgroup_Overrides!$F$11:$F$100,Subgroup_Overrides!$H$11:$H$100,"B|"&amp;$C60&amp;"|"&amp;$D60),"")</x:f>
      </x:c>
      <x:c r="L60" s="471" t="str">
        <x:f>TRIM(B60)</x:f>
        <x:v>INFO</x:v>
      </x:c>
      <x:c r="M60" s="471" t="str">
        <x:f>IF($H60="","",1*$H60)</x:f>
      </x:c>
      <x:c r="N60" s="471" t="str">
        <x:f>IF($I60="","",1*$I60)</x:f>
      </x:c>
      <x:c r="O60" s="530" t="str">
        <x:f>IF($M60="","",$B60&amp;"|"&amp;ROUND($M60*1000000000000,0))</x:f>
      </x:c>
      <x:c r="P60" s="530" t="str">
        <x:f>IF($N60="","",$B60&amp;"|"&amp;ROUND($N60*1000000000000,0))</x:f>
      </x:c>
    </x:row>
    <x:row r="61" s="455" customFormat="1" ht="14.25" customHeight="1">
      <x:c r="A61" s="471" t="n">
        <x:v>60</x:v>
      </x:c>
      <x:c r="B61" s="471" t="inlineStr">
        <x:is>
          <x:t xml:space="preserve">INFO</x:t>
        </x:is>
      </x:c>
      <x:c r="C61" s="471" t="inlineStr">
        <x:is>
          <x:t xml:space="preserve">U1</x:t>
        </x:is>
      </x:c>
      <x:c r="D61" s="471" t="inlineStr">
        <x:is>
          <x:t xml:space="preserve">D5</x:t>
        </x:is>
      </x:c>
      <x:c r="E61" s="471" t="n">
        <x:v>-0.4</x:v>
      </x:c>
      <x:c r="F61" s="486" t="n">
        <x:f>INDEX(I_prop!$B$7:$H$13, MATCH($C61, I_prop!$A$7:$A$13,0), MATCH($D61, I_prop!$B$6:$H$6,0))</x:f>
        <x:v>0.2490078843274226</x:v>
      </x:c>
      <x:c r="G61" s="486" t="n">
        <x:f>INDEX(I_prop!$B$18:$H$24, MATCH($C61, I_prop!$A$18:$A$24,0), MATCH($D61, I_prop!$B$17:$H$17,0))</x:f>
        <x:v>-0.046333567670633624</x:v>
      </x:c>
      <x:c r="H61" s="486" t="n">
        <x:f>IF($J61&lt;&gt;"",$J61,IF($F61&lt;0,MAX(-1,Subgroup_Overrides!$B$7*$F61),$F61))</x:f>
        <x:v>0.2490078843274226</x:v>
      </x:c>
      <x:c r="I61" s="486" t="n">
        <x:f>IF($K61&lt;&gt;"",$K61,IF($G61&lt;0,MAX(-1,Subgroup_Overrides!$B$7*$G61),$G61))</x:f>
        <x:v>-0.15</x:v>
      </x:c>
      <x:c r="J61" s="515" t="str">
        <x:f>IF(COUNTIF(Subgroup_Overrides!$H$11:$H$100,"A|"&amp;$C61&amp;"|"&amp;$D61)&gt;0,SUMIFS(Subgroup_Overrides!$F$11:$F$100,Subgroup_Overrides!$H$11:$H$100,"A|"&amp;$C61&amp;"|"&amp;$D61),"")</x:f>
      </x:c>
      <x:c r="K61" s="515" t="n">
        <x:f>IF(COUNTIF(Subgroup_Overrides!$H$11:$H$100,"B|"&amp;$C61&amp;"|"&amp;$D61)&gt;0,SUMIFS(Subgroup_Overrides!$F$11:$F$100,Subgroup_Overrides!$H$11:$H$100,"B|"&amp;$C61&amp;"|"&amp;$D61),"")</x:f>
        <x:v>-0.15</x:v>
      </x:c>
      <x:c r="L61" s="471" t="str">
        <x:f>TRIM(B61)</x:f>
        <x:v>INFO</x:v>
      </x:c>
      <x:c r="M61" s="471" t="n">
        <x:f>IF($H61="","",1*$H61)</x:f>
        <x:v>0.2490078843274226</x:v>
      </x:c>
      <x:c r="N61" s="471" t="n">
        <x:f>IF($I61="","",1*$I61)</x:f>
        <x:v>-0.15</x:v>
      </x:c>
      <x:c r="O61" s="530" t="str">
        <x:f>IF($M61="","",$B61&amp;"|"&amp;ROUND($M61*1000000000000,0))</x:f>
        <x:v>INFO|249007884327</x:v>
      </x:c>
      <x:c r="P61" s="530" t="str">
        <x:f>IF($N61="","",$B61&amp;"|"&amp;ROUND($N61*1000000000000,0))</x:f>
        <x:v>INFO|-150000000000</x:v>
      </x:c>
    </x:row>
    <x:row r="62" s="455" customFormat="1" ht="14.25" customHeight="1">
      <x:c r="A62" s="471" t="n">
        <x:v>61</x:v>
      </x:c>
      <x:c r="B62" s="471" t="inlineStr">
        <x:is>
          <x:t xml:space="preserve">INFO</x:t>
        </x:is>
      </x:c>
      <x:c r="C62" s="471" t="inlineStr">
        <x:is>
          <x:t xml:space="preserve">U2</x:t>
        </x:is>
      </x:c>
      <x:c r="D62" s="471" t="inlineStr">
        <x:is>
          <x:t xml:space="preserve">D4</x:t>
        </x:is>
      </x:c>
      <x:c r="E62" s="471" t="n">
        <x:v>-0.4</x:v>
      </x:c>
      <x:c r="F62" s="486" t="n">
        <x:f>INDEX(I_prop!$B$7:$H$13, MATCH($C62, I_prop!$A$7:$A$13,0), MATCH($D62, I_prop!$B$6:$H$6,0))</x:f>
        <x:v>0</x:v>
      </x:c>
      <x:c r="G62" s="486" t="n">
        <x:f>INDEX(I_prop!$B$18:$H$24, MATCH($C62, I_prop!$A$18:$A$24,0), MATCH($D62, I_prop!$B$17:$H$17,0))</x:f>
        <x:v>0</x:v>
      </x:c>
      <x:c r="H62" s="486" t="n">
        <x:f>IF($J62&lt;&gt;"",$J62,IF($F62&lt;0,MAX(-1,Subgroup_Overrides!$B$7*$F62),$F62))</x:f>
        <x:v>0</x:v>
      </x:c>
      <x:c r="I62" s="486" t="n">
        <x:f>IF($K62&lt;&gt;"",$K62,IF($G62&lt;0,MAX(-1,Subgroup_Overrides!$B$7*$G62),$G62))</x:f>
        <x:v>0</x:v>
      </x:c>
      <x:c r="J62" s="515" t="str">
        <x:f>IF(COUNTIF(Subgroup_Overrides!$H$11:$H$100,"A|"&amp;$C62&amp;"|"&amp;$D62)&gt;0,SUMIFS(Subgroup_Overrides!$F$11:$F$100,Subgroup_Overrides!$H$11:$H$100,"A|"&amp;$C62&amp;"|"&amp;$D62),"")</x:f>
      </x:c>
      <x:c r="K62" s="515" t="str">
        <x:f>IF(COUNTIF(Subgroup_Overrides!$H$11:$H$100,"B|"&amp;$C62&amp;"|"&amp;$D62)&gt;0,SUMIFS(Subgroup_Overrides!$F$11:$F$100,Subgroup_Overrides!$H$11:$H$100,"B|"&amp;$C62&amp;"|"&amp;$D62),"")</x:f>
      </x:c>
      <x:c r="L62" s="471" t="str">
        <x:f>TRIM(B62)</x:f>
        <x:v>INFO</x:v>
      </x:c>
      <x:c r="M62" s="471" t="str">
        <x:f>IF($H62="","",1*$H62)</x:f>
      </x:c>
      <x:c r="N62" s="471" t="str">
        <x:f>IF($I62="","",1*$I62)</x:f>
      </x:c>
      <x:c r="O62" s="530" t="str">
        <x:f>IF($M62="","",$B62&amp;"|"&amp;ROUND($M62*1000000000000,0))</x:f>
      </x:c>
      <x:c r="P62" s="530" t="str">
        <x:f>IF($N62="","",$B62&amp;"|"&amp;ROUND($N62*1000000000000,0))</x:f>
      </x:c>
    </x:row>
    <x:row r="63" s="455" customFormat="1" ht="14.25" customHeight="1">
      <x:c r="A63" s="471" t="n">
        <x:v>62</x:v>
      </x:c>
      <x:c r="B63" s="471" t="inlineStr">
        <x:is>
          <x:t xml:space="preserve">INFO</x:t>
        </x:is>
      </x:c>
      <x:c r="C63" s="471" t="inlineStr">
        <x:is>
          <x:t xml:space="preserve">U2</x:t>
        </x:is>
      </x:c>
      <x:c r="D63" s="471" t="inlineStr">
        <x:is>
          <x:t xml:space="preserve">D5</x:t>
        </x:is>
      </x:c>
      <x:c r="E63" s="471" t="n">
        <x:v>-0.4</x:v>
      </x:c>
      <x:c r="F63" s="486" t="n">
        <x:f>INDEX(I_prop!$B$7:$H$13, MATCH($C63, I_prop!$A$7:$A$13,0), MATCH($D63, I_prop!$B$6:$H$6,0))</x:f>
        <x:v>0</x:v>
      </x:c>
      <x:c r="G63" s="486" t="n">
        <x:f>INDEX(I_prop!$B$18:$H$24, MATCH($C63, I_prop!$A$18:$A$24,0), MATCH($D63, I_prop!$B$17:$H$17,0))</x:f>
        <x:v>0</x:v>
      </x:c>
      <x:c r="H63" s="486" t="n">
        <x:f>IF($J63&lt;&gt;"",$J63,IF($F63&lt;0,MAX(-1,Subgroup_Overrides!$B$7*$F63),$F63))</x:f>
        <x:v>0</x:v>
      </x:c>
      <x:c r="I63" s="486" t="n">
        <x:f>IF($K63&lt;&gt;"",$K63,IF($G63&lt;0,MAX(-1,Subgroup_Overrides!$B$7*$G63),$G63))</x:f>
        <x:v>0</x:v>
      </x:c>
      <x:c r="J63" s="515" t="str">
        <x:f>IF(COUNTIF(Subgroup_Overrides!$H$11:$H$100,"A|"&amp;$C63&amp;"|"&amp;$D63)&gt;0,SUMIFS(Subgroup_Overrides!$F$11:$F$100,Subgroup_Overrides!$H$11:$H$100,"A|"&amp;$C63&amp;"|"&amp;$D63),"")</x:f>
      </x:c>
      <x:c r="K63" s="515" t="str">
        <x:f>IF(COUNTIF(Subgroup_Overrides!$H$11:$H$100,"B|"&amp;$C63&amp;"|"&amp;$D63)&gt;0,SUMIFS(Subgroup_Overrides!$F$11:$F$100,Subgroup_Overrides!$H$11:$H$100,"B|"&amp;$C63&amp;"|"&amp;$D63),"")</x:f>
      </x:c>
      <x:c r="L63" s="471" t="str">
        <x:f>TRIM(B63)</x:f>
        <x:v>INFO</x:v>
      </x:c>
      <x:c r="M63" s="471" t="str">
        <x:f>IF($H63="","",1*$H63)</x:f>
      </x:c>
      <x:c r="N63" s="471" t="str">
        <x:f>IF($I63="","",1*$I63)</x:f>
      </x:c>
      <x:c r="O63" s="530" t="str">
        <x:f>IF($M63="","",$B63&amp;"|"&amp;ROUND($M63*1000000000000,0))</x:f>
      </x:c>
      <x:c r="P63" s="530" t="str">
        <x:f>IF($N63="","",$B63&amp;"|"&amp;ROUND($N63*1000000000000,0))</x:f>
      </x:c>
    </x:row>
    <x:row r="64" s="455" customFormat="1" ht="14.25" customHeight="1">
      <x:c r="A64" s="471" t="n">
        <x:v>63</x:v>
      </x:c>
      <x:c r="B64" s="471" t="inlineStr">
        <x:is>
          <x:t xml:space="preserve">INFO</x:t>
        </x:is>
      </x:c>
      <x:c r="C64" s="471" t="inlineStr">
        <x:is>
          <x:t xml:space="preserve">U3</x:t>
        </x:is>
      </x:c>
      <x:c r="D64" s="471" t="inlineStr">
        <x:is>
          <x:t xml:space="preserve">D4</x:t>
        </x:is>
      </x:c>
      <x:c r="E64" s="471" t="n">
        <x:v>-0.4</x:v>
      </x:c>
      <x:c r="F64" s="486" t="n">
        <x:f>INDEX(I_prop!$B$7:$H$13, MATCH($C64, I_prop!$A$7:$A$13,0), MATCH($D64, I_prop!$B$6:$H$6,0))</x:f>
        <x:v>0</x:v>
      </x:c>
      <x:c r="G64" s="486" t="n">
        <x:f>INDEX(I_prop!$B$18:$H$24, MATCH($C64, I_prop!$A$18:$A$24,0), MATCH($D64, I_prop!$B$17:$H$17,0))</x:f>
        <x:v>0</x:v>
      </x:c>
      <x:c r="H64" s="486" t="n">
        <x:f>IF($J64&lt;&gt;"",$J64,IF($F64&lt;0,MAX(-1,Subgroup_Overrides!$B$7*$F64),$F64))</x:f>
        <x:v>0</x:v>
      </x:c>
      <x:c r="I64" s="486" t="n">
        <x:f>IF($K64&lt;&gt;"",$K64,IF($G64&lt;0,MAX(-1,Subgroup_Overrides!$B$7*$G64),$G64))</x:f>
        <x:v>0</x:v>
      </x:c>
      <x:c r="J64" s="515" t="str">
        <x:f>IF(COUNTIF(Subgroup_Overrides!$H$11:$H$100,"A|"&amp;$C64&amp;"|"&amp;$D64)&gt;0,SUMIFS(Subgroup_Overrides!$F$11:$F$100,Subgroup_Overrides!$H$11:$H$100,"A|"&amp;$C64&amp;"|"&amp;$D64),"")</x:f>
      </x:c>
      <x:c r="K64" s="515" t="str">
        <x:f>IF(COUNTIF(Subgroup_Overrides!$H$11:$H$100,"B|"&amp;$C64&amp;"|"&amp;$D64)&gt;0,SUMIFS(Subgroup_Overrides!$F$11:$F$100,Subgroup_Overrides!$H$11:$H$100,"B|"&amp;$C64&amp;"|"&amp;$D64),"")</x:f>
      </x:c>
      <x:c r="L64" s="471" t="str">
        <x:f>TRIM(B64)</x:f>
        <x:v>INFO</x:v>
      </x:c>
      <x:c r="M64" s="471" t="str">
        <x:f>IF($H64="","",1*$H64)</x:f>
      </x:c>
      <x:c r="N64" s="471" t="str">
        <x:f>IF($I64="","",1*$I64)</x:f>
      </x:c>
      <x:c r="O64" s="530" t="str">
        <x:f>IF($M64="","",$B64&amp;"|"&amp;ROUND($M64*1000000000000,0))</x:f>
      </x:c>
      <x:c r="P64" s="530" t="str">
        <x:f>IF($N64="","",$B64&amp;"|"&amp;ROUND($N64*1000000000000,0))</x:f>
      </x:c>
    </x:row>
    <x:row r="65" s="455" customFormat="1" ht="14.25" customHeight="1">
      <x:c r="A65" s="471" t="n">
        <x:v>64</x:v>
      </x:c>
      <x:c r="B65" s="471" t="inlineStr">
        <x:is>
          <x:t xml:space="preserve">INFO</x:t>
        </x:is>
      </x:c>
      <x:c r="C65" s="471" t="inlineStr">
        <x:is>
          <x:t xml:space="preserve">U3</x:t>
        </x:is>
      </x:c>
      <x:c r="D65" s="471" t="inlineStr">
        <x:is>
          <x:t xml:space="preserve">D5</x:t>
        </x:is>
      </x:c>
      <x:c r="E65" s="471" t="n">
        <x:v>-0.4</x:v>
      </x:c>
      <x:c r="F65" s="486" t="n">
        <x:f>INDEX(I_prop!$B$7:$H$13, MATCH($C65, I_prop!$A$7:$A$13,0), MATCH($D65, I_prop!$B$6:$H$6,0))</x:f>
        <x:v>0</x:v>
      </x:c>
      <x:c r="G65" s="486" t="n">
        <x:f>INDEX(I_prop!$B$18:$H$24, MATCH($C65, I_prop!$A$18:$A$24,0), MATCH($D65, I_prop!$B$17:$H$17,0))</x:f>
        <x:v>0</x:v>
      </x:c>
      <x:c r="H65" s="486" t="n">
        <x:f>IF($J65&lt;&gt;"",$J65,IF($F65&lt;0,MAX(-1,Subgroup_Overrides!$B$7*$F65),$F65))</x:f>
        <x:v>0</x:v>
      </x:c>
      <x:c r="I65" s="486" t="n">
        <x:f>IF($K65&lt;&gt;"",$K65,IF($G65&lt;0,MAX(-1,Subgroup_Overrides!$B$7*$G65),$G65))</x:f>
        <x:v>0</x:v>
      </x:c>
      <x:c r="J65" s="515" t="str">
        <x:f>IF(COUNTIF(Subgroup_Overrides!$H$11:$H$100,"A|"&amp;$C65&amp;"|"&amp;$D65)&gt;0,SUMIFS(Subgroup_Overrides!$F$11:$F$100,Subgroup_Overrides!$H$11:$H$100,"A|"&amp;$C65&amp;"|"&amp;$D65),"")</x:f>
      </x:c>
      <x:c r="K65" s="515" t="str">
        <x:f>IF(COUNTIF(Subgroup_Overrides!$H$11:$H$100,"B|"&amp;$C65&amp;"|"&amp;$D65)&gt;0,SUMIFS(Subgroup_Overrides!$F$11:$F$100,Subgroup_Overrides!$H$11:$H$100,"B|"&amp;$C65&amp;"|"&amp;$D65),"")</x:f>
      </x:c>
      <x:c r="L65" s="471" t="str">
        <x:f>TRIM(B65)</x:f>
        <x:v>INFO</x:v>
      </x:c>
      <x:c r="M65" s="471" t="str">
        <x:f>IF($H65="","",1*$H65)</x:f>
      </x:c>
      <x:c r="N65" s="471" t="str">
        <x:f>IF($I65="","",1*$I65)</x:f>
      </x:c>
      <x:c r="O65" s="530" t="str">
        <x:f>IF($M65="","",$B65&amp;"|"&amp;ROUND($M65*1000000000000,0))</x:f>
      </x:c>
      <x:c r="P65" s="530" t="str">
        <x:f>IF($N65="","",$B65&amp;"|"&amp;ROUND($N65*1000000000000,0))</x:f>
      </x:c>
    </x:row>
    <x:row r="66" s="455" customFormat="1" ht="14.25" customHeight="1">
      <x:c r="A66" s="471" t="n">
        <x:v>65</x:v>
      </x:c>
      <x:c r="B66" s="471" t="inlineStr">
        <x:is>
          <x:t xml:space="preserve">INFO</x:t>
        </x:is>
      </x:c>
      <x:c r="C66" s="471" t="inlineStr">
        <x:is>
          <x:t xml:space="preserve">U4</x:t>
        </x:is>
      </x:c>
      <x:c r="D66" s="471" t="inlineStr">
        <x:is>
          <x:t xml:space="preserve">D4</x:t>
        </x:is>
      </x:c>
      <x:c r="E66" s="471" t="n">
        <x:v>-0.4</x:v>
      </x:c>
      <x:c r="F66" s="486" t="n">
        <x:f>INDEX(I_prop!$B$7:$H$13, MATCH($C66, I_prop!$A$7:$A$13,0), MATCH($D66, I_prop!$B$6:$H$6,0))</x:f>
        <x:v>0</x:v>
      </x:c>
      <x:c r="G66" s="486" t="n">
        <x:f>INDEX(I_prop!$B$18:$H$24, MATCH($C66, I_prop!$A$18:$A$24,0), MATCH($D66, I_prop!$B$17:$H$17,0))</x:f>
        <x:v>0</x:v>
      </x:c>
      <x:c r="H66" s="486" t="n">
        <x:f>IF($J66&lt;&gt;"",$J66,IF($F66&lt;0,MAX(-1,Subgroup_Overrides!$B$7*$F66),$F66))</x:f>
        <x:v>0</x:v>
      </x:c>
      <x:c r="I66" s="486" t="n">
        <x:f>IF($K66&lt;&gt;"",$K66,IF($G66&lt;0,MAX(-1,Subgroup_Overrides!$B$7*$G66),$G66))</x:f>
        <x:v>0</x:v>
      </x:c>
      <x:c r="J66" s="515" t="str">
        <x:f>IF(COUNTIF(Subgroup_Overrides!$H$11:$H$100,"A|"&amp;$C66&amp;"|"&amp;$D66)&gt;0,SUMIFS(Subgroup_Overrides!$F$11:$F$100,Subgroup_Overrides!$H$11:$H$100,"A|"&amp;$C66&amp;"|"&amp;$D66),"")</x:f>
      </x:c>
      <x:c r="K66" s="515" t="str">
        <x:f>IF(COUNTIF(Subgroup_Overrides!$H$11:$H$100,"B|"&amp;$C66&amp;"|"&amp;$D66)&gt;0,SUMIFS(Subgroup_Overrides!$F$11:$F$100,Subgroup_Overrides!$H$11:$H$100,"B|"&amp;$C66&amp;"|"&amp;$D66),"")</x:f>
      </x:c>
      <x:c r="L66" s="471" t="str">
        <x:f>TRIM(B66)</x:f>
        <x:v>INFO</x:v>
      </x:c>
      <x:c r="M66" s="471" t="str">
        <x:f>IF($H66="","",1*$H66)</x:f>
      </x:c>
      <x:c r="N66" s="471" t="str">
        <x:f>IF($I66="","",1*$I66)</x:f>
      </x:c>
      <x:c r="O66" s="530" t="str">
        <x:f>IF($M66="","",$B66&amp;"|"&amp;ROUND($M66*1000000000000,0))</x:f>
      </x:c>
      <x:c r="P66" s="530" t="str">
        <x:f>IF($N66="","",$B66&amp;"|"&amp;ROUND($N66*1000000000000,0))</x:f>
      </x:c>
    </x:row>
    <x:row r="67" s="455" customFormat="1" ht="14.25" customHeight="1">
      <x:c r="A67" s="471" t="n">
        <x:v>66</x:v>
      </x:c>
      <x:c r="B67" s="471" t="inlineStr">
        <x:is>
          <x:t xml:space="preserve">INFO</x:t>
        </x:is>
      </x:c>
      <x:c r="C67" s="471" t="inlineStr">
        <x:is>
          <x:t xml:space="preserve">U4</x:t>
        </x:is>
      </x:c>
      <x:c r="D67" s="471" t="inlineStr">
        <x:is>
          <x:t xml:space="preserve">D5</x:t>
        </x:is>
      </x:c>
      <x:c r="E67" s="471" t="n">
        <x:v>-0.4</x:v>
      </x:c>
      <x:c r="F67" s="486" t="n">
        <x:f>INDEX(I_prop!$B$7:$H$13, MATCH($C67, I_prop!$A$7:$A$13,0), MATCH($D67, I_prop!$B$6:$H$6,0))</x:f>
        <x:v>0</x:v>
      </x:c>
      <x:c r="G67" s="486" t="n">
        <x:f>INDEX(I_prop!$B$18:$H$24, MATCH($C67, I_prop!$A$18:$A$24,0), MATCH($D67, I_prop!$B$17:$H$17,0))</x:f>
        <x:v>0</x:v>
      </x:c>
      <x:c r="H67" s="486" t="n">
        <x:f>IF($J67&lt;&gt;"",$J67,IF($F67&lt;0,MAX(-1,Subgroup_Overrides!$B$7*$F67),$F67))</x:f>
        <x:v>0</x:v>
      </x:c>
      <x:c r="I67" s="486" t="n">
        <x:f>IF($K67&lt;&gt;"",$K67,IF($G67&lt;0,MAX(-1,Subgroup_Overrides!$B$7*$G67),$G67))</x:f>
        <x:v>0</x:v>
      </x:c>
      <x:c r="J67" s="515" t="str">
        <x:f>IF(COUNTIF(Subgroup_Overrides!$H$11:$H$100,"A|"&amp;$C67&amp;"|"&amp;$D67)&gt;0,SUMIFS(Subgroup_Overrides!$F$11:$F$100,Subgroup_Overrides!$H$11:$H$100,"A|"&amp;$C67&amp;"|"&amp;$D67),"")</x:f>
      </x:c>
      <x:c r="K67" s="515" t="str">
        <x:f>IF(COUNTIF(Subgroup_Overrides!$H$11:$H$100,"B|"&amp;$C67&amp;"|"&amp;$D67)&gt;0,SUMIFS(Subgroup_Overrides!$F$11:$F$100,Subgroup_Overrides!$H$11:$H$100,"B|"&amp;$C67&amp;"|"&amp;$D67),"")</x:f>
      </x:c>
      <x:c r="L67" s="471" t="str">
        <x:f>TRIM(B67)</x:f>
        <x:v>INFO</x:v>
      </x:c>
      <x:c r="M67" s="471" t="str">
        <x:f>IF($H67="","",1*$H67)</x:f>
      </x:c>
      <x:c r="N67" s="471" t="str">
        <x:f>IF($I67="","",1*$I67)</x:f>
      </x:c>
      <x:c r="O67" s="530" t="str">
        <x:f>IF($M67="","",$B67&amp;"|"&amp;ROUND($M67*1000000000000,0))</x:f>
      </x:c>
      <x:c r="P67" s="530" t="str">
        <x:f>IF($N67="","",$B67&amp;"|"&amp;ROUND($N67*1000000000000,0))</x:f>
      </x:c>
    </x:row>
    <x:row r="68" s="455" customFormat="1" ht="14.25" customHeight="1">
      <x:c r="A68" s="471" t="n">
        <x:v>67</x:v>
      </x:c>
      <x:c r="B68" s="471" t="inlineStr">
        <x:is>
          <x:t xml:space="preserve">INFO</x:t>
        </x:is>
      </x:c>
      <x:c r="C68" s="471" t="inlineStr">
        <x:is>
          <x:t xml:space="preserve">U5</x:t>
        </x:is>
      </x:c>
      <x:c r="D68" s="471" t="inlineStr">
        <x:is>
          <x:t xml:space="preserve">D4</x:t>
        </x:is>
      </x:c>
      <x:c r="E68" s="471" t="n">
        <x:v>-0.4</x:v>
      </x:c>
      <x:c r="F68" s="486" t="n">
        <x:f>INDEX(I_prop!$B$7:$H$13, MATCH($C68, I_prop!$A$7:$A$13,0), MATCH($D68, I_prop!$B$6:$H$6,0))</x:f>
        <x:v>0</x:v>
      </x:c>
      <x:c r="G68" s="486" t="n">
        <x:f>INDEX(I_prop!$B$18:$H$24, MATCH($C68, I_prop!$A$18:$A$24,0), MATCH($D68, I_prop!$B$17:$H$17,0))</x:f>
        <x:v>0</x:v>
      </x:c>
      <x:c r="H68" s="486" t="n">
        <x:f>IF($J68&lt;&gt;"",$J68,IF($F68&lt;0,MAX(-1,Subgroup_Overrides!$B$7*$F68),$F68))</x:f>
        <x:v>0</x:v>
      </x:c>
      <x:c r="I68" s="486" t="n">
        <x:f>IF($K68&lt;&gt;"",$K68,IF($G68&lt;0,MAX(-1,Subgroup_Overrides!$B$7*$G68),$G68))</x:f>
        <x:v>0</x:v>
      </x:c>
      <x:c r="J68" s="515" t="str">
        <x:f>IF(COUNTIF(Subgroup_Overrides!$H$11:$H$100,"A|"&amp;$C68&amp;"|"&amp;$D68)&gt;0,SUMIFS(Subgroup_Overrides!$F$11:$F$100,Subgroup_Overrides!$H$11:$H$100,"A|"&amp;$C68&amp;"|"&amp;$D68),"")</x:f>
      </x:c>
      <x:c r="K68" s="515" t="str">
        <x:f>IF(COUNTIF(Subgroup_Overrides!$H$11:$H$100,"B|"&amp;$C68&amp;"|"&amp;$D68)&gt;0,SUMIFS(Subgroup_Overrides!$F$11:$F$100,Subgroup_Overrides!$H$11:$H$100,"B|"&amp;$C68&amp;"|"&amp;$D68),"")</x:f>
      </x:c>
      <x:c r="L68" s="471" t="str">
        <x:f>TRIM(B68)</x:f>
        <x:v>INFO</x:v>
      </x:c>
      <x:c r="M68" s="471" t="str">
        <x:f>IF($H68="","",1*$H68)</x:f>
      </x:c>
      <x:c r="N68" s="471" t="str">
        <x:f>IF($I68="","",1*$I68)</x:f>
      </x:c>
      <x:c r="O68" s="530" t="str">
        <x:f>IF($M68="","",$B68&amp;"|"&amp;ROUND($M68*1000000000000,0))</x:f>
      </x:c>
      <x:c r="P68" s="530" t="str">
        <x:f>IF($N68="","",$B68&amp;"|"&amp;ROUND($N68*1000000000000,0))</x:f>
      </x:c>
    </x:row>
    <x:row r="69" s="455" customFormat="1" ht="14.25" customHeight="1">
      <x:c r="A69" s="471" t="n">
        <x:v>68</x:v>
      </x:c>
      <x:c r="B69" s="471" t="inlineStr">
        <x:is>
          <x:t xml:space="preserve">INFO</x:t>
        </x:is>
      </x:c>
      <x:c r="C69" s="471" t="inlineStr">
        <x:is>
          <x:t xml:space="preserve">U5</x:t>
        </x:is>
      </x:c>
      <x:c r="D69" s="471" t="inlineStr">
        <x:is>
          <x:t xml:space="preserve">D5</x:t>
        </x:is>
      </x:c>
      <x:c r="E69" s="471" t="n">
        <x:v>-0.4</x:v>
      </x:c>
      <x:c r="F69" s="486" t="n">
        <x:f>INDEX(I_prop!$B$7:$H$13, MATCH($C69, I_prop!$A$7:$A$13,0), MATCH($D69, I_prop!$B$6:$H$6,0))</x:f>
        <x:v>0</x:v>
      </x:c>
      <x:c r="G69" s="486" t="n">
        <x:f>INDEX(I_prop!$B$18:$H$24, MATCH($C69, I_prop!$A$18:$A$24,0), MATCH($D69, I_prop!$B$17:$H$17,0))</x:f>
        <x:v>0</x:v>
      </x:c>
      <x:c r="H69" s="486" t="n">
        <x:f>IF($J69&lt;&gt;"",$J69,IF($F69&lt;0,MAX(-1,Subgroup_Overrides!$B$7*$F69),$F69))</x:f>
        <x:v>0</x:v>
      </x:c>
      <x:c r="I69" s="486" t="n">
        <x:f>IF($K69&lt;&gt;"",$K69,IF($G69&lt;0,MAX(-1,Subgroup_Overrides!$B$7*$G69),$G69))</x:f>
        <x:v>0</x:v>
      </x:c>
      <x:c r="J69" s="515" t="str">
        <x:f>IF(COUNTIF(Subgroup_Overrides!$H$11:$H$100,"A|"&amp;$C69&amp;"|"&amp;$D69)&gt;0,SUMIFS(Subgroup_Overrides!$F$11:$F$100,Subgroup_Overrides!$H$11:$H$100,"A|"&amp;$C69&amp;"|"&amp;$D69),"")</x:f>
      </x:c>
      <x:c r="K69" s="515" t="str">
        <x:f>IF(COUNTIF(Subgroup_Overrides!$H$11:$H$100,"B|"&amp;$C69&amp;"|"&amp;$D69)&gt;0,SUMIFS(Subgroup_Overrides!$F$11:$F$100,Subgroup_Overrides!$H$11:$H$100,"B|"&amp;$C69&amp;"|"&amp;$D69),"")</x:f>
      </x:c>
      <x:c r="L69" s="471" t="str">
        <x:f>TRIM(B69)</x:f>
        <x:v>INFO</x:v>
      </x:c>
      <x:c r="M69" s="471" t="str">
        <x:f>IF($H69="","",1*$H69)</x:f>
      </x:c>
      <x:c r="N69" s="471" t="str">
        <x:f>IF($I69="","",1*$I69)</x:f>
      </x:c>
      <x:c r="O69" s="530" t="str">
        <x:f>IF($M69="","",$B69&amp;"|"&amp;ROUND($M69*1000000000000,0))</x:f>
      </x:c>
      <x:c r="P69" s="530" t="str">
        <x:f>IF($N69="","",$B69&amp;"|"&amp;ROUND($N69*1000000000000,0))</x:f>
      </x:c>
    </x:row>
    <x:row r="70" s="455" customFormat="1" ht="14.25" customHeight="1">
      <x:c r="A70" s="471" t="n">
        <x:v>69</x:v>
      </x:c>
      <x:c r="B70" s="471" t="inlineStr">
        <x:is>
          <x:t xml:space="preserve">INFO</x:t>
        </x:is>
      </x:c>
      <x:c r="C70" s="471" t="inlineStr">
        <x:is>
          <x:t xml:space="preserve">U6</x:t>
        </x:is>
      </x:c>
      <x:c r="D70" s="471" t="inlineStr">
        <x:is>
          <x:t xml:space="preserve">D4</x:t>
        </x:is>
      </x:c>
      <x:c r="E70" s="471" t="n">
        <x:v>-0.4</x:v>
      </x:c>
      <x:c r="F70" s="486" t="n">
        <x:f>INDEX(I_prop!$B$7:$H$13, MATCH($C70, I_prop!$A$7:$A$13,0), MATCH($D70, I_prop!$B$6:$H$6,0))</x:f>
        <x:v>0</x:v>
      </x:c>
      <x:c r="G70" s="486" t="n">
        <x:f>INDEX(I_prop!$B$18:$H$24, MATCH($C70, I_prop!$A$18:$A$24,0), MATCH($D70, I_prop!$B$17:$H$17,0))</x:f>
        <x:v>0</x:v>
      </x:c>
      <x:c r="H70" s="486" t="n">
        <x:f>IF($J70&lt;&gt;"",$J70,IF($F70&lt;0,MAX(-1,Subgroup_Overrides!$B$7*$F70),$F70))</x:f>
        <x:v>0</x:v>
      </x:c>
      <x:c r="I70" s="486" t="n">
        <x:f>IF($K70&lt;&gt;"",$K70,IF($G70&lt;0,MAX(-1,Subgroup_Overrides!$B$7*$G70),$G70))</x:f>
        <x:v>0</x:v>
      </x:c>
      <x:c r="J70" s="515" t="str">
        <x:f>IF(COUNTIF(Subgroup_Overrides!$H$11:$H$100,"A|"&amp;$C70&amp;"|"&amp;$D70)&gt;0,SUMIFS(Subgroup_Overrides!$F$11:$F$100,Subgroup_Overrides!$H$11:$H$100,"A|"&amp;$C70&amp;"|"&amp;$D70),"")</x:f>
      </x:c>
      <x:c r="K70" s="515" t="str">
        <x:f>IF(COUNTIF(Subgroup_Overrides!$H$11:$H$100,"B|"&amp;$C70&amp;"|"&amp;$D70)&gt;0,SUMIFS(Subgroup_Overrides!$F$11:$F$100,Subgroup_Overrides!$H$11:$H$100,"B|"&amp;$C70&amp;"|"&amp;$D70),"")</x:f>
      </x:c>
      <x:c r="L70" s="471" t="str">
        <x:f>TRIM(B70)</x:f>
        <x:v>INFO</x:v>
      </x:c>
      <x:c r="M70" s="471" t="str">
        <x:f>IF($H70="","",1*$H70)</x:f>
      </x:c>
      <x:c r="N70" s="471" t="str">
        <x:f>IF($I70="","",1*$I70)</x:f>
      </x:c>
      <x:c r="O70" s="530" t="str">
        <x:f>IF($M70="","",$B70&amp;"|"&amp;ROUND($M70*1000000000000,0))</x:f>
      </x:c>
      <x:c r="P70" s="530" t="str">
        <x:f>IF($N70="","",$B70&amp;"|"&amp;ROUND($N70*1000000000000,0))</x:f>
      </x:c>
    </x:row>
    <x:row r="71" s="455" customFormat="1" ht="14.25" customHeight="1">
      <x:c r="A71" s="471" t="n">
        <x:v>70</x:v>
      </x:c>
      <x:c r="B71" s="471" t="inlineStr">
        <x:is>
          <x:t xml:space="preserve">INFO</x:t>
        </x:is>
      </x:c>
      <x:c r="C71" s="471" t="inlineStr">
        <x:is>
          <x:t xml:space="preserve">U6</x:t>
        </x:is>
      </x:c>
      <x:c r="D71" s="471" t="inlineStr">
        <x:is>
          <x:t xml:space="preserve">D5</x:t>
        </x:is>
      </x:c>
      <x:c r="E71" s="471" t="n">
        <x:v>-0.4</x:v>
      </x:c>
      <x:c r="F71" s="486" t="n">
        <x:f>INDEX(I_prop!$B$7:$H$13, MATCH($C71, I_prop!$A$7:$A$13,0), MATCH($D71, I_prop!$B$6:$H$6,0))</x:f>
        <x:v>0</x:v>
      </x:c>
      <x:c r="G71" s="486" t="n">
        <x:f>INDEX(I_prop!$B$18:$H$24, MATCH($C71, I_prop!$A$18:$A$24,0), MATCH($D71, I_prop!$B$17:$H$17,0))</x:f>
        <x:v>0</x:v>
      </x:c>
      <x:c r="H71" s="486" t="n">
        <x:f>IF($J71&lt;&gt;"",$J71,IF($F71&lt;0,MAX(-1,Subgroup_Overrides!$B$7*$F71),$F71))</x:f>
        <x:v>0</x:v>
      </x:c>
      <x:c r="I71" s="486" t="n">
        <x:f>IF($K71&lt;&gt;"",$K71,IF($G71&lt;0,MAX(-1,Subgroup_Overrides!$B$7*$G71),$G71))</x:f>
        <x:v>0</x:v>
      </x:c>
      <x:c r="J71" s="515" t="str">
        <x:f>IF(COUNTIF(Subgroup_Overrides!$H$11:$H$100,"A|"&amp;$C71&amp;"|"&amp;$D71)&gt;0,SUMIFS(Subgroup_Overrides!$F$11:$F$100,Subgroup_Overrides!$H$11:$H$100,"A|"&amp;$C71&amp;"|"&amp;$D71),"")</x:f>
      </x:c>
      <x:c r="K71" s="515" t="str">
        <x:f>IF(COUNTIF(Subgroup_Overrides!$H$11:$H$100,"B|"&amp;$C71&amp;"|"&amp;$D71)&gt;0,SUMIFS(Subgroup_Overrides!$F$11:$F$100,Subgroup_Overrides!$H$11:$H$100,"B|"&amp;$C71&amp;"|"&amp;$D71),"")</x:f>
      </x:c>
      <x:c r="L71" s="471" t="str">
        <x:f>TRIM(B71)</x:f>
        <x:v>INFO</x:v>
      </x:c>
      <x:c r="M71" s="471" t="str">
        <x:f>IF($H71="","",1*$H71)</x:f>
      </x:c>
      <x:c r="N71" s="471" t="str">
        <x:f>IF($I71="","",1*$I71)</x:f>
      </x:c>
      <x:c r="O71" s="530" t="str">
        <x:f>IF($M71="","",$B71&amp;"|"&amp;ROUND($M71*1000000000000,0))</x:f>
      </x:c>
      <x:c r="P71" s="530" t="str">
        <x:f>IF($N71="","",$B71&amp;"|"&amp;ROUND($N71*1000000000000,0))</x:f>
      </x:c>
    </x:row>
  </x:sheetData>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6796875" defaultRowHeight="12.75"/>
  <x:cols>
    <x:col min="1" max="1" width="20" style="497" customWidth="1"/>
    <x:col min="2" max="2" width="14" style="497" customWidth="1"/>
    <x:col min="3" max="3" width="18" style="497" customWidth="1"/>
    <x:col min="4" max="4" width="14" style="497" customWidth="1"/>
    <x:col min="5" max="5" width="60" style="497" customWidth="1"/>
  </x:cols>
  <x:sheetData>
    <x:row r="1" s="455" customFormat="1" ht="14.25" customHeight="1">
      <x:c r="A1" s="511" t="inlineStr">
        <x:is>
          <x:t xml:space="preserve">CATASTROPHE CELL SET (C_cat) - TRC Loss Computation</x:t>
        </x:is>
      </x:c>
      <x:c r="B1" s="457" t="n"/>
      <x:c r="C1" s="457" t="n"/>
      <x:c r="D1" s="457" t="n"/>
      <x:c r="E1" s="457" t="n"/>
      <x:c r="F1" s="457" t="n"/>
      <x:c r="G1" s="457" t="n"/>
      <x:c r="H1" s="457" t="n"/>
    </x:row>
    <x:row r="2" s="455" customFormat="1" ht="13.5" customHeight="1"/>
    <x:row r="3" s="455" customFormat="1" ht="14.25" customHeight="1">
      <x:c r="A3" s="471" t="inlineStr">
        <x:is>
          <x:t xml:space="preserve">Reference: RippleLogic v10.8 Section 8.3</x:t>
        </x:is>
      </x:c>
    </x:row>
    <x:row r="4" s="455" customFormat="1" ht="14.25" customHeight="1">
      <x:c r="A4" s="512" t="inlineStr">
        <x:is>
          <x:t xml:space="preserve">BASE SET (Canonical - governance approval required to extend)</x:t>
        </x:is>
      </x:c>
    </x:row>
    <x:row r="5" s="455" customFormat="1" ht="13.5" customHeight="1"/>
    <x:row r="6" s="455" customFormat="1" ht="14.25" customHeight="1">
      <x:c r="A6" s="512" t="inlineStr">
        <x:is>
          <x:t xml:space="preserve">Cell</x:t>
        </x:is>
      </x:c>
      <x:c r="B6" s="512" t="inlineStr">
        <x:is>
          <x:t xml:space="preserve">Union Scope</x:t>
        </x:is>
      </x:c>
      <x:c r="C6" s="512" t="inlineStr">
        <x:is>
          <x:t xml:space="preserve">Dimension</x:t>
        </x:is>
      </x:c>
      <x:c r="D6" s="512" t="inlineStr">
        <x:is>
          <x:t xml:space="preserve">Weight (ω_c)</x:t>
        </x:is>
      </x:c>
      <x:c r="E6" s="512" t="inlineStr">
        <x:is>
          <x:t xml:space="preserve">Rationale</x:t>
        </x:is>
      </x:c>
    </x:row>
    <x:row r="7" s="455" customFormat="1" ht="14.25" customHeight="1">
      <x:c r="A7" s="471" t="inlineStr">
        <x:is>
          <x:t xml:space="preserve">C1</x:t>
        </x:is>
      </x:c>
      <x:c r="B7" s="471" t="inlineStr">
        <x:is>
          <x:t xml:space="preserve">U6</x:t>
        </x:is>
      </x:c>
      <x:c r="C7" s="471" t="inlineStr">
        <x:is>
          <x:t xml:space="preserve">D2 (Health)</x:t>
        </x:is>
      </x:c>
      <x:c r="D7" s="471" t="n">
        <x:v>0.35</x:v>
      </x:c>
      <x:c r="E7" s="471" t="inlineStr">
        <x:is>
          <x:t xml:space="preserve">Humanity health catastrophe</x:t>
        </x:is>
      </x:c>
    </x:row>
    <x:row r="8" s="455" customFormat="1" ht="14.25" customHeight="1">
      <x:c r="A8" s="471" t="inlineStr">
        <x:is>
          <x:t xml:space="preserve">C2</x:t>
        </x:is>
      </x:c>
      <x:c r="B8" s="471" t="inlineStr">
        <x:is>
          <x:t xml:space="preserve">U6</x:t>
        </x:is>
      </x:c>
      <x:c r="C8" s="471" t="inlineStr">
        <x:is>
          <x:t xml:space="preserve">D7 (Environ)</x:t>
        </x:is>
      </x:c>
      <x:c r="D8" s="471" t="n">
        <x:v>0.3</x:v>
      </x:c>
      <x:c r="E8" s="471" t="inlineStr">
        <x:is>
          <x:t xml:space="preserve">Humanity-environment interface</x:t>
        </x:is>
      </x:c>
    </x:row>
    <x:row r="9" s="455" customFormat="1" ht="14.25" customHeight="1">
      <x:c r="A9" s="471" t="inlineStr">
        <x:is>
          <x:t xml:space="preserve">C3</x:t>
        </x:is>
      </x:c>
      <x:c r="B9" s="471" t="inlineStr">
        <x:is>
          <x:t xml:space="preserve">U7</x:t>
        </x:is>
      </x:c>
      <x:c r="C9" s="471" t="inlineStr">
        <x:is>
          <x:t xml:space="preserve">D7 (Environ)</x:t>
        </x:is>
      </x:c>
      <x:c r="D9" s="471" t="n">
        <x:v>0.35</x:v>
      </x:c>
      <x:c r="E9" s="471" t="inlineStr">
        <x:is>
          <x:t xml:space="preserve">Biosphere integrity</x:t>
        </x:is>
      </x:c>
    </x:row>
    <x:row r="10" s="455" customFormat="1" ht="13.5" customHeight="1"/>
    <x:row r="11" s="455" customFormat="1" ht="14.25" customHeight="1">
      <x:c r="A11" s="471" t="inlineStr">
        <x:is>
          <x:t xml:space="preserve">Weight Sum Check:</x:t>
        </x:is>
      </x:c>
      <x:c r="B11" s="471" t="n">
        <x:f>SUM(D7:D9)</x:f>
        <x:v>0.9999999999999999</x:v>
      </x:c>
      <x:c r="C11" s="471" t="inlineStr">
        <x:is>
          <x:t xml:space="preserve">Must = 1.00</x:t>
        </x:is>
      </x:c>
    </x:row>
    <x:row r="12" s="455" customFormat="1" ht="13.5" customHeight="1"/>
    <x:row r="13" s="455" customFormat="1" ht="14.25" customHeight="1">
      <x:c r="A13" s="512" t="inlineStr">
        <x:is>
          <x:t xml:space="preserve">EXTENSION / WEIGHT GOVERNANCE</x:t>
        </x:is>
      </x:c>
    </x:row>
    <x:row r="14" s="455" customFormat="1" ht="33.75" customHeight="1">
      <x:c r="A14" s="475" t="inlineStr">
        <x:is>
          <x:t xml:space="preserve">Current posture</x:t>
        </x:is>
      </x:c>
      <x:c r="B14" s="517" t="inlineStr">
        <x:is>
          <x:t xml:space="preserve">NON-DEFAULT ω_c profile declared for this worked run</x:t>
        </x:is>
      </x:c>
      <x:c r="C14" s="517" t="inlineStr">
        <x:is>
          <x:t xml:space="preserve">0.35 / 0.30 / 0.35</x:t>
        </x:is>
      </x:c>
      <x:c r="D14" s="517" t="inlineStr">
        <x:is>
          <x:t xml:space="preserve">Governed disclosure</x:t>
        </x:is>
      </x:c>
      <x:c r="E14" s="517" t="inlineStr">
        <x:is>
          <x:t xml:space="preserve">If a future run does not declare a non-default profile, revert to the canon’s uniform default over C_cat.</x:t>
        </x:is>
      </x:c>
    </x:row>
    <x:row r="15" s="455" customFormat="1" ht="33.75" customHeight="1">
      <x:c r="A15" s="475" t="inlineStr">
        <x:is>
          <x:t xml:space="preserve">Default rule</x:t>
        </x:is>
      </x:c>
      <x:c r="B15" s="517" t="inlineStr">
        <x:is>
          <x:t xml:space="preserve">Uniform over C_cat unless otherwise governed</x:t>
        </x:is>
      </x:c>
      <x:c r="C15" s="517" t="inlineStr">
        <x:is>
          <x:t xml:space="preserve">Canon Appendix D.6</x:t>
        </x:is>
      </x:c>
    </x:row>
    <x:row r="16" s="455" customFormat="1" ht="14.25" customHeight="1">
      <x:c r="A16" s="471" t="inlineStr">
        <x:is>
          <x:t xml:space="preserve">  - Documentation in PCC</x:t>
        </x:is>
      </x:c>
    </x:row>
    <x:row r="17" s="455" customFormat="1" ht="14.25" customHeight="1">
      <x:c r="A17" s="471" t="inlineStr">
        <x:is>
          <x:t xml:space="preserve">  - CCAT_EXTENDED flag set</x:t>
        </x:is>
      </x:c>
    </x:row>
    <x:row r="18" s="455" customFormat="1" ht="13.5" customHeight="1"/>
    <x:row r="19" s="455" customFormat="1" ht="14.25" customHeight="1">
      <x:c r="A19" s="471" t="inlineStr">
        <x:is>
          <x:t xml:space="preserve">CCAT_EXTENDED Flag:</x:t>
        </x:is>
      </x:c>
      <x:c r="B19" s="485" t="inlineStr">
        <x:is>
          <x:t xml:space="preserve">NO - BASE ONLY</x:t>
        </x:is>
      </x:c>
    </x:row>
  </x:sheetData>
  <x:mergeCells>
    <x:mergeCell ref="A1:H1"/>
  </x:mergeCell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11" t="inlineStr">
        <x:is>
          <x:t xml:space="preserve">MANDATORY TAIL RISK CATEGORIES (WTSL)</x:t>
        </x:is>
      </x:c>
      <x:c r="B1" s="457" t="n"/>
      <x:c r="C1" s="457" t="n"/>
      <x:c r="D1" s="457" t="n"/>
      <x:c r="E1" s="457" t="n"/>
      <x:c r="F1" s="457" t="n"/>
      <x:c r="G1" s="457" t="n"/>
      <x:c r="H1" s="457" t="n"/>
    </x:row>
    <x:row r="2" s="455" customFormat="1" ht="13.5" customHeight="1"/>
    <x:row r="3" s="455" customFormat="1" ht="14.25" customHeight="1">
      <x:c r="A3" s="471" t="inlineStr">
        <x:is>
          <x:t xml:space="preserve">Reference: RippleLogic v10.8 Section 8.5</x:t>
        </x:is>
      </x:c>
    </x:row>
    <x:row r="4" s="455" customFormat="1" ht="33.75" customHeight="1">
      <x:c r="A4" s="515" t="inlineStr">
        <x:is>
          <x:t xml:space="preserve">Mandatory tails apply by default.
WTSL-AIX mandatory only if AI Deployment = YES.</x:t>
        </x:is>
      </x:c>
      <x:c r="D4" s="515" t="inlineStr">
        <x:is>
          <x:t xml:space="preserve">Optional AIX may be included
voluntarily (precautionary).</x:t>
        </x:is>
      </x:c>
    </x:row>
    <x:row r="5" s="455" customFormat="1" ht="13.5" customHeight="1"/>
    <x:row r="6" s="455" customFormat="1" ht="14.25" customHeight="1">
      <x:c r="A6" s="512" t="inlineStr">
        <x:is>
          <x:t xml:space="preserve">Code</x:t>
        </x:is>
      </x:c>
      <x:c r="B6" s="512" t="inlineStr">
        <x:is>
          <x:t xml:space="preserve">Category</x:t>
        </x:is>
      </x:c>
      <x:c r="C6" s="512" t="inlineStr">
        <x:is>
          <x:t xml:space="preserve">Description</x:t>
        </x:is>
      </x:c>
      <x:c r="D6" s="512" t="inlineStr">
        <x:is>
          <x:t xml:space="preserve">p(cat)</x:t>
        </x:is>
      </x:c>
      <x:c r="E6" s="512" t="inlineStr">
        <x:is>
          <x:t xml:space="preserve">p_floor</x:t>
        </x:is>
      </x:c>
      <x:c r="F6" s="512" t="inlineStr">
        <x:is>
          <x:t xml:space="preserve">Status</x:t>
        </x:is>
      </x:c>
      <x:c r="G6" s="471" t="inlineStr">
        <x:is>
          <x:t xml:space="preserve">Required?</x:t>
        </x:is>
      </x:c>
    </x:row>
    <x:row r="7" s="455" customFormat="1" ht="14.25" customHeight="1">
      <x:c r="A7" s="471" t="inlineStr">
        <x:is>
          <x:t xml:space="preserve">WTSL-PAN</x:t>
        </x:is>
      </x:c>
      <x:c r="B7" s="471" t="inlineStr">
        <x:is>
          <x:t xml:space="preserve">Pandemic</x:t>
        </x:is>
      </x:c>
      <x:c r="C7" s="471" t="inlineStr">
        <x:is>
          <x:t xml:space="preserve">Global health crisis</x:t>
        </x:is>
      </x:c>
      <x:c r="D7" s="471" t="n">
        <x:f>SUMIF(Scenario_Impacts!$B$11:$B$16,A7,Scenario_Impacts!$C$11:$C$16)</x:f>
        <x:v>0.08</x:v>
      </x:c>
      <x:c r="E7" s="471" t="n">
        <x:v>0.02</x:v>
      </x:c>
      <x:c r="F7" s="485" t="str">
        <x:f>IF(G7="NO","OPTIONAL",IF(D7&gt;=E7,"✓ COVERED","✗ MISSING"))</x:f>
        <x:v>✓ COVERED</x:v>
      </x:c>
      <x:c r="G7" s="471" t="str">
        <x:f>IF(A7="WTSL-AIX",IF(Config!$B$13="YES","YES","NO"),"YES")</x:f>
        <x:v>YES</x:v>
      </x:c>
    </x:row>
    <x:row r="8" s="455" customFormat="1" ht="14.25" customHeight="1">
      <x:c r="A8" s="471" t="inlineStr">
        <x:is>
          <x:t xml:space="preserve">WTSL-CLI</x:t>
        </x:is>
      </x:c>
      <x:c r="B8" s="471" t="inlineStr">
        <x:is>
          <x:t xml:space="preserve">Climate</x:t>
        </x:is>
      </x:c>
      <x:c r="C8" s="471" t="inlineStr">
        <x:is>
          <x:t xml:space="preserve">Climate catastrophe</x:t>
        </x:is>
      </x:c>
      <x:c r="D8" s="471" t="n">
        <x:f>SUMIF(Scenario_Impacts!$B$11:$B$16,A8,Scenario_Impacts!$C$11:$C$16)</x:f>
        <x:v>0.07</x:v>
      </x:c>
      <x:c r="E8" s="471" t="n">
        <x:v>0.02</x:v>
      </x:c>
      <x:c r="F8" s="485" t="str">
        <x:f>IF(G8="NO","OPTIONAL",IF(D8&gt;=E8,"✓ COVERED","✗ MISSING"))</x:f>
        <x:v>✓ COVERED</x:v>
      </x:c>
      <x:c r="G8" s="471" t="str">
        <x:f>IF(A8="WTSL-AIX",IF(Config!$B$13="YES","YES","NO"),"YES")</x:f>
        <x:v>YES</x:v>
      </x:c>
    </x:row>
    <x:row r="9" s="455" customFormat="1" ht="14.25" customHeight="1">
      <x:c r="A9" s="471" t="inlineStr">
        <x:is>
          <x:t xml:space="preserve">WTSL-FIN</x:t>
        </x:is>
      </x:c>
      <x:c r="B9" s="471" t="inlineStr">
        <x:is>
          <x:t xml:space="preserve">Financial</x:t>
        </x:is>
      </x:c>
      <x:c r="C9" s="471" t="inlineStr">
        <x:is>
          <x:t xml:space="preserve">Financial system collapse</x:t>
        </x:is>
      </x:c>
      <x:c r="D9" s="471" t="n">
        <x:f>SUMIF(Scenario_Impacts!$B$11:$B$16,A9,Scenario_Impacts!$C$11:$C$16)</x:f>
        <x:v>0.15</x:v>
      </x:c>
      <x:c r="E9" s="471" t="n">
        <x:v>0.02</x:v>
      </x:c>
      <x:c r="F9" s="485" t="str">
        <x:f>IF(G9="NO","OPTIONAL",IF(D9&gt;=E9,"✓ COVERED","✗ MISSING"))</x:f>
        <x:v>✓ COVERED</x:v>
      </x:c>
      <x:c r="G9" s="471" t="str">
        <x:f>IF(A9="WTSL-AIX",IF(Config!$B$13="YES","YES","NO"),"YES")</x:f>
        <x:v>YES</x:v>
      </x:c>
    </x:row>
    <x:row r="10" s="455" customFormat="1" ht="14.25" customHeight="1">
      <x:c r="A10" s="471" t="inlineStr">
        <x:is>
          <x:t xml:space="preserve">WTSL-CON</x:t>
        </x:is>
      </x:c>
      <x:c r="B10" s="471" t="inlineStr">
        <x:is>
          <x:t xml:space="preserve">Conflict</x:t>
        </x:is>
      </x:c>
      <x:c r="C10" s="471" t="inlineStr">
        <x:is>
          <x:t xml:space="preserve">Major armed conflict</x:t>
        </x:is>
      </x:c>
      <x:c r="D10" s="471" t="n">
        <x:f>SUMIF(Scenario_Impacts!$B$11:$B$16,A10,Scenario_Impacts!$C$11:$C$16)</x:f>
        <x:v>0.03</x:v>
      </x:c>
      <x:c r="E10" s="471" t="n">
        <x:v>0.02</x:v>
      </x:c>
      <x:c r="F10" s="485" t="str">
        <x:f>IF(G10="NO","OPTIONAL",IF(D10&gt;=E10,"✓ COVERED","✗ MISSING"))</x:f>
        <x:v>✓ COVERED</x:v>
      </x:c>
      <x:c r="G10" s="471" t="str">
        <x:f>IF(A10="WTSL-AIX",IF(Config!$B$13="YES","YES","NO"),"YES")</x:f>
        <x:v>YES</x:v>
      </x:c>
    </x:row>
    <x:row r="11" s="455" customFormat="1" ht="14.25" customHeight="1">
      <x:c r="A11" s="471" t="inlineStr">
        <x:is>
          <x:t xml:space="preserve">WTSL-INF</x:t>
        </x:is>
      </x:c>
      <x:c r="B11" s="471" t="inlineStr">
        <x:is>
          <x:t xml:space="preserve">Infrastructure</x:t>
        </x:is>
      </x:c>
      <x:c r="C11" s="471" t="inlineStr">
        <x:is>
          <x:t xml:space="preserve">Critical infrastructure failure</x:t>
        </x:is>
      </x:c>
      <x:c r="D11" s="471" t="n">
        <x:f>SUMIF(Scenario_Impacts!$B$11:$B$16,A11,Scenario_Impacts!$C$11:$C$16)</x:f>
        <x:v>0.05</x:v>
      </x:c>
      <x:c r="E11" s="471" t="n">
        <x:v>0.02</x:v>
      </x:c>
      <x:c r="F11" s="485" t="str">
        <x:f>IF(G11="NO","OPTIONAL",IF(D11&gt;=E11,"✓ COVERED","✗ MISSING"))</x:f>
        <x:v>✓ COVERED</x:v>
      </x:c>
      <x:c r="G11" s="471" t="str">
        <x:f>IF(A11="WTSL-AIX",IF(Config!$B$13="YES","YES","NO"),"YES")</x:f>
        <x:v>YES</x:v>
      </x:c>
    </x:row>
    <x:row r="12" s="455" customFormat="1" ht="14.25" customHeight="1">
      <x:c r="A12" s="471" t="inlineStr">
        <x:is>
          <x:t xml:space="preserve">WTSL-AIX</x:t>
        </x:is>
      </x:c>
      <x:c r="B12" s="471" t="inlineStr">
        <x:is>
          <x:t xml:space="preserve">AI Risk</x:t>
        </x:is>
      </x:c>
      <x:c r="C12" s="471" t="inlineStr">
        <x:is>
          <x:t xml:space="preserve">AI misalignment event</x:t>
        </x:is>
      </x:c>
      <x:c r="D12" s="471" t="n">
        <x:f>SUMIF(Scenario_Impacts!$B$11:$B$16,A12,Scenario_Impacts!$C$11:$C$16)</x:f>
        <x:v>0.02</x:v>
      </x:c>
      <x:c r="E12" s="471" t="n">
        <x:v>0.02</x:v>
      </x:c>
      <x:c r="F12" s="485" t="str">
        <x:f>IF(G12="NO","OPTIONAL",IF(D12&gt;=E12,"✓ COVERED","✗ MISSING"))</x:f>
        <x:v>OPTIONAL</x:v>
      </x:c>
      <x:c r="G12" s="471" t="str">
        <x:f>IF(A12="WTSL-AIX",IF(Config!$B$13="YES","YES","NO"),"YES")</x:f>
        <x:v>NO</x:v>
      </x:c>
    </x:row>
    <x:row r="13" s="455" customFormat="1" ht="13.5" customHeight="1"/>
    <x:row r="14" s="455" customFormat="1" ht="13.5" customHeight="1"/>
    <x:row r="15" s="455" customFormat="1" ht="14.25" customHeight="1">
      <x:c r="A15" s="512" t="inlineStr">
        <x:is>
          <x:t xml:space="preserve">COVERAGE CHECK</x:t>
        </x:is>
      </x:c>
    </x:row>
    <x:row r="16" s="455" customFormat="1" ht="14.25" customHeight="1">
      <x:c r="A16" s="471" t="inlineStr">
        <x:is>
          <x:t xml:space="preserve">Mandatory Count:</x:t>
        </x:is>
      </x:c>
      <x:c r="B16" s="485" t="n">
        <x:f>CANON!B41</x:f>
        <x:v>5</x:v>
      </x:c>
      <x:c r="C16" s="471" t="inlineStr">
        <x:is>
          <x:t xml:space="preserve">(5 if AI_DEPLOYMENT=NO, 6 if YES)</x:t>
        </x:is>
      </x:c>
    </x:row>
    <x:row r="17" s="455" customFormat="1" ht="14.25" customHeight="1">
      <x:c r="A17" s="471" t="inlineStr">
        <x:is>
          <x:t xml:space="preserve">Covered Count:</x:t>
        </x:is>
      </x:c>
      <x:c r="B17" s="485" t="n">
        <x:f>SUMPRODUCT((G7:G12&lt;&gt;"NO")*(D7:D12&gt;=E7:E12))</x:f>
        <x:v>5</x:v>
      </x:c>
    </x:row>
    <x:row r="18" s="455" customFormat="1" ht="21.75" customHeight="1">
      <x:c r="A18" s="471" t="inlineStr">
        <x:is>
          <x:t xml:space="preserve">Tail p-sum:</x:t>
        </x:is>
      </x:c>
      <x:c r="B18" s="471" t="n">
        <x:f>SUM(D7:D12)</x:f>
        <x:v>0.4000000000000001</x:v>
      </x:c>
      <x:c r="C18" s="515" t="inlineStr">
        <x:is>
          <x:t xml:space="preserve">(incl. optional AIX if used)</x:t>
        </x:is>
      </x:c>
    </x:row>
  </x:sheetData>
  <x:mergeCells>
    <x:mergeCell ref="A1:H1"/>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6796875" defaultRowHeight="12.75"/>
  <x:cols>
    <x:col min="15" max="15" width="20" style="497" customWidth="1"/>
    <x:col min="16" max="16" width="34" style="497" customWidth="1"/>
    <x:col min="17" max="17" width="24" style="497" customWidth="1"/>
    <x:col min="18" max="18" width="18" style="497" customWidth="1"/>
    <x:col min="19" max="19" width="24" style="497" customWidth="1"/>
    <x:col min="20" max="20" width="40" style="497" customWidth="1"/>
    <x:col min="21" max="22" width="18" style="497" customWidth="1"/>
    <x:col min="23" max="23" width="42" style="497" customWidth="1"/>
  </x:cols>
  <x:sheetData>
    <x:row r="1" s="455" customFormat="1" ht="14.25" customHeight="1">
      <x:c r="A1" s="511" t="inlineStr">
        <x:is>
          <x:t xml:space="preserve">IMPACT INSTANCE INPUT</x:t>
        </x:is>
      </x:c>
      <x:c r="B1" s="457" t="n"/>
      <x:c r="C1" s="457" t="n"/>
      <x:c r="D1" s="457" t="n"/>
      <x:c r="E1" s="457" t="n"/>
      <x:c r="F1" s="457" t="n"/>
      <x:c r="G1" s="457" t="n"/>
      <x:c r="H1" s="457" t="n"/>
      <x:c r="I1" s="457" t="n"/>
      <x:c r="J1" s="457" t="n"/>
      <x:c r="K1" s="457" t="n"/>
      <x:c r="L1" s="457" t="n"/>
      <x:c r="M1" s="457" t="n"/>
      <x:c r="N1" s="457" t="n"/>
    </x:row>
    <x:row r="2" s="455" customFormat="1" ht="13.5" customHeight="1"/>
    <x:row r="3" s="455" customFormat="1" ht="14.25" customHeight="1">
      <x:c r="A3" s="471" t="inlineStr">
        <x:is>
          <x:t xml:space="preserve">Formula surface (current worked-run): Contrib_Base = μ × r × ℓ × c × e × 1 × τ(t); Contrib_Welfare = μ × r × ℓ × c × e × s × τ(t)</x:t>
        </x:is>
      </x:c>
      <x:c r="O3" s="478" t="inlineStr">
        <x:is>
          <x:t xml:space="preserve">Tier-2 disclosure surface added: ReachBasisType / Denominator / Estimator per logged impact instance.</x:t>
        </x:is>
      </x:c>
      <x:c r="R3" s="478" t="inlineStr">
        <x:is>
          <x:t xml:space="preserve">v9.x+1 hardening: explicit e_k governance + provenance fields for each logged impact instance.</x:t>
        </x:is>
      </x:c>
    </x:row>
    <x:row r="4" s="455" customFormat="1" ht="14.25" customHeight="1">
      <x:c r="A4" s="471" t="inlineStr">
        <x:is>
          <x:t xml:space="preserve">Identity condition note. Because all logged instances in this exemplar use the Human Plateau Rule with SG_norm(H) = SG_patient_norm(H) = 1.0, Base-stream and Welfare-stream contributions are numerically identical here. Generalized non-human or mixed-substrate runs require explicit downstream stream separation.</x:t>
        </x:is>
      </x:c>
    </x:row>
    <x:row r="5" s="455" customFormat="1" ht="13.5" customHeight="1"/>
    <x:row r="6" s="455" customFormat="1" ht="14.25" customHeight="1">
      <x:c r="A6" s="529" t="inlineStr">
        <x:is>
          <x:t xml:space="preserve">ID</x:t>
        </x:is>
      </x:c>
      <x:c r="B6" s="529" t="inlineStr">
        <x:is>
          <x:t xml:space="preserve">Opt</x:t>
        </x:is>
      </x:c>
      <x:c r="C6" s="529" t="inlineStr">
        <x:is>
          <x:t xml:space="preserve">Union Scope</x:t>
        </x:is>
      </x:c>
      <x:c r="D6" s="529" t="inlineStr">
        <x:is>
          <x:t xml:space="preserve">Dim</x:t>
        </x:is>
      </x:c>
      <x:c r="E6" s="529" t="inlineStr">
        <x:is>
          <x:t xml:space="preserve">Description</x:t>
        </x:is>
      </x:c>
      <x:c r="F6" s="529" t="inlineStr">
        <x:is>
          <x:t xml:space="preserve">μ</x:t>
        </x:is>
      </x:c>
      <x:c r="G6" s="529" t="inlineStr">
        <x:is>
          <x:t xml:space="preserve">r</x:t>
        </x:is>
      </x:c>
      <x:c r="H6" s="529" t="inlineStr">
        <x:is>
          <x:t xml:space="preserve">ℓ</x:t>
        </x:is>
      </x:c>
      <x:c r="I6" s="529" t="inlineStr">
        <x:is>
          <x:t xml:space="preserve">c</x:t>
        </x:is>
      </x:c>
      <x:c r="J6" s="529" t="inlineStr">
        <x:is>
          <x:t xml:space="preserve">t</x:t>
        </x:is>
      </x:c>
      <x:c r="K6" s="529" t="inlineStr">
        <x:is>
          <x:t xml:space="preserve">e</x:t>
        </x:is>
      </x:c>
      <x:c r="L6" s="529" t="inlineStr">
        <x:is>
          <x:t xml:space="preserve">s</x:t>
        </x:is>
      </x:c>
      <x:c r="M6" s="529" t="inlineStr">
        <x:is>
          <x:t xml:space="preserve">τ(t)</x:t>
        </x:is>
      </x:c>
      <x:c r="N6" s="529" t="inlineStr">
        <x:is>
          <x:t xml:space="preserve">Contrib</x:t>
        </x:is>
      </x:c>
      <x:c r="O6" s="529" t="inlineStr">
        <x:is>
          <x:t xml:space="preserve">ReachBasisType</x:t>
        </x:is>
      </x:c>
      <x:c r="P6" s="529" t="inlineStr">
        <x:is>
          <x:t xml:space="preserve">ReachBasisDenominator</x:t>
        </x:is>
      </x:c>
      <x:c r="Q6" s="529" t="inlineStr">
        <x:is>
          <x:t xml:space="preserve">ReachBasisEstimator</x:t>
        </x:is>
      </x:c>
      <x:c r="R6" s="529" t="inlineStr">
        <x:is>
          <x:t xml:space="preserve">e_k_ReasonCode</x:t>
        </x:is>
      </x:c>
      <x:c r="S6" s="529" t="inlineStr">
        <x:is>
          <x:t xml:space="preserve">e_k_DefaultCounterfactual</x:t>
        </x:is>
      </x:c>
      <x:c r="T6" s="529" t="inlineStr">
        <x:is>
          <x:t xml:space="preserve">Input_Provenance_Note</x:t>
        </x:is>
      </x:c>
      <x:c r="U6" s="497" t="inlineStr">
        <x:is>
          <x:t xml:space="preserve">Contrib_Base</x:t>
        </x:is>
      </x:c>
      <x:c r="V6" s="497" t="inlineStr">
        <x:is>
          <x:t xml:space="preserve">Contrib_Welfare</x:t>
        </x:is>
      </x:c>
      <x:c r="W6" s="497" t="inlineStr">
        <x:is>
          <x:t xml:space="preserve">Stream_Identity_Note</x:t>
        </x:is>
      </x:c>
      <x:c r="X6" s="497" t="inlineStr">
        <x:is>
          <x:t xml:space="preserve">ReachBasisNote</x:t>
        </x:is>
      </x:c>
    </x:row>
    <x:row r="7" s="455" customFormat="1" ht="14.25" customHeight="1">
      <x:c r="A7" s="471" t="inlineStr">
        <x:is>
          <x:t xml:space="preserve">I01</x:t>
        </x:is>
      </x:c>
      <x:c r="B7" s="471" t="inlineStr">
        <x:is>
          <x:t xml:space="preserve">A</x:t>
        </x:is>
      </x:c>
      <x:c r="C7" s="471" t="inlineStr">
        <x:is>
          <x:t xml:space="preserve">U3</x:t>
        </x:is>
      </x:c>
      <x:c r="D7" s="471" t="inlineStr">
        <x:is>
          <x:t xml:space="preserve">D3</x:t>
        </x:is>
      </x:c>
      <x:c r="E7" s="471" t="inlineStr">
        <x:is>
          <x:t xml:space="preserve">Reduced in-person interaction</x:t>
        </x:is>
      </x:c>
      <x:c r="F7" s="471" t="n">
        <x:v>-0.3</x:v>
      </x:c>
      <x:c r="G7" s="471" t="n">
        <x:v>0.8</x:v>
      </x:c>
      <x:c r="H7" s="471" t="n">
        <x:v>0.7</x:v>
      </x:c>
      <x:c r="I7" s="471" t="n">
        <x:v>0.5</x:v>
      </x:c>
      <x:c r="J7" s="471" t="n">
        <x:v>5</x:v>
      </x:c>
      <x:c r="K7" s="471" t="n">
        <x:v>1</x:v>
      </x:c>
      <x:c r="L7" s="471" t="n">
        <x:v>1</x:v>
      </x:c>
      <x:c r="M7" s="486" t="n">
        <x:f>MIN(1, LN(1+MAX(J7, CANON!$B$27)) / LN(1+CANON!$B$25))</x:f>
        <x:v>0.5499405706118586</x:v>
      </x:c>
      <x:c r="N7" s="531" t="n">
        <x:f>F7*G7*H7*I7*K7*L7*M7</x:f>
        <x:v>-0.04619500793139612</x:v>
      </x:c>
      <x:c r="O7" s="531" t="inlineStr">
        <x:is>
          <x:t xml:space="preserve">OTHER_DECLARED</x:t>
        </x:is>
      </x:c>
      <x:c r="P7" s="531" t="inlineStr">
        <x:is>
          <x:t xml:space="preserve">Context-specific affected group or exposure denominator</x:t>
        </x:is>
      </x:c>
      <x:c r="Q7" s="531" t="inlineStr">
        <x:is>
          <x:t xml:space="preserve">Tier-2 analyst estimate</x:t>
        </x:is>
      </x:c>
      <x:c r="R7" s="531" t="inlineStr">
        <x:is>
          <x:t xml:space="preserve">DEFAULT_1.00</x:t>
        </x:is>
      </x:c>
      <x:c r="S7" s="531" t="n">
        <x:v>1</x:v>
      </x:c>
      <x:c r="T7" s="531" t="inlineStr">
        <x:is>
          <x:t xml:space="preserve">Worked-run analyst estimate; see PCC Section 17 for provenance and materiality rules.</x:t>
        </x:is>
      </x:c>
      <x:c r="U7" s="497" t="n">
        <x:f>F7*G7*H7*I7*K7*1*M7</x:f>
        <x:v>-0.04619500793139612</x:v>
      </x:c>
      <x:c r="V7" s="497" t="n">
        <x:f>F7*G7*H7*I7*K7*L7*M7</x:f>
        <x:v>-0.04619500793139612</x:v>
      </x:c>
      <x:c r="W7" s="497" t="inlineStr">
        <x:is>
          <x:t xml:space="preserve">Current human-only worked run: Base stream = Welfare stream because SG_norm(H) = SG_patient_norm(H) = 1.0 for all logged human instances. Generalized non-human runs must preserve explicit Base/Welfare stream separation.</x:t>
        </x:is>
      </x:c>
      <x:c r="X7" s="497" t="inlineStr">
        <x:is>
          <x:t xml:space="preserve">Canonical enum = OTHER_DECLARED. This worked-run uses a declared instance-share/exposure denominator for exemplar purposes; not a population-fraction claim.</x:t>
        </x:is>
      </x:c>
    </x:row>
    <x:row r="8" s="455" customFormat="1" ht="14.25" customHeight="1">
      <x:c r="A8" s="471" t="inlineStr">
        <x:is>
          <x:t xml:space="preserve">I02</x:t>
        </x:is>
      </x:c>
      <x:c r="B8" s="471" t="inlineStr">
        <x:is>
          <x:t xml:space="preserve">A</x:t>
        </x:is>
      </x:c>
      <x:c r="C8" s="471" t="inlineStr">
        <x:is>
          <x:t xml:space="preserve">U3</x:t>
        </x:is>
      </x:c>
      <x:c r="D8" s="471" t="inlineStr">
        <x:is>
          <x:t xml:space="preserve">D3</x:t>
        </x:is>
      </x:c>
      <x:c r="E8" s="471" t="inlineStr">
        <x:is>
          <x:t xml:space="preserve">Increased online community</x:t>
        </x:is>
      </x:c>
      <x:c r="F8" s="471" t="n">
        <x:v>0.15</x:v>
      </x:c>
      <x:c r="G8" s="471" t="n">
        <x:v>0.6</x:v>
      </x:c>
      <x:c r="H8" s="471" t="n">
        <x:v>0.5</x:v>
      </x:c>
      <x:c r="I8" s="471" t="n">
        <x:v>0.3</x:v>
      </x:c>
      <x:c r="J8" s="471" t="n">
        <x:v>3</x:v>
      </x:c>
      <x:c r="K8" s="471" t="n">
        <x:v>1</x:v>
      </x:c>
      <x:c r="L8" s="471" t="n">
        <x:v>1</x:v>
      </x:c>
      <x:c r="M8" s="486" t="n">
        <x:f>MIN(1, LN(1+MAX(J8, CANON!$B$27)) / LN(1+CANON!$B$25))</x:f>
        <x:v>0.4254921071067263</x:v>
      </x:c>
      <x:c r="N8" s="531" t="n">
        <x:f>F8*G8*H8*I8*K8*L8*M8</x:f>
        <x:v>0.005744143445940805</x:v>
      </x:c>
      <x:c r="O8" s="531" t="inlineStr">
        <x:is>
          <x:t xml:space="preserve">OTHER_DECLARED</x:t>
        </x:is>
      </x:c>
      <x:c r="P8" s="531" t="inlineStr">
        <x:is>
          <x:t xml:space="preserve">Context-specific affected group or exposure denominator</x:t>
        </x:is>
      </x:c>
      <x:c r="Q8" s="531" t="inlineStr">
        <x:is>
          <x:t xml:space="preserve">Tier-2 analyst estimate</x:t>
        </x:is>
      </x:c>
      <x:c r="R8" s="531" t="inlineStr">
        <x:is>
          <x:t xml:space="preserve">DEFAULT_1.00</x:t>
        </x:is>
      </x:c>
      <x:c r="S8" s="531" t="n">
        <x:v>1</x:v>
      </x:c>
      <x:c r="T8" s="531" t="inlineStr">
        <x:is>
          <x:t xml:space="preserve">Worked-run analyst estimate; see PCC Section 17 for provenance and materiality rules.</x:t>
        </x:is>
      </x:c>
      <x:c r="U8" s="497" t="n">
        <x:f>F8*G8*H8*I8*K8*1*M8</x:f>
        <x:v>0.005744143445940805</x:v>
      </x:c>
      <x:c r="V8" s="497" t="n">
        <x:f>F8*G8*H8*I8*K8*L8*M8</x:f>
        <x:v>0.005744143445940805</x:v>
      </x:c>
      <x:c r="W8" s="497" t="inlineStr">
        <x:is>
          <x:t xml:space="preserve">Current human-only worked run: Base stream = Welfare stream because SG_norm(H) = SG_patient_norm(H) = 1.0 for all logged human instances. Generalized non-human runs must preserve explicit Base/Welfare stream separation.</x:t>
        </x:is>
      </x:c>
      <x:c r="X8" s="497" t="inlineStr">
        <x:is>
          <x:t xml:space="preserve">Canonical enum = OTHER_DECLARED. This worked-run uses a declared instance-share/exposure denominator for exemplar purposes; not a population-fraction claim.</x:t>
        </x:is>
      </x:c>
    </x:row>
    <x:row r="9" s="455" customFormat="1" ht="14.25" customHeight="1">
      <x:c r="A9" s="471" t="inlineStr">
        <x:is>
          <x:t xml:space="preserve">I03</x:t>
        </x:is>
      </x:c>
      <x:c r="B9" s="471" t="inlineStr">
        <x:is>
          <x:t xml:space="preserve">A</x:t>
        </x:is>
      </x:c>
      <x:c r="C9" s="471" t="inlineStr">
        <x:is>
          <x:t xml:space="preserve">U1</x:t>
        </x:is>
      </x:c>
      <x:c r="D9" s="471" t="inlineStr">
        <x:is>
          <x:t xml:space="preserve">D5</x:t>
        </x:is>
      </x:c>
      <x:c r="E9" s="471" t="inlineStr">
        <x:is>
          <x:t xml:space="preserve">Increased work flexibility</x:t>
        </x:is>
      </x:c>
      <x:c r="F9" s="471" t="n">
        <x:v>0.4</x:v>
      </x:c>
      <x:c r="G9" s="471" t="n">
        <x:v>0.9</x:v>
      </x:c>
      <x:c r="H9" s="471" t="n">
        <x:v>0.8</x:v>
      </x:c>
      <x:c r="I9" s="471" t="n">
        <x:v>0.6</x:v>
      </x:c>
      <x:c r="J9" s="471" t="n">
        <x:v>10</x:v>
      </x:c>
      <x:c r="K9" s="471" t="n">
        <x:v>1</x:v>
      </x:c>
      <x:c r="L9" s="471" t="n">
        <x:v>1</x:v>
      </x:c>
      <x:c r="M9" s="486" t="n">
        <x:f>MIN(1, LN(1+MAX(J9, CANON!$B$27)) / LN(1+CANON!$B$25))</x:f>
        <x:v>0.7359804244028082</x:v>
      </x:c>
      <x:c r="N9" s="531" t="n">
        <x:f>F9*G9*H9*I9*K9*L9*M9</x:f>
        <x:v>0.12717741733680527</x:v>
      </x:c>
      <x:c r="O9" s="531" t="inlineStr">
        <x:is>
          <x:t xml:space="preserve">OTHER_DECLARED</x:t>
        </x:is>
      </x:c>
      <x:c r="P9" s="531" t="inlineStr">
        <x:is>
          <x:t xml:space="preserve">Context-specific affected group or exposure denominator</x:t>
        </x:is>
      </x:c>
      <x:c r="Q9" s="531" t="inlineStr">
        <x:is>
          <x:t xml:space="preserve">Tier-2 analyst estimate</x:t>
        </x:is>
      </x:c>
      <x:c r="R9" s="531" t="inlineStr">
        <x:is>
          <x:t xml:space="preserve">DEFAULT_1.00</x:t>
        </x:is>
      </x:c>
      <x:c r="S9" s="531" t="n">
        <x:v>1</x:v>
      </x:c>
      <x:c r="T9" s="531" t="inlineStr">
        <x:is>
          <x:t xml:space="preserve">Worked-run analyst estimate; see PCC Section 17 for provenance and materiality rules.</x:t>
        </x:is>
      </x:c>
      <x:c r="U9" s="497" t="n">
        <x:f>F9*G9*H9*I9*K9*1*M9</x:f>
        <x:v>0.12717741733680527</x:v>
      </x:c>
      <x:c r="V9" s="497" t="n">
        <x:f>F9*G9*H9*I9*K9*L9*M9</x:f>
        <x:v>0.12717741733680527</x:v>
      </x:c>
      <x:c r="W9" s="497" t="inlineStr">
        <x:is>
          <x:t xml:space="preserve">Current human-only worked run: Base stream = Welfare stream because SG_norm(H) = SG_patient_norm(H) = 1.0 for all logged human instances. Generalized non-human runs must preserve explicit Base/Welfare stream separation.</x:t>
        </x:is>
      </x:c>
      <x:c r="X9" s="497" t="inlineStr">
        <x:is>
          <x:t xml:space="preserve">Canonical enum = OTHER_DECLARED. This worked-run uses a declared instance-share/exposure denominator for exemplar purposes; not a population-fraction claim.</x:t>
        </x:is>
      </x:c>
    </x:row>
    <x:row r="10" s="455" customFormat="1" ht="14.25" customHeight="1">
      <x:c r="A10" s="471" t="inlineStr">
        <x:is>
          <x:t xml:space="preserve">I04</x:t>
        </x:is>
      </x:c>
      <x:c r="B10" s="471" t="inlineStr">
        <x:is>
          <x:t xml:space="preserve">A</x:t>
        </x:is>
      </x:c>
      <x:c r="C10" s="471" t="inlineStr">
        <x:is>
          <x:t xml:space="preserve">U2</x:t>
        </x:is>
      </x:c>
      <x:c r="D10" s="471" t="inlineStr">
        <x:is>
          <x:t xml:space="preserve">D1</x:t>
        </x:is>
      </x:c>
      <x:c r="E10" s="471" t="inlineStr">
        <x:is>
          <x:t xml:space="preserve">Reduced commuting costs</x:t>
        </x:is>
      </x:c>
      <x:c r="F10" s="471" t="n">
        <x:v>0.25</x:v>
      </x:c>
      <x:c r="G10" s="471" t="n">
        <x:v>0.7</x:v>
      </x:c>
      <x:c r="H10" s="471" t="n">
        <x:v>0.6</x:v>
      </x:c>
      <x:c r="I10" s="471" t="n">
        <x:v>0.4</x:v>
      </x:c>
      <x:c r="J10" s="471" t="n">
        <x:v>5</x:v>
      </x:c>
      <x:c r="K10" s="471" t="n">
        <x:v>1</x:v>
      </x:c>
      <x:c r="L10" s="471" t="n">
        <x:v>1</x:v>
      </x:c>
      <x:c r="M10" s="486" t="n">
        <x:f>MIN(1, LN(1+MAX(J10, CANON!$B$27)) / LN(1+CANON!$B$25))</x:f>
        <x:v>0.5499405706118586</x:v>
      </x:c>
      <x:c r="N10" s="531" t="n">
        <x:f>F10*G10*H10*I10*K10*L10*M10</x:f>
        <x:v>0.023097503965698065</x:v>
      </x:c>
      <x:c r="O10" s="531" t="inlineStr">
        <x:is>
          <x:t xml:space="preserve">OTHER_DECLARED</x:t>
        </x:is>
      </x:c>
      <x:c r="P10" s="531" t="inlineStr">
        <x:is>
          <x:t xml:space="preserve">Context-specific affected group or exposure denominator</x:t>
        </x:is>
      </x:c>
      <x:c r="Q10" s="531" t="inlineStr">
        <x:is>
          <x:t xml:space="preserve">Tier-2 analyst estimate</x:t>
        </x:is>
      </x:c>
      <x:c r="R10" s="531" t="inlineStr">
        <x:is>
          <x:t xml:space="preserve">DEFAULT_1.00</x:t>
        </x:is>
      </x:c>
      <x:c r="S10" s="531" t="n">
        <x:v>1</x:v>
      </x:c>
      <x:c r="T10" s="531" t="inlineStr">
        <x:is>
          <x:t xml:space="preserve">Worked-run analyst estimate; see PCC Section 17 for provenance and materiality rules.</x:t>
        </x:is>
      </x:c>
      <x:c r="U10" s="497" t="n">
        <x:f>F10*G10*H10*I10*K10*1*M10</x:f>
        <x:v>0.023097503965698065</x:v>
      </x:c>
      <x:c r="V10" s="497" t="n">
        <x:f>F10*G10*H10*I10*K10*L10*M10</x:f>
        <x:v>0.023097503965698065</x:v>
      </x:c>
      <x:c r="W10" s="497" t="inlineStr">
        <x:is>
          <x:t xml:space="preserve">Current human-only worked run: Base stream = Welfare stream because SG_norm(H) = SG_patient_norm(H) = 1.0 for all logged human instances. Generalized non-human runs must preserve explicit Base/Welfare stream separation.</x:t>
        </x:is>
      </x:c>
      <x:c r="X10" s="497" t="inlineStr">
        <x:is>
          <x:t xml:space="preserve">Canonical enum = OTHER_DECLARED. This worked-run uses a declared instance-share/exposure denominator for exemplar purposes; not a population-fraction claim.</x:t>
        </x:is>
      </x:c>
    </x:row>
    <x:row r="11" s="455" customFormat="1" ht="14.25" customHeight="1">
      <x:c r="A11" s="471" t="inlineStr">
        <x:is>
          <x:t xml:space="preserve">I05</x:t>
        </x:is>
      </x:c>
      <x:c r="B11" s="471" t="inlineStr">
        <x:is>
          <x:t xml:space="preserve">A</x:t>
        </x:is>
      </x:c>
      <x:c r="C11" s="471" t="inlineStr">
        <x:is>
          <x:t xml:space="preserve">U1</x:t>
        </x:is>
      </x:c>
      <x:c r="D11" s="471" t="inlineStr">
        <x:is>
          <x:t xml:space="preserve">D6</x:t>
        </x:is>
      </x:c>
      <x:c r="E11" s="471" t="inlineStr">
        <x:is>
          <x:t xml:space="preserve">Better work-life balance</x:t>
        </x:is>
      </x:c>
      <x:c r="F11" s="471" t="n">
        <x:v>0.35</x:v>
      </x:c>
      <x:c r="G11" s="471" t="n">
        <x:v>0.8</x:v>
      </x:c>
      <x:c r="H11" s="471" t="n">
        <x:v>0.7</x:v>
      </x:c>
      <x:c r="I11" s="471" t="n">
        <x:v>0.5</x:v>
      </x:c>
      <x:c r="J11" s="471" t="n">
        <x:v>10</x:v>
      </x:c>
      <x:c r="K11" s="471" t="n">
        <x:v>1</x:v>
      </x:c>
      <x:c r="L11" s="471" t="n">
        <x:v>1</x:v>
      </x:c>
      <x:c r="M11" s="486" t="n">
        <x:f>MIN(1, LN(1+MAX(J11, CANON!$B$27)) / LN(1+CANON!$B$25))</x:f>
        <x:v>0.7359804244028082</x:v>
      </x:c>
      <x:c r="N11" s="531" t="n">
        <x:f>F11*G11*H11*I11*K11*L11*M11</x:f>
        <x:v>0.0721260815914752</x:v>
      </x:c>
      <x:c r="O11" s="531" t="inlineStr">
        <x:is>
          <x:t xml:space="preserve">OTHER_DECLARED</x:t>
        </x:is>
      </x:c>
      <x:c r="P11" s="531" t="inlineStr">
        <x:is>
          <x:t xml:space="preserve">Context-specific affected group or exposure denominator</x:t>
        </x:is>
      </x:c>
      <x:c r="Q11" s="531" t="inlineStr">
        <x:is>
          <x:t xml:space="preserve">Tier-2 analyst estimate</x:t>
        </x:is>
      </x:c>
      <x:c r="R11" s="531" t="inlineStr">
        <x:is>
          <x:t xml:space="preserve">DEFAULT_1.00</x:t>
        </x:is>
      </x:c>
      <x:c r="S11" s="531" t="n">
        <x:v>1</x:v>
      </x:c>
      <x:c r="T11" s="531" t="inlineStr">
        <x:is>
          <x:t xml:space="preserve">Worked-run analyst estimate; see PCC Section 17 for provenance and materiality rules.</x:t>
        </x:is>
      </x:c>
      <x:c r="U11" s="497" t="n">
        <x:f>F11*G11*H11*I11*K11*1*M11</x:f>
        <x:v>0.0721260815914752</x:v>
      </x:c>
      <x:c r="V11" s="497" t="n">
        <x:f>F11*G11*H11*I11*K11*L11*M11</x:f>
        <x:v>0.0721260815914752</x:v>
      </x:c>
      <x:c r="W11" s="497" t="inlineStr">
        <x:is>
          <x:t xml:space="preserve">Current human-only worked run: Base stream = Welfare stream because SG_norm(H) = SG_patient_norm(H) = 1.0 for all logged human instances. Generalized non-human runs must preserve explicit Base/Welfare stream separation.</x:t>
        </x:is>
      </x:c>
      <x:c r="X11" s="497" t="inlineStr">
        <x:is>
          <x:t xml:space="preserve">Canonical enum = OTHER_DECLARED. This worked-run uses a declared instance-share/exposure denominator for exemplar purposes; not a population-fraction claim.</x:t>
        </x:is>
      </x:c>
    </x:row>
    <x:row r="12" s="455" customFormat="1" ht="14.25" customHeight="1">
      <x:c r="A12" s="471" t="inlineStr">
        <x:is>
          <x:t xml:space="preserve">I06</x:t>
        </x:is>
      </x:c>
      <x:c r="B12" s="471" t="inlineStr">
        <x:is>
          <x:t xml:space="preserve">A</x:t>
        </x:is>
      </x:c>
      <x:c r="C12" s="471" t="inlineStr">
        <x:is>
          <x:t xml:space="preserve">U7</x:t>
        </x:is>
      </x:c>
      <x:c r="D12" s="471" t="inlineStr">
        <x:is>
          <x:t xml:space="preserve">D7</x:t>
        </x:is>
      </x:c>
      <x:c r="E12" s="471" t="inlineStr">
        <x:is>
          <x:t xml:space="preserve">Reduced carbon emissions</x:t>
        </x:is>
      </x:c>
      <x:c r="F12" s="471" t="n">
        <x:v>0.15</x:v>
      </x:c>
      <x:c r="G12" s="471" t="n">
        <x:v>0.5</x:v>
      </x:c>
      <x:c r="H12" s="471" t="n">
        <x:v>0.4</x:v>
      </x:c>
      <x:c r="I12" s="471" t="n">
        <x:v>0.3</x:v>
      </x:c>
      <x:c r="J12" s="471" t="n">
        <x:v>15</x:v>
      </x:c>
      <x:c r="K12" s="471" t="n">
        <x:v>1</x:v>
      </x:c>
      <x:c r="L12" s="471" t="n">
        <x:v>1</x:v>
      </x:c>
      <x:c r="M12" s="486" t="n">
        <x:f>MIN(1, LN(1+MAX(J12, CANON!$B$27)) / LN(1+CANON!$B$25))</x:f>
        <x:v>0.8509842142134526</x:v>
      </x:c>
      <x:c r="N12" s="531" t="n">
        <x:f>F12*G12*H12*I12*K12*L12*M12</x:f>
        <x:v>0.007658857927921073</x:v>
      </x:c>
      <x:c r="O12" s="531" t="inlineStr">
        <x:is>
          <x:t xml:space="preserve">OTHER_DECLARED</x:t>
        </x:is>
      </x:c>
      <x:c r="P12" s="531" t="inlineStr">
        <x:is>
          <x:t xml:space="preserve">Context-specific affected group or exposure denominator</x:t>
        </x:is>
      </x:c>
      <x:c r="Q12" s="531" t="inlineStr">
        <x:is>
          <x:t xml:space="preserve">Tier-2 analyst estimate</x:t>
        </x:is>
      </x:c>
      <x:c r="R12" s="531" t="inlineStr">
        <x:is>
          <x:t xml:space="preserve">DEFAULT_1.00</x:t>
        </x:is>
      </x:c>
      <x:c r="S12" s="531" t="n">
        <x:v>1</x:v>
      </x:c>
      <x:c r="T12" s="531" t="inlineStr">
        <x:is>
          <x:t xml:space="preserve">Worked-run analyst estimate; see PCC Section 17 for provenance and materiality rules.</x:t>
        </x:is>
      </x:c>
      <x:c r="U12" s="497" t="n">
        <x:f>F12*G12*H12*I12*K12*1*M12</x:f>
        <x:v>0.007658857927921073</x:v>
      </x:c>
      <x:c r="V12" s="497" t="n">
        <x:f>F12*G12*H12*I12*K12*L12*M12</x:f>
        <x:v>0.007658857927921073</x:v>
      </x:c>
      <x:c r="W12" s="497" t="inlineStr">
        <x:is>
          <x:t xml:space="preserve">Current human-only worked run: Base stream = Welfare stream because SG_norm(H) = SG_patient_norm(H) = 1.0 for all logged human instances. Generalized non-human runs must preserve explicit Base/Welfare stream separation.</x:t>
        </x:is>
      </x:c>
      <x:c r="X12" s="497" t="inlineStr">
        <x:is>
          <x:t xml:space="preserve">Canonical enum = OTHER_DECLARED. This worked-run uses a declared instance-share/exposure denominator for exemplar purposes; not a population-fraction claim.</x:t>
        </x:is>
      </x:c>
    </x:row>
    <x:row r="13" s="455" customFormat="1" ht="14.25" customHeight="1">
      <x:c r="A13" s="471" t="inlineStr">
        <x:is>
          <x:t xml:space="preserve">I07</x:t>
        </x:is>
      </x:c>
      <x:c r="B13" s="471" t="inlineStr">
        <x:is>
          <x:t xml:space="preserve">A</x:t>
        </x:is>
      </x:c>
      <x:c r="C13" s="471" t="inlineStr">
        <x:is>
          <x:t xml:space="preserve">U4</x:t>
        </x:is>
      </x:c>
      <x:c r="D13" s="471" t="inlineStr">
        <x:is>
          <x:t xml:space="preserve">D1</x:t>
        </x:is>
      </x:c>
      <x:c r="E13" s="471" t="inlineStr">
        <x:is>
          <x:t xml:space="preserve">Tech infrastructure costs</x:t>
        </x:is>
      </x:c>
      <x:c r="F13" s="471" t="n">
        <x:v>-0.2</x:v>
      </x:c>
      <x:c r="G13" s="471" t="n">
        <x:v>0.9</x:v>
      </x:c>
      <x:c r="H13" s="471" t="n">
        <x:v>0.8</x:v>
      </x:c>
      <x:c r="I13" s="471" t="n">
        <x:v>0.7</x:v>
      </x:c>
      <x:c r="J13" s="471" t="n">
        <x:v>3</x:v>
      </x:c>
      <x:c r="K13" s="471" t="n">
        <x:v>1</x:v>
      </x:c>
      <x:c r="L13" s="471" t="n">
        <x:v>1</x:v>
      </x:c>
      <x:c r="M13" s="486" t="n">
        <x:f>MIN(1, LN(1+MAX(J13, CANON!$B$27)) / LN(1+CANON!$B$25))</x:f>
        <x:v>0.4254921071067263</x:v>
      </x:c>
      <x:c r="N13" s="531" t="n">
        <x:f>F13*G13*H13*I13*K13*L13*M13</x:f>
        <x:v>-0.042889604396358014</x:v>
      </x:c>
      <x:c r="O13" s="531" t="inlineStr">
        <x:is>
          <x:t xml:space="preserve">OTHER_DECLARED</x:t>
        </x:is>
      </x:c>
      <x:c r="P13" s="531" t="inlineStr">
        <x:is>
          <x:t xml:space="preserve">Context-specific affected group or exposure denominator</x:t>
        </x:is>
      </x:c>
      <x:c r="Q13" s="531" t="inlineStr">
        <x:is>
          <x:t xml:space="preserve">Tier-2 analyst estimate</x:t>
        </x:is>
      </x:c>
      <x:c r="R13" s="531" t="inlineStr">
        <x:is>
          <x:t xml:space="preserve">DEFAULT_1.00</x:t>
        </x:is>
      </x:c>
      <x:c r="S13" s="531" t="n">
        <x:v>1</x:v>
      </x:c>
      <x:c r="T13" s="531" t="inlineStr">
        <x:is>
          <x:t xml:space="preserve">Worked-run analyst estimate; see PCC Section 17 for provenance and materiality rules.</x:t>
        </x:is>
      </x:c>
      <x:c r="U13" s="497" t="n">
        <x:f>F13*G13*H13*I13*K13*1*M13</x:f>
        <x:v>-0.042889604396358014</x:v>
      </x:c>
      <x:c r="V13" s="497" t="n">
        <x:f>F13*G13*H13*I13*K13*L13*M13</x:f>
        <x:v>-0.042889604396358014</x:v>
      </x:c>
      <x:c r="W13" s="497" t="inlineStr">
        <x:is>
          <x:t xml:space="preserve">Current human-only worked run: Base stream = Welfare stream because SG_norm(H) = SG_patient_norm(H) = 1.0 for all logged human instances. Generalized non-human runs must preserve explicit Base/Welfare stream separation.</x:t>
        </x:is>
      </x:c>
      <x:c r="X13" s="497" t="inlineStr">
        <x:is>
          <x:t xml:space="preserve">Canonical enum = OTHER_DECLARED. This worked-run uses a declared instance-share/exposure denominator for exemplar purposes; not a population-fraction claim.</x:t>
        </x:is>
      </x:c>
    </x:row>
    <x:row r="14" s="455" customFormat="1" ht="14.25" customHeight="1">
      <x:c r="A14" s="471" t="inlineStr">
        <x:is>
          <x:t xml:space="preserve">I08</x:t>
        </x:is>
      </x:c>
      <x:c r="B14" s="471" t="inlineStr">
        <x:is>
          <x:t xml:space="preserve">A</x:t>
        </x:is>
      </x:c>
      <x:c r="C14" s="471" t="inlineStr">
        <x:is>
          <x:t xml:space="preserve">U3</x:t>
        </x:is>
      </x:c>
      <x:c r="D14" s="471" t="inlineStr">
        <x:is>
          <x:t xml:space="preserve">D1</x:t>
        </x:is>
      </x:c>
      <x:c r="E14" s="471" t="inlineStr">
        <x:is>
          <x:t xml:space="preserve">Reduced local business revenue</x:t>
        </x:is>
      </x:c>
      <x:c r="F14" s="471" t="n">
        <x:v>-0.15</x:v>
      </x:c>
      <x:c r="G14" s="471" t="n">
        <x:v>0.6</x:v>
      </x:c>
      <x:c r="H14" s="471" t="n">
        <x:v>0.5</x:v>
      </x:c>
      <x:c r="I14" s="471" t="n">
        <x:v>0.4</x:v>
      </x:c>
      <x:c r="J14" s="471" t="n">
        <x:v>5</x:v>
      </x:c>
      <x:c r="K14" s="471" t="n">
        <x:v>1</x:v>
      </x:c>
      <x:c r="L14" s="471" t="n">
        <x:v>1</x:v>
      </x:c>
      <x:c r="M14" s="486" t="n">
        <x:f>MIN(1, LN(1+MAX(J14, CANON!$B$27)) / LN(1+CANON!$B$25))</x:f>
        <x:v>0.5499405706118586</x:v>
      </x:c>
      <x:c r="N14" s="531" t="n">
        <x:f>F14*G14*H14*I14*K14*L14*M14</x:f>
        <x:v>-0.009898930271013455</x:v>
      </x:c>
      <x:c r="O14" s="531" t="inlineStr">
        <x:is>
          <x:t xml:space="preserve">OTHER_DECLARED</x:t>
        </x:is>
      </x:c>
      <x:c r="P14" s="531" t="inlineStr">
        <x:is>
          <x:t xml:space="preserve">Context-specific affected group or exposure denominator</x:t>
        </x:is>
      </x:c>
      <x:c r="Q14" s="531" t="inlineStr">
        <x:is>
          <x:t xml:space="preserve">Tier-2 analyst estimate</x:t>
        </x:is>
      </x:c>
      <x:c r="R14" s="531" t="inlineStr">
        <x:is>
          <x:t xml:space="preserve">DEFAULT_1.00</x:t>
        </x:is>
      </x:c>
      <x:c r="S14" s="531" t="n">
        <x:v>1</x:v>
      </x:c>
      <x:c r="T14" s="531" t="inlineStr">
        <x:is>
          <x:t xml:space="preserve">Worked-run analyst estimate; see PCC Section 17 for provenance and materiality rules.</x:t>
        </x:is>
      </x:c>
      <x:c r="U14" s="497" t="n">
        <x:f>F14*G14*H14*I14*K14*1*M14</x:f>
        <x:v>-0.009898930271013455</x:v>
      </x:c>
      <x:c r="V14" s="497" t="n">
        <x:f>F14*G14*H14*I14*K14*L14*M14</x:f>
        <x:v>-0.009898930271013455</x:v>
      </x:c>
      <x:c r="W14" s="497" t="inlineStr">
        <x:is>
          <x:t xml:space="preserve">Current human-only worked run: Base stream = Welfare stream because SG_norm(H) = SG_patient_norm(H) = 1.0 for all logged human instances. Generalized non-human runs must preserve explicit Base/Welfare stream separation.</x:t>
        </x:is>
      </x:c>
      <x:c r="X14" s="497" t="inlineStr">
        <x:is>
          <x:t xml:space="preserve">Canonical enum = OTHER_DECLARED. This worked-run uses a declared instance-share/exposure denominator for exemplar purposes; not a population-fraction claim.</x:t>
        </x:is>
      </x:c>
    </x:row>
    <x:row r="15" s="455" customFormat="1" ht="14.25" customHeight="1">
      <x:c r="A15" s="471" t="inlineStr">
        <x:is>
          <x:t xml:space="preserve">I09</x:t>
        </x:is>
      </x:c>
      <x:c r="B15" s="471" t="inlineStr">
        <x:is>
          <x:t xml:space="preserve">B</x:t>
        </x:is>
      </x:c>
      <x:c r="C15" s="471" t="inlineStr">
        <x:is>
          <x:t xml:space="preserve">U3</x:t>
        </x:is>
      </x:c>
      <x:c r="D15" s="471" t="inlineStr">
        <x:is>
          <x:t xml:space="preserve">D3</x:t>
        </x:is>
      </x:c>
      <x:c r="E15" s="471" t="inlineStr">
        <x:is>
          <x:t xml:space="preserve">Maintained in-person bonds</x:t>
        </x:is>
      </x:c>
      <x:c r="F15" s="471" t="n">
        <x:v>0.2</x:v>
      </x:c>
      <x:c r="G15" s="471" t="n">
        <x:v>0.8</x:v>
      </x:c>
      <x:c r="H15" s="471" t="n">
        <x:v>0.7</x:v>
      </x:c>
      <x:c r="I15" s="471" t="n">
        <x:v>0.5</x:v>
      </x:c>
      <x:c r="J15" s="471" t="n">
        <x:v>5</x:v>
      </x:c>
      <x:c r="K15" s="471" t="n">
        <x:v>1</x:v>
      </x:c>
      <x:c r="L15" s="471" t="n">
        <x:v>1</x:v>
      </x:c>
      <x:c r="M15" s="486" t="n">
        <x:f>MIN(1, LN(1+MAX(J15, CANON!$B$27)) / LN(1+CANON!$B$25))</x:f>
        <x:v>0.5499405706118586</x:v>
      </x:c>
      <x:c r="N15" s="531" t="n">
        <x:f>F15*G15*H15*I15*K15*L15*M15</x:f>
        <x:v>0.03079667195426409</x:v>
      </x:c>
      <x:c r="O15" s="531" t="inlineStr">
        <x:is>
          <x:t xml:space="preserve">OTHER_DECLARED</x:t>
        </x:is>
      </x:c>
      <x:c r="P15" s="531" t="inlineStr">
        <x:is>
          <x:t xml:space="preserve">Context-specific affected group or exposure denominator</x:t>
        </x:is>
      </x:c>
      <x:c r="Q15" s="531" t="inlineStr">
        <x:is>
          <x:t xml:space="preserve">Tier-2 analyst estimate</x:t>
        </x:is>
      </x:c>
      <x:c r="R15" s="531" t="inlineStr">
        <x:is>
          <x:t xml:space="preserve">DEFAULT_1.00</x:t>
        </x:is>
      </x:c>
      <x:c r="S15" s="531" t="n">
        <x:v>1</x:v>
      </x:c>
      <x:c r="T15" s="531" t="inlineStr">
        <x:is>
          <x:t xml:space="preserve">Worked-run analyst estimate; see PCC Section 17 for provenance and materiality rules.</x:t>
        </x:is>
      </x:c>
      <x:c r="U15" s="497" t="n">
        <x:f>F15*G15*H15*I15*K15*1*M15</x:f>
        <x:v>0.03079667195426409</x:v>
      </x:c>
      <x:c r="V15" s="497" t="n">
        <x:f>F15*G15*H15*I15*K15*L15*M15</x:f>
        <x:v>0.03079667195426409</x:v>
      </x:c>
      <x:c r="W15" s="497" t="inlineStr">
        <x:is>
          <x:t xml:space="preserve">Current human-only worked run: Base stream = Welfare stream because SG_norm(H) = SG_patient_norm(H) = 1.0 for all logged human instances. Generalized non-human runs must preserve explicit Base/Welfare stream separation.</x:t>
        </x:is>
      </x:c>
      <x:c r="X15" s="497" t="inlineStr">
        <x:is>
          <x:t xml:space="preserve">Canonical enum = OTHER_DECLARED. This worked-run uses a declared instance-share/exposure denominator for exemplar purposes; not a population-fraction claim.</x:t>
        </x:is>
      </x:c>
    </x:row>
    <x:row r="16" s="455" customFormat="1" ht="14.25" customHeight="1">
      <x:c r="A16" s="471" t="inlineStr">
        <x:is>
          <x:t xml:space="preserve">I10</x:t>
        </x:is>
      </x:c>
      <x:c r="B16" s="471" t="inlineStr">
        <x:is>
          <x:t xml:space="preserve">B</x:t>
        </x:is>
      </x:c>
      <x:c r="C16" s="471" t="inlineStr">
        <x:is>
          <x:t xml:space="preserve">U1</x:t>
        </x:is>
      </x:c>
      <x:c r="D16" s="471" t="inlineStr">
        <x:is>
          <x:t xml:space="preserve">D5</x:t>
        </x:is>
      </x:c>
      <x:c r="E16" s="471" t="inlineStr">
        <x:is>
          <x:t xml:space="preserve">Limited flexibility</x:t>
        </x:is>
      </x:c>
      <x:c r="F16" s="471" t="n">
        <x:v>-0.15</x:v>
      </x:c>
      <x:c r="G16" s="471" t="n">
        <x:v>0.7</x:v>
      </x:c>
      <x:c r="H16" s="471" t="n">
        <x:v>0.6</x:v>
      </x:c>
      <x:c r="I16" s="471" t="n">
        <x:v>0.5</x:v>
      </x:c>
      <x:c r="J16" s="471" t="n">
        <x:v>10</x:v>
      </x:c>
      <x:c r="K16" s="471" t="n">
        <x:v>1</x:v>
      </x:c>
      <x:c r="L16" s="471" t="n">
        <x:v>1</x:v>
      </x:c>
      <x:c r="M16" s="486" t="n">
        <x:f>MIN(1, LN(1+MAX(J16, CANON!$B$27)) / LN(1+CANON!$B$25))</x:f>
        <x:v>0.7359804244028082</x:v>
      </x:c>
      <x:c r="N16" s="531" t="n">
        <x:f>F16*G16*H16*I16*K16*L16*M16</x:f>
        <x:v>-0.02318338336868846</x:v>
      </x:c>
      <x:c r="O16" s="531" t="inlineStr">
        <x:is>
          <x:t xml:space="preserve">OTHER_DECLARED</x:t>
        </x:is>
      </x:c>
      <x:c r="P16" s="531" t="inlineStr">
        <x:is>
          <x:t xml:space="preserve">Context-specific affected group or exposure denominator</x:t>
        </x:is>
      </x:c>
      <x:c r="Q16" s="531" t="inlineStr">
        <x:is>
          <x:t xml:space="preserve">Tier-2 analyst estimate</x:t>
        </x:is>
      </x:c>
      <x:c r="R16" s="531" t="inlineStr">
        <x:is>
          <x:t xml:space="preserve">DEFAULT_1.00</x:t>
        </x:is>
      </x:c>
      <x:c r="S16" s="531" t="n">
        <x:v>1</x:v>
      </x:c>
      <x:c r="T16" s="531" t="inlineStr">
        <x:is>
          <x:t xml:space="preserve">Worked-run analyst estimate; see PCC Section 17 for provenance and materiality rules.</x:t>
        </x:is>
      </x:c>
      <x:c r="U16" s="497" t="n">
        <x:f>F16*G16*H16*I16*K16*1*M16</x:f>
        <x:v>-0.02318338336868846</x:v>
      </x:c>
      <x:c r="V16" s="497" t="n">
        <x:f>F16*G16*H16*I16*K16*L16*M16</x:f>
        <x:v>-0.02318338336868846</x:v>
      </x:c>
      <x:c r="W16" s="497" t="inlineStr">
        <x:is>
          <x:t xml:space="preserve">Current human-only worked run: Base stream = Welfare stream because SG_norm(H) = SG_patient_norm(H) = 1.0 for all logged human instances. Generalized non-human runs must preserve explicit Base/Welfare stream separation.</x:t>
        </x:is>
      </x:c>
      <x:c r="X16" s="497" t="inlineStr">
        <x:is>
          <x:t xml:space="preserve">Canonical enum = OTHER_DECLARED. This worked-run uses a declared instance-share/exposure denominator for exemplar purposes; not a population-fraction claim.</x:t>
        </x:is>
      </x:c>
    </x:row>
    <x:row r="17" s="455" customFormat="1" ht="14.25" customHeight="1">
      <x:c r="A17" s="471" t="inlineStr">
        <x:is>
          <x:t xml:space="preserve">I11</x:t>
        </x:is>
      </x:c>
      <x:c r="B17" s="471" t="inlineStr">
        <x:is>
          <x:t xml:space="preserve">B</x:t>
        </x:is>
      </x:c>
      <x:c r="C17" s="471" t="inlineStr">
        <x:is>
          <x:t xml:space="preserve">U2</x:t>
        </x:is>
      </x:c>
      <x:c r="D17" s="471" t="inlineStr">
        <x:is>
          <x:t xml:space="preserve">D1</x:t>
        </x:is>
      </x:c>
      <x:c r="E17" s="471" t="inlineStr">
        <x:is>
          <x:t xml:space="preserve">Continued commuting costs</x:t>
        </x:is>
      </x:c>
      <x:c r="F17" s="471" t="n">
        <x:v>-0.1</x:v>
      </x:c>
      <x:c r="G17" s="471" t="n">
        <x:v>0.7</x:v>
      </x:c>
      <x:c r="H17" s="471" t="n">
        <x:v>0.6</x:v>
      </x:c>
      <x:c r="I17" s="471" t="n">
        <x:v>0.4</x:v>
      </x:c>
      <x:c r="J17" s="471" t="n">
        <x:v>5</x:v>
      </x:c>
      <x:c r="K17" s="471" t="n">
        <x:v>1</x:v>
      </x:c>
      <x:c r="L17" s="471" t="n">
        <x:v>1</x:v>
      </x:c>
      <x:c r="M17" s="486" t="n">
        <x:f>MIN(1, LN(1+MAX(J17, CANON!$B$27)) / LN(1+CANON!$B$25))</x:f>
        <x:v>0.5499405706118586</x:v>
      </x:c>
      <x:c r="N17" s="531" t="n">
        <x:f>F17*G17*H17*I17*K17*L17*M17</x:f>
        <x:v>-0.009239001586279225</x:v>
      </x:c>
      <x:c r="O17" s="531" t="inlineStr">
        <x:is>
          <x:t xml:space="preserve">OTHER_DECLARED</x:t>
        </x:is>
      </x:c>
      <x:c r="P17" s="531" t="inlineStr">
        <x:is>
          <x:t xml:space="preserve">Context-specific affected group or exposure denominator</x:t>
        </x:is>
      </x:c>
      <x:c r="Q17" s="531" t="inlineStr">
        <x:is>
          <x:t xml:space="preserve">Tier-2 analyst estimate</x:t>
        </x:is>
      </x:c>
      <x:c r="R17" s="531" t="inlineStr">
        <x:is>
          <x:t xml:space="preserve">DEFAULT_1.00</x:t>
        </x:is>
      </x:c>
      <x:c r="S17" s="531" t="n">
        <x:v>1</x:v>
      </x:c>
      <x:c r="T17" s="531" t="inlineStr">
        <x:is>
          <x:t xml:space="preserve">Worked-run analyst estimate; see PCC Section 17 for provenance and materiality rules.</x:t>
        </x:is>
      </x:c>
      <x:c r="U17" s="497" t="n">
        <x:f>F17*G17*H17*I17*K17*1*M17</x:f>
        <x:v>-0.009239001586279225</x:v>
      </x:c>
      <x:c r="V17" s="497" t="n">
        <x:f>F17*G17*H17*I17*K17*L17*M17</x:f>
        <x:v>-0.009239001586279225</x:v>
      </x:c>
      <x:c r="W17" s="497" t="inlineStr">
        <x:is>
          <x:t xml:space="preserve">Current human-only worked run: Base stream = Welfare stream because SG_norm(H) = SG_patient_norm(H) = 1.0 for all logged human instances. Generalized non-human runs must preserve explicit Base/Welfare stream separation.</x:t>
        </x:is>
      </x:c>
      <x:c r="X17" s="497" t="inlineStr">
        <x:is>
          <x:t xml:space="preserve">Canonical enum = OTHER_DECLARED. This worked-run uses a declared instance-share/exposure denominator for exemplar purposes; not a population-fraction claim.</x:t>
        </x:is>
      </x:c>
    </x:row>
    <x:row r="18" s="455" customFormat="1" ht="14.25" customHeight="1">
      <x:c r="A18" s="471" t="inlineStr">
        <x:is>
          <x:t xml:space="preserve">I12</x:t>
        </x:is>
      </x:c>
      <x:c r="B18" s="471" t="inlineStr">
        <x:is>
          <x:t xml:space="preserve">B</x:t>
        </x:is>
      </x:c>
      <x:c r="C18" s="471" t="inlineStr">
        <x:is>
          <x:t xml:space="preserve">U7</x:t>
        </x:is>
      </x:c>
      <x:c r="D18" s="471" t="inlineStr">
        <x:is>
          <x:t xml:space="preserve">D7</x:t>
        </x:is>
      </x:c>
      <x:c r="E18" s="471" t="inlineStr">
        <x:is>
          <x:t xml:space="preserve">Continued emissions</x:t>
        </x:is>
      </x:c>
      <x:c r="F18" s="471" t="n">
        <x:v>-0.1</x:v>
      </x:c>
      <x:c r="G18" s="471" t="n">
        <x:v>0.5</x:v>
      </x:c>
      <x:c r="H18" s="471" t="n">
        <x:v>0.4</x:v>
      </x:c>
      <x:c r="I18" s="471" t="n">
        <x:v>0.3</x:v>
      </x:c>
      <x:c r="J18" s="471" t="n">
        <x:v>15</x:v>
      </x:c>
      <x:c r="K18" s="471" t="n">
        <x:v>1</x:v>
      </x:c>
      <x:c r="L18" s="471" t="n">
        <x:v>1</x:v>
      </x:c>
      <x:c r="M18" s="486" t="n">
        <x:f>MIN(1, LN(1+MAX(J18, CANON!$B$27)) / LN(1+CANON!$B$25))</x:f>
        <x:v>0.8509842142134526</x:v>
      </x:c>
      <x:c r="N18" s="531" t="n">
        <x:f>F18*G18*H18*I18*K18*L18*M18</x:f>
        <x:v>-0.005105905285280717</x:v>
      </x:c>
      <x:c r="O18" s="531" t="inlineStr">
        <x:is>
          <x:t xml:space="preserve">OTHER_DECLARED</x:t>
        </x:is>
      </x:c>
      <x:c r="P18" s="531" t="inlineStr">
        <x:is>
          <x:t xml:space="preserve">Context-specific affected group or exposure denominator</x:t>
        </x:is>
      </x:c>
      <x:c r="Q18" s="531" t="inlineStr">
        <x:is>
          <x:t xml:space="preserve">Tier-2 analyst estimate</x:t>
        </x:is>
      </x:c>
      <x:c r="R18" s="531" t="inlineStr">
        <x:is>
          <x:t xml:space="preserve">DEFAULT_1.00</x:t>
        </x:is>
      </x:c>
      <x:c r="S18" s="531" t="n">
        <x:v>1</x:v>
      </x:c>
      <x:c r="T18" s="531" t="inlineStr">
        <x:is>
          <x:t xml:space="preserve">Worked-run analyst estimate; see PCC Section 17 for provenance and materiality rules.</x:t>
        </x:is>
      </x:c>
      <x:c r="U18" s="497" t="n">
        <x:f>F18*G18*H18*I18*K18*1*M18</x:f>
        <x:v>-0.005105905285280717</x:v>
      </x:c>
      <x:c r="V18" s="497" t="n">
        <x:f>F18*G18*H18*I18*K18*L18*M18</x:f>
        <x:v>-0.005105905285280717</x:v>
      </x:c>
      <x:c r="W18" s="497" t="inlineStr">
        <x:is>
          <x:t xml:space="preserve">Current human-only worked run: Base stream = Welfare stream because SG_norm(H) = SG_patient_norm(H) = 1.0 for all logged human instances. Generalized non-human runs must preserve explicit Base/Welfare stream separation.</x:t>
        </x:is>
      </x:c>
      <x:c r="X18" s="497" t="inlineStr">
        <x:is>
          <x:t xml:space="preserve">Canonical enum = OTHER_DECLARED. This worked-run uses a declared instance-share/exposure denominator for exemplar purposes; not a population-fraction claim.</x:t>
        </x:is>
      </x:c>
    </x:row>
    <x:row r="19" s="455" customFormat="1" ht="14.25" customHeight="1">
      <x:c r="A19" s="471" t="inlineStr">
        <x:is>
          <x:t xml:space="preserve">I13</x:t>
        </x:is>
      </x:c>
      <x:c r="B19" s="471" t="inlineStr">
        <x:is>
          <x:t xml:space="preserve">B</x:t>
        </x:is>
      </x:c>
      <x:c r="C19" s="471" t="inlineStr">
        <x:is>
          <x:t xml:space="preserve">U4</x:t>
        </x:is>
      </x:c>
      <x:c r="D19" s="471" t="inlineStr">
        <x:is>
          <x:t xml:space="preserve">D1</x:t>
        </x:is>
      </x:c>
      <x:c r="E19" s="471" t="inlineStr">
        <x:is>
          <x:t xml:space="preserve">Stable infrastructure</x:t>
        </x:is>
      </x:c>
      <x:c r="F19" s="471" t="n">
        <x:v>0.1</x:v>
      </x:c>
      <x:c r="G19" s="471" t="n">
        <x:v>0.6</x:v>
      </x:c>
      <x:c r="H19" s="471" t="n">
        <x:v>0.5</x:v>
      </x:c>
      <x:c r="I19" s="471" t="n">
        <x:v>0.4</x:v>
      </x:c>
      <x:c r="J19" s="471" t="n">
        <x:v>3</x:v>
      </x:c>
      <x:c r="K19" s="471" t="n">
        <x:v>1</x:v>
      </x:c>
      <x:c r="L19" s="471" t="n">
        <x:v>1</x:v>
      </x:c>
      <x:c r="M19" s="486" t="n">
        <x:f>MIN(1, LN(1+MAX(J19, CANON!$B$27)) / LN(1+CANON!$B$25))</x:f>
        <x:v>0.4254921071067263</x:v>
      </x:c>
      <x:c r="N19" s="531" t="n">
        <x:f>F19*G19*H19*I19*K19*L19*M19</x:f>
        <x:v>0.005105905285280716</x:v>
      </x:c>
      <x:c r="O19" s="531" t="inlineStr">
        <x:is>
          <x:t xml:space="preserve">OTHER_DECLARED</x:t>
        </x:is>
      </x:c>
      <x:c r="P19" s="531" t="inlineStr">
        <x:is>
          <x:t xml:space="preserve">Context-specific affected group or exposure denominator</x:t>
        </x:is>
      </x:c>
      <x:c r="Q19" s="531" t="inlineStr">
        <x:is>
          <x:t xml:space="preserve">Tier-2 analyst estimate</x:t>
        </x:is>
      </x:c>
      <x:c r="R19" s="531" t="inlineStr">
        <x:is>
          <x:t xml:space="preserve">DEFAULT_1.00</x:t>
        </x:is>
      </x:c>
      <x:c r="S19" s="531" t="n">
        <x:v>1</x:v>
      </x:c>
      <x:c r="T19" s="531" t="inlineStr">
        <x:is>
          <x:t xml:space="preserve">Worked-run analyst estimate; see PCC Section 17 for provenance and materiality rules.</x:t>
        </x:is>
      </x:c>
      <x:c r="U19" s="497" t="n">
        <x:f>F19*G19*H19*I19*K19*1*M19</x:f>
        <x:v>0.005105905285280716</x:v>
      </x:c>
      <x:c r="V19" s="497" t="n">
        <x:f>F19*G19*H19*I19*K19*L19*M19</x:f>
        <x:v>0.005105905285280716</x:v>
      </x:c>
      <x:c r="W19" s="497" t="inlineStr">
        <x:is>
          <x:t xml:space="preserve">Current human-only worked run: Base stream = Welfare stream because SG_norm(H) = SG_patient_norm(H) = 1.0 for all logged human instances. Generalized non-human runs must preserve explicit Base/Welfare stream separation.</x:t>
        </x:is>
      </x:c>
      <x:c r="X19" s="497" t="inlineStr">
        <x:is>
          <x:t xml:space="preserve">Canonical enum = OTHER_DECLARED. This worked-run uses a declared instance-share/exposure denominator for exemplar purposes; not a population-fraction claim.</x:t>
        </x:is>
      </x:c>
    </x:row>
    <x:row r="20" s="455" customFormat="1" ht="14.25" customHeight="1">
      <x:c r="A20" s="471" t="inlineStr">
        <x:is>
          <x:t xml:space="preserve">I14</x:t>
        </x:is>
      </x:c>
      <x:c r="B20" s="471" t="inlineStr">
        <x:is>
          <x:t xml:space="preserve">B</x:t>
        </x:is>
      </x:c>
      <x:c r="C20" s="471" t="inlineStr">
        <x:is>
          <x:t xml:space="preserve">U3</x:t>
        </x:is>
      </x:c>
      <x:c r="D20" s="471" t="inlineStr">
        <x:is>
          <x:t xml:space="preserve">D1</x:t>
        </x:is>
      </x:c>
      <x:c r="E20" s="471" t="inlineStr">
        <x:is>
          <x:t xml:space="preserve">Maintained local business</x:t>
        </x:is>
      </x:c>
      <x:c r="F20" s="471" t="n">
        <x:v>0.1</x:v>
      </x:c>
      <x:c r="G20" s="471" t="n">
        <x:v>0.6</x:v>
      </x:c>
      <x:c r="H20" s="471" t="n">
        <x:v>0.5</x:v>
      </x:c>
      <x:c r="I20" s="471" t="n">
        <x:v>0.4</x:v>
      </x:c>
      <x:c r="J20" s="471" t="n">
        <x:v>5</x:v>
      </x:c>
      <x:c r="K20" s="471" t="n">
        <x:v>1</x:v>
      </x:c>
      <x:c r="L20" s="471" t="n">
        <x:v>1</x:v>
      </x:c>
      <x:c r="M20" s="486" t="n">
        <x:f>MIN(1, LN(1+MAX(J20, CANON!$B$27)) / LN(1+CANON!$B$25))</x:f>
        <x:v>0.5499405706118586</x:v>
      </x:c>
      <x:c r="N20" s="531" t="n">
        <x:f>F20*G20*H20*I20*K20*L20*M20</x:f>
        <x:v>0.006599286847342304</x:v>
      </x:c>
      <x:c r="O20" s="531" t="inlineStr">
        <x:is>
          <x:t xml:space="preserve">OTHER_DECLARED</x:t>
        </x:is>
      </x:c>
      <x:c r="P20" s="531" t="inlineStr">
        <x:is>
          <x:t xml:space="preserve">Context-specific affected group or exposure denominator</x:t>
        </x:is>
      </x:c>
      <x:c r="Q20" s="531" t="inlineStr">
        <x:is>
          <x:t xml:space="preserve">Tier-2 analyst estimate</x:t>
        </x:is>
      </x:c>
      <x:c r="R20" s="531" t="inlineStr">
        <x:is>
          <x:t xml:space="preserve">DEFAULT_1.00</x:t>
        </x:is>
      </x:c>
      <x:c r="S20" s="531" t="n">
        <x:v>1</x:v>
      </x:c>
      <x:c r="T20" s="531" t="inlineStr">
        <x:is>
          <x:t xml:space="preserve">Worked-run analyst estimate; see PCC Section 17 for provenance and materiality rules.</x:t>
        </x:is>
      </x:c>
      <x:c r="U20" s="497" t="n">
        <x:f>F20*G20*H20*I20*K20*1*M20</x:f>
        <x:v>0.006599286847342304</x:v>
      </x:c>
      <x:c r="V20" s="497" t="n">
        <x:f>F20*G20*H20*I20*K20*L20*M20</x:f>
        <x:v>0.006599286847342304</x:v>
      </x:c>
      <x:c r="W20" s="497" t="inlineStr">
        <x:is>
          <x:t xml:space="preserve">Current human-only worked run: Base stream = Welfare stream because SG_norm(H) = SG_patient_norm(H) = 1.0 for all logged human instances. Generalized non-human runs must preserve explicit Base/Welfare stream separation.</x:t>
        </x:is>
      </x:c>
      <x:c r="X20" s="497" t="inlineStr">
        <x:is>
          <x:t xml:space="preserve">Canonical enum = OTHER_DECLARED. This worked-run uses a declared instance-share/exposure denominator for exemplar purposes; not a population-fraction claim.</x:t>
        </x:is>
      </x:c>
    </x:row>
  </x:sheetData>
  <x:mergeCells>
    <x:mergeCell ref="A1:N1"/>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6796875" defaultRowHeight="12.75"/>
  <x:cols>
    <x:col min="10" max="10" width="18" style="497" customWidth="1"/>
    <x:col min="11" max="11" width="40" style="497" customWidth="1"/>
    <x:col min="13" max="13" width="22" style="497" customWidth="1"/>
    <x:col min="14" max="14" width="42" style="497" customWidth="1"/>
  </x:cols>
  <x:sheetData>
    <x:row r="1" s="455" customFormat="1" ht="14.25" customHeight="1">
      <x:c r="A1" s="511" t="inlineStr">
        <x:is>
          <x:t xml:space="preserve">SCENARIO-CONDITIONED IMPACT TABLES</x:t>
        </x:is>
      </x:c>
      <x:c r="B1" s="457" t="n"/>
      <x:c r="C1" s="457" t="n"/>
      <x:c r="D1" s="457" t="n"/>
      <x:c r="E1" s="457" t="n"/>
      <x:c r="F1" s="457" t="n"/>
      <x:c r="G1" s="457" t="n"/>
      <x:c r="H1" s="457" t="n"/>
    </x:row>
    <x:row r="2" s="455" customFormat="1" ht="13.5" customHeight="1"/>
    <x:row r="3" s="455" customFormat="1" ht="14.25" customHeight="1">
      <x:c r="A3" s="471" t="inlineStr">
        <x:is>
          <x:t xml:space="preserve">Reference: RippleLogic v10.8 Section 8.4</x:t>
        </x:is>
      </x:c>
      <x:c r="M3" s="497" t="inlineStr">
        <x:is>
          <x:t xml:space="preserve">SCENARIO PRIOR VALIDATION</x:t>
        </x:is>
      </x:c>
    </x:row>
    <x:row r="4" s="455" customFormat="1" ht="14.25" customHeight="1">
      <x:c r="A4" s="471" t="inlineStr">
        <x:is>
          <x:t xml:space="preserve">L(a,s) = Σ_{c∈C_cat} ω_c × max(0, −I_prop_c(a|s))</x:t>
        </x:is>
      </x:c>
      <x:c r="M4" s="497" t="inlineStr">
        <x:is>
          <x:t xml:space="preserve">A_PRIOR_SUM</x:t>
        </x:is>
      </x:c>
      <x:c r="N4" s="497" t="n">
        <x:f>SUM(C10:C16)</x:f>
        <x:v>1</x:v>
      </x:c>
    </x:row>
    <x:row r="5" s="455" customFormat="1" ht="14.25" customHeight="1">
      <x:c r="A5" s="471" t="inlineStr">
        <x:is>
          <x:t xml:space="preserve">NOTE: Loss is computed from catastrophe-cell impacts. Do NOT manually enter Loss. Fill catastrophe-cell impacts (F:H) per scenario; Loss (computed) updates automatically.</x:t>
        </x:is>
      </x:c>
      <x:c r="J5" s="497" t="inlineStr">
        <x:is>
          <x:t xml:space="preserve">v9.x+1 hardening: scenario-probability provenance fields added for audit replay.</x:t>
        </x:is>
      </x:c>
      <x:c r="M5" s="497" t="inlineStr">
        <x:is>
          <x:t xml:space="preserve">A_PRIOR_STATUS</x:t>
        </x:is>
      </x:c>
      <x:c r="N5" s="497" t="str">
        <x:f>IF(ABS(N4-1)&lt;=0.000001,"PASS","FAIL")</x:f>
        <x:v>PASS</x:v>
      </x:c>
    </x:row>
    <x:row r="6" s="455" customFormat="1" ht="14.25" customHeight="1">
      <x:c r="A6" s="512" t="inlineStr">
        <x:is>
          <x:t xml:space="preserve">C_cat: U6-D2(0.35), U6-D7(0.30), U7-D7(0.35)</x:t>
        </x:is>
      </x:c>
      <x:c r="M6" s="497" t="inlineStr">
        <x:is>
          <x:t xml:space="preserve">B_PRIOR_SUM</x:t>
        </x:is>
      </x:c>
      <x:c r="N6" s="497" t="n">
        <x:f>SUM(C21:C27)</x:f>
        <x:v>1</x:v>
      </x:c>
    </x:row>
    <x:row r="7" s="455" customFormat="1" ht="13.5" customHeight="1">
      <x:c r="M7" s="497" t="inlineStr">
        <x:is>
          <x:t xml:space="preserve">B_PRIOR_STATUS</x:t>
        </x:is>
      </x:c>
      <x:c r="N7" s="497" t="str">
        <x:f>IF(ABS(N6-1)&lt;=0.000001,"PASS","FAIL")</x:f>
        <x:v>PASS</x:v>
      </x:c>
    </x:row>
    <x:row r="8" s="455" customFormat="1" ht="14.25" customHeight="1">
      <x:c r="A8" s="512" t="inlineStr">
        <x:is>
          <x:t xml:space="preserve">OPTION A SCENARIO LOSSES</x:t>
        </x:is>
      </x:c>
      <x:c r="M8" s="497" t="inlineStr">
        <x:is>
          <x:t xml:space="preserve">Fallback rule</x:t>
        </x:is>
      </x:c>
      <x:c r="N8" s="497" t="inlineStr">
        <x:is>
          <x:t xml:space="preserve">Remaining mass may be assigned to BASELINE only if explicitly declared in V; otherwise non-normalized priors are non-conformant.</x:t>
        </x:is>
      </x:c>
    </x:row>
    <x:row r="9" s="455" customFormat="1" ht="14.25" customHeight="1">
      <x:c r="A9" s="512" t="inlineStr">
        <x:is>
          <x:t xml:space="preserve">Scenario</x:t>
        </x:is>
      </x:c>
      <x:c r="B9" s="512" t="inlineStr">
        <x:is>
          <x:t xml:space="preserve">Category</x:t>
        </x:is>
      </x:c>
      <x:c r="C9" s="512" t="inlineStr">
        <x:is>
          <x:t xml:space="preserve">p(s)</x:t>
        </x:is>
      </x:c>
      <x:c r="D9" s="512" t="inlineStr">
        <x:is>
          <x:t xml:space="preserve">Loss</x:t>
        </x:is>
      </x:c>
      <x:c r="E9" s="512" t="inlineStr">
        <x:is>
          <x:t xml:space="preserve">Pathway</x:t>
        </x:is>
      </x:c>
      <x:c r="F9" s="471" t="inlineStr">
        <x:is>
          <x:t xml:space="preserve">U6-D2 I_prop</x:t>
        </x:is>
      </x:c>
      <x:c r="G9" s="471" t="inlineStr">
        <x:is>
          <x:t xml:space="preserve">U6-D7 I_prop</x:t>
        </x:is>
      </x:c>
      <x:c r="H9" s="471" t="inlineStr">
        <x:is>
          <x:t xml:space="preserve">U7-D7 I_prop</x:t>
        </x:is>
      </x:c>
      <x:c r="I9" s="471" t="inlineStr">
        <x:is>
          <x:t xml:space="preserve">Loss (computed)</x:t>
        </x:is>
      </x:c>
      <x:c r="J9" s="471" t="inlineStr">
        <x:is>
          <x:t xml:space="preserve">p_s_ReasonCode</x:t>
        </x:is>
      </x:c>
      <x:c r="K9" s="471" t="inlineStr">
        <x:is>
          <x:t xml:space="preserve">p_s_SourceNote</x:t>
        </x:is>
      </x:c>
    </x:row>
    <x:row r="10" s="455" customFormat="1" ht="14.25" customHeight="1">
      <x:c r="A10" s="471" t="inlineStr">
        <x:is>
          <x:t xml:space="preserve">S01</x:t>
        </x:is>
      </x:c>
      <x:c r="B10" s="471" t="inlineStr">
        <x:is>
          <x:t xml:space="preserve">BASELINE</x:t>
        </x:is>
      </x:c>
      <x:c r="C10" s="471" t="n">
        <x:v>0.6</x:v>
      </x:c>
      <x:c r="D10" s="486" t="n">
        <x:f>I10</x:f>
        <x:v>0</x:v>
      </x:c>
      <x:c r="E10" s="471" t="inlineStr">
        <x:is>
          <x:t xml:space="preserve">Minor monitoring reduction</x:t>
        </x:is>
      </x:c>
      <x:c r="F10" s="486" t="n">
        <x:v>0</x:v>
      </x:c>
      <x:c r="G10" s="486" t="n">
        <x:v>0</x:v>
      </x:c>
      <x:c r="H10" s="486" t="n">
        <x:v>0.015317</x:v>
      </x:c>
      <x:c r="I10" s="486" t="n">
        <x:f>0.35*MAX(0,-F10)+0.3*MAX(0,-G10)+0.35*MAX(0,-H10)</x:f>
        <x:v>0</x:v>
      </x:c>
      <x:c r="J10" s="486" t="inlineStr">
        <x:is>
          <x:t xml:space="preserve">DECLARED_PRIOR</x:t>
        </x:is>
      </x:c>
      <x:c r="K10" s="486" t="inlineStr">
        <x:is>
          <x:t xml:space="preserve">Worked-run structured scenario prior; see PCC Section 17.</x:t>
        </x:is>
      </x:c>
    </x:row>
    <x:row r="11" s="455" customFormat="1" ht="14.25" customHeight="1">
      <x:c r="A11" s="471" t="inlineStr">
        <x:is>
          <x:t xml:space="preserve">S02</x:t>
        </x:is>
      </x:c>
      <x:c r="B11" s="471" t="inlineStr">
        <x:is>
          <x:t xml:space="preserve">WTSL-FIN</x:t>
        </x:is>
      </x:c>
      <x:c r="C11" s="471" t="n">
        <x:v>0.15</x:v>
      </x:c>
      <x:c r="D11" s="486" t="n">
        <x:f>I11</x:f>
        <x:v>0.006999999999999999</x:v>
      </x:c>
      <x:c r="E11" s="471" t="inlineStr">
        <x:is>
          <x:t xml:space="preserve">Budget cuts reduce compliance</x:t>
        </x:is>
      </x:c>
      <x:c r="F11" s="471" t="n">
        <x:v>-0.02</x:v>
      </x:c>
      <x:c r="G11" s="471" t="n">
        <x:v>0</x:v>
      </x:c>
      <x:c r="H11" s="471" t="n">
        <x:v>0.01</x:v>
      </x:c>
      <x:c r="I11" s="486" t="n">
        <x:f>0.35*MAX(0,-F11)+0.3*MAX(0,-G11)+0.35*MAX(0,-H11)</x:f>
        <x:v>0.006999999999999999</x:v>
      </x:c>
      <x:c r="J11" s="471" t="inlineStr">
        <x:is>
          <x:t xml:space="preserve">DECLARED_PRIOR</x:t>
        </x:is>
      </x:c>
      <x:c r="K11" s="471" t="inlineStr">
        <x:is>
          <x:t xml:space="preserve">Worked-run structured scenario prior; see PCC Section 17.</x:t>
        </x:is>
      </x:c>
    </x:row>
    <x:row r="12" s="455" customFormat="1" ht="14.25" customHeight="1">
      <x:c r="A12" s="471" t="inlineStr">
        <x:is>
          <x:t xml:space="preserve">S03</x:t>
        </x:is>
      </x:c>
      <x:c r="B12" s="471" t="inlineStr">
        <x:is>
          <x:t xml:space="preserve">WTSL-PAN</x:t>
        </x:is>
      </x:c>
      <x:c r="C12" s="471" t="n">
        <x:v>0.08</x:v>
      </x:c>
      <x:c r="D12" s="486" t="n">
        <x:f>I12</x:f>
        <x:v>0.017499999999999998</x:v>
      </x:c>
      <x:c r="E12" s="471" t="inlineStr">
        <x:is>
          <x:t xml:space="preserve">Health crisis, isolation stress</x:t>
        </x:is>
      </x:c>
      <x:c r="F12" s="471" t="n">
        <x:v>-0.05</x:v>
      </x:c>
      <x:c r="G12" s="471" t="n">
        <x:v>0</x:v>
      </x:c>
      <x:c r="H12" s="471" t="n">
        <x:v>0.02</x:v>
      </x:c>
      <x:c r="I12" s="486" t="n">
        <x:f>0.35*MAX(0,-F12)+0.3*MAX(0,-G12)+0.35*MAX(0,-H12)</x:f>
        <x:v>0.017499999999999998</x:v>
      </x:c>
      <x:c r="J12" s="471" t="inlineStr">
        <x:is>
          <x:t xml:space="preserve">DECLARED_PRIOR</x:t>
        </x:is>
      </x:c>
      <x:c r="K12" s="471" t="inlineStr">
        <x:is>
          <x:t xml:space="preserve">Worked-run structured scenario prior; see PCC Section 17.</x:t>
        </x:is>
      </x:c>
    </x:row>
    <x:row r="13" s="455" customFormat="1" ht="14.25" customHeight="1">
      <x:c r="A13" s="471" t="inlineStr">
        <x:is>
          <x:t xml:space="preserve">S04</x:t>
        </x:is>
      </x:c>
      <x:c r="B13" s="471" t="inlineStr">
        <x:is>
          <x:t xml:space="preserve">WTSL-CLI</x:t>
        </x:is>
      </x:c>
      <x:c r="C13" s="471" t="n">
        <x:v>0.07000000000000001</x:v>
      </x:c>
      <x:c r="D13" s="486" t="n">
        <x:f>I13</x:f>
        <x:v>0.019499999999999997</x:v>
      </x:c>
      <x:c r="E13" s="471" t="inlineStr">
        <x:is>
          <x:t xml:space="preserve">Climate degrades biosphere</x:t>
        </x:is>
      </x:c>
      <x:c r="F13" s="471" t="n">
        <x:v>-0.01</x:v>
      </x:c>
      <x:c r="G13" s="471" t="n">
        <x:v>-0.03</x:v>
      </x:c>
      <x:c r="H13" s="471" t="n">
        <x:v>-0.02</x:v>
      </x:c>
      <x:c r="I13" s="486" t="n">
        <x:f>0.35*MAX(0,-F13)+0.3*MAX(0,-G13)+0.35*MAX(0,-H13)</x:f>
        <x:v>0.019499999999999997</x:v>
      </x:c>
      <x:c r="J13" s="471" t="inlineStr">
        <x:is>
          <x:t xml:space="preserve">DECLARED_PRIOR</x:t>
        </x:is>
      </x:c>
      <x:c r="K13" s="471" t="inlineStr">
        <x:is>
          <x:t xml:space="preserve">Worked-run structured scenario prior; see PCC Section 17.</x:t>
        </x:is>
      </x:c>
    </x:row>
    <x:row r="14" s="455" customFormat="1" ht="14.25" customHeight="1">
      <x:c r="A14" s="471" t="inlineStr">
        <x:is>
          <x:t xml:space="preserve">S05</x:t>
        </x:is>
      </x:c>
      <x:c r="B14" s="471" t="inlineStr">
        <x:is>
          <x:t xml:space="preserve">WTSL-INF</x:t>
        </x:is>
      </x:c>
      <x:c r="C14" s="471" t="n">
        <x:v>0.05</x:v>
      </x:c>
      <x:c r="D14" s="486" t="n">
        <x:f>I14</x:f>
        <x:v>0.013499999999999998</x:v>
      </x:c>
      <x:c r="E14" s="471" t="inlineStr">
        <x:is>
          <x:t xml:space="preserve">Tech dependency vulnerability</x:t>
        </x:is>
      </x:c>
      <x:c r="F14" s="471" t="n">
        <x:v>-0.03</x:v>
      </x:c>
      <x:c r="G14" s="471" t="n">
        <x:v>-0.01</x:v>
      </x:c>
      <x:c r="H14" s="471" t="n">
        <x:v>0.01</x:v>
      </x:c>
      <x:c r="I14" s="486" t="n">
        <x:f>0.35*MAX(0,-F14)+0.3*MAX(0,-G14)+0.35*MAX(0,-H14)</x:f>
        <x:v>0.013499999999999998</x:v>
      </x:c>
      <x:c r="J14" s="471" t="inlineStr">
        <x:is>
          <x:t xml:space="preserve">DECLARED_PRIOR</x:t>
        </x:is>
      </x:c>
      <x:c r="K14" s="471" t="inlineStr">
        <x:is>
          <x:t xml:space="preserve">Worked-run structured scenario prior; see PCC Section 17.</x:t>
        </x:is>
      </x:c>
    </x:row>
    <x:row r="15" s="455" customFormat="1" ht="14.25" customHeight="1">
      <x:c r="A15" s="471" t="inlineStr">
        <x:is>
          <x:t xml:space="preserve">S06</x:t>
        </x:is>
      </x:c>
      <x:c r="B15" s="471" t="inlineStr">
        <x:is>
          <x:t xml:space="preserve">WTSL-CON</x:t>
        </x:is>
      </x:c>
      <x:c r="C15" s="471" t="n">
        <x:v>0.03</x:v>
      </x:c>
      <x:c r="D15" s="486" t="n">
        <x:f>I15</x:f>
        <x:v>0.023499999999999997</x:v>
      </x:c>
      <x:c r="E15" s="471" t="inlineStr">
        <x:is>
          <x:t xml:space="preserve">Conflict casualties</x:t>
        </x:is>
      </x:c>
      <x:c r="F15" s="471" t="n">
        <x:v>-0.04</x:v>
      </x:c>
      <x:c r="G15" s="471" t="n">
        <x:v>-0.02</x:v>
      </x:c>
      <x:c r="H15" s="471" t="n">
        <x:v>-0.01</x:v>
      </x:c>
      <x:c r="I15" s="486" t="n">
        <x:f>0.35*MAX(0,-F15)+0.3*MAX(0,-G15)+0.35*MAX(0,-H15)</x:f>
        <x:v>0.023499999999999997</x:v>
      </x:c>
      <x:c r="J15" s="471" t="inlineStr">
        <x:is>
          <x:t xml:space="preserve">DECLARED_PRIOR</x:t>
        </x:is>
      </x:c>
      <x:c r="K15" s="471" t="inlineStr">
        <x:is>
          <x:t xml:space="preserve">Worked-run structured scenario prior; see PCC Section 17.</x:t>
        </x:is>
      </x:c>
    </x:row>
    <x:row r="16" s="455" customFormat="1" ht="14.25" customHeight="1">
      <x:c r="A16" s="471" t="inlineStr">
        <x:is>
          <x:t xml:space="preserve">S07</x:t>
        </x:is>
      </x:c>
      <x:c r="B16" s="471" t="inlineStr">
        <x:is>
          <x:t xml:space="preserve">WTSL-AIX</x:t>
        </x:is>
      </x:c>
      <x:c r="C16" s="471" t="n">
        <x:v>0.02</x:v>
      </x:c>
      <x:c r="D16" s="486" t="n">
        <x:f>I16</x:f>
        <x:v>0.009999999999999998</x:v>
      </x:c>
      <x:c r="E16" s="471" t="inlineStr">
        <x:is>
          <x:t xml:space="preserve">AI failures cascade</x:t>
        </x:is>
      </x:c>
      <x:c r="F16" s="471" t="n">
        <x:v>-0.02</x:v>
      </x:c>
      <x:c r="G16" s="471" t="n">
        <x:v>-0.01</x:v>
      </x:c>
      <x:c r="H16" s="471" t="n">
        <x:v>0</x:v>
      </x:c>
      <x:c r="I16" s="486" t="n">
        <x:f>0.35*MAX(0,-F16)+0.3*MAX(0,-G16)+0.35*MAX(0,-H16)</x:f>
        <x:v>0.009999999999999998</x:v>
      </x:c>
      <x:c r="J16" s="471" t="inlineStr">
        <x:is>
          <x:t xml:space="preserve">DECLARED_PRIOR</x:t>
        </x:is>
      </x:c>
      <x:c r="K16" s="471" t="inlineStr">
        <x:is>
          <x:t xml:space="preserve">Worked-run structured scenario prior; see PCC Section 17.</x:t>
        </x:is>
      </x:c>
    </x:row>
    <x:row r="17" s="455" customFormat="1" ht="13.5" customHeight="1"/>
    <x:row r="18" s="455" customFormat="1" ht="13.5" customHeight="1"/>
    <x:row r="19" s="455" customFormat="1" ht="14.25" customHeight="1">
      <x:c r="A19" s="512" t="inlineStr">
        <x:is>
          <x:t xml:space="preserve">OPTION B SCENARIO LOSSES</x:t>
        </x:is>
      </x:c>
    </x:row>
    <x:row r="20" s="455" customFormat="1" ht="14.25" customHeight="1">
      <x:c r="A20" s="512" t="inlineStr">
        <x:is>
          <x:t xml:space="preserve">Scenario</x:t>
        </x:is>
      </x:c>
      <x:c r="B20" s="512" t="inlineStr">
        <x:is>
          <x:t xml:space="preserve">Category</x:t>
        </x:is>
      </x:c>
      <x:c r="C20" s="512" t="inlineStr">
        <x:is>
          <x:t xml:space="preserve">p(s)</x:t>
        </x:is>
      </x:c>
      <x:c r="D20" s="512" t="inlineStr">
        <x:is>
          <x:t xml:space="preserve">Loss</x:t>
        </x:is>
      </x:c>
      <x:c r="E20" s="512" t="inlineStr">
        <x:is>
          <x:t xml:space="preserve">Pathway</x:t>
        </x:is>
      </x:c>
      <x:c r="F20" s="471" t="inlineStr">
        <x:is>
          <x:t xml:space="preserve">U6-D2 I_prop</x:t>
        </x:is>
      </x:c>
      <x:c r="G20" s="471" t="inlineStr">
        <x:is>
          <x:t xml:space="preserve">U6-D7 I_prop</x:t>
        </x:is>
      </x:c>
      <x:c r="H20" s="471" t="inlineStr">
        <x:is>
          <x:t xml:space="preserve">U7-D7 I_prop</x:t>
        </x:is>
      </x:c>
      <x:c r="I20" s="471" t="inlineStr">
        <x:is>
          <x:t xml:space="preserve">Loss (computed)</x:t>
        </x:is>
      </x:c>
      <x:c r="J20" s="471" t="inlineStr">
        <x:is>
          <x:t xml:space="preserve">p_s_ReasonCode</x:t>
        </x:is>
      </x:c>
      <x:c r="K20" s="471" t="inlineStr">
        <x:is>
          <x:t xml:space="preserve">p_s_SourceNote</x:t>
        </x:is>
      </x:c>
    </x:row>
    <x:row r="21" s="455" customFormat="1" ht="14.25" customHeight="1">
      <x:c r="A21" s="471" t="inlineStr">
        <x:is>
          <x:t xml:space="preserve">S01</x:t>
        </x:is>
      </x:c>
      <x:c r="B21" s="471" t="inlineStr">
        <x:is>
          <x:t xml:space="preserve">BASELINE</x:t>
        </x:is>
      </x:c>
      <x:c r="C21" s="471" t="n">
        <x:v>0.6</x:v>
      </x:c>
      <x:c r="D21" s="486" t="n">
        <x:f>I21</x:f>
        <x:v>0.0035738499999999995</x:v>
      </x:c>
      <x:c r="E21" s="471" t="inlineStr">
        <x:is>
          <x:t xml:space="preserve">Emissions continue</x:t>
        </x:is>
      </x:c>
      <x:c r="F21" s="486" t="n">
        <x:v>0</x:v>
      </x:c>
      <x:c r="G21" s="486" t="n">
        <x:v>0</x:v>
      </x:c>
      <x:c r="H21" s="486" t="n">
        <x:v>-0.010211</x:v>
      </x:c>
      <x:c r="I21" s="486" t="n">
        <x:f>0.35*MAX(0,-F21)+0.3*MAX(0,-G21)+0.35*MAX(0,-H21)</x:f>
        <x:v>0.0035738499999999995</x:v>
      </x:c>
      <x:c r="J21" s="486" t="inlineStr">
        <x:is>
          <x:t xml:space="preserve">DECLARED_PRIOR</x:t>
        </x:is>
      </x:c>
      <x:c r="K21" s="486" t="inlineStr">
        <x:is>
          <x:t xml:space="preserve">Worked-run structured scenario prior; see PCC Section 17.</x:t>
        </x:is>
      </x:c>
    </x:row>
    <x:row r="22" s="455" customFormat="1" ht="14.25" customHeight="1">
      <x:c r="A22" s="471" t="inlineStr">
        <x:is>
          <x:t xml:space="preserve">S02</x:t>
        </x:is>
      </x:c>
      <x:c r="B22" s="471" t="inlineStr">
        <x:is>
          <x:t xml:space="preserve">WTSL-FIN</x:t>
        </x:is>
      </x:c>
      <x:c r="C22" s="471" t="n">
        <x:v>0.15</x:v>
      </x:c>
      <x:c r="D22" s="486" t="n">
        <x:f>I22</x:f>
        <x:v>0.010499999999999999</x:v>
      </x:c>
      <x:c r="E22" s="471" t="inlineStr">
        <x:is>
          <x:t xml:space="preserve">Community bonds buffer</x:t>
        </x:is>
      </x:c>
      <x:c r="F22" s="471" t="n">
        <x:v>-0.015</x:v>
      </x:c>
      <x:c r="G22" s="471" t="n">
        <x:v>0</x:v>
      </x:c>
      <x:c r="H22" s="471" t="n">
        <x:v>-0.015</x:v>
      </x:c>
      <x:c r="I22" s="486" t="n">
        <x:f>0.35*MAX(0,-F22)+0.3*MAX(0,-G22)+0.35*MAX(0,-H22)</x:f>
        <x:v>0.010499999999999999</x:v>
      </x:c>
      <x:c r="J22" s="471" t="inlineStr">
        <x:is>
          <x:t xml:space="preserve">DECLARED_PRIOR</x:t>
        </x:is>
      </x:c>
      <x:c r="K22" s="471" t="inlineStr">
        <x:is>
          <x:t xml:space="preserve">Worked-run structured scenario prior; see PCC Section 17.</x:t>
        </x:is>
      </x:c>
    </x:row>
    <x:row r="23" s="455" customFormat="1" ht="14.25" customHeight="1">
      <x:c r="A23" s="471" t="inlineStr">
        <x:is>
          <x:t xml:space="preserve">S03</x:t>
        </x:is>
      </x:c>
      <x:c r="B23" s="471" t="inlineStr">
        <x:is>
          <x:t xml:space="preserve">WTSL-PAN</x:t>
        </x:is>
      </x:c>
      <x:c r="C23" s="471" t="n">
        <x:v>0.08</x:v>
      </x:c>
      <x:c r="D23" s="486" t="n">
        <x:f>I23</x:f>
        <x:v>0.0315</x:v>
      </x:c>
      <x:c r="E23" s="471" t="inlineStr">
        <x:is>
          <x:t xml:space="preserve">Transmission risk</x:t>
        </x:is>
      </x:c>
      <x:c r="F23" s="471" t="n">
        <x:v>-0.08</x:v>
      </x:c>
      <x:c r="G23" s="471" t="n">
        <x:v>0</x:v>
      </x:c>
      <x:c r="H23" s="471" t="n">
        <x:v>-0.01</x:v>
      </x:c>
      <x:c r="I23" s="486" t="n">
        <x:f>0.35*MAX(0,-F23)+0.3*MAX(0,-G23)+0.35*MAX(0,-H23)</x:f>
        <x:v>0.0315</x:v>
      </x:c>
      <x:c r="J23" s="471" t="inlineStr">
        <x:is>
          <x:t xml:space="preserve">DECLARED_PRIOR</x:t>
        </x:is>
      </x:c>
      <x:c r="K23" s="471" t="inlineStr">
        <x:is>
          <x:t xml:space="preserve">Worked-run structured scenario prior; see PCC Section 17.</x:t>
        </x:is>
      </x:c>
    </x:row>
    <x:row r="24" s="455" customFormat="1" ht="14.25" customHeight="1">
      <x:c r="A24" s="471" t="inlineStr">
        <x:is>
          <x:t xml:space="preserve">S04</x:t>
        </x:is>
      </x:c>
      <x:c r="B24" s="471" t="inlineStr">
        <x:is>
          <x:t xml:space="preserve">WTSL-CLI</x:t>
        </x:is>
      </x:c>
      <x:c r="C24" s="471" t="n">
        <x:v>0.07000000000000001</x:v>
      </x:c>
      <x:c r="D24" s="486" t="n">
        <x:f>I24</x:f>
        <x:v>0.0235</x:v>
      </x:c>
      <x:c r="E24" s="471" t="inlineStr">
        <x:is>
          <x:t xml:space="preserve">Resilience buffers</x:t>
        </x:is>
      </x:c>
      <x:c r="F24" s="471" t="n">
        <x:v>-0.01</x:v>
      </x:c>
      <x:c r="G24" s="471" t="n">
        <x:v>-0.02</x:v>
      </x:c>
      <x:c r="H24" s="471" t="n">
        <x:v>-0.04</x:v>
      </x:c>
      <x:c r="I24" s="486" t="n">
        <x:f>0.35*MAX(0,-F24)+0.3*MAX(0,-G24)+0.35*MAX(0,-H24)</x:f>
        <x:v>0.0235</x:v>
      </x:c>
      <x:c r="J24" s="471" t="inlineStr">
        <x:is>
          <x:t xml:space="preserve">DECLARED_PRIOR</x:t>
        </x:is>
      </x:c>
      <x:c r="K24" s="471" t="inlineStr">
        <x:is>
          <x:t xml:space="preserve">Worked-run structured scenario prior; see PCC Section 17.</x:t>
        </x:is>
      </x:c>
    </x:row>
    <x:row r="25" s="455" customFormat="1" ht="14.25" customHeight="1">
      <x:c r="A25" s="471" t="inlineStr">
        <x:is>
          <x:t xml:space="preserve">S05</x:t>
        </x:is>
      </x:c>
      <x:c r="B25" s="471" t="inlineStr">
        <x:is>
          <x:t xml:space="preserve">WTSL-INF</x:t>
        </x:is>
      </x:c>
      <x:c r="C25" s="471" t="n">
        <x:v>0.05</x:v>
      </x:c>
      <x:c r="D25" s="486" t="n">
        <x:f>I25</x:f>
        <x:v>0.013499999999999998</x:v>
      </x:c>
      <x:c r="E25" s="471" t="inlineStr">
        <x:is>
          <x:t xml:space="preserve">Less tech-dependent</x:t>
        </x:is>
      </x:c>
      <x:c r="F25" s="471" t="n">
        <x:v>-0.02</x:v>
      </x:c>
      <x:c r="G25" s="471" t="n">
        <x:v>-0.01</x:v>
      </x:c>
      <x:c r="H25" s="471" t="n">
        <x:v>-0.01</x:v>
      </x:c>
      <x:c r="I25" s="486" t="n">
        <x:f>0.35*MAX(0,-F25)+0.3*MAX(0,-G25)+0.35*MAX(0,-H25)</x:f>
        <x:v>0.013499999999999998</x:v>
      </x:c>
      <x:c r="J25" s="471" t="inlineStr">
        <x:is>
          <x:t xml:space="preserve">DECLARED_PRIOR</x:t>
        </x:is>
      </x:c>
      <x:c r="K25" s="471" t="inlineStr">
        <x:is>
          <x:t xml:space="preserve">Worked-run structured scenario prior; see PCC Section 17.</x:t>
        </x:is>
      </x:c>
    </x:row>
    <x:row r="26" s="455" customFormat="1" ht="14.25" customHeight="1">
      <x:c r="A26" s="471" t="inlineStr">
        <x:is>
          <x:t xml:space="preserve">S06</x:t>
        </x:is>
      </x:c>
      <x:c r="B26" s="471" t="inlineStr">
        <x:is>
          <x:t xml:space="preserve">WTSL-CON</x:t>
        </x:is>
      </x:c>
      <x:c r="C26" s="471" t="n">
        <x:v>0.03</x:v>
      </x:c>
      <x:c r="D26" s="486" t="n">
        <x:f>I26</x:f>
        <x:v>0.02175</x:v>
      </x:c>
      <x:c r="E26" s="471" t="inlineStr">
        <x:is>
          <x:t xml:space="preserve">Human coord persists</x:t>
        </x:is>
      </x:c>
      <x:c r="F26" s="471" t="n">
        <x:v>-0.03</x:v>
      </x:c>
      <x:c r="G26" s="471" t="n">
        <x:v>-0.02</x:v>
      </x:c>
      <x:c r="H26" s="471" t="n">
        <x:v>-0.015</x:v>
      </x:c>
      <x:c r="I26" s="486" t="n">
        <x:f>0.35*MAX(0,-F26)+0.3*MAX(0,-G26)+0.35*MAX(0,-H26)</x:f>
        <x:v>0.02175</x:v>
      </x:c>
      <x:c r="J26" s="471" t="inlineStr">
        <x:is>
          <x:t xml:space="preserve">DECLARED_PRIOR</x:t>
        </x:is>
      </x:c>
      <x:c r="K26" s="471" t="inlineStr">
        <x:is>
          <x:t xml:space="preserve">Worked-run structured scenario prior; see PCC Section 17.</x:t>
        </x:is>
      </x:c>
    </x:row>
    <x:row r="27" s="455" customFormat="1" ht="14.25" customHeight="1">
      <x:c r="A27" s="471" t="inlineStr">
        <x:is>
          <x:t xml:space="preserve">S07</x:t>
        </x:is>
      </x:c>
      <x:c r="B27" s="471" t="inlineStr">
        <x:is>
          <x:t xml:space="preserve">WTSL-AIX</x:t>
        </x:is>
      </x:c>
      <x:c r="C27" s="471" t="n">
        <x:v>0.02</x:v>
      </x:c>
      <x:c r="D27" s="486" t="n">
        <x:f>I27</x:f>
        <x:v>0.006999999999999999</x:v>
      </x:c>
      <x:c r="E27" s="471" t="inlineStr">
        <x:is>
          <x:t xml:space="preserve">Less AI dependency</x:t>
        </x:is>
      </x:c>
      <x:c r="F27" s="471" t="n">
        <x:v>-0.01</x:v>
      </x:c>
      <x:c r="G27" s="471" t="n">
        <x:v>0</x:v>
      </x:c>
      <x:c r="H27" s="471" t="n">
        <x:v>-0.01</x:v>
      </x:c>
      <x:c r="I27" s="486" t="n">
        <x:f>0.35*MAX(0,-F27)+0.3*MAX(0,-G27)+0.35*MAX(0,-H27)</x:f>
        <x:v>0.006999999999999999</x:v>
      </x:c>
      <x:c r="J27" s="471" t="inlineStr">
        <x:is>
          <x:t xml:space="preserve">DECLARED_PRIOR</x:t>
        </x:is>
      </x:c>
      <x:c r="K27" s="471" t="inlineStr">
        <x:is>
          <x:t xml:space="preserve">Worked-run structured scenario prior; see PCC Section 17.</x:t>
        </x:is>
      </x:c>
    </x:row>
    <x:row r="28" s="455" customFormat="1" ht="13.5" customHeight="1"/>
    <x:row r="29" s="455" customFormat="1" ht="14.25" customHeight="1">
      <x:c r="A29" s="471" t="inlineStr">
        <x:is>
          <x:t xml:space="preserve">KEY INSIGHT: Option A has 0 catastrophic loss; Option B has minor loss (0.003574) in baseline</x:t>
        </x:is>
      </x:c>
    </x:row>
    <x:row r="30" s="455" customFormat="1" ht="14.25" customHeight="1">
      <x:c r="A30" s="512" t="inlineStr">
        <x:is>
          <x:t xml:space="preserve">Both options pass TRC (CVaR ≤ τ_TRC = 0.20)</x:t>
        </x:is>
      </x:c>
    </x:row>
    <x:row r="31" s="455" customFormat="1" ht="14.25" customHeight="1">
      <x:c r="A31" s="471" t="inlineStr">
        <x:is>
          <x:t xml:space="preserve">NOTE: WTSL-AIX (S07) included voluntarily as precautionary measure.</x:t>
        </x:is>
      </x:c>
      <x:c r="B31" s="471" t="inlineStr">
        <x:is>
          <x:t xml:space="preserve">AI_DEPLOYMENT=NO, so not mandatory for tail coverage.</x:t>
        </x:is>
      </x:c>
    </x:row>
  </x:sheetData>
  <x:mergeCells>
    <x:mergeCell ref="A1:H1"/>
  </x:mergeCells>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11" t="inlineStr">
        <x:is>
          <x:t xml:space="preserve">IMPACT PROPAGATION MATRIX (I_prop)</x:t>
        </x:is>
      </x:c>
      <x:c r="B1" s="457" t="n"/>
      <x:c r="C1" s="457" t="n"/>
      <x:c r="D1" s="457" t="n"/>
      <x:c r="E1" s="457" t="n"/>
      <x:c r="F1" s="457" t="n"/>
      <x:c r="G1" s="457" t="n"/>
      <x:c r="H1" s="457" t="n"/>
      <x:c r="I1" s="457" t="n"/>
    </x:row>
    <x:row r="2" s="455" customFormat="1" ht="13.5" customHeight="1"/>
    <x:row r="3" s="455" customFormat="1" ht="14.25" customHeight="1">
      <x:c r="A3" s="471" t="inlineStr">
        <x:is>
          <x:t xml:space="preserve">Mode: NONE (direct aggregation from Impact_Input; post-saturation tanh(β×Ĩ_dir))</x:t>
        </x:is>
      </x:c>
    </x:row>
    <x:row r="4" s="455" customFormat="1" ht="13.5" customHeight="1"/>
    <x:row r="5" s="455" customFormat="1" ht="14.25" customHeight="1">
      <x:c r="A5" s="512" t="inlineStr">
        <x:is>
          <x:t xml:space="preserve">OPTION A</x:t>
        </x:is>
      </x:c>
    </x:row>
    <x:row r="6" s="455" customFormat="1" ht="14.25" customHeight="1">
      <x:c r="B6" s="512" t="inlineStr">
        <x:is>
          <x:t xml:space="preserve">D1</x:t>
        </x:is>
      </x:c>
      <x:c r="C6" s="512" t="inlineStr">
        <x:is>
          <x:t xml:space="preserve">D2</x:t>
        </x:is>
      </x:c>
      <x:c r="D6" s="512" t="inlineStr">
        <x:is>
          <x:t xml:space="preserve">D3</x:t>
        </x:is>
      </x:c>
      <x:c r="E6" s="512" t="inlineStr">
        <x:is>
          <x:t xml:space="preserve">D4</x:t>
        </x:is>
      </x:c>
      <x:c r="F6" s="512" t="inlineStr">
        <x:is>
          <x:t xml:space="preserve">D5</x:t>
        </x:is>
      </x:c>
      <x:c r="G6" s="512" t="inlineStr">
        <x:is>
          <x:t xml:space="preserve">D6</x:t>
        </x:is>
      </x:c>
      <x:c r="H6" s="512" t="inlineStr">
        <x:is>
          <x:t xml:space="preserve">D7</x:t>
        </x:is>
      </x:c>
    </x:row>
    <x:row r="7" s="455" customFormat="1" ht="14.25" customHeight="1">
      <x:c r="A7" s="512" t="inlineStr">
        <x:is>
          <x:t xml:space="preserve">U1</x:t>
        </x:is>
      </x:c>
      <x:c r="B7" s="486" t="n">
        <x:f>TANH(Parameters!$B$24*SUMIFS(Impact_Input!$N:$N,Impact_Input!$B:$B,"A",Impact_Input!$C:$C,$A7,Impact_Input!$D:$D,B$6))</x:f>
        <x:v>0</x:v>
      </x:c>
      <x:c r="C7" s="486" t="n">
        <x:f>TANH(Parameters!$B$24*SUMIFS(Impact_Input!$N:$N,Impact_Input!$B:$B,"A",Impact_Input!$C:$C,$A7,Impact_Input!$D:$D,C$6))</x:f>
        <x:v>0</x:v>
      </x:c>
      <x:c r="D7" s="486" t="n">
        <x:f>TANH(Parameters!$B$24*SUMIFS(Impact_Input!$N:$N,Impact_Input!$B:$B,"A",Impact_Input!$C:$C,$A7,Impact_Input!$D:$D,D$6))</x:f>
        <x:v>0</x:v>
      </x:c>
      <x:c r="E7" s="486" t="n">
        <x:f>TANH(Parameters!$B$24*SUMIFS(Impact_Input!$N:$N,Impact_Input!$B:$B,"A",Impact_Input!$C:$C,$A7,Impact_Input!$D:$D,E$6))</x:f>
        <x:v>0</x:v>
      </x:c>
      <x:c r="F7" s="532" t="n">
        <x:f>TANH(Parameters!$B$24*SUMIFS(Impact_Input!$N:$N,Impact_Input!$B:$B,"A",Impact_Input!$C:$C,$A7,Impact_Input!$D:$D,F$6))</x:f>
        <x:v>0.2490078843274226</x:v>
      </x:c>
      <x:c r="G7" s="532" t="n">
        <x:f>TANH(Parameters!$B$24*SUMIFS(Impact_Input!$N:$N,Impact_Input!$B:$B,"A",Impact_Input!$C:$C,$A7,Impact_Input!$D:$D,G$6))</x:f>
        <x:v>0.1432598557931445</x:v>
      </x:c>
      <x:c r="H7" s="486" t="n">
        <x:f>TANH(Parameters!$B$24*SUMIFS(Impact_Input!$N:$N,Impact_Input!$B:$B,"A",Impact_Input!$C:$C,$A7,Impact_Input!$D:$D,H$6))</x:f>
        <x:v>0</x:v>
      </x:c>
    </x:row>
    <x:row r="8" s="455" customFormat="1" ht="14.25" customHeight="1">
      <x:c r="A8" s="512" t="inlineStr">
        <x:is>
          <x:t xml:space="preserve">U2</x:t>
        </x:is>
      </x:c>
      <x:c r="B8" s="532" t="n">
        <x:f>TANH(Parameters!$B$24*SUMIFS(Impact_Input!$N:$N,Impact_Input!$B:$B,"A",Impact_Input!$C:$C,$A8,Impact_Input!$D:$D,B$6))</x:f>
        <x:v>0.046162176234088866</x:v>
      </x:c>
      <x:c r="C8" s="486" t="n">
        <x:f>TANH(Parameters!$B$24*SUMIFS(Impact_Input!$N:$N,Impact_Input!$B:$B,"A",Impact_Input!$C:$C,$A8,Impact_Input!$D:$D,C$6))</x:f>
        <x:v>0</x:v>
      </x:c>
      <x:c r="D8" s="486" t="n">
        <x:f>TANH(Parameters!$B$24*SUMIFS(Impact_Input!$N:$N,Impact_Input!$B:$B,"A",Impact_Input!$C:$C,$A8,Impact_Input!$D:$D,D$6))</x:f>
        <x:v>0</x:v>
      </x:c>
      <x:c r="E8" s="486" t="n">
        <x:f>TANH(Parameters!$B$24*SUMIFS(Impact_Input!$N:$N,Impact_Input!$B:$B,"A",Impact_Input!$C:$C,$A8,Impact_Input!$D:$D,E$6))</x:f>
        <x:v>0</x:v>
      </x:c>
      <x:c r="F8" s="486" t="n">
        <x:f>TANH(Parameters!$B$24*SUMIFS(Impact_Input!$N:$N,Impact_Input!$B:$B,"A",Impact_Input!$C:$C,$A8,Impact_Input!$D:$D,F$6))</x:f>
        <x:v>0</x:v>
      </x:c>
      <x:c r="G8" s="486" t="n">
        <x:f>TANH(Parameters!$B$24*SUMIFS(Impact_Input!$N:$N,Impact_Input!$B:$B,"A",Impact_Input!$C:$C,$A8,Impact_Input!$D:$D,G$6))</x:f>
        <x:v>0</x:v>
      </x:c>
      <x:c r="H8" s="486" t="n">
        <x:f>TANH(Parameters!$B$24*SUMIFS(Impact_Input!$N:$N,Impact_Input!$B:$B,"A",Impact_Input!$C:$C,$A8,Impact_Input!$D:$D,H$6))</x:f>
        <x:v>0</x:v>
      </x:c>
    </x:row>
    <x:row r="9" s="455" customFormat="1" ht="14.25" customHeight="1">
      <x:c r="A9" s="512" t="inlineStr">
        <x:is>
          <x:t xml:space="preserve">U3</x:t>
        </x:is>
      </x:c>
      <x:c r="B9" s="533" t="n">
        <x:f>TANH(Parameters!$B$24*SUMIFS(Impact_Input!$N:$N,Impact_Input!$B:$B,"A",Impact_Input!$C:$C,$A9,Impact_Input!$D:$D,B$6))</x:f>
        <x:v>-0.01979527432216163</x:v>
      </x:c>
      <x:c r="C9" s="486" t="n">
        <x:f>TANH(Parameters!$B$24*SUMIFS(Impact_Input!$N:$N,Impact_Input!$B:$B,"A",Impact_Input!$C:$C,$A9,Impact_Input!$D:$D,C$6))</x:f>
        <x:v>0</x:v>
      </x:c>
      <x:c r="D9" s="533" t="n">
        <x:f>TANH(Parameters!$B$24*SUMIFS(Impact_Input!$N:$N,Impact_Input!$B:$B,"A",Impact_Input!$C:$C,$A9,Impact_Input!$D:$D,D$6))</x:f>
        <x:v>-0.08072568681553846</x:v>
      </x:c>
      <x:c r="E9" s="486" t="n">
        <x:f>TANH(Parameters!$B$24*SUMIFS(Impact_Input!$N:$N,Impact_Input!$B:$B,"A",Impact_Input!$C:$C,$A9,Impact_Input!$D:$D,E$6))</x:f>
        <x:v>0</x:v>
      </x:c>
      <x:c r="F9" s="486" t="n">
        <x:f>TANH(Parameters!$B$24*SUMIFS(Impact_Input!$N:$N,Impact_Input!$B:$B,"A",Impact_Input!$C:$C,$A9,Impact_Input!$D:$D,F$6))</x:f>
        <x:v>0</x:v>
      </x:c>
      <x:c r="G9" s="486" t="n">
        <x:f>TANH(Parameters!$B$24*SUMIFS(Impact_Input!$N:$N,Impact_Input!$B:$B,"A",Impact_Input!$C:$C,$A9,Impact_Input!$D:$D,G$6))</x:f>
        <x:v>0</x:v>
      </x:c>
      <x:c r="H9" s="486" t="n">
        <x:f>TANH(Parameters!$B$24*SUMIFS(Impact_Input!$N:$N,Impact_Input!$B:$B,"A",Impact_Input!$C:$C,$A9,Impact_Input!$D:$D,H$6))</x:f>
        <x:v>0</x:v>
      </x:c>
    </x:row>
    <x:row r="10" s="455" customFormat="1" ht="14.25" customHeight="1">
      <x:c r="A10" s="512" t="inlineStr">
        <x:is>
          <x:t xml:space="preserve">U4</x:t>
        </x:is>
      </x:c>
      <x:c r="B10" s="533" t="n">
        <x:f>TANH(Parameters!$B$24*SUMIFS(Impact_Input!$N:$N,Impact_Input!$B:$B,"A",Impact_Input!$C:$C,$A10,Impact_Input!$D:$D,B$6))</x:f>
        <x:v>-0.08556943629589667</x:v>
      </x:c>
      <x:c r="C10" s="486" t="n">
        <x:f>TANH(Parameters!$B$24*SUMIFS(Impact_Input!$N:$N,Impact_Input!$B:$B,"A",Impact_Input!$C:$C,$A10,Impact_Input!$D:$D,C$6))</x:f>
        <x:v>0</x:v>
      </x:c>
      <x:c r="D10" s="486" t="n">
        <x:f>TANH(Parameters!$B$24*SUMIFS(Impact_Input!$N:$N,Impact_Input!$B:$B,"A",Impact_Input!$C:$C,$A10,Impact_Input!$D:$D,D$6))</x:f>
        <x:v>0</x:v>
      </x:c>
      <x:c r="E10" s="486" t="n">
        <x:f>TANH(Parameters!$B$24*SUMIFS(Impact_Input!$N:$N,Impact_Input!$B:$B,"A",Impact_Input!$C:$C,$A10,Impact_Input!$D:$D,E$6))</x:f>
        <x:v>0</x:v>
      </x:c>
      <x:c r="F10" s="486" t="n">
        <x:f>TANH(Parameters!$B$24*SUMIFS(Impact_Input!$N:$N,Impact_Input!$B:$B,"A",Impact_Input!$C:$C,$A10,Impact_Input!$D:$D,F$6))</x:f>
        <x:v>0</x:v>
      </x:c>
      <x:c r="G10" s="486" t="n">
        <x:f>TANH(Parameters!$B$24*SUMIFS(Impact_Input!$N:$N,Impact_Input!$B:$B,"A",Impact_Input!$C:$C,$A10,Impact_Input!$D:$D,G$6))</x:f>
        <x:v>0</x:v>
      </x:c>
      <x:c r="H10" s="486" t="n">
        <x:f>TANH(Parameters!$B$24*SUMIFS(Impact_Input!$N:$N,Impact_Input!$B:$B,"A",Impact_Input!$C:$C,$A10,Impact_Input!$D:$D,H$6))</x:f>
        <x:v>0</x:v>
      </x:c>
    </x:row>
    <x:row r="11" s="455" customFormat="1" ht="14.25" customHeight="1">
      <x:c r="A11" s="512" t="inlineStr">
        <x:is>
          <x:t xml:space="preserve">U5</x:t>
        </x:is>
      </x:c>
      <x:c r="B11" s="486" t="n">
        <x:f>TANH(Parameters!$B$24*SUMIFS(Impact_Input!$N:$N,Impact_Input!$B:$B,"A",Impact_Input!$C:$C,$A11,Impact_Input!$D:$D,B$6))</x:f>
        <x:v>0</x:v>
      </x:c>
      <x:c r="C11" s="486" t="n">
        <x:f>TANH(Parameters!$B$24*SUMIFS(Impact_Input!$N:$N,Impact_Input!$B:$B,"A",Impact_Input!$C:$C,$A11,Impact_Input!$D:$D,C$6))</x:f>
        <x:v>0</x:v>
      </x:c>
      <x:c r="D11" s="486" t="n">
        <x:f>TANH(Parameters!$B$24*SUMIFS(Impact_Input!$N:$N,Impact_Input!$B:$B,"A",Impact_Input!$C:$C,$A11,Impact_Input!$D:$D,D$6))</x:f>
        <x:v>0</x:v>
      </x:c>
      <x:c r="E11" s="486" t="n">
        <x:f>TANH(Parameters!$B$24*SUMIFS(Impact_Input!$N:$N,Impact_Input!$B:$B,"A",Impact_Input!$C:$C,$A11,Impact_Input!$D:$D,E$6))</x:f>
        <x:v>0</x:v>
      </x:c>
      <x:c r="F11" s="486" t="n">
        <x:f>TANH(Parameters!$B$24*SUMIFS(Impact_Input!$N:$N,Impact_Input!$B:$B,"A",Impact_Input!$C:$C,$A11,Impact_Input!$D:$D,F$6))</x:f>
        <x:v>0</x:v>
      </x:c>
      <x:c r="G11" s="486" t="n">
        <x:f>TANH(Parameters!$B$24*SUMIFS(Impact_Input!$N:$N,Impact_Input!$B:$B,"A",Impact_Input!$C:$C,$A11,Impact_Input!$D:$D,G$6))</x:f>
        <x:v>0</x:v>
      </x:c>
      <x:c r="H11" s="486" t="n">
        <x:f>TANH(Parameters!$B$24*SUMIFS(Impact_Input!$N:$N,Impact_Input!$B:$B,"A",Impact_Input!$C:$C,$A11,Impact_Input!$D:$D,H$6))</x:f>
        <x:v>0</x:v>
      </x:c>
    </x:row>
    <x:row r="12" s="455" customFormat="1" ht="14.25" customHeight="1">
      <x:c r="A12" s="512" t="inlineStr">
        <x:is>
          <x:t xml:space="preserve">U6</x:t>
        </x:is>
      </x:c>
      <x:c r="B12" s="486" t="n">
        <x:f>TANH(Parameters!$B$24*SUMIFS(Impact_Input!$N:$N,Impact_Input!$B:$B,"A",Impact_Input!$C:$C,$A12,Impact_Input!$D:$D,B$6))</x:f>
        <x:v>0</x:v>
      </x:c>
      <x:c r="C12" s="486" t="n">
        <x:f>TANH(Parameters!$B$24*SUMIFS(Impact_Input!$N:$N,Impact_Input!$B:$B,"A",Impact_Input!$C:$C,$A12,Impact_Input!$D:$D,C$6))</x:f>
        <x:v>0</x:v>
      </x:c>
      <x:c r="D12" s="486" t="n">
        <x:f>TANH(Parameters!$B$24*SUMIFS(Impact_Input!$N:$N,Impact_Input!$B:$B,"A",Impact_Input!$C:$C,$A12,Impact_Input!$D:$D,D$6))</x:f>
        <x:v>0</x:v>
      </x:c>
      <x:c r="E12" s="486" t="n">
        <x:f>TANH(Parameters!$B$24*SUMIFS(Impact_Input!$N:$N,Impact_Input!$B:$B,"A",Impact_Input!$C:$C,$A12,Impact_Input!$D:$D,E$6))</x:f>
        <x:v>0</x:v>
      </x:c>
      <x:c r="F12" s="486" t="n">
        <x:f>TANH(Parameters!$B$24*SUMIFS(Impact_Input!$N:$N,Impact_Input!$B:$B,"A",Impact_Input!$C:$C,$A12,Impact_Input!$D:$D,F$6))</x:f>
        <x:v>0</x:v>
      </x:c>
      <x:c r="G12" s="486" t="n">
        <x:f>TANH(Parameters!$B$24*SUMIFS(Impact_Input!$N:$N,Impact_Input!$B:$B,"A",Impact_Input!$C:$C,$A12,Impact_Input!$D:$D,G$6))</x:f>
        <x:v>0</x:v>
      </x:c>
      <x:c r="H12" s="486" t="n">
        <x:f>TANH(Parameters!$B$24*SUMIFS(Impact_Input!$N:$N,Impact_Input!$B:$B,"A",Impact_Input!$C:$C,$A12,Impact_Input!$D:$D,H$6))</x:f>
        <x:v>0</x:v>
      </x:c>
    </x:row>
    <x:row r="13" s="455" customFormat="1" ht="14.25" customHeight="1">
      <x:c r="A13" s="512" t="inlineStr">
        <x:is>
          <x:t xml:space="preserve">U7</x:t>
        </x:is>
      </x:c>
      <x:c r="B13" s="486" t="n">
        <x:f>TANH(Parameters!$B$24*SUMIFS(Impact_Input!$N:$N,Impact_Input!$B:$B,"A",Impact_Input!$C:$C,$A13,Impact_Input!$D:$D,B$6))</x:f>
        <x:v>0</x:v>
      </x:c>
      <x:c r="C13" s="486" t="n">
        <x:f>TANH(Parameters!$B$24*SUMIFS(Impact_Input!$N:$N,Impact_Input!$B:$B,"A",Impact_Input!$C:$C,$A13,Impact_Input!$D:$D,C$6))</x:f>
        <x:v>0</x:v>
      </x:c>
      <x:c r="D13" s="486" t="n">
        <x:f>TANH(Parameters!$B$24*SUMIFS(Impact_Input!$N:$N,Impact_Input!$B:$B,"A",Impact_Input!$C:$C,$A13,Impact_Input!$D:$D,D$6))</x:f>
        <x:v>0</x:v>
      </x:c>
      <x:c r="E13" s="486" t="n">
        <x:f>TANH(Parameters!$B$24*SUMIFS(Impact_Input!$N:$N,Impact_Input!$B:$B,"A",Impact_Input!$C:$C,$A13,Impact_Input!$D:$D,E$6))</x:f>
        <x:v>0</x:v>
      </x:c>
      <x:c r="F13" s="486" t="n">
        <x:f>TANH(Parameters!$B$24*SUMIFS(Impact_Input!$N:$N,Impact_Input!$B:$B,"A",Impact_Input!$C:$C,$A13,Impact_Input!$D:$D,F$6))</x:f>
        <x:v>0</x:v>
      </x:c>
      <x:c r="G13" s="486" t="n">
        <x:f>TANH(Parameters!$B$24*SUMIFS(Impact_Input!$N:$N,Impact_Input!$B:$B,"A",Impact_Input!$C:$C,$A13,Impact_Input!$D:$D,G$6))</x:f>
        <x:v>0</x:v>
      </x:c>
      <x:c r="H13" s="532" t="n">
        <x:f>TANH(Parameters!$B$24*SUMIFS(Impact_Input!$N:$N,Impact_Input!$B:$B,"A",Impact_Input!$C:$C,$A13,Impact_Input!$D:$D,H$6))</x:f>
        <x:v>0.01531651795735988</x:v>
      </x:c>
    </x:row>
    <x:row r="14" s="455" customFormat="1" ht="13.5" customHeight="1"/>
    <x:row r="15" s="455" customFormat="1" ht="13.5" customHeight="1"/>
    <x:row r="16" s="455" customFormat="1" ht="14.25" customHeight="1">
      <x:c r="A16" s="512" t="inlineStr">
        <x:is>
          <x:t xml:space="preserve">OPTION B</x:t>
        </x:is>
      </x:c>
    </x:row>
    <x:row r="17" s="455" customFormat="1" ht="14.25" customHeight="1">
      <x:c r="B17" s="512" t="inlineStr">
        <x:is>
          <x:t xml:space="preserve">D1</x:t>
        </x:is>
      </x:c>
      <x:c r="C17" s="512" t="inlineStr">
        <x:is>
          <x:t xml:space="preserve">D2</x:t>
        </x:is>
      </x:c>
      <x:c r="D17" s="512" t="inlineStr">
        <x:is>
          <x:t xml:space="preserve">D3</x:t>
        </x:is>
      </x:c>
      <x:c r="E17" s="512" t="inlineStr">
        <x:is>
          <x:t xml:space="preserve">D4</x:t>
        </x:is>
      </x:c>
      <x:c r="F17" s="512" t="inlineStr">
        <x:is>
          <x:t xml:space="preserve">D5</x:t>
        </x:is>
      </x:c>
      <x:c r="G17" s="512" t="inlineStr">
        <x:is>
          <x:t xml:space="preserve">D6</x:t>
        </x:is>
      </x:c>
      <x:c r="H17" s="512" t="inlineStr">
        <x:is>
          <x:t xml:space="preserve">D7</x:t>
        </x:is>
      </x:c>
    </x:row>
    <x:row r="18" s="455" customFormat="1" ht="14.25" customHeight="1">
      <x:c r="A18" s="512" t="inlineStr">
        <x:is>
          <x:t xml:space="preserve">U1</x:t>
        </x:is>
      </x:c>
      <x:c r="B18" s="486" t="n">
        <x:f>TANH(Parameters!$B$24*SUMIFS(Impact_Input!$N:$N,Impact_Input!$B:$B,"B",Impact_Input!$C:$C,$A18,Impact_Input!$D:$D,B$17))</x:f>
        <x:v>0</x:v>
      </x:c>
      <x:c r="C18" s="486" t="n">
        <x:f>TANH(Parameters!$B$24*SUMIFS(Impact_Input!$N:$N,Impact_Input!$B:$B,"B",Impact_Input!$C:$C,$A18,Impact_Input!$D:$D,C$17))</x:f>
        <x:v>0</x:v>
      </x:c>
      <x:c r="D18" s="486" t="n">
        <x:f>TANH(Parameters!$B$24*SUMIFS(Impact_Input!$N:$N,Impact_Input!$B:$B,"B",Impact_Input!$C:$C,$A18,Impact_Input!$D:$D,D$17))</x:f>
        <x:v>0</x:v>
      </x:c>
      <x:c r="E18" s="486" t="n">
        <x:f>TANH(Parameters!$B$24*SUMIFS(Impact_Input!$N:$N,Impact_Input!$B:$B,"B",Impact_Input!$C:$C,$A18,Impact_Input!$D:$D,E$17))</x:f>
        <x:v>0</x:v>
      </x:c>
      <x:c r="F18" s="533" t="n">
        <x:f>TANH(Parameters!$B$24*SUMIFS(Impact_Input!$N:$N,Impact_Input!$B:$B,"B",Impact_Input!$C:$C,$A18,Impact_Input!$D:$D,F$17))</x:f>
        <x:v>-0.046333567670633624</x:v>
      </x:c>
      <x:c r="G18" s="486" t="n">
        <x:f>TANH(Parameters!$B$24*SUMIFS(Impact_Input!$N:$N,Impact_Input!$B:$B,"B",Impact_Input!$C:$C,$A18,Impact_Input!$D:$D,G$17))</x:f>
        <x:v>0</x:v>
      </x:c>
      <x:c r="H18" s="486" t="n">
        <x:f>TANH(Parameters!$B$24*SUMIFS(Impact_Input!$N:$N,Impact_Input!$B:$B,"B",Impact_Input!$C:$C,$A18,Impact_Input!$D:$D,H$17))</x:f>
        <x:v>0</x:v>
      </x:c>
    </x:row>
    <x:row r="19" s="455" customFormat="1" ht="14.25" customHeight="1">
      <x:c r="A19" s="512" t="inlineStr">
        <x:is>
          <x:t xml:space="preserve">U2</x:t>
        </x:is>
      </x:c>
      <x:c r="B19" s="533" t="n">
        <x:f>TANH(Parameters!$B$24*SUMIFS(Impact_Input!$N:$N,Impact_Input!$B:$B,"B",Impact_Input!$C:$C,$A19,Impact_Input!$D:$D,B$17))</x:f>
        <x:v>-0.01847590043753792</x:v>
      </x:c>
      <x:c r="C19" s="486" t="n">
        <x:f>TANH(Parameters!$B$24*SUMIFS(Impact_Input!$N:$N,Impact_Input!$B:$B,"B",Impact_Input!$C:$C,$A19,Impact_Input!$D:$D,C$17))</x:f>
        <x:v>0</x:v>
      </x:c>
      <x:c r="D19" s="486" t="n">
        <x:f>TANH(Parameters!$B$24*SUMIFS(Impact_Input!$N:$N,Impact_Input!$B:$B,"B",Impact_Input!$C:$C,$A19,Impact_Input!$D:$D,D$17))</x:f>
        <x:v>0</x:v>
      </x:c>
      <x:c r="E19" s="486" t="n">
        <x:f>TANH(Parameters!$B$24*SUMIFS(Impact_Input!$N:$N,Impact_Input!$B:$B,"B",Impact_Input!$C:$C,$A19,Impact_Input!$D:$D,E$17))</x:f>
        <x:v>0</x:v>
      </x:c>
      <x:c r="F19" s="486" t="n">
        <x:f>TANH(Parameters!$B$24*SUMIFS(Impact_Input!$N:$N,Impact_Input!$B:$B,"B",Impact_Input!$C:$C,$A19,Impact_Input!$D:$D,F$17))</x:f>
        <x:v>0</x:v>
      </x:c>
      <x:c r="G19" s="486" t="n">
        <x:f>TANH(Parameters!$B$24*SUMIFS(Impact_Input!$N:$N,Impact_Input!$B:$B,"B",Impact_Input!$C:$C,$A19,Impact_Input!$D:$D,G$17))</x:f>
        <x:v>0</x:v>
      </x:c>
      <x:c r="H19" s="486" t="n">
        <x:f>TANH(Parameters!$B$24*SUMIFS(Impact_Input!$N:$N,Impact_Input!$B:$B,"B",Impact_Input!$C:$C,$A19,Impact_Input!$D:$D,H$17))</x:f>
        <x:v>0</x:v>
      </x:c>
    </x:row>
    <x:row r="20" s="455" customFormat="1" ht="14.25" customHeight="1">
      <x:c r="A20" s="512" t="inlineStr">
        <x:is>
          <x:t xml:space="preserve">U3</x:t>
        </x:is>
      </x:c>
      <x:c r="B20" s="532" t="n">
        <x:f>TANH(Parameters!$B$24*SUMIFS(Impact_Input!$N:$N,Impact_Input!$B:$B,"B",Impact_Input!$C:$C,$A20,Impact_Input!$D:$D,B$17))</x:f>
        <x:v>0.013197807340577457</x:v>
      </x:c>
      <x:c r="C20" s="486" t="n">
        <x:f>TANH(Parameters!$B$24*SUMIFS(Impact_Input!$N:$N,Impact_Input!$B:$B,"B",Impact_Input!$C:$C,$A20,Impact_Input!$D:$D,C$17))</x:f>
        <x:v>0</x:v>
      </x:c>
      <x:c r="D20" s="532" t="n">
        <x:f>TANH(Parameters!$B$24*SUMIFS(Impact_Input!$N:$N,Impact_Input!$B:$B,"B",Impact_Input!$C:$C,$A20,Impact_Input!$D:$D,D$17))</x:f>
        <x:v>0.06151557221350915</x:v>
      </x:c>
      <x:c r="E20" s="486" t="n">
        <x:f>TANH(Parameters!$B$24*SUMIFS(Impact_Input!$N:$N,Impact_Input!$B:$B,"B",Impact_Input!$C:$C,$A20,Impact_Input!$D:$D,E$17))</x:f>
        <x:v>0</x:v>
      </x:c>
      <x:c r="F20" s="486" t="n">
        <x:f>TANH(Parameters!$B$24*SUMIFS(Impact_Input!$N:$N,Impact_Input!$B:$B,"B",Impact_Input!$C:$C,$A20,Impact_Input!$D:$D,F$17))</x:f>
        <x:v>0</x:v>
      </x:c>
      <x:c r="G20" s="486" t="n">
        <x:f>TANH(Parameters!$B$24*SUMIFS(Impact_Input!$N:$N,Impact_Input!$B:$B,"B",Impact_Input!$C:$C,$A20,Impact_Input!$D:$D,G$17))</x:f>
        <x:v>0</x:v>
      </x:c>
      <x:c r="H20" s="486" t="n">
        <x:f>TANH(Parameters!$B$24*SUMIFS(Impact_Input!$N:$N,Impact_Input!$B:$B,"B",Impact_Input!$C:$C,$A20,Impact_Input!$D:$D,H$17))</x:f>
        <x:v>0</x:v>
      </x:c>
    </x:row>
    <x:row r="21" s="455" customFormat="1" ht="14.25" customHeight="1">
      <x:c r="A21" s="512" t="inlineStr">
        <x:is>
          <x:t xml:space="preserve">U4</x:t>
        </x:is>
      </x:c>
      <x:c r="B21" s="532" t="n">
        <x:f>TANH(Parameters!$B$24*SUMIFS(Impact_Input!$N:$N,Impact_Input!$B:$B,"B",Impact_Input!$C:$C,$A21,Impact_Input!$D:$D,B$17))</x:f>
        <x:v>0.010211455619172161</x:v>
      </x:c>
      <x:c r="C21" s="486" t="n">
        <x:f>TANH(Parameters!$B$24*SUMIFS(Impact_Input!$N:$N,Impact_Input!$B:$B,"B",Impact_Input!$C:$C,$A21,Impact_Input!$D:$D,C$17))</x:f>
        <x:v>0</x:v>
      </x:c>
      <x:c r="D21" s="486" t="n">
        <x:f>TANH(Parameters!$B$24*SUMIFS(Impact_Input!$N:$N,Impact_Input!$B:$B,"B",Impact_Input!$C:$C,$A21,Impact_Input!$D:$D,D$17))</x:f>
        <x:v>0</x:v>
      </x:c>
      <x:c r="E21" s="486" t="n">
        <x:f>TANH(Parameters!$B$24*SUMIFS(Impact_Input!$N:$N,Impact_Input!$B:$B,"B",Impact_Input!$C:$C,$A21,Impact_Input!$D:$D,E$17))</x:f>
        <x:v>0</x:v>
      </x:c>
      <x:c r="F21" s="486" t="n">
        <x:f>TANH(Parameters!$B$24*SUMIFS(Impact_Input!$N:$N,Impact_Input!$B:$B,"B",Impact_Input!$C:$C,$A21,Impact_Input!$D:$D,F$17))</x:f>
        <x:v>0</x:v>
      </x:c>
      <x:c r="G21" s="486" t="n">
        <x:f>TANH(Parameters!$B$24*SUMIFS(Impact_Input!$N:$N,Impact_Input!$B:$B,"B",Impact_Input!$C:$C,$A21,Impact_Input!$D:$D,G$17))</x:f>
        <x:v>0</x:v>
      </x:c>
      <x:c r="H21" s="486" t="n">
        <x:f>TANH(Parameters!$B$24*SUMIFS(Impact_Input!$N:$N,Impact_Input!$B:$B,"B",Impact_Input!$C:$C,$A21,Impact_Input!$D:$D,H$17))</x:f>
        <x:v>0</x:v>
      </x:c>
    </x:row>
    <x:row r="22" s="455" customFormat="1" ht="14.25" customHeight="1">
      <x:c r="A22" s="512" t="inlineStr">
        <x:is>
          <x:t xml:space="preserve">U5</x:t>
        </x:is>
      </x:c>
      <x:c r="B22" s="486" t="n">
        <x:f>TANH(Parameters!$B$24*SUMIFS(Impact_Input!$N:$N,Impact_Input!$B:$B,"B",Impact_Input!$C:$C,$A22,Impact_Input!$D:$D,B$17))</x:f>
        <x:v>0</x:v>
      </x:c>
      <x:c r="C22" s="486" t="n">
        <x:f>TANH(Parameters!$B$24*SUMIFS(Impact_Input!$N:$N,Impact_Input!$B:$B,"B",Impact_Input!$C:$C,$A22,Impact_Input!$D:$D,C$17))</x:f>
        <x:v>0</x:v>
      </x:c>
      <x:c r="D22" s="486" t="n">
        <x:f>TANH(Parameters!$B$24*SUMIFS(Impact_Input!$N:$N,Impact_Input!$B:$B,"B",Impact_Input!$C:$C,$A22,Impact_Input!$D:$D,D$17))</x:f>
        <x:v>0</x:v>
      </x:c>
      <x:c r="E22" s="486" t="n">
        <x:f>TANH(Parameters!$B$24*SUMIFS(Impact_Input!$N:$N,Impact_Input!$B:$B,"B",Impact_Input!$C:$C,$A22,Impact_Input!$D:$D,E$17))</x:f>
        <x:v>0</x:v>
      </x:c>
      <x:c r="F22" s="486" t="n">
        <x:f>TANH(Parameters!$B$24*SUMIFS(Impact_Input!$N:$N,Impact_Input!$B:$B,"B",Impact_Input!$C:$C,$A22,Impact_Input!$D:$D,F$17))</x:f>
        <x:v>0</x:v>
      </x:c>
      <x:c r="G22" s="486" t="n">
        <x:f>TANH(Parameters!$B$24*SUMIFS(Impact_Input!$N:$N,Impact_Input!$B:$B,"B",Impact_Input!$C:$C,$A22,Impact_Input!$D:$D,G$17))</x:f>
        <x:v>0</x:v>
      </x:c>
      <x:c r="H22" s="486" t="n">
        <x:f>TANH(Parameters!$B$24*SUMIFS(Impact_Input!$N:$N,Impact_Input!$B:$B,"B",Impact_Input!$C:$C,$A22,Impact_Input!$D:$D,H$17))</x:f>
        <x:v>0</x:v>
      </x:c>
    </x:row>
    <x:row r="23" s="455" customFormat="1" ht="14.25" customHeight="1">
      <x:c r="A23" s="512" t="inlineStr">
        <x:is>
          <x:t xml:space="preserve">U6</x:t>
        </x:is>
      </x:c>
      <x:c r="B23" s="486" t="n">
        <x:f>TANH(Parameters!$B$24*SUMIFS(Impact_Input!$N:$N,Impact_Input!$B:$B,"B",Impact_Input!$C:$C,$A23,Impact_Input!$D:$D,B$17))</x:f>
        <x:v>0</x:v>
      </x:c>
      <x:c r="C23" s="486" t="n">
        <x:f>TANH(Parameters!$B$24*SUMIFS(Impact_Input!$N:$N,Impact_Input!$B:$B,"B",Impact_Input!$C:$C,$A23,Impact_Input!$D:$D,C$17))</x:f>
        <x:v>0</x:v>
      </x:c>
      <x:c r="D23" s="486" t="n">
        <x:f>TANH(Parameters!$B$24*SUMIFS(Impact_Input!$N:$N,Impact_Input!$B:$B,"B",Impact_Input!$C:$C,$A23,Impact_Input!$D:$D,D$17))</x:f>
        <x:v>0</x:v>
      </x:c>
      <x:c r="E23" s="486" t="n">
        <x:f>TANH(Parameters!$B$24*SUMIFS(Impact_Input!$N:$N,Impact_Input!$B:$B,"B",Impact_Input!$C:$C,$A23,Impact_Input!$D:$D,E$17))</x:f>
        <x:v>0</x:v>
      </x:c>
      <x:c r="F23" s="486" t="n">
        <x:f>TANH(Parameters!$B$24*SUMIFS(Impact_Input!$N:$N,Impact_Input!$B:$B,"B",Impact_Input!$C:$C,$A23,Impact_Input!$D:$D,F$17))</x:f>
        <x:v>0</x:v>
      </x:c>
      <x:c r="G23" s="486" t="n">
        <x:f>TANH(Parameters!$B$24*SUMIFS(Impact_Input!$N:$N,Impact_Input!$B:$B,"B",Impact_Input!$C:$C,$A23,Impact_Input!$D:$D,G$17))</x:f>
        <x:v>0</x:v>
      </x:c>
      <x:c r="H23" s="486" t="n">
        <x:f>TANH(Parameters!$B$24*SUMIFS(Impact_Input!$N:$N,Impact_Input!$B:$B,"B",Impact_Input!$C:$C,$A23,Impact_Input!$D:$D,H$17))</x:f>
        <x:v>0</x:v>
      </x:c>
    </x:row>
    <x:row r="24" s="455" customFormat="1" ht="14.25" customHeight="1">
      <x:c r="A24" s="512" t="inlineStr">
        <x:is>
          <x:t xml:space="preserve">U7</x:t>
        </x:is>
      </x:c>
      <x:c r="B24" s="486" t="n">
        <x:f>TANH(Parameters!$B$24*SUMIFS(Impact_Input!$N:$N,Impact_Input!$B:$B,"B",Impact_Input!$C:$C,$A24,Impact_Input!$D:$D,B$17))</x:f>
        <x:v>0</x:v>
      </x:c>
      <x:c r="C24" s="486" t="n">
        <x:f>TANH(Parameters!$B$24*SUMIFS(Impact_Input!$N:$N,Impact_Input!$B:$B,"B",Impact_Input!$C:$C,$A24,Impact_Input!$D:$D,C$17))</x:f>
        <x:v>0</x:v>
      </x:c>
      <x:c r="D24" s="486" t="n">
        <x:f>TANH(Parameters!$B$24*SUMIFS(Impact_Input!$N:$N,Impact_Input!$B:$B,"B",Impact_Input!$C:$C,$A24,Impact_Input!$D:$D,D$17))</x:f>
        <x:v>0</x:v>
      </x:c>
      <x:c r="E24" s="486" t="n">
        <x:f>TANH(Parameters!$B$24*SUMIFS(Impact_Input!$N:$N,Impact_Input!$B:$B,"B",Impact_Input!$C:$C,$A24,Impact_Input!$D:$D,E$17))</x:f>
        <x:v>0</x:v>
      </x:c>
      <x:c r="F24" s="486" t="n">
        <x:f>TANH(Parameters!$B$24*SUMIFS(Impact_Input!$N:$N,Impact_Input!$B:$B,"B",Impact_Input!$C:$C,$A24,Impact_Input!$D:$D,F$17))</x:f>
        <x:v>0</x:v>
      </x:c>
      <x:c r="G24" s="486" t="n">
        <x:f>TANH(Parameters!$B$24*SUMIFS(Impact_Input!$N:$N,Impact_Input!$B:$B,"B",Impact_Input!$C:$C,$A24,Impact_Input!$D:$D,G$17))</x:f>
        <x:v>0</x:v>
      </x:c>
      <x:c r="H24" s="533" t="n">
        <x:f>TANH(Parameters!$B$24*SUMIFS(Impact_Input!$N:$N,Impact_Input!$B:$B,"B",Impact_Input!$C:$C,$A24,Impact_Input!$D:$D,H$17))</x:f>
        <x:v>-0.010211455619172184</x:v>
      </x:c>
    </x:row>
  </x:sheetData>
  <x:mergeCells>
    <x:mergeCell ref="A1:I1"/>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baseColWidth="8" defaultColWidth="8.66796875" defaultRowHeight="12.75"/>
  <x:cols>
    <x:col min="1" max="1" width="54" style="497" customWidth="1"/>
    <x:col min="2" max="2" width="22" style="497" customWidth="1"/>
    <x:col min="3" max="3" width="14" style="497" customWidth="1"/>
    <x:col min="4" max="5" width="12" style="497" customWidth="1"/>
    <x:col min="6" max="7" width="10" style="497" customWidth="1"/>
    <x:col min="8" max="9" width="28" style="497" customWidth="1"/>
  </x:cols>
  <x:sheetData>
    <x:row r="1" s="455" customFormat="1" ht="14.25" customHeight="1">
      <x:c r="A1" s="534" t="inlineStr">
        <x:is>
          <x:t xml:space="preserve">LEVEL 1: NON-COMPENSATORY RIGHTS CONSTRAINT (NCRC)</x:t>
        </x:is>
      </x:c>
      <x:c r="B1" s="457" t="n"/>
      <x:c r="C1" s="457" t="n"/>
      <x:c r="D1" s="457" t="n"/>
      <x:c r="E1" s="457" t="n"/>
      <x:c r="F1" s="457" t="n"/>
      <x:c r="G1" s="457" t="n"/>
      <x:c r="H1" s="457" t="n"/>
      <x:c r="I1" s="457" t="n"/>
      <x:c r="J1" s="457" t="n"/>
    </x:row>
    <x:row r="2" s="455" customFormat="1" ht="13.5" customHeight="1"/>
    <x:row r="3" s="455" customFormat="1" ht="14.25" customHeight="1">
      <x:c r="A3" s="471" t="inlineStr">
        <x:is>
          <x:t xml:space="preserve">Reference: RippleLogic v10.8 Section 7.0</x:t>
        </x:is>
      </x:c>
    </x:row>
    <x:row r="4" s="455" customFormat="1" ht="14.25" customHeight="1">
      <x:c r="A4" s="471" t="inlineStr">
        <x:is>
          <x:t xml:space="preserve">Rule: For each right r, MIN impact across coverage set must be ≥ θ_r</x:t>
        </x:is>
      </x:c>
    </x:row>
    <x:row r="5" s="455" customFormat="1" ht="13.5" customHeight="1">
      <x:c r="A5" s="471" t="inlineStr">
        <x:is>
          <x:t xml:space="preserve">NCRC RIGHTS FLOOR CHECK (Min_I_rights vs θ_r; PASS if Min_I_rights ≥ θ_r)</x:t>
        </x:is>
      </x:c>
    </x:row>
    <x:row r="6" s="455" customFormat="1" ht="14.25" customHeight="1">
      <x:c r="A6" s="512" t="inlineStr">
        <x:is>
          <x:t xml:space="preserve">OPTION A RIGHTS CHECK</x:t>
        </x:is>
      </x:c>
      <x:c r="H6" s="535" t="inlineStr">
        <x:is>
          <x:t xml:space="preserve">Source locator (first matching minimum)</x:t>
        </x:is>
      </x:c>
      <x:c r="I6" s="457" t="n"/>
    </x:row>
    <x:row r="7" s="455" customFormat="1" ht="14.25" customHeight="1">
      <x:c r="A7" s="487" t="inlineStr">
        <x:is>
          <x:t xml:space="preserve">Right</x:t>
        </x:is>
      </x:c>
      <x:c r="B7" s="487" t="inlineStr">
        <x:is>
          <x:t xml:space="preserve">Priority</x:t>
        </x:is>
      </x:c>
      <x:c r="C7" s="487" t="inlineStr">
        <x:is>
          <x:t xml:space="preserve">θ_r</x:t>
        </x:is>
      </x:c>
      <x:c r="D7" s="487" t="inlineStr">
        <x:is>
          <x:t xml:space="preserve">Min_I_rights_A</x:t>
        </x:is>
      </x:c>
      <x:c r="E7" s="487" t="inlineStr">
        <x:is>
          <x:t xml:space="preserve">Min_I_rights_B</x:t>
        </x:is>
      </x:c>
      <x:c r="F7" s="487" t="inlineStr">
        <x:is>
          <x:t xml:space="preserve">Pass_A</x:t>
        </x:is>
      </x:c>
      <x:c r="G7" s="487" t="inlineStr">
        <x:is>
          <x:t xml:space="preserve">Pass_B</x:t>
        </x:is>
      </x:c>
      <x:c r="H7" s="471" t="inlineStr">
        <x:is>
          <x:t xml:space="preserve">Worst_Cell_A</x:t>
        </x:is>
      </x:c>
      <x:c r="I7" s="471" t="inlineStr">
        <x:is>
          <x:t xml:space="preserve">Worst_Cell_B</x:t>
        </x:is>
      </x:c>
    </x:row>
    <x:row r="8" s="455" customFormat="1" ht="14.25" customHeight="1">
      <x:c r="A8" s="471" t="inlineStr">
        <x:is>
          <x:t xml:space="preserve">LIFE</x:t>
        </x:is>
      </x:c>
      <x:c r="B8" s="471" t="n">
        <x:v>1</x:v>
      </x:c>
      <x:c r="C8" s="471" t="n">
        <x:v>-0.9</x:v>
      </x:c>
      <x:c r="D8" s="486" t="n">
        <x:f>SUMPRODUCT(MIN((Rights_Coverage_View!$B$2:$B$71=$A8)*Rights_Coverage_View!$M$2:$M$71+(Rights_Coverage_View!$B$2:$B$71&lt;&gt;$A8)*1E+099))</x:f>
        <x:v>0</x:v>
      </x:c>
      <x:c r="E8" s="486" t="n">
        <x:f>SUMPRODUCT(MIN((Rights_Coverage_View!$B$2:$B$71=$A8)*Rights_Coverage_View!$N$2:$N$71+(Rights_Coverage_View!$B$2:$B$71&lt;&gt;$A8)*1E+099))</x:f>
        <x:v>0</x:v>
      </x:c>
      <x:c r="F8" s="485" t="str">
        <x:f>IF(D8&gt;=$C8,"PASS","FAIL")</x:f>
        <x:v>PASS</x:v>
      </x:c>
      <x:c r="G8" s="485" t="str">
        <x:f>IF(E8&gt;=$C8,"PASS","FAIL")</x:f>
        <x:v>PASS</x:v>
      </x:c>
      <x:c r="H8" s="471" t="str">
        <x:f>IF(OR($A8="",$D8="",$D8&gt;=0),"",IFERROR("Rights_Coverage_View!H"&amp;MATCH($A8&amp;"|"&amp;ROUND($D8*1000000000000,0),Rights_Coverage_View!$O$2:$O$100,0)+1,""))</x:f>
      </x:c>
      <x:c r="I8" s="471" t="str">
        <x:f>IF(OR($A8="",$E8="",$E8&gt;=0),"",IFERROR("Rights_Coverage_View!I"&amp;MATCH($A8&amp;"|"&amp;ROUND($E8*1000000000000,0),Rights_Coverage_View!$P$2:$P$100,0)+1,""))</x:f>
      </x:c>
    </x:row>
    <x:row r="9" s="455" customFormat="1" ht="14.25" customHeight="1">
      <x:c r="A9" s="471" t="inlineStr">
        <x:is>
          <x:t xml:space="preserve">BODY</x:t>
        </x:is>
      </x:c>
      <x:c r="B9" s="471" t="n">
        <x:v>2</x:v>
      </x:c>
      <x:c r="C9" s="471" t="n">
        <x:v>-0.7</x:v>
      </x:c>
      <x:c r="D9" s="486" t="n">
        <x:f>SUMPRODUCT(MIN((Rights_Coverage_View!$B$2:$B$71=$A9)*Rights_Coverage_View!$M$2:$M$71+(Rights_Coverage_View!$B$2:$B$71&lt;&gt;$A9)*1E+099))</x:f>
        <x:v>0</x:v>
      </x:c>
      <x:c r="E9" s="486" t="n">
        <x:f>SUMPRODUCT(MIN((Rights_Coverage_View!$B$2:$B$71=$A9)*Rights_Coverage_View!$N$2:$N$71+(Rights_Coverage_View!$B$2:$B$71&lt;&gt;$A9)*1E+099))</x:f>
        <x:v>0</x:v>
      </x:c>
      <x:c r="F9" s="485" t="str">
        <x:f>IF(D9&gt;=$C9,"PASS","FAIL")</x:f>
        <x:v>PASS</x:v>
      </x:c>
      <x:c r="G9" s="485" t="str">
        <x:f>IF(E9&gt;=$C9,"PASS","FAIL")</x:f>
        <x:v>PASS</x:v>
      </x:c>
      <x:c r="H9" s="471" t="str">
        <x:f>IF(OR($A9="",$D9="",$D9&gt;=0),"",IFERROR("Rights_Coverage_View!H"&amp;MATCH($A9&amp;"|"&amp;ROUND($D9*1000000000000,0),Rights_Coverage_View!$O$2:$O$100,0)+1,""))</x:f>
      </x:c>
      <x:c r="I9" s="471" t="str">
        <x:f>IF(OR($A9="",$E9="",$E9&gt;=0),"",IFERROR("Rights_Coverage_View!I"&amp;MATCH($A9&amp;"|"&amp;ROUND($E9*1000000000000,0),Rights_Coverage_View!$P$2:$P$100,0)+1,""))</x:f>
      </x:c>
    </x:row>
    <x:row r="10" s="455" customFormat="1" ht="14.25" customHeight="1">
      <x:c r="A10" s="471" t="inlineStr">
        <x:is>
          <x:t xml:space="preserve">LBTY</x:t>
        </x:is>
      </x:c>
      <x:c r="B10" s="471" t="n">
        <x:v>3</x:v>
      </x:c>
      <x:c r="C10" s="471" t="n">
        <x:v>-0.65</x:v>
      </x:c>
      <x:c r="D10" s="486" t="n">
        <x:f>SUMPRODUCT(MIN((Rights_Coverage_View!$B$2:$B$71=$A10)*Rights_Coverage_View!$M$2:$M$71+(Rights_Coverage_View!$B$2:$B$71&lt;&gt;$A10)*1E+099))</x:f>
        <x:v>-0.15</x:v>
      </x:c>
      <x:c r="E10" s="486" t="n">
        <x:f>SUMPRODUCT(MIN((Rights_Coverage_View!$B$2:$B$71=$A10)*Rights_Coverage_View!$N$2:$N$71+(Rights_Coverage_View!$B$2:$B$71&lt;&gt;$A10)*1E+099))</x:f>
        <x:v>-0.15</x:v>
      </x:c>
      <x:c r="F10" s="485" t="str">
        <x:f>IF(D10&gt;=$C10,"PASS","FAIL")</x:f>
        <x:v>PASS</x:v>
      </x:c>
      <x:c r="G10" s="485" t="str">
        <x:f>IF(E10&gt;=$C10,"PASS","FAIL")</x:f>
        <x:v>PASS</x:v>
      </x:c>
      <x:c r="H10" s="471" t="str">
        <x:f>IF(OR($A10="",$D10="",$D10&gt;=0),"",IFERROR("Rights_Coverage_View!H"&amp;MATCH($A10&amp;"|"&amp;ROUND($D10*1000000000000,0),Rights_Coverage_View!$O$2:$O$100,0)+1,""))</x:f>
        <x:v>Rights_Coverage_View!H17</x:v>
      </x:c>
      <x:c r="I10" s="471" t="str">
        <x:f>IF(OR($A10="",$E10="",$E10&gt;=0),"",IFERROR("Rights_Coverage_View!I"&amp;MATCH($A10&amp;"|"&amp;ROUND($E10*1000000000000,0),Rights_Coverage_View!$P$2:$P$100,0)+1,""))</x:f>
        <x:v>Rights_Coverage_View!I17</x:v>
      </x:c>
    </x:row>
    <x:row r="11" s="455" customFormat="1" ht="14.25" customHeight="1">
      <x:c r="A11" s="471" t="inlineStr">
        <x:is>
          <x:t xml:space="preserve">NEED</x:t>
        </x:is>
      </x:c>
      <x:c r="B11" s="471" t="n">
        <x:v>4</x:v>
      </x:c>
      <x:c r="C11" s="471" t="n">
        <x:v>-0.5</x:v>
      </x:c>
      <x:c r="D11" s="486" t="n">
        <x:f>SUMPRODUCT(MIN((Rights_Coverage_View!$B$2:$B$71=$A11)*Rights_Coverage_View!$M$2:$M$71+(Rights_Coverage_View!$B$2:$B$71&lt;&gt;$A11)*1E+099))</x:f>
        <x:v>-0.3</x:v>
      </x:c>
      <x:c r="E11" s="486" t="n">
        <x:f>SUMPRODUCT(MIN((Rights_Coverage_View!$B$2:$B$71=$A11)*Rights_Coverage_View!$N$2:$N$71+(Rights_Coverage_View!$B$2:$B$71&lt;&gt;$A11)*1E+099))</x:f>
        <x:v>-0.12</x:v>
      </x:c>
      <x:c r="F11" s="485" t="str">
        <x:f>IF(D11&gt;=$C11,"PASS","FAIL")</x:f>
        <x:v>PASS</x:v>
      </x:c>
      <x:c r="G11" s="485" t="str">
        <x:f>IF(E11&gt;=$C11,"PASS","FAIL")</x:f>
        <x:v>PASS</x:v>
      </x:c>
      <x:c r="H11" s="471" t="str">
        <x:f>IF(OR($A11="",$D11="",$D11&gt;=0),"",IFERROR("Rights_Coverage_View!H"&amp;MATCH($A11&amp;"|"&amp;ROUND($D11*1000000000000,0),Rights_Coverage_View!$O$2:$O$100,0)+1,""))</x:f>
        <x:v>Rights_Coverage_View!H29</x:v>
      </x:c>
      <x:c r="I11" s="471" t="str">
        <x:f>IF(OR($A11="",$E11="",$E11&gt;=0),"",IFERROR("Rights_Coverage_View!I"&amp;MATCH($A11&amp;"|"&amp;ROUND($E11*1000000000000,0),Rights_Coverage_View!$P$2:$P$100,0)+1,""))</x:f>
        <x:v>Rights_Coverage_View!I29</x:v>
      </x:c>
    </x:row>
    <x:row r="12" s="455" customFormat="1" ht="14.25" customHeight="1">
      <x:c r="A12" s="471" t="inlineStr">
        <x:is>
          <x:t xml:space="preserve">DIGN</x:t>
        </x:is>
      </x:c>
      <x:c r="B12" s="471" t="n">
        <x:v>5</x:v>
      </x:c>
      <x:c r="C12" s="471" t="n">
        <x:v>-0.55</x:v>
      </x:c>
      <x:c r="D12" s="486" t="n">
        <x:f>SUMPRODUCT(MIN((Rights_Coverage_View!$B$2:$B$71=$A12)*Rights_Coverage_View!$M$2:$M$71+(Rights_Coverage_View!$B$2:$B$71&lt;&gt;$A12)*1E+099))</x:f>
        <x:v>-0.15</x:v>
      </x:c>
      <x:c r="E12" s="486" t="n">
        <x:f>SUMPRODUCT(MIN((Rights_Coverage_View!$B$2:$B$71=$A12)*Rights_Coverage_View!$N$2:$N$71+(Rights_Coverage_View!$B$2:$B$71&lt;&gt;$A12)*1E+099))</x:f>
        <x:v>-0.15</x:v>
      </x:c>
      <x:c r="F12" s="485" t="str">
        <x:f>IF(D12&gt;=$C12,"PASS","FAIL")</x:f>
        <x:v>PASS</x:v>
      </x:c>
      <x:c r="G12" s="485" t="str">
        <x:f>IF(E12&gt;=$C12,"PASS","FAIL")</x:f>
        <x:v>PASS</x:v>
      </x:c>
      <x:c r="H12" s="471" t="str">
        <x:f>IF(OR($A12="",$D12="",$D12&gt;=0),"",IFERROR("Rights_Coverage_View!H"&amp;MATCH($A12&amp;"|"&amp;ROUND($D12*1000000000000,0),Rights_Coverage_View!$O$2:$O$100,0)+1,""))</x:f>
        <x:v>Rights_Coverage_View!H23</x:v>
      </x:c>
      <x:c r="I12" s="471" t="str">
        <x:f>IF(OR($A12="",$E12="",$E12&gt;=0),"",IFERROR("Rights_Coverage_View!I"&amp;MATCH($A12&amp;"|"&amp;ROUND($E12*1000000000000,0),Rights_Coverage_View!$P$2:$P$100,0)+1,""))</x:f>
        <x:v>Rights_Coverage_View!I17</x:v>
      </x:c>
    </x:row>
    <x:row r="13" s="455" customFormat="1" ht="14.25" customHeight="1">
      <x:c r="A13" s="471" t="inlineStr">
        <x:is>
          <x:t xml:space="preserve">PROC</x:t>
        </x:is>
      </x:c>
      <x:c r="B13" s="471" t="n">
        <x:v>6</x:v>
      </x:c>
      <x:c r="C13" s="471" t="n">
        <x:v>-0.45</x:v>
      </x:c>
      <x:c r="D13" s="486" t="n">
        <x:f>SUMPRODUCT(MIN((Rights_Coverage_View!$B$2:$B$71=$A13)*Rights_Coverage_View!$M$2:$M$71+(Rights_Coverage_View!$B$2:$B$71&lt;&gt;$A13)*1E+099))</x:f>
        <x:v>0</x:v>
      </x:c>
      <x:c r="E13" s="486" t="n">
        <x:f>SUMPRODUCT(MIN((Rights_Coverage_View!$B$2:$B$71=$A13)*Rights_Coverage_View!$N$2:$N$71+(Rights_Coverage_View!$B$2:$B$71&lt;&gt;$A13)*1E+099))</x:f>
        <x:v>0</x:v>
      </x:c>
      <x:c r="F13" s="485" t="str">
        <x:f>IF(D13&gt;=$C13,"PASS","FAIL")</x:f>
        <x:v>PASS</x:v>
      </x:c>
      <x:c r="G13" s="485" t="str">
        <x:f>IF(E13&gt;=$C13,"PASS","FAIL")</x:f>
        <x:v>PASS</x:v>
      </x:c>
      <x:c r="H13" s="471" t="str">
        <x:f>IF(OR($A13="",$D13="",$D13&gt;=0),"",IFERROR("Rights_Coverage_View!H"&amp;MATCH($A13&amp;"|"&amp;ROUND($D13*1000000000000,0),Rights_Coverage_View!$O$2:$O$100,0)+1,""))</x:f>
      </x:c>
      <x:c r="I13" s="471" t="str">
        <x:f>IF(OR($A13="",$E13="",$E13&gt;=0),"",IFERROR("Rights_Coverage_View!I"&amp;MATCH($A13&amp;"|"&amp;ROUND($E13*1000000000000,0),Rights_Coverage_View!$P$2:$P$100,0)+1,""))</x:f>
      </x:c>
    </x:row>
    <x:row r="14" s="455" customFormat="1" ht="14.25" customHeight="1">
      <x:c r="A14" s="471" t="inlineStr">
        <x:is>
          <x:t xml:space="preserve">INFO</x:t>
        </x:is>
      </x:c>
      <x:c r="B14" s="471" t="n">
        <x:v>7</x:v>
      </x:c>
      <x:c r="C14" s="471" t="n">
        <x:v>-0.4</x:v>
      </x:c>
      <x:c r="D14" s="471" t="n">
        <x:f>SUMPRODUCT(MIN((Rights_Coverage_View!$B$2:$B$71=$A14)*Rights_Coverage_View!$M$2:$M$71+(Rights_Coverage_View!$B$2:$B$71&lt;&gt;$A14)*1E+099))</x:f>
        <x:v>0</x:v>
      </x:c>
      <x:c r="E14" s="471" t="n">
        <x:f>SUMPRODUCT(MIN((Rights_Coverage_View!$B$2:$B$71=$A14)*Rights_Coverage_View!$N$2:$N$71+(Rights_Coverage_View!$B$2:$B$71&lt;&gt;$A14)*1E+099))</x:f>
        <x:v>-0.15</x:v>
      </x:c>
      <x:c r="F14" s="485" t="str">
        <x:f>IF(D14&gt;=$C14,"PASS","FAIL")</x:f>
        <x:v>PASS</x:v>
      </x:c>
      <x:c r="G14" s="485" t="str">
        <x:f>IF(E14&gt;=$C14,"PASS","FAIL")</x:f>
        <x:v>PASS</x:v>
      </x:c>
      <x:c r="H14" s="471" t="str">
        <x:f>IF(OR($A14="",$D14="",$D14&gt;=0),"",IFERROR("Rights_Coverage_View!H"&amp;MATCH($A14&amp;"|"&amp;ROUND($D14*1000000000000,0),Rights_Coverage_View!$O$2:$O$100,0)+1,""))</x:f>
      </x:c>
      <x:c r="I14" s="471" t="str">
        <x:f>IF(OR($A14="",$E14="",$E14&gt;=0),"",IFERROR("Rights_Coverage_View!I"&amp;MATCH($A14&amp;"|"&amp;ROUND($E14*1000000000000,0),Rights_Coverage_View!$P$2:$P$100,0)+1,""))</x:f>
        <x:v>Rights_Coverage_View!I17</x:v>
      </x:c>
    </x:row>
    <x:row r="15" s="455" customFormat="1" ht="14.25" customHeight="1">
      <x:c r="A15" s="471" t="inlineStr">
        <x:is>
          <x:t xml:space="preserve">ECOL</x:t>
        </x:is>
      </x:c>
      <x:c r="B15" s="471" t="n">
        <x:v>8</x:v>
      </x:c>
      <x:c r="C15" s="471" t="n">
        <x:v>-0.65</x:v>
      </x:c>
      <x:c r="D15" s="486" t="n">
        <x:f>SUMPRODUCT(MIN((Rights_Coverage_View!$B$2:$B$71=$A15)*Rights_Coverage_View!$M$2:$M$71+(Rights_Coverage_View!$B$2:$B$71&lt;&gt;$A15)*1E+099))</x:f>
        <x:v>0</x:v>
      </x:c>
      <x:c r="E15" s="486" t="n">
        <x:f>SUMPRODUCT(MIN((Rights_Coverage_View!$B$2:$B$71=$A15)*Rights_Coverage_View!$N$2:$N$71+(Rights_Coverage_View!$B$2:$B$71&lt;&gt;$A15)*1E+099))</x:f>
        <x:v>-0.08</x:v>
      </x:c>
      <x:c r="F15" s="485" t="str">
        <x:f>IF(D15&gt;=$C15,"PASS","FAIL")</x:f>
        <x:v>PASS</x:v>
      </x:c>
      <x:c r="G15" s="485" t="str">
        <x:f>IF(E15&gt;=$C15,"PASS","FAIL")</x:f>
        <x:v>PASS</x:v>
      </x:c>
      <x:c r="H15" s="471" t="str">
        <x:f>IF(OR($A15="",$D15="",$D15&gt;=0),"",IFERROR("Rights_Coverage_View!H"&amp;MATCH($A15&amp;"|"&amp;ROUND($D15*1000000000000,0),Rights_Coverage_View!$O$2:$O$100,0)+1,""))</x:f>
      </x:c>
      <x:c r="I15" s="471" t="str">
        <x:f>IF(OR($A15="",$E15="",$E15&gt;=0),"",IFERROR("Rights_Coverage_View!I"&amp;MATCH($A15&amp;"|"&amp;ROUND($E15*1000000000000,0),Rights_Coverage_View!$P$2:$P$100,0)+1,""))</x:f>
        <x:v>Rights_Coverage_View!I16</x:v>
      </x:c>
    </x:row>
    <x:row r="16" s="455" customFormat="1" ht="14.25" customHeight="1">
      <x:c r="D16" s="486" t="n">
        <x:f>MIN(D8:D15)</x:f>
        <x:v>-0.3</x:v>
      </x:c>
      <x:c r="E16" s="486" t="n">
        <x:f>MIN(E8:E15)</x:f>
        <x:v>-0.15</x:v>
      </x:c>
      <x:c r="F16" s="485" t="n"/>
    </x:row>
    <x:row r="17" s="455" customFormat="1" ht="14.25" customHeight="1">
      <x:c r="A17" s="487" t="inlineStr">
        <x:is>
          <x:t xml:space="preserve">NCRC OUTCOME</x:t>
        </x:is>
      </x:c>
    </x:row>
    <x:row r="18" s="455" customFormat="1" ht="19.5" customHeight="1">
      <x:c r="A18" s="471" t="inlineStr">
        <x:is>
          <x:t xml:space="preserve">Option A:</x:t>
        </x:is>
      </x:c>
      <x:c r="B18" s="536" t="inlineStr">
        <x:is>
          <x:t xml:space="preserve">PASS (all rights satisfied)</x:t>
        </x:is>
      </x:c>
      <x:c r="C18" s="471" t="inlineStr">
        <x:is>
          <x:t xml:space="preserve">NCRC_A_status</x:t>
        </x:is>
      </x:c>
      <x:c r="D18" s="471" t="str">
        <x:f>IF(COUNTIF(F8:F15,"FAIL")=0,"PASS","FAIL")</x:f>
        <x:v>PASS</x:v>
      </x:c>
      <x:c r="E18" s="471" t="inlineStr">
        <x:is>
          <x:t xml:space="preserve">(All v_r = 0)</x:t>
        </x:is>
      </x:c>
    </x:row>
    <x:row r="19" s="455" customFormat="1" ht="19.5" customHeight="1">
      <x:c r="A19" s="471" t="inlineStr">
        <x:is>
          <x:t xml:space="preserve">Option B:</x:t>
        </x:is>
      </x:c>
      <x:c r="B19" s="536" t="inlineStr">
        <x:is>
          <x:t xml:space="preserve">PASS (all rights satisfied)</x:t>
        </x:is>
      </x:c>
      <x:c r="C19" s="471" t="inlineStr">
        <x:is>
          <x:t xml:space="preserve">NCRC_B_status</x:t>
        </x:is>
      </x:c>
      <x:c r="D19" s="471" t="str">
        <x:f>IF(COUNTIF(G8:G15,"FAIL")=0,"PASS","FAIL")</x:f>
        <x:v>PASS</x:v>
      </x:c>
    </x:row>
    <x:row r="20" s="455" customFormat="1" ht="42" customHeight="1">
      <x:c r="A20" s="537" t="inlineStr">
        <x:is>
          <x:t xml:space="preserve">Note: Proof snippet columns (H:I) show the Rights_Coverage_View cell holding the worst-off I_rights value when a distinct adverse minimum is identified; they may remain blank for neutral/zero minima.</x:t>
        </x:is>
      </x:c>
      <x:c r="B20" s="457" t="n"/>
      <x:c r="C20" s="457" t="n"/>
      <x:c r="D20" s="457" t="n"/>
      <x:c r="E20" s="457" t="n"/>
      <x:c r="F20" s="457" t="n"/>
      <x:c r="G20" s="457" t="n"/>
      <x:c r="H20" s="457" t="n"/>
      <x:c r="I20" s="457" t="n"/>
    </x:row>
    <x:row r="21" s="455" customFormat="1" ht="42" hidden="1" customHeight="1">
      <x:c r="A21" s="537" t="inlineStr">
        <x:is>
          <x:t xml:space="preserve">Priority order is display-only and does not alter the non-compensatory gate. All rights are checked independently against applicable thresholds. No right may compensate for another right's failure.</x:t>
        </x:is>
      </x:c>
      <x:c r="B21" s="457" t="n"/>
      <x:c r="C21" s="457" t="n"/>
      <x:c r="D21" s="457" t="n"/>
      <x:c r="E21" s="457" t="n"/>
      <x:c r="F21" s="457" t="n"/>
      <x:c r="G21" s="457" t="n"/>
      <x:c r="H21" s="457" t="n"/>
      <x:c r="I21" s="457" t="n"/>
    </x:row>
    <x:row r="22" s="455" customFormat="1" ht="14.25" hidden="1" customHeight="1">
      <x:c r="A22" s="512" t="n"/>
      <x:c r="B22" s="512" t="n"/>
      <x:c r="C22" s="512" t="n"/>
      <x:c r="D22" s="512" t="n"/>
      <x:c r="E22" s="512" t="n"/>
      <x:c r="F22" s="512" t="n"/>
    </x:row>
    <x:row r="23" s="455" customFormat="1" ht="14.25" hidden="1" customHeight="1">
      <x:c r="A23" s="471" t="n"/>
      <x:c r="B23" s="471" t="n"/>
      <x:c r="C23" s="471" t="n"/>
      <x:c r="D23" s="486" t="n"/>
      <x:c r="E23" s="486" t="n"/>
      <x:c r="F23" s="485" t="n"/>
    </x:row>
    <x:row r="24" s="455" customFormat="1" ht="14.25" hidden="1" customHeight="1">
      <x:c r="A24" s="471" t="n"/>
      <x:c r="B24" s="471" t="n"/>
      <x:c r="C24" s="471" t="n"/>
      <x:c r="D24" s="486" t="n"/>
      <x:c r="E24" s="486" t="n"/>
      <x:c r="F24" s="485" t="n"/>
    </x:row>
    <x:row r="25" s="455" customFormat="1" ht="14.25" hidden="1" customHeight="1">
      <x:c r="A25" s="471" t="n"/>
      <x:c r="B25" s="471" t="n"/>
      <x:c r="C25" s="471" t="n"/>
      <x:c r="D25" s="486" t="n"/>
      <x:c r="E25" s="486" t="n"/>
      <x:c r="F25" s="485" t="n"/>
    </x:row>
    <x:row r="26" s="455" customFormat="1" ht="14.25" hidden="1" customHeight="1">
      <x:c r="A26" s="471" t="n"/>
      <x:c r="B26" s="471" t="n"/>
      <x:c r="C26" s="471" t="n"/>
      <x:c r="D26" s="486" t="n"/>
      <x:c r="E26" s="486" t="n"/>
      <x:c r="F26" s="485" t="n"/>
    </x:row>
    <x:row r="27" s="455" customFormat="1" ht="14.25" hidden="1" customHeight="1">
      <x:c r="A27" s="471" t="n"/>
      <x:c r="B27" s="471" t="n"/>
      <x:c r="C27" s="471" t="n"/>
      <x:c r="D27" s="486" t="n"/>
      <x:c r="E27" s="486" t="n"/>
      <x:c r="F27" s="485" t="n"/>
    </x:row>
    <x:row r="28" s="455" customFormat="1" ht="14.25" hidden="1" customHeight="1">
      <x:c r="A28" s="471" t="n"/>
      <x:c r="B28" s="471" t="n"/>
      <x:c r="C28" s="471" t="n"/>
      <x:c r="D28" s="486" t="n"/>
      <x:c r="E28" s="486" t="n"/>
      <x:c r="F28" s="485" t="n"/>
    </x:row>
    <x:row r="29" s="455" customFormat="1" ht="14.25" hidden="1" customHeight="1">
      <x:c r="A29" s="471" t="n"/>
      <x:c r="B29" s="471" t="n"/>
      <x:c r="C29" s="471" t="n"/>
      <x:c r="D29" s="471" t="n"/>
      <x:c r="E29" s="471" t="n"/>
      <x:c r="F29" s="471" t="n"/>
    </x:row>
    <x:row r="30" s="455" customFormat="1" ht="14.25" hidden="1" customHeight="1">
      <x:c r="A30" s="471" t="n"/>
      <x:c r="B30" s="471" t="n"/>
      <x:c r="C30" s="471" t="n"/>
      <x:c r="D30" s="486" t="n"/>
      <x:c r="E30" s="486" t="n"/>
      <x:c r="F30" s="485" t="n"/>
    </x:row>
    <x:row r="31" s="455" customFormat="1" ht="14.25" hidden="1" customHeight="1">
      <x:c r="D31" s="486" t="n"/>
      <x:c r="E31" s="486" t="n"/>
      <x:c r="F31" s="485" t="n"/>
    </x:row>
    <x:row r="32" s="455" customFormat="1" ht="14.25" hidden="1" customHeight="1"/>
    <x:row r="33" s="455" customFormat="1" ht="14.25" hidden="1" customHeight="1">
      <x:c r="A33" s="471" t="n"/>
      <x:c r="D33" s="471" t="n"/>
      <x:c r="E33" s="471" t="n"/>
    </x:row>
    <x:row r="34" s="455" customFormat="1" ht="14.25" hidden="1" customHeight="1">
      <x:c r="A34" s="471" t="n"/>
      <x:c r="B34" s="485" t="n"/>
    </x:row>
    <x:row r="35" s="455" customFormat="1" ht="14.25" hidden="1" customHeight="1">
      <x:c r="A35" s="471" t="n"/>
    </x:row>
    <x:row r="36" s="455" customFormat="1" ht="14.25" hidden="1" customHeight="1">
      <x:c r="A36" s="512" t="n"/>
      <x:c r="B36" s="471" t="n"/>
    </x:row>
    <x:row r="37" s="455" customFormat="1" ht="14.25" hidden="1" customHeight="1">
      <x:c r="A37" s="471" t="n"/>
      <x:c r="B37" s="471" t="n"/>
    </x:row>
    <x:row r="38" s="455" customFormat="1" ht="14.25" hidden="1" customHeight="1">
      <x:c r="A38" s="471" t="n"/>
    </x:row>
    <x:row r="39" s="455" customFormat="1" ht="14.25" hidden="1" customHeight="1">
      <x:c r="A39" s="471" t="n"/>
    </x:row>
    <x:row r="40" s="455" customFormat="1" ht="13.5" hidden="1" customHeight="1"/>
    <x:row r="41" s="455" customFormat="1" ht="13.5" hidden="1" customHeight="1"/>
    <x:row r="42" s="455" customFormat="1" ht="13.5" hidden="1" customHeight="1"/>
    <x:row r="43" s="455" customFormat="1" ht="13.5" hidden="1" customHeight="1"/>
    <x:row r="44" s="455" customFormat="1" ht="13.5" hidden="1" customHeight="1"/>
    <x:row r="45" s="455" customFormat="1" ht="13.5" hidden="1" customHeight="1"/>
    <x:row r="46" s="455" customFormat="1" ht="13.5" hidden="1" customHeight="1"/>
    <x:row r="47" s="455" customFormat="1" ht="13.5" hidden="1" customHeight="1"/>
    <x:row r="48" s="455" customFormat="1" ht="13.5" hidden="1" customHeight="1"/>
    <x:row r="49" s="455" customFormat="1" ht="13.5" hidden="1" customHeight="1"/>
    <x:row r="50" s="455" customFormat="1" ht="13.5" hidden="1" customHeight="1"/>
    <x:row r="51" s="455" customFormat="1" ht="13.5" hidden="1" customHeight="1"/>
    <x:row r="52" s="455" customFormat="1" ht="13.5" hidden="1" customHeight="1"/>
    <x:row r="53" s="455" customFormat="1" ht="13.5" hidden="1" customHeight="1"/>
    <x:row r="54" s="455" customFormat="1" ht="13.5" hidden="1" customHeight="1"/>
    <x:row r="55" s="455" customFormat="1" ht="13.5" hidden="1" customHeight="1"/>
    <x:row r="56" s="455" customFormat="1" ht="13.5" hidden="1" customHeight="1"/>
    <x:row r="57" s="455" customFormat="1" ht="13.5" hidden="1" customHeight="1"/>
    <x:row r="58" s="455" customFormat="1" ht="13.5" hidden="1" customHeight="1"/>
    <x:row r="59" s="455" customFormat="1" ht="13.5" hidden="1" customHeight="1"/>
    <x:row r="60" s="455" customFormat="1" ht="13.5" hidden="1" customHeight="1"/>
  </x:sheetData>
  <x:mergeCells>
    <x:mergeCell ref="A1:J1"/>
    <x:mergeCell ref="A20:I20"/>
    <x:mergeCell ref="A21:I21"/>
    <x:mergeCell ref="H6:I6"/>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38" t="inlineStr">
        <x:is>
          <x:t xml:space="preserve">LEVEL 2: TAIL RISK CONSTRAINT (TRC)</x:t>
        </x:is>
      </x:c>
      <x:c r="B1" s="457" t="n"/>
      <x:c r="C1" s="457" t="n"/>
      <x:c r="D1" s="457" t="n"/>
      <x:c r="E1" s="457" t="n"/>
      <x:c r="F1" s="457" t="n"/>
      <x:c r="G1" s="457" t="n"/>
      <x:c r="H1" s="457" t="n"/>
      <x:c r="I1" s="457" t="n"/>
      <x:c r="J1" s="457" t="n"/>
    </x:row>
    <x:row r="2"/>
    <x:row r="3" s="455" customFormat="1" ht="14.25" customHeight="1">
      <x:c r="A3" s="471" t="inlineStr">
        <x:is>
          <x:t xml:space="preserve">Reference: RippleLogic v10.8 Appendix D.7</x:t>
        </x:is>
      </x:c>
    </x:row>
    <x:row r="4" s="455" customFormat="1" ht="14.25" customHeight="1">
      <x:c r="A4" s="471" t="inlineStr">
        <x:is>
          <x:t xml:space="preserve">Algorithm: Discrete CVaR with sorted-tail method</x:t>
        </x:is>
      </x:c>
    </x:row>
    <x:row r="5"/>
    <x:row r="6" s="455" customFormat="1" ht="14.25" customHeight="1">
      <x:c r="A6" s="487" t="inlineStr">
        <x:is>
          <x:t xml:space="preserve">PARAMETERS</x:t>
        </x:is>
      </x:c>
    </x:row>
    <x:row r="7" s="455" customFormat="1" ht="14.25" customHeight="1">
      <x:c r="A7" s="471" t="inlineStr">
        <x:is>
          <x:t xml:space="preserve">α (confidence):</x:t>
        </x:is>
      </x:c>
      <x:c r="B7" s="471" t="n">
        <x:v>0.95</x:v>
      </x:c>
      <x:c r="H7" s="486" t="n"/>
      <x:c r="M7" s="471" t="inlineStr">
        <x:is>
          <x:t xml:space="preserve">SortKey</x:t>
        </x:is>
      </x:c>
      <x:c r="N7" s="471" t="inlineStr">
        <x:is>
          <x:t xml:space="preserve">Rank</x:t>
        </x:is>
      </x:c>
      <x:c r="P7" s="471" t="inlineStr">
        <x:is>
          <x:t xml:space="preserve">Sorted scenarios</x:t>
        </x:is>
      </x:c>
    </x:row>
    <x:row r="8" s="455" customFormat="1" ht="14.25" customHeight="1">
      <x:c r="A8" s="512" t="inlineStr">
        <x:is>
          <x:t xml:space="preserve">β (tail mass):</x:t>
        </x:is>
      </x:c>
      <x:c r="B8" s="471" t="n">
        <x:v>0.05</x:v>
      </x:c>
      <x:c r="L8" s="486" t="n"/>
      <x:c r="M8" s="471" t="n">
        <x:f>L8+ROW()/1000000</x:f>
        <x:v>0.000008</x:v>
      </x:c>
      <x:c r="N8" s="471" t="n">
        <x:f>RANK(M8,$M$8:$M$14,0)</x:f>
        <x:v>7</x:v>
      </x:c>
      <x:c r="P8" s="471" t="inlineStr">
        <x:is>
          <x:t xml:space="preserve">Scenario</x:t>
        </x:is>
      </x:c>
      <x:c r="Q8" s="471" t="inlineStr">
        <x:is>
          <x:t xml:space="preserve">p(s)</x:t>
        </x:is>
      </x:c>
      <x:c r="R8" s="471" t="inlineStr">
        <x:is>
          <x:t xml:space="preserve">Loss</x:t>
        </x:is>
      </x:c>
      <x:c r="S8" s="471" t="inlineStr">
        <x:is>
          <x:t xml:space="preserve">Cum_p</x:t>
        </x:is>
      </x:c>
      <x:c r="T8" s="471" t="inlineStr">
        <x:is>
          <x:t xml:space="preserve">Tail_w</x:t>
        </x:is>
      </x:c>
      <x:c r="U8" s="471" t="inlineStr">
        <x:is>
          <x:t xml:space="preserve">Tail_contrib</x:t>
        </x:is>
      </x:c>
    </x:row>
    <x:row r="9" s="455" customFormat="1" ht="14.25" customHeight="1">
      <x:c r="A9" s="512" t="inlineStr">
        <x:is>
          <x:t xml:space="preserve">τ_TRC (threshold):</x:t>
        </x:is>
      </x:c>
      <x:c r="B9" s="539" t="n">
        <x:f>CANON!B58</x:f>
        <x:v>0.2</x:v>
      </x:c>
      <x:c r="C9" s="512" t="n"/>
      <x:c r="D9" s="512" t="n"/>
      <x:c r="E9" s="512" t="n"/>
      <x:c r="F9" s="512" t="n"/>
      <x:c r="L9" s="486" t="n"/>
      <x:c r="M9" s="471" t="n">
        <x:f>L9+ROW()/1000000</x:f>
        <x:v>0.000009</x:v>
      </x:c>
      <x:c r="N9" s="471" t="n">
        <x:f>RANK(M9,$M$8:$M$14,0)</x:f>
        <x:v>6</x:v>
      </x:c>
      <x:c r="P9" s="471" t="str">
        <x:f>INDEX($J$8:$J$14,MATCH(1,$N$8:$N$14,0))</x:f>
      </x:c>
      <x:c r="Q9" s="471" t="str">
        <x:f>IFERROR(VLOOKUP(P9,$J$8:$L$14,2,FALSE()),"")</x:f>
      </x:c>
      <x:c r="R9" s="471" t="str">
        <x:f>IFERROR(VLOOKUP(P9,$J$8:$L$14,3,FALSE()),"")</x:f>
      </x:c>
      <x:c r="S9" s="471" t="str">
        <x:f>IFERROR(Q9,"")</x:f>
      </x:c>
      <x:c r="U9" s="471" t="n">
        <x:f>IFERROR(T9*R9,"")</x:f>
        <x:v>0</x:v>
      </x:c>
    </x:row>
    <x:row r="10" s="455" customFormat="1" ht="14.25" customHeight="1">
      <x:c r="A10" s="471" t="inlineStr">
        <x:is>
          <x:t xml:space="preserve">Context:</x:t>
        </x:is>
      </x:c>
      <x:c r="B10" s="471" t="inlineStr">
        <x:is>
          <x:t xml:space="preserve">ORG</x:t>
        </x:is>
      </x:c>
      <x:c r="L10" s="486" t="n"/>
      <x:c r="M10" s="471" t="n">
        <x:f>L10+ROW()/1000000</x:f>
        <x:v>0.00001</x:v>
      </x:c>
      <x:c r="N10" s="471" t="n">
        <x:f>RANK(M10,$M$8:$M$14,0)</x:f>
        <x:v>5</x:v>
      </x:c>
      <x:c r="P10" s="471" t="str">
        <x:f>INDEX($J$8:$J$14,MATCH(2,$N$8:$N$14,0))</x:f>
      </x:c>
      <x:c r="Q10" s="471" t="str">
        <x:f>IFERROR(VLOOKUP(P10,$J$8:$L$14,2,FALSE()),"")</x:f>
      </x:c>
      <x:c r="R10" s="471" t="str">
        <x:f>IFERROR(VLOOKUP(P10,$J$8:$L$14,3,FALSE()),"")</x:f>
      </x:c>
      <x:c r="S10" s="471" t="n">
        <x:f>IFERROR(S9+Q10,"")</x:f>
        <x:v>0</x:v>
      </x:c>
      <x:c r="U10" s="471" t="n">
        <x:f>IFERROR(T10*R10,"")</x:f>
        <x:v>0</x:v>
      </x:c>
    </x:row>
    <x:row r="11" s="455" customFormat="1" ht="14.25" customHeight="1">
      <x:c r="L11" s="486" t="n"/>
      <x:c r="M11" s="471" t="n">
        <x:f>L11+ROW()/1000000</x:f>
        <x:v>0.000011</x:v>
      </x:c>
      <x:c r="N11" s="471" t="n">
        <x:f>RANK(M11,$M$8:$M$14,0)</x:f>
        <x:v>4</x:v>
      </x:c>
      <x:c r="P11" s="471" t="str">
        <x:f>INDEX($J$8:$J$14,MATCH(3,$N$8:$N$14,0))</x:f>
      </x:c>
      <x:c r="Q11" s="471" t="str">
        <x:f>IFERROR(VLOOKUP(P11,$J$8:$L$14,2,FALSE()),"")</x:f>
      </x:c>
      <x:c r="R11" s="471" t="str">
        <x:f>IFERROR(VLOOKUP(P11,$J$8:$L$14,3,FALSE()),"")</x:f>
      </x:c>
      <x:c r="S11" s="471" t="n">
        <x:f>IFERROR(S10+Q11,"")</x:f>
        <x:v>0</x:v>
      </x:c>
      <x:c r="U11" s="471" t="n">
        <x:f>IFERROR(T11*R11,"")</x:f>
        <x:v>0</x:v>
      </x:c>
    </x:row>
    <x:row r="12" s="455" customFormat="1" ht="14.25" customHeight="1">
      <x:c r="A12" s="487" t="inlineStr">
        <x:is>
          <x:t xml:space="preserve">OPTION A: CVaR COMPUTATION</x:t>
        </x:is>
      </x:c>
      <x:c r="L12" s="486" t="n"/>
      <x:c r="M12" s="471" t="n">
        <x:f>L12+ROW()/1000000</x:f>
        <x:v>0.000012</x:v>
      </x:c>
      <x:c r="N12" s="471" t="n">
        <x:f>RANK(M12,$M$8:$M$14,0)</x:f>
        <x:v>3</x:v>
      </x:c>
      <x:c r="P12" s="471" t="str">
        <x:f>INDEX($J$8:$J$14,MATCH(4,$N$8:$N$14,0))</x:f>
      </x:c>
      <x:c r="Q12" s="471" t="str">
        <x:f>IFERROR(VLOOKUP(P12,$J$8:$L$14,2,FALSE()),"")</x:f>
      </x:c>
      <x:c r="R12" s="471" t="str">
        <x:f>IFERROR(VLOOKUP(P12,$J$8:$L$14,3,FALSE()),"")</x:f>
      </x:c>
      <x:c r="S12" s="471" t="n">
        <x:f>IFERROR(S11+Q12,"")</x:f>
        <x:v>0</x:v>
      </x:c>
      <x:c r="U12" s="471" t="n">
        <x:f>IFERROR(T12*R12,"")</x:f>
        <x:v>0</x:v>
      </x:c>
    </x:row>
    <x:row r="13" s="455" customFormat="1" ht="14.25" customHeight="1">
      <x:c r="A13" s="471" t="inlineStr">
        <x:is>
          <x:t xml:space="preserve">Step 1: Sort scenarios by Loss DESCENDING</x:t>
        </x:is>
      </x:c>
      <x:c r="L13" s="486" t="n"/>
      <x:c r="M13" s="471" t="n">
        <x:f>L13+ROW()/1000000</x:f>
        <x:v>0.000013</x:v>
      </x:c>
      <x:c r="N13" s="471" t="n">
        <x:f>RANK(M13,$M$8:$M$14,0)</x:f>
        <x:v>2</x:v>
      </x:c>
      <x:c r="P13" s="471" t="str">
        <x:f>INDEX($J$8:$J$14,MATCH(5,$N$8:$N$14,0))</x:f>
      </x:c>
      <x:c r="Q13" s="471" t="str">
        <x:f>IFERROR(VLOOKUP(P13,$J$8:$L$14,2,FALSE()),"")</x:f>
      </x:c>
      <x:c r="R13" s="471" t="str">
        <x:f>IFERROR(VLOOKUP(P13,$J$8:$L$14,3,FALSE()),"")</x:f>
      </x:c>
      <x:c r="S13" s="471" t="n">
        <x:f>IFERROR(S12+Q13,"")</x:f>
        <x:v>0</x:v>
      </x:c>
      <x:c r="U13" s="471" t="n">
        <x:f>IFERROR(T13*R13,"")</x:f>
        <x:v>0</x:v>
      </x:c>
    </x:row>
    <x:row r="14" s="455" customFormat="1" ht="14.25" customHeight="1">
      <x:c r="A14" s="487" t="inlineStr">
        <x:is>
          <x:t xml:space="preserve">Rank</x:t>
        </x:is>
      </x:c>
      <x:c r="B14" s="487" t="inlineStr">
        <x:is>
          <x:t xml:space="preserve">Scenario</x:t>
        </x:is>
      </x:c>
      <x:c r="C14" s="487" t="inlineStr">
        <x:is>
          <x:t xml:space="preserve">Loss</x:t>
        </x:is>
      </x:c>
      <x:c r="D14" s="487" t="inlineStr">
        <x:is>
          <x:t xml:space="preserve">p(s)</x:t>
        </x:is>
      </x:c>
      <x:c r="E14" s="487" t="inlineStr">
        <x:is>
          <x:t xml:space="preserve">Cum_p</x:t>
        </x:is>
      </x:c>
      <x:c r="F14" s="487" t="inlineStr">
        <x:is>
          <x:t xml:space="preserve">In Tail</x:t>
        </x:is>
      </x:c>
      <x:c r="G14" s="487" t="inlineStr">
        <x:is>
          <x:t xml:space="preserve">Tail_Weight</x:t>
        </x:is>
      </x:c>
      <x:c r="H14" s="487" t="inlineStr">
        <x:is>
          <x:t xml:space="preserve">Contribution</x:t>
        </x:is>
      </x:c>
      <x:c r="L14" s="486" t="n"/>
      <x:c r="M14" s="471" t="n">
        <x:f>L14+ROW()/1000000</x:f>
        <x:v>0.000014</x:v>
      </x:c>
      <x:c r="N14" s="471" t="n">
        <x:f>RANK(M14,$M$8:$M$14,0)</x:f>
        <x:v>1</x:v>
      </x:c>
      <x:c r="P14" s="471" t="str">
        <x:f>INDEX($J$8:$J$14,MATCH(6,$N$8:$N$14,0))</x:f>
      </x:c>
      <x:c r="Q14" s="471" t="str">
        <x:f>IFERROR(VLOOKUP(P14,$J$8:$L$14,2,FALSE()),"")</x:f>
      </x:c>
      <x:c r="R14" s="471" t="str">
        <x:f>IFERROR(VLOOKUP(P14,$J$8:$L$14,3,FALSE()),"")</x:f>
      </x:c>
      <x:c r="S14" s="471" t="n">
        <x:f>IFERROR(S13+Q14,"")</x:f>
        <x:v>0</x:v>
      </x:c>
      <x:c r="U14" s="471" t="n">
        <x:f>IFERROR(T14*R14,"")</x:f>
        <x:v>0</x:v>
      </x:c>
    </x:row>
    <x:row r="15" s="455" customFormat="1" ht="14.25" customHeight="1">
      <x:c r="A15" s="471" t="n">
        <x:v>1</x:v>
      </x:c>
      <x:c r="B15" s="471" t="inlineStr">
        <x:is>
          <x:t xml:space="preserve">S06</x:t>
        </x:is>
      </x:c>
      <x:c r="C15" s="471" t="n">
        <x:v>0.0235</x:v>
      </x:c>
      <x:c r="D15" s="471" t="n">
        <x:v>0.03</x:v>
      </x:c>
      <x:c r="E15" s="471" t="n">
        <x:v>0.03</x:v>
      </x:c>
      <x:c r="F15" s="471" t="inlineStr">
        <x:is>
          <x:t xml:space="preserve">YES</x:t>
        </x:is>
      </x:c>
      <x:c r="G15" s="471" t="n">
        <x:v>0.03</x:v>
      </x:c>
      <x:c r="H15" s="486" t="n">
        <x:v>0.000705</x:v>
      </x:c>
      <x:c r="P15" s="471" t="str">
        <x:f>INDEX($J$8:$J$14,MATCH(7,$N$8:$N$14,0))</x:f>
      </x:c>
      <x:c r="Q15" s="471" t="str">
        <x:f>IFERROR(VLOOKUP(P15,$J$8:$L$14,2,FALSE()),"")</x:f>
      </x:c>
      <x:c r="R15" s="471" t="str">
        <x:f>IFERROR(VLOOKUP(P15,$J$8:$L$14,3,FALSE()),"")</x:f>
      </x:c>
      <x:c r="S15" s="471" t="n">
        <x:f>IFERROR(S14+Q15,"")</x:f>
        <x:v>0</x:v>
      </x:c>
      <x:c r="U15" s="471" t="n">
        <x:f>IFERROR(T15*R15,"")</x:f>
        <x:v>0</x:v>
      </x:c>
    </x:row>
    <x:row r="16" s="455" customFormat="1" ht="14.25" customHeight="1">
      <x:c r="A16" s="471" t="n">
        <x:v>2</x:v>
      </x:c>
      <x:c r="B16" s="471" t="inlineStr">
        <x:is>
          <x:t xml:space="preserve">S04</x:t>
        </x:is>
      </x:c>
      <x:c r="C16" s="471" t="n">
        <x:v>0.0195</x:v>
      </x:c>
      <x:c r="D16" s="471" t="n">
        <x:v>0.07000000000000001</x:v>
      </x:c>
      <x:c r="E16" s="471" t="n">
        <x:v>0.1</x:v>
      </x:c>
      <x:c r="F16" s="471" t="inlineStr">
        <x:is>
          <x:t xml:space="preserve">PARTIAL</x:t>
        </x:is>
      </x:c>
      <x:c r="G16" s="471" t="n">
        <x:v>0.02</x:v>
      </x:c>
      <x:c r="H16" s="471" t="n">
        <x:v>0.00039</x:v>
      </x:c>
    </x:row>
    <x:row r="17" s="455" customFormat="1" ht="14.25" customHeight="1">
      <x:c r="A17" s="471" t="n">
        <x:v>3</x:v>
      </x:c>
      <x:c r="B17" s="471" t="inlineStr">
        <x:is>
          <x:t xml:space="preserve">S03</x:t>
        </x:is>
      </x:c>
      <x:c r="C17" s="471" t="n">
        <x:v>0.0175</x:v>
      </x:c>
      <x:c r="D17" s="471" t="n">
        <x:v>0.08</x:v>
      </x:c>
      <x:c r="E17" s="471" t="n">
        <x:v>0.18</x:v>
      </x:c>
      <x:c r="F17" s="471" t="inlineStr">
        <x:is>
          <x:t xml:space="preserve">NO</x:t>
        </x:is>
      </x:c>
      <x:c r="G17" s="471" t="n">
        <x:v>0</x:v>
      </x:c>
      <x:c r="H17" s="471" t="n">
        <x:v>0</x:v>
      </x:c>
    </x:row>
    <x:row r="18" s="455" customFormat="1" ht="14.25" customHeight="1">
      <x:c r="A18" s="512" t="n">
        <x:v>4</x:v>
      </x:c>
      <x:c r="B18" s="471" t="inlineStr">
        <x:is>
          <x:t xml:space="preserve">S05</x:t>
        </x:is>
      </x:c>
      <x:c r="C18" s="471" t="n">
        <x:v>0.0135</x:v>
      </x:c>
      <x:c r="D18" s="471" t="n">
        <x:v>0.05</x:v>
      </x:c>
      <x:c r="E18" s="471" t="n">
        <x:v>0.23</x:v>
      </x:c>
      <x:c r="F18" s="471" t="inlineStr">
        <x:is>
          <x:t xml:space="preserve">NO</x:t>
        </x:is>
      </x:c>
      <x:c r="G18" s="471" t="n">
        <x:v>0</x:v>
      </x:c>
      <x:c r="H18" s="471" t="n">
        <x:v>0</x:v>
      </x:c>
      <x:c r="M18" s="471" t="inlineStr">
        <x:is>
          <x:t xml:space="preserve">SortKey</x:t>
        </x:is>
      </x:c>
      <x:c r="N18" s="471" t="inlineStr">
        <x:is>
          <x:t xml:space="preserve">Rank</x:t>
        </x:is>
      </x:c>
      <x:c r="P18" s="471" t="inlineStr">
        <x:is>
          <x:t xml:space="preserve">Sorted scenarios</x:t>
        </x:is>
      </x:c>
    </x:row>
    <x:row r="19" s="455" customFormat="1" ht="14.25" customHeight="1">
      <x:c r="A19" s="540" t="n">
        <x:v>5</x:v>
      </x:c>
      <x:c r="B19" s="471" t="inlineStr">
        <x:is>
          <x:t xml:space="preserve">S07</x:t>
        </x:is>
      </x:c>
      <x:c r="C19" s="471" t="n">
        <x:v>0.01</x:v>
      </x:c>
      <x:c r="D19" s="471" t="n">
        <x:v>0.02</x:v>
      </x:c>
      <x:c r="E19" s="471" t="n">
        <x:v>0.25</x:v>
      </x:c>
      <x:c r="F19" s="471" t="inlineStr">
        <x:is>
          <x:t xml:space="preserve">NO</x:t>
        </x:is>
      </x:c>
      <x:c r="G19" s="471" t="n">
        <x:v>0</x:v>
      </x:c>
      <x:c r="H19" s="471" t="n">
        <x:v>0</x:v>
      </x:c>
      <x:c r="L19" s="486" t="n"/>
      <x:c r="M19" s="471" t="n">
        <x:f>L19+ROW()/1000000</x:f>
        <x:v>0.000019</x:v>
      </x:c>
      <x:c r="N19" s="471" t="n">
        <x:f>RANK(M19,$M$19:$M$25,0)</x:f>
        <x:v>7</x:v>
      </x:c>
      <x:c r="P19" s="471" t="inlineStr">
        <x:is>
          <x:t xml:space="preserve">Scenario</x:t>
        </x:is>
      </x:c>
      <x:c r="Q19" s="471" t="inlineStr">
        <x:is>
          <x:t xml:space="preserve">p(s)</x:t>
        </x:is>
      </x:c>
      <x:c r="R19" s="471" t="inlineStr">
        <x:is>
          <x:t xml:space="preserve">Loss</x:t>
        </x:is>
      </x:c>
      <x:c r="S19" s="471" t="inlineStr">
        <x:is>
          <x:t xml:space="preserve">Cum_p</x:t>
        </x:is>
      </x:c>
      <x:c r="T19" s="471" t="inlineStr">
        <x:is>
          <x:t xml:space="preserve">Tail_w</x:t>
        </x:is>
      </x:c>
      <x:c r="U19" s="471" t="inlineStr">
        <x:is>
          <x:t xml:space="preserve">Tail_contrib</x:t>
        </x:is>
      </x:c>
    </x:row>
    <x:row r="20" s="455" customFormat="1" ht="14.25" customHeight="1">
      <x:c r="A20" s="471" t="n">
        <x:v>6</x:v>
      </x:c>
      <x:c r="B20" s="471" t="inlineStr">
        <x:is>
          <x:t xml:space="preserve">S02</x:t>
        </x:is>
      </x:c>
      <x:c r="C20" s="471" t="n">
        <x:v>0.007</x:v>
      </x:c>
      <x:c r="D20" s="471" t="n">
        <x:v>0.15</x:v>
      </x:c>
      <x:c r="E20" s="471" t="n">
        <x:v>0.4</x:v>
      </x:c>
      <x:c r="F20" s="471" t="inlineStr">
        <x:is>
          <x:t xml:space="preserve">NO</x:t>
        </x:is>
      </x:c>
      <x:c r="G20" s="471" t="n">
        <x:v>0</x:v>
      </x:c>
      <x:c r="H20" s="471" t="n">
        <x:v>0</x:v>
      </x:c>
      <x:c r="L20" s="486" t="n"/>
      <x:c r="M20" s="471" t="n">
        <x:f>L20+ROW()/1000000</x:f>
        <x:v>0.00002</x:v>
      </x:c>
      <x:c r="N20" s="471" t="n">
        <x:f>RANK(M20,$M$19:$M$25,0)</x:f>
        <x:v>6</x:v>
      </x:c>
      <x:c r="P20" s="471" t="str">
        <x:f>INDEX($J$19:$J$25,MATCH(1,$N$19:$N$25,0))</x:f>
      </x:c>
      <x:c r="Q20" s="471" t="str">
        <x:f>IFERROR(VLOOKUP(P20,$J$19:$L$25,2,FALSE()),"")</x:f>
      </x:c>
      <x:c r="R20" s="471" t="str">
        <x:f>IFERROR(VLOOKUP(P20,$J$19:$L$25,3,FALSE()),"")</x:f>
      </x:c>
      <x:c r="S20" s="471" t="str">
        <x:f>IFERROR(Q20,"")</x:f>
      </x:c>
      <x:c r="U20" s="471" t="n">
        <x:f>IFERROR(T20*R20,"")</x:f>
        <x:v>0</x:v>
      </x:c>
    </x:row>
    <x:row r="21" s="455" customFormat="1" ht="14.25" customHeight="1">
      <x:c r="A21" s="512" t="n">
        <x:v>7</x:v>
      </x:c>
      <x:c r="B21" s="471" t="inlineStr">
        <x:is>
          <x:t xml:space="preserve">S01</x:t>
        </x:is>
      </x:c>
      <x:c r="C21" s="471" t="n">
        <x:v>0</x:v>
      </x:c>
      <x:c r="D21" s="471" t="n">
        <x:v>0.6</x:v>
      </x:c>
      <x:c r="E21" s="471" t="n">
        <x:v>1</x:v>
      </x:c>
      <x:c r="F21" s="471" t="inlineStr">
        <x:is>
          <x:t xml:space="preserve">NO</x:t>
        </x:is>
      </x:c>
      <x:c r="G21" s="471" t="n">
        <x:v>0</x:v>
      </x:c>
      <x:c r="H21" s="471" t="n">
        <x:v>0</x:v>
      </x:c>
      <x:c r="L21" s="486" t="n"/>
      <x:c r="M21" s="471" t="n">
        <x:f>L21+ROW()/1000000</x:f>
        <x:v>0.000021</x:v>
      </x:c>
      <x:c r="N21" s="471" t="n">
        <x:f>RANK(M21,$M$19:$M$25,0)</x:f>
        <x:v>5</x:v>
      </x:c>
      <x:c r="P21" s="471" t="str">
        <x:f>INDEX($J$19:$J$25,MATCH(2,$N$19:$N$25,0))</x:f>
      </x:c>
      <x:c r="Q21" s="471" t="str">
        <x:f>IFERROR(VLOOKUP(P21,$J$19:$L$25,2,FALSE()),"")</x:f>
      </x:c>
      <x:c r="R21" s="471" t="str">
        <x:f>IFERROR(VLOOKUP(P21,$J$19:$L$25,3,FALSE()),"")</x:f>
      </x:c>
      <x:c r="S21" s="471" t="n">
        <x:f>IFERROR(S20+Q21,"")</x:f>
        <x:v>0</x:v>
      </x:c>
      <x:c r="U21" s="471" t="n">
        <x:f>IFERROR(T21*R21,"")</x:f>
        <x:v>0</x:v>
      </x:c>
    </x:row>
    <x:row r="22" s="455" customFormat="1" ht="14.25" customHeight="1">
      <x:c r="A22" s="512" t="n"/>
      <x:c r="B22" s="512" t="n"/>
      <x:c r="C22" s="512" t="n"/>
      <x:c r="D22" s="512" t="n"/>
      <x:c r="E22" s="512" t="n"/>
      <x:c r="F22" s="512" t="n"/>
      <x:c r="L22" s="486" t="n"/>
      <x:c r="M22" s="471" t="n">
        <x:f>L22+ROW()/1000000</x:f>
        <x:v>0.000022</x:v>
      </x:c>
      <x:c r="N22" s="471" t="n">
        <x:f>RANK(M22,$M$19:$M$25,0)</x:f>
        <x:v>4</x:v>
      </x:c>
      <x:c r="P22" s="471" t="str">
        <x:f>INDEX($J$19:$J$25,MATCH(3,$N$19:$N$25,0))</x:f>
      </x:c>
      <x:c r="Q22" s="471" t="str">
        <x:f>IFERROR(VLOOKUP(P22,$J$19:$L$25,2,FALSE()),"")</x:f>
      </x:c>
      <x:c r="R22" s="471" t="str">
        <x:f>IFERROR(VLOOKUP(P22,$J$19:$L$25,3,FALSE()),"")</x:f>
      </x:c>
      <x:c r="S22" s="471" t="n">
        <x:f>IFERROR(S21+Q22,"")</x:f>
        <x:v>0</x:v>
      </x:c>
      <x:c r="U22" s="471" t="n">
        <x:f>IFERROR(T22*R22,"")</x:f>
        <x:v>0</x:v>
      </x:c>
    </x:row>
    <x:row r="23" s="455" customFormat="1" ht="14.25" customHeight="1">
      <x:c r="A23" s="471" t="inlineStr">
        <x:is>
          <x:t xml:space="preserve">Step 2: CVaR_A = Σ(Contribution) / β</x:t>
        </x:is>
      </x:c>
      <x:c r="L23" s="486" t="n"/>
      <x:c r="M23" s="471" t="n">
        <x:f>L23+ROW()/1000000</x:f>
        <x:v>0.000023</x:v>
      </x:c>
      <x:c r="N23" s="471" t="n">
        <x:f>RANK(M23,$M$19:$M$25,0)</x:f>
        <x:v>3</x:v>
      </x:c>
      <x:c r="P23" s="471" t="str">
        <x:f>INDEX($J$19:$J$25,MATCH(4,$N$19:$N$25,0))</x:f>
      </x:c>
      <x:c r="Q23" s="471" t="str">
        <x:f>IFERROR(VLOOKUP(P23,$J$19:$L$25,2,FALSE()),"")</x:f>
      </x:c>
      <x:c r="R23" s="471" t="str">
        <x:f>IFERROR(VLOOKUP(P23,$J$19:$L$25,3,FALSE()),"")</x:f>
      </x:c>
      <x:c r="S23" s="471" t="n">
        <x:f>IFERROR(S22+Q23,"")</x:f>
        <x:v>0</x:v>
      </x:c>
      <x:c r="U23" s="471" t="n">
        <x:f>IFERROR(T23*R23,"")</x:f>
        <x:v>0</x:v>
      </x:c>
    </x:row>
    <x:row r="24" s="455" customFormat="1" ht="14.25" customHeight="1">
      <x:c r="A24" s="471" t="inlineStr">
        <x:is>
          <x:t xml:space="preserve">Sum of contributions:</x:t>
        </x:is>
      </x:c>
      <x:c r="B24" s="471" t="n">
        <x:v>0.001095</x:v>
      </x:c>
      <x:c r="L24" s="486" t="n"/>
      <x:c r="M24" s="471" t="n">
        <x:f>L24+ROW()/1000000</x:f>
        <x:v>0.000024</x:v>
      </x:c>
      <x:c r="N24" s="471" t="n">
        <x:f>RANK(M24,$M$19:$M$25,0)</x:f>
        <x:v>2</x:v>
      </x:c>
      <x:c r="P24" s="471" t="str">
        <x:f>INDEX($J$19:$J$25,MATCH(5,$N$19:$N$25,0))</x:f>
      </x:c>
      <x:c r="Q24" s="471" t="str">
        <x:f>IFERROR(VLOOKUP(P24,$J$19:$L$25,2,FALSE()),"")</x:f>
      </x:c>
      <x:c r="R24" s="471" t="str">
        <x:f>IFERROR(VLOOKUP(P24,$J$19:$L$25,3,FALSE()),"")</x:f>
      </x:c>
      <x:c r="S24" s="471" t="n">
        <x:f>IFERROR(S23+Q24,"")</x:f>
        <x:v>0</x:v>
      </x:c>
      <x:c r="U24" s="471" t="n">
        <x:f>IFERROR(T24*R24,"")</x:f>
        <x:v>0</x:v>
      </x:c>
    </x:row>
    <x:row r="25" s="455" customFormat="1" ht="14.25" customHeight="1">
      <x:c r="A25" s="471" t="inlineStr">
        <x:is>
          <x:t xml:space="preserve">CVaR_A:</x:t>
        </x:is>
      </x:c>
      <x:c r="B25" s="487" t="n">
        <x:v>0.0219</x:v>
      </x:c>
      <x:c r="L25" s="486" t="n"/>
      <x:c r="M25" s="471" t="n">
        <x:f>L25+ROW()/1000000</x:f>
        <x:v>0.000025</x:v>
      </x:c>
      <x:c r="N25" s="471" t="n">
        <x:f>RANK(M25,$M$19:$M$25,0)</x:f>
        <x:v>1</x:v>
      </x:c>
      <x:c r="P25" s="471" t="str">
        <x:f>INDEX($J$19:$J$25,MATCH(6,$N$19:$N$25,0))</x:f>
      </x:c>
      <x:c r="Q25" s="471" t="str">
        <x:f>IFERROR(VLOOKUP(P25,$J$19:$L$25,2,FALSE()),"")</x:f>
      </x:c>
      <x:c r="R25" s="471" t="str">
        <x:f>IFERROR(VLOOKUP(P25,$J$19:$L$25,3,FALSE()),"")</x:f>
      </x:c>
      <x:c r="S25" s="471" t="n">
        <x:f>IFERROR(S24+Q25,"")</x:f>
        <x:v>0</x:v>
      </x:c>
      <x:c r="U25" s="471" t="n">
        <x:f>IFERROR(T25*R25,"")</x:f>
        <x:v>0</x:v>
      </x:c>
    </x:row>
    <x:row r="26" s="455" customFormat="1" ht="14.25" customHeight="1">
      <x:c r="A26" s="471" t="inlineStr">
        <x:is>
          <x:t xml:space="preserve">Status:</x:t>
        </x:is>
      </x:c>
      <x:c r="B26" s="485" t="inlineStr">
        <x:is>
          <x:t xml:space="preserve">PASS</x:t>
        </x:is>
      </x:c>
      <x:c r="C26" s="471" t="inlineStr">
        <x:is>
          <x:t xml:space="preserve">(CVaR_A = 0.0219 ≤ τ_TRC = 0.20)</x:t>
        </x:is>
      </x:c>
      <x:c r="P26" s="471" t="str">
        <x:f>INDEX($J$19:$J$25,MATCH(7,$N$19:$N$25,0))</x:f>
      </x:c>
      <x:c r="Q26" s="471" t="str">
        <x:f>IFERROR(VLOOKUP(P26,$J$19:$L$25,2,FALSE()),"")</x:f>
      </x:c>
      <x:c r="R26" s="471" t="str">
        <x:f>IFERROR(VLOOKUP(P26,$J$19:$L$25,3,FALSE()),"")</x:f>
      </x:c>
      <x:c r="S26" s="471" t="n">
        <x:f>IFERROR(S25+Q26,"")</x:f>
        <x:v>0</x:v>
      </x:c>
      <x:c r="U26" s="471" t="n">
        <x:f>IFERROR(T26*R26,"")</x:f>
        <x:v>0</x:v>
      </x:c>
    </x:row>
    <x:row r="27"/>
    <x:row r="28" s="455" customFormat="1" ht="14.25" customHeight="1">
      <x:c r="H28" s="486" t="n"/>
    </x:row>
    <x:row r="29" s="455" customFormat="1" ht="14.25" customHeight="1">
      <x:c r="A29" s="487" t="inlineStr">
        <x:is>
          <x:t xml:space="preserve">OPTION B: CVaR COMPUTATION</x:t>
        </x:is>
      </x:c>
    </x:row>
    <x:row r="30" s="455" customFormat="1" ht="14.25" customHeight="1">
      <x:c r="A30" s="487" t="inlineStr">
        <x:is>
          <x:t xml:space="preserve">Rank</x:t>
        </x:is>
      </x:c>
      <x:c r="B30" s="487" t="inlineStr">
        <x:is>
          <x:t xml:space="preserve">Scenario</x:t>
        </x:is>
      </x:c>
      <x:c r="C30" s="487" t="inlineStr">
        <x:is>
          <x:t xml:space="preserve">Loss</x:t>
        </x:is>
      </x:c>
      <x:c r="D30" s="487" t="inlineStr">
        <x:is>
          <x:t xml:space="preserve">p(s)</x:t>
        </x:is>
      </x:c>
      <x:c r="E30" s="487" t="inlineStr">
        <x:is>
          <x:t xml:space="preserve">Cum_p</x:t>
        </x:is>
      </x:c>
      <x:c r="F30" s="487" t="inlineStr">
        <x:is>
          <x:t xml:space="preserve">In Tail</x:t>
        </x:is>
      </x:c>
      <x:c r="G30" s="487" t="inlineStr">
        <x:is>
          <x:t xml:space="preserve">Tail_Weight</x:t>
        </x:is>
      </x:c>
      <x:c r="H30" s="487" t="inlineStr">
        <x:is>
          <x:t xml:space="preserve">Contribution</x:t>
        </x:is>
      </x:c>
    </x:row>
    <x:row r="31" s="455" customFormat="1" ht="14.25" customHeight="1">
      <x:c r="A31" s="512" t="n">
        <x:v>1</x:v>
      </x:c>
      <x:c r="B31" s="471" t="inlineStr">
        <x:is>
          <x:t xml:space="preserve">S03</x:t>
        </x:is>
      </x:c>
      <x:c r="C31" s="471" t="n">
        <x:v>0.0315</x:v>
      </x:c>
      <x:c r="D31" s="471" t="n">
        <x:v>0.08</x:v>
      </x:c>
      <x:c r="E31" s="471" t="n">
        <x:v>0.08</x:v>
      </x:c>
      <x:c r="F31" s="471" t="inlineStr">
        <x:is>
          <x:t xml:space="preserve">PARTIAL</x:t>
        </x:is>
      </x:c>
      <x:c r="G31" s="471" t="n">
        <x:v>0.05</x:v>
      </x:c>
      <x:c r="H31" s="471" t="n">
        <x:v>0.001575</x:v>
      </x:c>
    </x:row>
    <x:row r="32" s="455" customFormat="1" ht="14.25" customHeight="1">
      <x:c r="A32" s="540" t="n">
        <x:v>2</x:v>
      </x:c>
      <x:c r="B32" s="471" t="inlineStr">
        <x:is>
          <x:t xml:space="preserve">S04</x:t>
        </x:is>
      </x:c>
      <x:c r="C32" s="471" t="n">
        <x:v>0.0235</x:v>
      </x:c>
      <x:c r="D32" s="471" t="n">
        <x:v>0.07000000000000001</x:v>
      </x:c>
      <x:c r="E32" s="471" t="n">
        <x:v>0.15</x:v>
      </x:c>
      <x:c r="F32" s="471" t="inlineStr">
        <x:is>
          <x:t xml:space="preserve">NO</x:t>
        </x:is>
      </x:c>
      <x:c r="G32" s="471" t="n">
        <x:v>0</x:v>
      </x:c>
      <x:c r="H32" s="471" t="n">
        <x:v>0</x:v>
      </x:c>
    </x:row>
    <x:row r="33" s="455" customFormat="1" ht="14.25" customHeight="1">
      <x:c r="A33" s="471" t="n">
        <x:v>3</x:v>
      </x:c>
      <x:c r="B33" s="471" t="inlineStr">
        <x:is>
          <x:t xml:space="preserve">S06</x:t>
        </x:is>
      </x:c>
      <x:c r="C33" s="471" t="n">
        <x:v>0.02175</x:v>
      </x:c>
      <x:c r="D33" s="471" t="n">
        <x:v>0.03</x:v>
      </x:c>
      <x:c r="E33" s="471" t="n">
        <x:v>0.18</x:v>
      </x:c>
      <x:c r="F33" s="471" t="inlineStr">
        <x:is>
          <x:t xml:space="preserve">NO</x:t>
        </x:is>
      </x:c>
      <x:c r="G33" s="471" t="n">
        <x:v>0</x:v>
      </x:c>
      <x:c r="H33" s="471" t="n">
        <x:v>0</x:v>
      </x:c>
    </x:row>
    <x:row r="34" s="455" customFormat="1" ht="14.25" customHeight="1">
      <x:c r="A34" s="471" t="n">
        <x:v>4</x:v>
      </x:c>
      <x:c r="B34" s="471" t="inlineStr">
        <x:is>
          <x:t xml:space="preserve">S05</x:t>
        </x:is>
      </x:c>
      <x:c r="C34" s="471" t="n">
        <x:v>0.0135</x:v>
      </x:c>
      <x:c r="D34" s="471" t="n">
        <x:v>0.05</x:v>
      </x:c>
      <x:c r="E34" s="471" t="n">
        <x:v>0.23</x:v>
      </x:c>
      <x:c r="F34" s="471" t="inlineStr">
        <x:is>
          <x:t xml:space="preserve">NO</x:t>
        </x:is>
      </x:c>
      <x:c r="G34" s="471" t="n">
        <x:v>0</x:v>
      </x:c>
      <x:c r="H34" s="471" t="n">
        <x:v>0</x:v>
      </x:c>
    </x:row>
    <x:row r="35" s="455" customFormat="1" ht="14.25" customHeight="1">
      <x:c r="A35" s="512" t="n">
        <x:v>5</x:v>
      </x:c>
      <x:c r="B35" s="471" t="inlineStr">
        <x:is>
          <x:t xml:space="preserve">S02</x:t>
        </x:is>
      </x:c>
      <x:c r="C35" s="471" t="n">
        <x:v>0.0105</x:v>
      </x:c>
      <x:c r="D35" s="471" t="n">
        <x:v>0.15</x:v>
      </x:c>
      <x:c r="E35" s="471" t="n">
        <x:v>0.38</x:v>
      </x:c>
      <x:c r="F35" s="471" t="inlineStr">
        <x:is>
          <x:t xml:space="preserve">NO</x:t>
        </x:is>
      </x:c>
      <x:c r="G35" s="471" t="n">
        <x:v>0</x:v>
      </x:c>
      <x:c r="H35" s="471" t="n">
        <x:v>0</x:v>
      </x:c>
    </x:row>
    <x:row r="36" s="455" customFormat="1" ht="14.25" customHeight="1">
      <x:c r="A36" s="541" t="n">
        <x:v>6</x:v>
      </x:c>
      <x:c r="B36" s="471" t="inlineStr">
        <x:is>
          <x:t xml:space="preserve">S07</x:t>
        </x:is>
      </x:c>
      <x:c r="C36" s="471" t="n">
        <x:v>0.007</x:v>
      </x:c>
      <x:c r="D36" s="471" t="n">
        <x:v>0.02</x:v>
      </x:c>
      <x:c r="E36" s="471" t="n">
        <x:v>0.4</x:v>
      </x:c>
      <x:c r="F36" s="471" t="inlineStr">
        <x:is>
          <x:t xml:space="preserve">NO</x:t>
        </x:is>
      </x:c>
      <x:c r="G36" s="471" t="n">
        <x:v>0</x:v>
      </x:c>
      <x:c r="H36" s="471" t="n">
        <x:v>0</x:v>
      </x:c>
    </x:row>
    <x:row r="37" s="455" customFormat="1" ht="14.25" customHeight="1">
      <x:c r="A37" s="471" t="n">
        <x:v>7</x:v>
      </x:c>
      <x:c r="B37" s="471" t="inlineStr">
        <x:is>
          <x:t xml:space="preserve">S01</x:t>
        </x:is>
      </x:c>
      <x:c r="C37" s="471" t="n">
        <x:v>0.003574</x:v>
      </x:c>
      <x:c r="D37" s="471" t="n">
        <x:v>0.6</x:v>
      </x:c>
      <x:c r="E37" s="471" t="n">
        <x:v>1</x:v>
      </x:c>
      <x:c r="F37" s="471" t="inlineStr">
        <x:is>
          <x:t xml:space="preserve">NO</x:t>
        </x:is>
      </x:c>
      <x:c r="G37" s="471" t="n">
        <x:v>0</x:v>
      </x:c>
      <x:c r="H37" s="471" t="n">
        <x:v>0</x:v>
      </x:c>
    </x:row>
    <x:row r="38" s="455" customFormat="1" ht="14.25" customHeight="1">
      <x:c r="A38" s="542" t="n"/>
    </x:row>
    <x:row r="39" s="455" customFormat="1" ht="14.25" customHeight="1">
      <x:c r="A39" s="471" t="inlineStr">
        <x:is>
          <x:t xml:space="preserve">Step 2: CVaR_B = Σ(Contribution) / β</x:t>
        </x:is>
      </x:c>
    </x:row>
    <x:row r="40" s="455" customFormat="1" ht="14.25" customHeight="1">
      <x:c r="A40" s="471" t="inlineStr">
        <x:is>
          <x:t xml:space="preserve">Sum of contributions:</x:t>
        </x:is>
      </x:c>
      <x:c r="B40" s="471" t="n">
        <x:v>0.001575</x:v>
      </x:c>
    </x:row>
    <x:row r="41" s="455" customFormat="1" ht="14.25" customHeight="1">
      <x:c r="A41" s="471" t="inlineStr">
        <x:is>
          <x:t xml:space="preserve">CVaR_B:</x:t>
        </x:is>
      </x:c>
      <x:c r="B41" s="487" t="n">
        <x:v>0.0315</x:v>
      </x:c>
    </x:row>
    <x:row r="42" s="455" customFormat="1" ht="14.25" customHeight="1">
      <x:c r="A42" s="471" t="inlineStr">
        <x:is>
          <x:t xml:space="preserve">Status:</x:t>
        </x:is>
      </x:c>
      <x:c r="B42" s="485" t="inlineStr">
        <x:is>
          <x:t xml:space="preserve">PASS</x:t>
        </x:is>
      </x:c>
      <x:c r="C42" s="471" t="inlineStr">
        <x:is>
          <x:t xml:space="preserve">(CVaR_B = 0.0315 ≤ τ_TRC = 0.20)</x:t>
        </x:is>
      </x:c>
    </x:row>
    <x:row r="43" s="455" customFormat="1" ht="14.25" customHeight="1">
      <x:c r="A43" s="471" t="str">
        <x:f>IF(Dashboard!$B$36="YES","  2nd: Option "&amp;IF($H$15&lt;=$H$28,"B","A")&amp;" (CVaR = "&amp;TEXT(MAX($H$15,$H$28),"0.000")&amp;")","")</x:f>
      </x:c>
    </x:row>
    <x:row r="44"/>
    <x:row r="45" s="455" customFormat="1" ht="14.25" customHeight="1">
      <x:c r="A45" s="543" t="inlineStr">
        <x:is>
          <x:t xml:space="preserve">TRC OUTCOME</x:t>
        </x:is>
      </x:c>
    </x:row>
    <x:row r="46" s="455" customFormat="1" ht="14.25" customHeight="1">
      <x:c r="A46" s="471" t="inlineStr">
        <x:is>
          <x:t xml:space="preserve">A_adm = {A, B}</x:t>
        </x:is>
      </x:c>
    </x:row>
    <x:row r="47" s="455" customFormat="1" ht="14.25" customHeight="1">
      <x:c r="A47" s="471" t="inlineStr">
        <x:is>
          <x:t xml:space="preserve">TRC Mode: NORMAL (both options pass)</x:t>
        </x:is>
      </x:c>
    </x:row>
    <x:row r="48" s="455" customFormat="1" ht="14.25" customHeight="1">
      <x:c r="A48" s="471" t="inlineStr">
        <x:is>
          <x:t xml:space="preserve">Cascade proceeds to Containment (Level 4)</x:t>
        </x:is>
      </x:c>
    </x:row>
    <x:row r="49"/>
    <x:row r="50"/>
    <x:row r="51" s="455" customFormat="1" ht="13.5" customHeight="1"/>
    <x:row r="52" s="455" customFormat="1" ht="14.25" customHeight="1">
      <x:c r="A52" s="542" t="n"/>
    </x:row>
  </x:sheetData>
  <x:mergeCells>
    <x:mergeCell ref="A1:J1"/>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baseColWidth="8" defaultColWidth="8.66796875" defaultRowHeight="12.75"/>
  <x:cols>
    <x:col min="1" max="1" width="28" style="455" customWidth="1"/>
    <x:col min="2" max="2" width="56" style="455" customWidth="1"/>
    <x:col min="3" max="3" width="30" style="455" customWidth="1"/>
    <x:col min="4" max="4" width="30" style="455" customWidth="1"/>
  </x:cols>
  <x:sheetData>
    <x:row r="1" s="455" customFormat="1" ht="14.25" customHeight="1">
      <x:c r="A1" s="544" t="inlineStr">
        <x:is>
          <x:t xml:space="preserve">LEVEL 4: CONTAINMENT (structural integrity gate)</x:t>
        </x:is>
      </x:c>
      <x:c r="B1" s="457" t="n"/>
      <x:c r="C1" s="457" t="n"/>
      <x:c r="D1" s="457" t="n"/>
      <x:c r="E1" s="457" t="n"/>
      <x:c r="F1" s="457" t="n"/>
      <x:c r="G1" s="457" t="n"/>
      <x:c r="H1" s="457" t="n"/>
    </x:row>
    <x:row r="2" s="455" customFormat="1" ht="14.25" customHeight="1">
      <x:c r="A2" s="460" t="n"/>
      <x:c r="B2" s="460" t="n"/>
      <x:c r="C2" s="460" t="n"/>
      <x:c r="D2" s="460" t="n"/>
      <x:c r="J2" s="471" t="inlineStr">
        <x:is>
          <x:t xml:space="preserve">Containment computed</x:t>
        </x:is>
      </x:c>
    </x:row>
    <x:row r="3" s="455" customFormat="1" ht="14.25" customHeight="1">
      <x:c r="A3" s="489" t="inlineStr">
        <x:is>
          <x:t xml:space="preserve">Reference</x:t>
        </x:is>
      </x:c>
      <x:c r="B3" s="460" t="inlineStr">
        <x:is>
          <x:t xml:space="preserve">Canon v10.8 Section 9: Containment consumes UCI/HOI or equivalent structural diagnostics when material.</x:t>
        </x:is>
      </x:c>
      <x:c r="C3" s="460" t="n"/>
      <x:c r="D3" s="460" t="n"/>
      <x:c r="J3" s="471" t="inlineStr">
        <x:is>
          <x:t xml:space="preserve">θ_pos</x:t>
        </x:is>
      </x:c>
      <x:c r="K3" s="471" t="n">
        <x:f>CANON!B23</x:f>
        <x:v>0.05</x:v>
      </x:c>
    </x:row>
    <x:row r="4" s="455" customFormat="1" ht="14.25" customHeight="1">
      <x:c r="A4" s="489"/>
      <x:c r="B4" s="460" t="n"/>
      <x:c r="C4" s="460" t="n"/>
      <x:c r="D4" s="460" t="n"/>
      <x:c r="J4" s="471" t="inlineStr">
        <x:is>
          <x:t xml:space="preserve">τ_c</x:t>
        </x:is>
      </x:c>
      <x:c r="K4" s="471" t="n">
        <x:f>CANON!B24</x:f>
        <x:v>-0.1</x:v>
      </x:c>
    </x:row>
    <x:row r="5" s="455" customFormat="1" ht="14.25" customHeight="1">
      <x:c r="A5" s="545"/>
      <x:c r="B5" s="460" t="inlineStr">
        <x:is>
          <x:t xml:space="preserve">Normal mode: containment is evaluated for admissible options before RLS. Gate-relevant structural diagnostics must not be deferred to residual tie-break.</x:t>
        </x:is>
      </x:c>
      <x:c r="C5" s="460" t="n"/>
      <x:c r="D5" s="460" t="n"/>
      <x:c r="J5" s="471" t="inlineStr">
        <x:is>
          <x:t xml:space="preserve">Union Scope</x:t>
        </x:is>
      </x:c>
      <x:c r="K5" s="471" t="inlineStr">
        <x:is>
          <x:t xml:space="preserve">S_u(A)</x:t>
        </x:is>
      </x:c>
      <x:c r="L5" s="471" t="inlineStr">
        <x:is>
          <x:t xml:space="preserve">S_u(B)</x:t>
        </x:is>
      </x:c>
    </x:row>
    <x:row r="6" s="455" customFormat="1" ht="14.25" customHeight="1">
      <x:c r="A6" s="460" t="n"/>
      <x:c r="B6" s="460" t="n"/>
      <x:c r="C6" s="460" t="n"/>
      <x:c r="D6" s="460" t="n"/>
      <x:c r="J6" s="471" t="inlineStr">
        <x:is>
          <x:t xml:space="preserve">U1</x:t>
        </x:is>
      </x:c>
      <x:c r="K6" s="471" t="n">
        <x:f>(I_prop!B7+I_prop!C7+I_prop!D7+I_prop!E7+I_prop!F7+I_prop!G7+I_prop!H7)/7</x:f>
        <x:v>0.05603824858865244</x:v>
      </x:c>
      <x:c r="L6" s="471" t="n">
        <x:f>(I_prop!B18+I_prop!C18+I_prop!D18+I_prop!E18+I_prop!F18+I_prop!G18+I_prop!H18)/7</x:f>
        <x:v>-0.006619081095804803</x:v>
      </x:c>
    </x:row>
    <x:row r="7" s="455" customFormat="1" ht="14.25" customHeight="1">
      <x:c r="A7" s="546" t="inlineStr">
        <x:is>
          <x:t xml:space="preserve">OPTION A: UNION SCORES</x:t>
        </x:is>
      </x:c>
      <x:c r="B7" s="460" t="n"/>
      <x:c r="C7" s="460" t="n"/>
      <x:c r="D7" s="460" t="n"/>
      <x:c r="J7" s="471" t="inlineStr">
        <x:is>
          <x:t xml:space="preserve">U2</x:t>
        </x:is>
      </x:c>
      <x:c r="K7" s="471" t="n">
        <x:f>(I_prop!B8+I_prop!C8+I_prop!D8+I_prop!E8+I_prop!F8+I_prop!G8+I_prop!H8)/7</x:f>
        <x:v>0.006594596604869838</x:v>
      </x:c>
      <x:c r="L7" s="471" t="n">
        <x:f>(I_prop!B19+I_prop!C19+I_prop!D19+I_prop!E19+I_prop!F19+I_prop!G19+I_prop!H19)/7</x:f>
        <x:v>-0.0026394143482197027</x:v>
      </x:c>
    </x:row>
    <x:row r="8" s="455" customFormat="1" ht="14.25" customHeight="1">
      <x:c r="A8" s="546" t="inlineStr">
        <x:is>
          <x:t xml:space="preserve">Union Scope</x:t>
        </x:is>
      </x:c>
      <x:c r="B8" s="546" t="n">
        <x:v>0.056</x:v>
      </x:c>
      <x:c r="C8" s="546" t="inlineStr">
        <x:is>
          <x:t xml:space="preserve">YES</x:t>
        </x:is>
      </x:c>
      <x:c r="D8" s="460" t="n"/>
      <x:c r="J8" s="471" t="inlineStr">
        <x:is>
          <x:t xml:space="preserve">U3</x:t>
        </x:is>
      </x:c>
      <x:c r="K8" s="471" t="n">
        <x:f>(I_prop!B9+I_prop!C9+I_prop!D9+I_prop!E9+I_prop!F9+I_prop!G9+I_prop!H9)/7</x:f>
        <x:v>-0.014360137305385727</x:v>
      </x:c>
      <x:c r="L8" s="471" t="n">
        <x:f>(I_prop!B20+I_prop!C20+I_prop!D20+I_prop!E20+I_prop!F20+I_prop!G20+I_prop!H20)/7</x:f>
        <x:v>0.010673339936298086</x:v>
      </x:c>
    </x:row>
    <x:row r="9" s="455" customFormat="1" ht="14.25" customHeight="1">
      <x:c r="A9" s="489" t="inlineStr">
        <x:is>
          <x:t xml:space="preserve">U1</x:t>
        </x:is>
      </x:c>
      <x:c r="B9" s="547" t="n">
        <x:v>0.0066</x:v>
      </x:c>
      <x:c r="C9" s="489" t="inlineStr">
        <x:is>
          <x:t xml:space="preserve">NO</x:t>
        </x:is>
      </x:c>
      <x:c r="D9" s="460" t="n"/>
      <x:c r="J9" s="471" t="inlineStr">
        <x:is>
          <x:t xml:space="preserve">U4</x:t>
        </x:is>
      </x:c>
      <x:c r="K9" s="471" t="n">
        <x:f>(I_prop!B10+I_prop!C10+I_prop!D10+I_prop!E10+I_prop!F10+I_prop!G10+I_prop!H10)/7</x:f>
        <x:v>-0.012224205185128095</x:v>
      </x:c>
      <x:c r="L9" s="471" t="n">
        <x:f>(I_prop!B21+I_prop!C21+I_prop!D21+I_prop!E21+I_prop!F21+I_prop!G21+I_prop!H21)/7</x:f>
        <x:v>0.0014587793741674515</x:v>
      </x:c>
    </x:row>
    <x:row r="10" s="455" customFormat="1" ht="14.25" customHeight="1">
      <x:c r="A10" s="489" t="inlineStr">
        <x:is>
          <x:t xml:space="preserve">U2</x:t>
        </x:is>
      </x:c>
      <x:c r="B10" s="547" t="n">
        <x:v>-0.0144</x:v>
      </x:c>
      <x:c r="C10" s="489" t="inlineStr">
        <x:is>
          <x:t xml:space="preserve">NO</x:t>
        </x:is>
      </x:c>
      <x:c r="D10" s="460" t="n"/>
      <x:c r="J10" s="471" t="inlineStr">
        <x:is>
          <x:t xml:space="preserve">U5</x:t>
        </x:is>
      </x:c>
      <x:c r="K10" s="471" t="n">
        <x:f>(I_prop!B11+I_prop!C11+I_prop!D11+I_prop!E11+I_prop!F11+I_prop!G11+I_prop!H11)/7</x:f>
        <x:v>0</x:v>
      </x:c>
      <x:c r="L10" s="471" t="n">
        <x:f>(I_prop!B22+I_prop!C22+I_prop!D22+I_prop!E22+I_prop!F22+I_prop!G22+I_prop!H22)/7</x:f>
        <x:v>0</x:v>
      </x:c>
    </x:row>
    <x:row r="11" s="455" customFormat="1" ht="14.25" customHeight="1">
      <x:c r="A11" s="489" t="inlineStr">
        <x:is>
          <x:t xml:space="preserve">U3</x:t>
        </x:is>
      </x:c>
      <x:c r="B11" s="547" t="n">
        <x:v>-0.0122</x:v>
      </x:c>
      <x:c r="C11" s="489" t="inlineStr">
        <x:is>
          <x:t xml:space="preserve">NO</x:t>
        </x:is>
      </x:c>
      <x:c r="D11" s="460" t="n"/>
      <x:c r="J11" s="471" t="inlineStr">
        <x:is>
          <x:t xml:space="preserve">U6</x:t>
        </x:is>
      </x:c>
      <x:c r="K11" s="471" t="n">
        <x:f>(I_prop!B12+I_prop!C12+I_prop!D12+I_prop!E12+I_prop!F12+I_prop!G12+I_prop!H12)/7</x:f>
        <x:v>0</x:v>
      </x:c>
      <x:c r="L11" s="471" t="n">
        <x:f>(I_prop!B23+I_prop!C23+I_prop!D23+I_prop!E23+I_prop!F23+I_prop!G23+I_prop!H23)/7</x:f>
        <x:v>0</x:v>
      </x:c>
    </x:row>
    <x:row r="12" s="455" customFormat="1" ht="14.25" customHeight="1">
      <x:c r="A12" s="489" t="inlineStr">
        <x:is>
          <x:t xml:space="preserve">U4</x:t>
        </x:is>
      </x:c>
      <x:c r="B12" s="547" t="n">
        <x:v>0</x:v>
      </x:c>
      <x:c r="C12" s="489" t="inlineStr">
        <x:is>
          <x:t xml:space="preserve">NO</x:t>
        </x:is>
      </x:c>
      <x:c r="D12" s="460" t="n"/>
      <x:c r="J12" s="471" t="inlineStr">
        <x:is>
          <x:t xml:space="preserve">U7</x:t>
        </x:is>
      </x:c>
      <x:c r="K12" s="471" t="n">
        <x:f>(I_prop!B13+I_prop!C13+I_prop!D13+I_prop!E13+I_prop!F13+I_prop!G13+I_prop!H13)/7</x:f>
        <x:v>0.0021880739939085544</x:v>
      </x:c>
      <x:c r="L12" s="471" t="n">
        <x:f>(I_prop!B24+I_prop!C24+I_prop!D24+I_prop!E24+I_prop!F24+I_prop!G24+I_prop!H24)/7</x:f>
        <x:v>-0.0014587793741674547</x:v>
      </x:c>
    </x:row>
    <x:row r="13" s="455" customFormat="1" ht="14.25" customHeight="1">
      <x:c r="A13" s="489" t="inlineStr">
        <x:is>
          <x:t xml:space="preserve">U5</x:t>
        </x:is>
      </x:c>
      <x:c r="B13" s="547" t="n">
        <x:v>0</x:v>
      </x:c>
      <x:c r="C13" s="489" t="inlineStr">
        <x:is>
          <x:t xml:space="preserve">NO</x:t>
        </x:is>
      </x:c>
      <x:c r="D13" s="460" t="n"/>
    </x:row>
    <x:row r="14" s="455" customFormat="1" ht="14.25" customHeight="1">
      <x:c r="A14" s="489" t="inlineStr">
        <x:is>
          <x:t xml:space="preserve">U6</x:t>
        </x:is>
      </x:c>
      <x:c r="B14" s="547" t="n">
        <x:v>0.0022</x:v>
      </x:c>
      <x:c r="C14" s="489" t="inlineStr">
        <x:is>
          <x:t xml:space="preserve">NO</x:t>
        </x:is>
      </x:c>
      <x:c r="D14" s="460" t="n"/>
      <x:c r="J14" s="471" t="inlineStr">
        <x:is>
          <x:t xml:space="preserve">Containment_Status_A</x:t>
        </x:is>
      </x:c>
      <x:c r="K14" s="471" t="str">
        <x:f>IF(COUNTIF($K$6:$K$12,"&gt;="&amp;$K$3)=0,"PASS (vacuous)",IF(0&gt;=$K$4,"PASS","FAIL"))</x:f>
        <x:v>PASS</x:v>
      </x:c>
    </x:row>
    <x:row r="15" s="455" customFormat="1" ht="14.25" customHeight="1">
      <x:c r="A15" s="489" t="inlineStr">
        <x:is>
          <x:t xml:space="preserve">U7</x:t>
        </x:is>
      </x:c>
      <x:c r="B15" s="547" t="n"/>
      <x:c r="C15" s="489" t="inlineStr">
        <x:is>
          <x:t xml:space="preserve">NO</x:t>
        </x:is>
      </x:c>
      <x:c r="D15" s="460" t="n"/>
      <x:c r="J15" s="471" t="inlineStr">
        <x:is>
          <x:t xml:space="preserve">Containment_Status_B</x:t>
        </x:is>
      </x:c>
      <x:c r="K15" s="471" t="str">
        <x:f>IF(COUNTIF($L$6:$L$12,"&gt;="&amp;$K$3)=0,"PASS (vacuous)",IF(0&gt;=$K$4,"PASS","FAIL"))</x:f>
        <x:v>PASS (vacuous)</x:v>
      </x:c>
    </x:row>
    <x:row r="16" s="455" customFormat="1" ht="14.25" customHeight="1">
      <x:c r="A16" s="489" t="inlineStr">
        <x:is>
          <x:t xml:space="preserve">U_pos(A) = {U1} (U1 ≥ 0.05)</x:t>
        </x:is>
      </x:c>
      <x:c r="B16" s="460" t="n"/>
      <x:c r="C16" s="460" t="n"/>
      <x:c r="D16" s="460" t="n"/>
    </x:row>
    <x:row r="17">
      <x:c r="A17" s="460" t="n"/>
      <x:c r="B17" s="460" t="n"/>
      <x:c r="C17" s="460" t="n"/>
      <x:c r="D17" s="460" t="n"/>
    </x:row>
    <x:row r="18" s="455" customFormat="1" ht="14.25" customHeight="1">
      <x:c r="A18" s="548" t="inlineStr">
        <x:is>
          <x:t xml:space="preserve">Containment_A: PASS (Tier-2 proxy diagnostic; trigger union reviewed)</x:t>
        </x:is>
      </x:c>
      <x:c r="B18" s="460" t="n"/>
      <x:c r="C18" s="460" t="n"/>
      <x:c r="D18" s="460" t="n"/>
    </x:row>
    <x:row r="19" s="455" customFormat="1" ht="13.5" customHeight="1">
      <x:c r="A19" s="460" t="n"/>
      <x:c r="B19" s="460" t="n"/>
      <x:c r="C19" s="460" t="n"/>
      <x:c r="D19" s="460" t="n"/>
    </x:row>
    <x:row r="20" s="455" customFormat="1" ht="14.25" customHeight="1">
      <x:c r="A20" s="546" t="inlineStr">
        <x:is>
          <x:t xml:space="preserve">OPTION B: UNION SCORES</x:t>
        </x:is>
      </x:c>
      <x:c r="B20" s="460" t="n"/>
      <x:c r="C20" s="460" t="n"/>
      <x:c r="D20" s="460" t="n"/>
    </x:row>
    <x:row r="21" s="455" customFormat="1" ht="14.25" customHeight="1">
      <x:c r="A21" s="546" t="inlineStr">
        <x:is>
          <x:t xml:space="preserve">Union Scope</x:t>
        </x:is>
      </x:c>
      <x:c r="B21" s="546" t="n">
        <x:v>-0.0066</x:v>
      </x:c>
      <x:c r="C21" s="546" t="inlineStr">
        <x:is>
          <x:t xml:space="preserve">NO</x:t>
        </x:is>
      </x:c>
      <x:c r="D21" s="460" t="n"/>
    </x:row>
    <x:row r="22" s="455" customFormat="1" ht="14.25" customHeight="1">
      <x:c r="A22" s="489" t="inlineStr">
        <x:is>
          <x:t xml:space="preserve">U1</x:t>
        </x:is>
      </x:c>
      <x:c r="B22" s="489" t="n">
        <x:v>-0.0026</x:v>
      </x:c>
      <x:c r="C22" s="489" t="inlineStr">
        <x:is>
          <x:t xml:space="preserve">NO</x:t>
        </x:is>
      </x:c>
      <x:c r="D22" s="460" t="n"/>
    </x:row>
    <x:row r="23" s="455" customFormat="1" ht="14.25" customHeight="1">
      <x:c r="A23" s="489" t="inlineStr">
        <x:is>
          <x:t xml:space="preserve">U2</x:t>
        </x:is>
      </x:c>
      <x:c r="B23" s="489" t="n">
        <x:v>0.0107</x:v>
      </x:c>
      <x:c r="C23" s="489" t="inlineStr">
        <x:is>
          <x:t xml:space="preserve">NO</x:t>
        </x:is>
      </x:c>
      <x:c r="D23" s="460" t="n"/>
    </x:row>
    <x:row r="24" s="455" customFormat="1" ht="14.25" customHeight="1">
      <x:c r="A24" s="489" t="inlineStr">
        <x:is>
          <x:t xml:space="preserve">U3</x:t>
        </x:is>
      </x:c>
      <x:c r="B24" s="547" t="n">
        <x:v>0.0015</x:v>
      </x:c>
      <x:c r="C24" s="489" t="inlineStr">
        <x:is>
          <x:t xml:space="preserve">NO</x:t>
        </x:is>
      </x:c>
      <x:c r="D24" s="460" t="n"/>
    </x:row>
    <x:row r="25" s="455" customFormat="1" ht="14.25" customHeight="1">
      <x:c r="A25" s="489" t="inlineStr">
        <x:is>
          <x:t xml:space="preserve">U4</x:t>
        </x:is>
      </x:c>
      <x:c r="B25" s="547" t="n">
        <x:v>0</x:v>
      </x:c>
      <x:c r="C25" s="489" t="inlineStr">
        <x:is>
          <x:t xml:space="preserve">NO</x:t>
        </x:is>
      </x:c>
      <x:c r="D25" s="460" t="n"/>
    </x:row>
    <x:row r="26" s="455" customFormat="1" ht="14.25" customHeight="1">
      <x:c r="A26" s="489" t="inlineStr">
        <x:is>
          <x:t xml:space="preserve">U5</x:t>
        </x:is>
      </x:c>
      <x:c r="B26" s="547" t="n">
        <x:v>0</x:v>
      </x:c>
      <x:c r="C26" s="489" t="inlineStr">
        <x:is>
          <x:t xml:space="preserve">NO</x:t>
        </x:is>
      </x:c>
      <x:c r="D26" s="460" t="n"/>
    </x:row>
    <x:row r="27" s="455" customFormat="1" ht="14.25" customHeight="1">
      <x:c r="A27" s="489" t="inlineStr">
        <x:is>
          <x:t xml:space="preserve">U6</x:t>
        </x:is>
      </x:c>
      <x:c r="B27" s="547" t="n">
        <x:v>-0.0015</x:v>
      </x:c>
      <x:c r="C27" s="489" t="inlineStr">
        <x:is>
          <x:t xml:space="preserve">NO</x:t>
        </x:is>
      </x:c>
      <x:c r="D27" s="460" t="n"/>
    </x:row>
    <x:row r="28" s="455" customFormat="1" ht="14.25" customHeight="1">
      <x:c r="A28" s="489" t="inlineStr">
        <x:is>
          <x:t xml:space="preserve">U7</x:t>
        </x:is>
      </x:c>
      <x:c r="B28" s="547" t="n"/>
      <x:c r="C28" s="489" t="inlineStr">
        <x:is>
          <x:t xml:space="preserve">NO</x:t>
        </x:is>
      </x:c>
      <x:c r="D28" s="460" t="n"/>
    </x:row>
    <x:row r="29" s="455" customFormat="1" ht="14.25" customHeight="1">
      <x:c r="A29" s="489" t="inlineStr">
        <x:is>
          <x:t xml:space="preserve">U_pos(B) = ∅ (no union ≥ 0.05)</x:t>
        </x:is>
      </x:c>
      <x:c r="B29" s="547" t="n"/>
      <x:c r="C29" s="460" t="n"/>
      <x:c r="D29" s="460" t="n"/>
    </x:row>
    <x:row r="30" s="455" customFormat="1" ht="14.25" customHeight="1">
      <x:c r="A30" s="489" t="inlineStr">
        <x:is>
          <x:t xml:space="preserve">Containment_B: PASS (vacuous)</x:t>
        </x:is>
      </x:c>
      <x:c r="B30" s="547" t="n"/>
      <x:c r="C30" s="460" t="n"/>
      <x:c r="D30" s="460" t="n"/>
    </x:row>
    <x:row r="31" s="455" customFormat="1" ht="14.25" customHeight="1">
      <x:c r="A31" s="548" t="inlineStr">
        <x:is>
          <x:t xml:space="preserve">Containment_B: PASS (vacuous)</x:t>
        </x:is>
      </x:c>
      <x:c r="B31" s="460" t="n"/>
      <x:c r="C31" s="460" t="n"/>
      <x:c r="D31" s="460" t="n"/>
    </x:row>
    <x:row r="32" s="455" customFormat="1" ht="14.25" customHeight="1">
      <x:c r="A32" s="489" t="inlineStr">
        <x:is>
          <x:t xml:space="preserve">CONTAINMENT OUTCOME</x:t>
        </x:is>
      </x:c>
      <x:c r="B32" s="460" t="n"/>
      <x:c r="C32" s="460" t="n"/>
      <x:c r="D32" s="460" t="n"/>
    </x:row>
    <x:row r="33" s="455" customFormat="1" ht="14.25" customHeight="1">
      <x:c r="A33" s="546" t="inlineStr">
        <x:is>
          <x:t xml:space="preserve">A_sel (Selectable): {A, B}</x:t>
        </x:is>
      </x:c>
      <x:c r="B33" s="460" t="n"/>
      <x:c r="C33" s="460" t="n"/>
      <x:c r="D33" s="460" t="n"/>
    </x:row>
    <x:row r="34" s="455" customFormat="1" ht="14.25" customHeight="1">
      <x:c r="A34" s="489" t="str">
        <x:v>Cascade proceeds to RLS (Level 5) after Reality Grounding, NCRC, TRC, and Containment have formed the selectable set.</x:v>
      </x:c>
      <x:c r="B34" s="460" t="n"/>
      <x:c r="C34" s="460" t="n"/>
      <x:c r="D34" s="460" t="n"/>
    </x:row>
    <x:row r="35" s="455" customFormat="1" ht="14.25" customHeight="1">
      <x:c r="A35" s="489" t="str">
        <x:f>IF(Dashboard!$B$36="YES","NOTE: Informational only (TRC fallback active).","NOTE: Normal mode (containment evaluated for admissible options).")</x:f>
        <x:v>NOTE: Normal mode (containment evaluated for admissible options).</x:v>
      </x:c>
      <x:c r="B35" s="460" t="n"/>
      <x:c r="C35" s="460" t="n"/>
      <x:c r="D35" s="460" t="n"/>
    </x:row>
    <x:row r="36" s="455" customFormat="1" ht="14.25" customHeight="1">
      <x:c r="A36" s="545" t="n"/>
      <x:c r="B36" s="460" t="n"/>
      <x:c r="C36" s="460" t="n"/>
      <x:c r="D36" s="460" t="n"/>
    </x:row>
    <x:row r="37">
      <x:c r="A37" s="460" t="n"/>
      <x:c r="B37" s="460" t="n"/>
      <x:c r="C37" s="460" t="n"/>
      <x:c r="D37" s="460" t="n"/>
    </x:row>
    <x:row r="38">
      <x:c r="A38" s="460" t="n"/>
      <x:c r="B38" s="460" t="n"/>
      <x:c r="C38" s="460" t="n"/>
      <x:c r="D38" s="460" t="n"/>
    </x:row>
    <x:row r="39">
      <x:c r="A39" s="460" t="n"/>
      <x:c r="B39" s="460" t="n"/>
      <x:c r="C39" s="460" t="n"/>
      <x:c r="D39" s="460" t="n"/>
    </x:row>
    <x:row r="40">
      <x:c r="A40" s="460" t="n"/>
      <x:c r="B40" s="460" t="n"/>
      <x:c r="C40" s="460" t="n"/>
      <x:c r="D40" s="460" t="n"/>
    </x:row>
    <x:row r="41">
      <x:c r="A41" s="460" t="n"/>
      <x:c r="B41" s="460" t="n"/>
      <x:c r="C41" s="460" t="n"/>
      <x:c r="D41" s="460" t="n"/>
    </x:row>
    <x:row r="42">
      <x:c r="A42" s="460" t="n"/>
      <x:c r="B42" s="460" t="n"/>
      <x:c r="C42" s="460" t="n"/>
      <x:c r="D42" s="460" t="n"/>
    </x:row>
    <x:row r="43">
      <x:c r="A43" s="460" t="n"/>
      <x:c r="B43" s="460" t="n"/>
      <x:c r="C43" s="460" t="n"/>
      <x:c r="D43" s="460" t="n"/>
    </x:row>
    <x:row r="44">
      <x:c r="A44" s="460" t="n"/>
      <x:c r="B44" s="460" t="n"/>
      <x:c r="C44" s="460" t="n"/>
      <x:c r="D44" s="460" t="n"/>
    </x:row>
    <x:row r="45">
      <x:c r="A45" s="460" t="n"/>
      <x:c r="B45" s="460" t="n"/>
      <x:c r="C45" s="460" t="n"/>
      <x:c r="D45" s="460" t="n"/>
    </x:row>
    <x:row r="46">
      <x:c r="A46" s="460" t="n"/>
      <x:c r="B46" s="460" t="n"/>
      <x:c r="C46" s="460" t="n"/>
      <x:c r="D46" s="460" t="n"/>
    </x:row>
    <x:row r="47">
      <x:c r="A47" s="460" t="n"/>
      <x:c r="B47" s="460" t="n"/>
      <x:c r="C47" s="460" t="n"/>
      <x:c r="D47" s="460" t="n"/>
    </x:row>
    <x:row r="48">
      <x:c r="A48" s="460" t="n"/>
      <x:c r="B48" s="460" t="n"/>
      <x:c r="C48" s="460" t="n"/>
      <x:c r="D48" s="460" t="n"/>
    </x:row>
    <x:row r="49">
      <x:c r="A49" s="460" t="n"/>
      <x:c r="B49" s="460" t="n"/>
      <x:c r="C49" s="460" t="n"/>
      <x:c r="D49" s="460" t="n"/>
    </x:row>
    <x:row r="50">
      <x:c r="A50" s="460" t="n"/>
      <x:c r="B50" s="460" t="n"/>
      <x:c r="C50" s="460" t="n"/>
      <x:c r="D50" s="460" t="n"/>
    </x:row>
    <x:row r="51">
      <x:c r="A51" s="460" t="n"/>
      <x:c r="B51" s="460" t="n"/>
      <x:c r="C51" s="460" t="n"/>
      <x:c r="D51" s="460" t="n"/>
    </x:row>
    <x:row r="52">
      <x:c r="A52" s="460" t="n"/>
      <x:c r="B52" s="460" t="n"/>
      <x:c r="C52" s="460" t="n"/>
      <x:c r="D52" s="460" t="n"/>
    </x:row>
    <x:row r="53">
      <x:c r="A53" s="460" t="n"/>
      <x:c r="B53" s="460" t="n"/>
      <x:c r="C53" s="460" t="n"/>
      <x:c r="D53" s="460" t="n"/>
    </x:row>
    <x:row r="54">
      <x:c r="A54" s="460" t="n"/>
      <x:c r="B54" s="460" t="n"/>
      <x:c r="C54" s="460" t="n"/>
      <x:c r="D54" s="460" t="n"/>
    </x:row>
    <x:row r="55">
      <x:c r="A55" s="460" t="n"/>
      <x:c r="B55" s="460" t="n"/>
      <x:c r="C55" s="460" t="n"/>
      <x:c r="D55" s="460" t="n"/>
    </x:row>
    <x:row r="56">
      <x:c r="A56" s="460" t="n"/>
      <x:c r="B56" s="460" t="n"/>
      <x:c r="C56" s="460" t="n"/>
      <x:c r="D56" s="460" t="n"/>
    </x:row>
    <x:row r="57">
      <x:c r="A57" s="460" t="n"/>
      <x:c r="B57" s="460" t="n"/>
      <x:c r="C57" s="460" t="n"/>
      <x:c r="D57" s="460" t="n"/>
    </x:row>
    <x:row r="58">
      <x:c r="A58" s="460" t="n"/>
      <x:c r="B58" s="460" t="n"/>
      <x:c r="C58" s="460" t="n"/>
      <x:c r="D58" s="460" t="n"/>
    </x:row>
    <x:row r="59">
      <x:c r="A59" s="460" t="n"/>
      <x:c r="B59" s="460" t="n"/>
      <x:c r="C59" s="460" t="n"/>
      <x:c r="D59" s="460" t="n"/>
    </x:row>
    <x:row r="60">
      <x:c r="A60" s="460" t="n"/>
      <x:c r="B60" s="460" t="n"/>
      <x:c r="C60" s="460" t="n"/>
      <x:c r="D60" s="460" t="n"/>
    </x:row>
    <x:row r="61">
      <x:c r="A61" s="460" t="n"/>
      <x:c r="B61" s="460" t="n"/>
      <x:c r="C61" s="460" t="n"/>
      <x:c r="D61" s="460" t="n"/>
    </x:row>
    <x:row r="62">
      <x:c r="A62" s="460" t="n"/>
      <x:c r="B62" s="460" t="n"/>
      <x:c r="C62" s="460" t="n"/>
      <x:c r="D62" s="460" t="n"/>
    </x:row>
    <x:row r="63">
      <x:c r="A63" s="460" t="n"/>
      <x:c r="B63" s="460" t="n"/>
      <x:c r="C63" s="460" t="n"/>
      <x:c r="D63" s="460" t="n"/>
    </x:row>
    <x:row r="64">
      <x:c r="A64" s="460" t="n"/>
      <x:c r="B64" s="460" t="n"/>
      <x:c r="C64" s="460" t="n"/>
      <x:c r="D64" s="460" t="n"/>
    </x:row>
    <x:row r="65">
      <x:c r="A65" s="460" t="n"/>
      <x:c r="B65" s="460" t="n"/>
      <x:c r="C65" s="460" t="n"/>
      <x:c r="D65" s="460" t="n"/>
    </x:row>
    <x:row r="66">
      <x:c r="A66" s="460" t="n"/>
      <x:c r="B66" s="460" t="n"/>
      <x:c r="C66" s="460" t="n"/>
      <x:c r="D66" s="460" t="n"/>
    </x:row>
    <x:row r="67">
      <x:c r="A67" s="460" t="n"/>
      <x:c r="B67" s="460" t="n"/>
      <x:c r="C67" s="460" t="n"/>
      <x:c r="D67" s="460" t="n"/>
    </x:row>
    <x:row r="68">
      <x:c r="A68" s="460" t="n"/>
      <x:c r="B68" s="460" t="n"/>
      <x:c r="C68" s="460" t="n"/>
      <x:c r="D68" s="460" t="n"/>
    </x:row>
    <x:row r="69">
      <x:c r="A69" s="460" t="n"/>
      <x:c r="B69" s="460" t="n"/>
      <x:c r="C69" s="460" t="n"/>
      <x:c r="D69" s="460" t="n"/>
    </x:row>
    <x:row r="70">
      <x:c r="A70" s="460" t="n"/>
      <x:c r="B70" s="460" t="n"/>
      <x:c r="C70" s="460" t="n"/>
      <x:c r="D70" s="460" t="n"/>
    </x:row>
    <x:row r="71">
      <x:c r="A71" s="460" t="n"/>
      <x:c r="B71" s="460" t="n"/>
      <x:c r="C71" s="460" t="n"/>
      <x:c r="D71" s="460" t="n"/>
    </x:row>
    <x:row r="72">
      <x:c r="A72" s="460" t="n"/>
      <x:c r="B72" s="460" t="n"/>
      <x:c r="C72" s="460" t="n"/>
      <x:c r="D72" s="460" t="n"/>
    </x:row>
    <x:row r="73">
      <x:c r="A73" s="460" t="n"/>
      <x:c r="B73" s="460" t="n"/>
      <x:c r="C73" s="460" t="n"/>
      <x:c r="D73" s="460" t="n"/>
    </x:row>
    <x:row r="74">
      <x:c r="A74" s="460" t="n"/>
      <x:c r="B74" s="460" t="n"/>
      <x:c r="C74" s="460" t="n"/>
      <x:c r="D74" s="460" t="n"/>
    </x:row>
    <x:row r="75">
      <x:c r="A75" s="460" t="n"/>
      <x:c r="B75" s="460" t="n"/>
      <x:c r="C75" s="460" t="n"/>
      <x:c r="D75" s="460" t="n"/>
    </x:row>
    <x:row r="76">
      <x:c r="A76" s="460" t="n"/>
      <x:c r="B76" s="460" t="n"/>
      <x:c r="C76" s="460" t="n"/>
      <x:c r="D76" s="460" t="n"/>
    </x:row>
    <x:row r="77">
      <x:c r="A77" s="460" t="n"/>
      <x:c r="B77" s="460" t="n"/>
      <x:c r="C77" s="460" t="n"/>
      <x:c r="D77" s="460" t="n"/>
    </x:row>
    <x:row r="78">
      <x:c r="A78" s="460" t="n"/>
      <x:c r="B78" s="460" t="n"/>
      <x:c r="C78" s="460" t="n"/>
      <x:c r="D78" s="460" t="n"/>
    </x:row>
    <x:row r="79">
      <x:c r="A79" s="460" t="n"/>
      <x:c r="B79" s="460" t="n"/>
      <x:c r="C79" s="460" t="n"/>
      <x:c r="D79" s="460" t="n"/>
    </x:row>
    <x:row r="80">
      <x:c r="A80" s="460" t="n"/>
      <x:c r="B80" s="460" t="n"/>
      <x:c r="C80" s="460" t="n"/>
      <x:c r="D80" s="460" t="n"/>
    </x:row>
  </x:sheetData>
  <x:mergeCells>
    <x:mergeCell ref="A1:H1"/>
  </x:mergeCells>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baseColWidth="8" defaultColWidth="8.66796875" defaultRowHeight="12.75"/>
  <x:cols>
    <x:col min="1" max="1" width="58" style="497" customWidth="1"/>
    <x:col min="2" max="9" width="12" style="454" customWidth="1"/>
  </x:cols>
  <x:sheetData>
    <x:row r="1" s="455" customFormat="1" ht="14.25" customHeight="1">
      <x:c r="A1" s="511" t="str">
        <x:v>LEVEL 5: RIPPLELOGIC SCORE</x:v>
      </x:c>
      <x:c r="B1" s="457" t="n"/>
      <x:c r="C1" s="457" t="n"/>
      <x:c r="D1" s="457" t="n"/>
      <x:c r="E1" s="457" t="n"/>
      <x:c r="F1" s="457" t="n"/>
      <x:c r="G1" s="457" t="n"/>
      <x:c r="H1" s="457" t="n"/>
      <x:c r="I1" s="457" t="n"/>
      <x:c r="J1" s="457" t="n"/>
    </x:row>
    <x:row r="2" s="455" customFormat="1" ht="13.5" customHeight="1"/>
    <x:row r="3" s="455" customFormat="1" ht="14.25" customHeight="1">
      <x:c r="A3" s="471" t="inlineStr">
        <x:is>
          <x:t xml:space="preserve">Reference: RippleLogic v10.8 Section 10.0</x:t>
        </x:is>
      </x:c>
    </x:row>
    <x:row r="4" s="455" customFormat="1" ht="14.25" customHeight="1">
      <x:c r="A4" s="471" t="inlineStr">
        <x:is>
          <x:t xml:space="preserve">RLS = Σ_u Σ_d w_u × v_d × m(u,d) × κ(u,d) × I_prop_welfare(u,d,a)</x:t>
        </x:is>
      </x:c>
    </x:row>
    <x:row r="5" s="455" customFormat="1" ht="14.25" customHeight="1">
      <x:c r="A5" s="541" t="inlineStr">
        <x:is>
          <x:t xml:space="preserve">RLS(A)</x:t>
        </x:is>
      </x:c>
      <x:c r="B5" s="486" t="n">
        <x:f>B61</x:f>
        <x:v>0.01531294271682332</x:v>
      </x:c>
    </x:row>
    <x:row r="6" s="455" customFormat="1" ht="14.25" customHeight="1">
      <x:c r="A6" s="471" t="inlineStr">
        <x:is>
          <x:t xml:space="preserve">RLS(B)</x:t>
        </x:is>
      </x:c>
      <x:c r="B6" s="486" t="n">
        <x:f>B62</x:f>
        <x:v>-0.0011223873850524822</x:v>
      </x:c>
      <x:c r="C6" s="486" t="n">
        <x:f>B61</x:f>
        <x:v>0.01531294271682332</x:v>
      </x:c>
    </x:row>
    <x:row r="7" s="455" customFormat="1" ht="14.25" customHeight="1">
      <x:c r="A7" s="512" t="inlineStr">
        <x:is>
          <x:t xml:space="preserve">Higher RLS option (non-decisive; not deterministic framework selection)</x:t>
        </x:is>
      </x:c>
      <x:c r="B7" s="471" t="str">
        <x:f>IF(B61&gt;B62,"A",IF(B62&gt;B61,"B","TIE"))</x:f>
        <x:v>A</x:v>
      </x:c>
      <x:c r="C7" s="486" t="n"/>
    </x:row>
    <x:row r="8" s="455" customFormat="1" ht="13.5" customHeight="1"/>
    <x:row r="9" s="455" customFormat="1" ht="14.25" customHeight="1">
      <x:c r="A9" s="471" t="inlineStr">
        <x:is>
          <x:t xml:space="preserve">Union-Dimension Contributions:</x:t>
        </x:is>
      </x:c>
    </x:row>
    <x:row r="10" s="455" customFormat="1" ht="14.25" customHeight="1">
      <x:c r="A10" s="471" t="inlineStr">
        <x:is>
          <x:t xml:space="preserve">U1-D5</x:t>
        </x:is>
      </x:c>
      <x:c r="B10" s="471" t="n">
        <x:v>0.138</x:v>
      </x:c>
      <x:c r="C10" s="549" t="n">
        <x:v>0.00282</x:v>
      </x:c>
    </x:row>
    <x:row r="11" s="455" customFormat="1" ht="14.25" customHeight="1">
      <x:c r="A11" s="471" t="inlineStr">
        <x:is>
          <x:t xml:space="preserve">U1-D6</x:t>
        </x:is>
      </x:c>
      <x:c r="B11" s="471" t="n">
        <x:v>0.098</x:v>
      </x:c>
      <x:c r="C11" s="549" t="n">
        <x:v>0.002</x:v>
      </x:c>
    </x:row>
    <x:row r="12" s="455" customFormat="1" ht="14.25" customHeight="1">
      <x:c r="A12" s="471" t="inlineStr">
        <x:is>
          <x:t xml:space="preserve">U2-D1</x:t>
        </x:is>
      </x:c>
      <x:c r="B12" s="486" t="n">
        <x:f>INDEX(I_prop!$B$7:$H$13, MATCH("U2", I_prop!$A$7:$A$13,0), MATCH("D1", I_prop!$B$6:$H$6,0))</x:f>
        <x:v>0.046162176234088866</x:v>
      </x:c>
      <x:c r="C12" s="549" t="n"/>
    </x:row>
    <x:row r="13" s="455" customFormat="1" ht="14.25" customHeight="1">
      <x:c r="A13" s="471" t="inlineStr">
        <x:is>
          <x:t xml:space="preserve">U3-D1</x:t>
        </x:is>
      </x:c>
      <x:c r="B13" s="486" t="n">
        <x:f>INDEX(I_prop!$B$7:$H$13, MATCH("U3", I_prop!$A$7:$A$13,0), MATCH("D1", I_prop!$B$6:$H$6,0))</x:f>
        <x:v>-0.01979527432216163</x:v>
      </x:c>
      <x:c r="C13" s="549" t="n"/>
    </x:row>
    <x:row r="14" s="455" customFormat="1" ht="14.25" customHeight="1">
      <x:c r="A14" s="471" t="inlineStr">
        <x:is>
          <x:t xml:space="preserve">U3-D3</x:t>
        </x:is>
      </x:c>
      <x:c r="B14" s="486" t="n">
        <x:f>INDEX(I_prop!$B$7:$H$13, MATCH("U3", I_prop!$A$7:$A$13,0), MATCH("D3", I_prop!$B$6:$H$6,0))</x:f>
        <x:v>-0.08072568681553846</x:v>
      </x:c>
      <x:c r="C14" s="549" t="n"/>
    </x:row>
    <x:row r="15" s="455" customFormat="1" ht="14.25" customHeight="1">
      <x:c r="A15" s="471" t="inlineStr">
        <x:is>
          <x:t xml:space="preserve">U4-D1</x:t>
        </x:is>
      </x:c>
      <x:c r="B15" s="486" t="n">
        <x:f>INDEX(I_prop!$B$7:$H$13, MATCH("U4", I_prop!$A$7:$A$13,0), MATCH("D1", I_prop!$B$6:$H$6,0))</x:f>
        <x:v>-0.08556943629589667</x:v>
      </x:c>
      <x:c r="C15" s="549" t="n"/>
    </x:row>
    <x:row r="16" s="455" customFormat="1" ht="14.25" customHeight="1">
      <x:c r="A16" s="471" t="inlineStr">
        <x:is>
          <x:t xml:space="preserve">U7-D7</x:t>
        </x:is>
      </x:c>
      <x:c r="B16" s="486" t="n">
        <x:f>INDEX(I_prop!$B$7:$H$13, MATCH("U7", I_prop!$A$7:$A$13,0), MATCH("D7", I_prop!$B$6:$H$6,0))</x:f>
        <x:v>0.01531651795735988</x:v>
      </x:c>
      <x:c r="C16" s="549" t="n"/>
    </x:row>
    <x:row r="17" s="455" customFormat="1" ht="14.25" customHeight="1">
      <x:c r="A17" s="471" t="inlineStr">
        <x:is>
          <x:t xml:space="preserve">Displayed RLS(A)</x:t>
        </x:is>
      </x:c>
      <x:c r="B17" s="550" t="n">
        <x:f>B61</x:f>
        <x:v>0.01531294271682332</x:v>
      </x:c>
    </x:row>
    <x:row r="18" s="455" customFormat="1" ht="14.25" customHeight="1">
      <x:c r="A18" s="539" t="n"/>
    </x:row>
    <x:row r="19" s="455" customFormat="1" ht="13.5" customHeight="1"/>
    <x:row r="20" s="455" customFormat="1" ht="13.5" customHeight="1"/>
    <x:row r="21" s="455" customFormat="1" ht="14.25" customHeight="1">
      <x:c r="A21" s="512" t="inlineStr">
        <x:is>
          <x:t xml:space="preserve">OPTION B RLS COMPUTATION</x:t>
        </x:is>
      </x:c>
    </x:row>
    <x:row r="22" s="455" customFormat="1" ht="14.25" customHeight="1">
      <x:c r="A22" s="471" t="inlineStr">
        <x:is>
          <x:t xml:space="preserve">U1-D5</x:t>
        </x:is>
      </x:c>
      <x:c r="B22" s="471" t="n">
        <x:v>-0.073</x:v>
      </x:c>
      <x:c r="C22" s="549" t="n">
        <x:v>-0.00149</x:v>
      </x:c>
    </x:row>
    <x:row r="23" s="455" customFormat="1" ht="14.25" customHeight="1">
      <x:c r="A23" s="471" t="inlineStr">
        <x:is>
          <x:t xml:space="preserve">U2-D1</x:t>
        </x:is>
      </x:c>
      <x:c r="B23" s="486" t="n">
        <x:f>INDEX(I_prop!$B$18:$H$24, MATCH("U2", I_prop!$A$18:$A$24,0), MATCH("D1", I_prop!$B$17:$H$17,0))</x:f>
        <x:v>-0.01847590043753792</x:v>
      </x:c>
      <x:c r="C23" s="549" t="n"/>
    </x:row>
    <x:row r="24" s="455" customFormat="1" ht="14.25" customHeight="1">
      <x:c r="A24" s="471" t="inlineStr">
        <x:is>
          <x:t xml:space="preserve">U3-D1</x:t>
        </x:is>
      </x:c>
      <x:c r="B24" s="486" t="n">
        <x:f>INDEX(I_prop!$B$18:$H$24, MATCH("U3", I_prop!$A$18:$A$24,0), MATCH("D1", I_prop!$B$17:$H$17,0))</x:f>
        <x:v>0.013197807340577457</x:v>
      </x:c>
      <x:c r="C24" s="549" t="n"/>
    </x:row>
    <x:row r="25" s="455" customFormat="1" ht="14.25" customHeight="1">
      <x:c r="A25" s="471" t="inlineStr">
        <x:is>
          <x:t xml:space="preserve">U3-D3</x:t>
        </x:is>
      </x:c>
      <x:c r="B25" s="486" t="n">
        <x:f>INDEX(I_prop!$B$18:$H$24, MATCH("U3", I_prop!$A$18:$A$24,0), MATCH("D3", I_prop!$B$17:$H$17,0))</x:f>
        <x:v>0.06151557221350915</x:v>
      </x:c>
      <x:c r="C25" s="549" t="n"/>
    </x:row>
    <x:row r="26" s="455" customFormat="1" ht="14.25" customHeight="1">
      <x:c r="A26" s="471" t="inlineStr">
        <x:is>
          <x:t xml:space="preserve">U4-D1</x:t>
        </x:is>
      </x:c>
      <x:c r="B26" s="486" t="n">
        <x:f>INDEX(I_prop!$B$18:$H$24, MATCH("U4", I_prop!$A$18:$A$24,0), MATCH("D1", I_prop!$B$17:$H$17,0))</x:f>
        <x:v>0.010211455619172161</x:v>
      </x:c>
      <x:c r="C26" s="549" t="n"/>
    </x:row>
    <x:row r="27" s="455" customFormat="1" ht="14.25" customHeight="1">
      <x:c r="A27" s="471" t="inlineStr">
        <x:is>
          <x:t xml:space="preserve">U7-D7</x:t>
        </x:is>
      </x:c>
      <x:c r="B27" s="486" t="n">
        <x:f>INDEX(I_prop!$B$18:$H$24, MATCH("U7", I_prop!$A$18:$A$24,0), MATCH("D7", I_prop!$B$17:$H$17,0))</x:f>
        <x:v>-0.010211455619172184</x:v>
      </x:c>
      <x:c r="C27" s="549" t="n"/>
    </x:row>
    <x:row r="28" s="455" customFormat="1" ht="14.25" customHeight="1">
      <x:c r="A28" s="471" t="inlineStr">
        <x:is>
          <x:t xml:space="preserve">Displayed RLS(B)</x:t>
        </x:is>
      </x:c>
      <x:c r="B28" s="550" t="n">
        <x:f>B62</x:f>
        <x:v>-0.0011223873850524822</x:v>
      </x:c>
    </x:row>
    <x:row r="29" s="455" customFormat="1" ht="14.25" customHeight="1">
      <x:c r="A29" s="539" t="n"/>
    </x:row>
    <x:row r="30" s="455" customFormat="1" ht="13.5" customHeight="1"/>
    <x:row r="31" s="455" customFormat="1" ht="13.5" customHeight="1"/>
    <x:row r="32" s="455" customFormat="1" ht="14.25" customHeight="1">
      <x:c r="A32" s="512" t="inlineStr">
        <x:is>
          <x:t xml:space="preserve">RLS COMPARISON</x:t>
        </x:is>
      </x:c>
    </x:row>
    <x:row r="33" s="455" customFormat="1" ht="14.25" customHeight="1">
      <x:c r="A33" s="471" t="inlineStr">
        <x:is>
          <x:t xml:space="preserve">RLS(A)</x:t>
        </x:is>
      </x:c>
      <x:c r="B33" s="550" t="n">
        <x:f>B61</x:f>
        <x:v>0.01531294271682332</x:v>
      </x:c>
    </x:row>
    <x:row r="34" s="455" customFormat="1" ht="14.25" customHeight="1">
      <x:c r="A34" s="471" t="inlineStr">
        <x:is>
          <x:t xml:space="preserve">RLS(B)</x:t>
        </x:is>
      </x:c>
      <x:c r="B34" s="550" t="n">
        <x:f>B62</x:f>
        <x:v>-0.0011223873850524822</x:v>
      </x:c>
    </x:row>
    <x:row r="35" s="455" customFormat="1" ht="14.25" customHeight="1">
      <x:c r="A35" s="471" t="inlineStr">
        <x:is>
          <x:t xml:space="preserve">Gap</x:t>
        </x:is>
      </x:c>
      <x:c r="B35" s="497" t="n">
        <x:f>ABS(B61-B62)</x:f>
        <x:v>0.016435330101875804</x:v>
      </x:c>
    </x:row>
    <x:row r="36" s="455" customFormat="1" ht="14.25" customHeight="1">
      <x:c r="A36" s="471" t="inlineStr">
        <x:is>
          <x:t xml:space="preserve">σ_est</x:t>
        </x:is>
      </x:c>
      <x:c r="B36" s="497" t="n">
        <x:f>CANON!B26</x:f>
        <x:v>0.02</x:v>
      </x:c>
    </x:row>
    <x:row r="37" s="455" customFormat="1" ht="14.25" customHeight="1">
      <x:c r="A37" s="471" t="str">
        <x:f>"Gap/√(2σ²+ε) = "&amp;TEXT(ABS(CANON!B63-CANON!B64)/SQRT(2*CANON!B26^2+0.000001),"0.000")&amp;" &lt; δ = "&amp;TEXT(CANON!B22,"0.###")</x:f>
        <x:v>Gap/√(2σ²+ε) = 0.581 &lt; δ = 2.</x:v>
      </x:c>
    </x:row>
    <x:row r="38" s="455" customFormat="1" ht="14.25" customHeight="1">
      <x:c r="A38" s="471" t="inlineStr">
        <x:is>
          <x:t xml:space="preserve">RLS outcome</x:t>
        </x:is>
      </x:c>
      <x:c r="B38" s="497" t="str">
        <x:f>IF(AND(CANON!B10&gt;=2,ABS(CANON!B63-CANON!B64)/SQRT(2*CANON!B26^2+0.000001)&lt;CANON!B22),"NON-DECISIVE","DECISIVE")</x:f>
        <x:v>NON-DECISIVE</x:v>
      </x:c>
    </x:row>
    <x:row r="39" s="455" customFormat="1" ht="14.25" customHeight="1">
      <x:c r="A39" s="541" t="inlineStr">
        <x:is>
          <x:t xml:space="preserve">Higher RLS</x:t>
        </x:is>
      </x:c>
      <x:c r="B39" s="497" t="str">
        <x:f>IF(B61&gt;B62,"Option A",IF(B62&gt;B61,"Option B","Tie"))&amp;IF(B38="NON-DECISIVE"," (proceed to tie-break)","")</x:f>
        <x:v>Option A (proceed to tie-break)</x:v>
      </x:c>
    </x:row>
    <x:row r="40" s="455" customFormat="1" ht="13.5" customHeight="1"/>
    <x:row r="41" s="455" customFormat="1" ht="14.25" customHeight="1">
      <x:c r="A41" s="512" t="inlineStr">
        <x:is>
          <x:t xml:space="preserve">RLS OUTCOME</x:t>
        </x:is>
      </x:c>
    </x:row>
    <x:row r="42" s="455" customFormat="1" ht="14.25" customHeight="1">
      <x:c r="A42" s="471" t="inlineStr">
        <x:is>
          <x:t xml:space="preserve">Selection interpretation</x:t>
        </x:is>
      </x:c>
      <x:c r="B42" s="497" t="str">
        <x:f>"RLS would favor "&amp;IF(B61&gt;B62,"A",IF(B62&gt;B61,"B","TIE"))&amp;IF(B38="NON-DECISIVE"," (higher score) but gap not decisive"," decisively")</x:f>
        <x:v>RLS would favor A (higher score) but gap not decisive</x:v>
      </x:c>
    </x:row>
    <x:row r="43" s="455" customFormat="1" ht="14.25" customHeight="1">
      <x:c r="A43" s="541" t="n"/>
    </x:row>
    <x:row r="44" s="455" customFormat="1" ht="14.25" customHeight="1">
      <x:c r="A44" s="471" t="inlineStr">
        <x:is>
          <x:t xml:space="preserve">Per Section 10.0: RLS MUST NEVER override NCRC or TRC</x:t>
        </x:is>
      </x:c>
    </x:row>
    <x:row r="45" s="455" customFormat="1" ht="13.5" customHeight="1"/>
    <x:row r="46" s="455" customFormat="1" ht="13.5" customHeight="1"/>
    <x:row r="47" s="455" customFormat="1" ht="13.5" customHeight="1"/>
    <x:row r="48" s="455" customFormat="1" ht="13.5" customHeight="1"/>
    <x:row r="49" s="455" customFormat="1" ht="13.5" customHeight="1"/>
    <x:row r="50" s="455" customFormat="1" ht="24" customHeight="1">
      <x:c r="A50" s="478" t="inlineStr">
        <x:is>
          <x:t xml:space="preserve">CANONICAL RLS WEIGHT MATRIX (v3.6: live union weights use PLSS_Local_Scope final weights)</x:t>
        </x:is>
      </x:c>
      <x:c r="B50" s="461" t="n"/>
      <x:c r="C50" s="461" t="n"/>
      <x:c r="D50" s="461" t="n"/>
      <x:c r="E50" s="461" t="n"/>
      <x:c r="F50" s="461" t="n"/>
      <x:c r="G50" s="461" t="n"/>
      <x:c r="H50" s="461" t="n"/>
      <x:c r="I50" s="461" t="n"/>
    </x:row>
    <x:row r="51" s="455" customFormat="1" ht="27.75" customHeight="1">
      <x:c r="A51" s="478" t="inlineStr">
        <x:is>
          <x:t xml:space="preserve">Canonical RLS values for this run are the live values shown in the summary rows of this sheet and in CANON.</x:t>
        </x:is>
      </x:c>
      <x:c r="B51" s="478" t="inlineStr">
        <x:is>
          <x:t xml:space="preserve">D1</x:t>
        </x:is>
      </x:c>
      <x:c r="C51" s="478" t="inlineStr">
        <x:is>
          <x:t xml:space="preserve">D2</x:t>
        </x:is>
      </x:c>
      <x:c r="D51" s="478" t="inlineStr">
        <x:is>
          <x:t xml:space="preserve">D3</x:t>
        </x:is>
      </x:c>
      <x:c r="E51" s="478" t="inlineStr">
        <x:is>
          <x:t xml:space="preserve">D4</x:t>
        </x:is>
      </x:c>
      <x:c r="F51" s="478" t="inlineStr">
        <x:is>
          <x:t xml:space="preserve">D5</x:t>
        </x:is>
      </x:c>
      <x:c r="G51" s="478" t="inlineStr">
        <x:is>
          <x:t xml:space="preserve">D6</x:t>
        </x:is>
      </x:c>
      <x:c r="H51" s="478" t="inlineStr">
        <x:is>
          <x:t xml:space="preserve">D7</x:t>
        </x:is>
      </x:c>
      <x:c r="I51" s="478" t="inlineStr">
        <x:is>
          <x:t xml:space="preserve">w_u</x:t>
        </x:is>
      </x:c>
    </x:row>
    <x:row r="52" s="455" customFormat="1" ht="14.25" customHeight="1">
      <x:c r="A52" s="478" t="inlineStr">
        <x:is>
          <x:t xml:space="preserve">Union Scope</x:t>
        </x:is>
      </x:c>
      <x:c r="B52" s="479" t="n">
        <x:f>Parameters!$B$48</x:f>
        <x:v>0.142857142857143</x:v>
      </x:c>
      <x:c r="C52" s="479" t="n">
        <x:f>Parameters!$B$49</x:f>
        <x:v>0.142857142857143</x:v>
      </x:c>
      <x:c r="D52" s="479" t="n">
        <x:f>Parameters!$B$50</x:f>
        <x:v>0.142857142857143</x:v>
      </x:c>
      <x:c r="E52" s="479" t="n">
        <x:f>Parameters!$B$51</x:f>
        <x:v>0.142857142857143</x:v>
      </x:c>
      <x:c r="F52" s="479" t="n">
        <x:f>Parameters!$B$52</x:f>
        <x:v>0.142857142857143</x:v>
      </x:c>
      <x:c r="G52" s="479" t="n">
        <x:f>Parameters!$B$53</x:f>
        <x:v>0.142857142857143</x:v>
      </x:c>
      <x:c r="H52" s="479" t="n">
        <x:f>Parameters!$B$54</x:f>
        <x:v>0.142857142857143</x:v>
      </x:c>
      <x:c r="I52" s="461" t="n"/>
    </x:row>
    <x:row r="53" s="455" customFormat="1" ht="14.25" customHeight="1">
      <x:c r="A53" s="478" t="inlineStr">
        <x:is>
          <x:t xml:space="preserve">U1</x:t>
        </x:is>
      </x:c>
      <x:c r="B53" s="479" t="n">
        <x:f>$I53*B52</x:f>
        <x:v>0.043952380952381</x:v>
      </x:c>
      <x:c r="C53" s="479" t="n">
        <x:f>$I53*C52</x:f>
        <x:v>0.043952380952381</x:v>
      </x:c>
      <x:c r="D53" s="479" t="n">
        <x:f>$I53*D52</x:f>
        <x:v>0.043952380952381</x:v>
      </x:c>
      <x:c r="E53" s="479" t="n">
        <x:f>$I53*E52</x:f>
        <x:v>0.043952380952381</x:v>
      </x:c>
      <x:c r="F53" s="479" t="n">
        <x:f>$I53*F52</x:f>
        <x:v>0.043952380952381</x:v>
      </x:c>
      <x:c r="G53" s="479" t="n">
        <x:f>$I53*G52</x:f>
        <x:v>0.043952380952381</x:v>
      </x:c>
      <x:c r="H53" s="479" t="n">
        <x:f>$I53*H52</x:f>
        <x:v>0.043952380952381</x:v>
      </x:c>
      <x:c r="I53" s="479" t="n">
        <x:f>PLSS_Local_Scope!$E$12</x:f>
        <x:v>0.3076666666666667</x:v>
      </x:c>
    </x:row>
    <x:row r="54" s="455" customFormat="1" ht="14.25" customHeight="1">
      <x:c r="A54" s="478" t="inlineStr">
        <x:is>
          <x:t xml:space="preserve">U2</x:t>
        </x:is>
      </x:c>
      <x:c r="B54" s="479" t="n">
        <x:f>$I54*B52</x:f>
        <x:v>0.02233333333333335</x:v>
      </x:c>
      <x:c r="C54" s="479" t="n">
        <x:f>$I54*C52</x:f>
        <x:v>0.02233333333333335</x:v>
      </x:c>
      <x:c r="D54" s="479" t="n">
        <x:f>$I54*D52</x:f>
        <x:v>0.02233333333333335</x:v>
      </x:c>
      <x:c r="E54" s="479" t="n">
        <x:f>$I54*E52</x:f>
        <x:v>0.02233333333333335</x:v>
      </x:c>
      <x:c r="F54" s="479" t="n">
        <x:f>$I54*F52</x:f>
        <x:v>0.02233333333333335</x:v>
      </x:c>
      <x:c r="G54" s="479" t="n">
        <x:f>$I54*G52</x:f>
        <x:v>0.02233333333333335</x:v>
      </x:c>
      <x:c r="H54" s="479" t="n">
        <x:f>$I54*H52</x:f>
        <x:v>0.02233333333333335</x:v>
      </x:c>
      <x:c r="I54" s="479" t="n">
        <x:f>PLSS_Local_Scope!$E$13</x:f>
        <x:v>0.15633333333333332</x:v>
      </x:c>
    </x:row>
    <x:row r="55" s="455" customFormat="1" ht="14.25" customHeight="1">
      <x:c r="A55" s="478" t="inlineStr">
        <x:is>
          <x:t xml:space="preserve">U3</x:t>
        </x:is>
      </x:c>
      <x:c r="B55" s="479" t="n">
        <x:f>$I55*B52</x:f>
        <x:v>0.017476190476190496</x:v>
      </x:c>
      <x:c r="C55" s="479" t="n">
        <x:f>$I55*C52</x:f>
        <x:v>0.017476190476190496</x:v>
      </x:c>
      <x:c r="D55" s="479" t="n">
        <x:f>$I55*D52</x:f>
        <x:v>0.017476190476190496</x:v>
      </x:c>
      <x:c r="E55" s="479" t="n">
        <x:f>$I55*E52</x:f>
        <x:v>0.017476190476190496</x:v>
      </x:c>
      <x:c r="F55" s="479" t="n">
        <x:f>$I55*F52</x:f>
        <x:v>0.017476190476190496</x:v>
      </x:c>
      <x:c r="G55" s="479" t="n">
        <x:f>$I55*G52</x:f>
        <x:v>0.017476190476190496</x:v>
      </x:c>
      <x:c r="H55" s="479" t="n">
        <x:f>$I55*H52</x:f>
        <x:v>0.017476190476190496</x:v>
      </x:c>
      <x:c r="I55" s="479" t="n">
        <x:f>PLSS_Local_Scope!$E$14</x:f>
        <x:v>0.12233333333333335</x:v>
      </x:c>
    </x:row>
    <x:row r="56" s="455" customFormat="1" ht="14.25" customHeight="1">
      <x:c r="A56" s="478" t="inlineStr">
        <x:is>
          <x:t xml:space="preserve">U4</x:t>
        </x:is>
      </x:c>
      <x:c r="B56" s="479" t="n">
        <x:f>$I56*B52</x:f>
        <x:v>0.016666666666666684</x:v>
      </x:c>
      <x:c r="C56" s="479" t="n">
        <x:f>$I56*C52</x:f>
        <x:v>0.016666666666666684</x:v>
      </x:c>
      <x:c r="D56" s="479" t="n">
        <x:f>$I56*D52</x:f>
        <x:v>0.016666666666666684</x:v>
      </x:c>
      <x:c r="E56" s="479" t="n">
        <x:f>$I56*E52</x:f>
        <x:v>0.016666666666666684</x:v>
      </x:c>
      <x:c r="F56" s="479" t="n">
        <x:f>$I56*F52</x:f>
        <x:v>0.016666666666666684</x:v>
      </x:c>
      <x:c r="G56" s="479" t="n">
        <x:f>$I56*G52</x:f>
        <x:v>0.016666666666666684</x:v>
      </x:c>
      <x:c r="H56" s="479" t="n">
        <x:f>$I56*H52</x:f>
        <x:v>0.016666666666666684</x:v>
      </x:c>
      <x:c r="I56" s="479" t="n">
        <x:f>PLSS_Local_Scope!$E$15</x:f>
        <x:v>0.11666666666666667</x:v>
      </x:c>
    </x:row>
    <x:row r="57" s="455" customFormat="1" ht="14.25" customHeight="1">
      <x:c r="A57" s="478" t="inlineStr">
        <x:is>
          <x:t xml:space="preserve">U5</x:t>
        </x:is>
      </x:c>
      <x:c r="B57" s="479" t="n">
        <x:f>$I57*B52</x:f>
        <x:v>0.01304761904761906</x:v>
      </x:c>
      <x:c r="C57" s="479" t="n">
        <x:f>$I57*C52</x:f>
        <x:v>0.01304761904761906</x:v>
      </x:c>
      <x:c r="D57" s="479" t="n">
        <x:f>$I57*D52</x:f>
        <x:v>0.01304761904761906</x:v>
      </x:c>
      <x:c r="E57" s="479" t="n">
        <x:f>$I57*E52</x:f>
        <x:v>0.01304761904761906</x:v>
      </x:c>
      <x:c r="F57" s="479" t="n">
        <x:f>$I57*F52</x:f>
        <x:v>0.01304761904761906</x:v>
      </x:c>
      <x:c r="G57" s="479" t="n">
        <x:f>$I57*G52</x:f>
        <x:v>0.01304761904761906</x:v>
      </x:c>
      <x:c r="H57" s="479" t="n">
        <x:f>$I57*H52</x:f>
        <x:v>0.01304761904761906</x:v>
      </x:c>
      <x:c r="I57" s="479" t="n">
        <x:f>PLSS_Local_Scope!$E$16</x:f>
        <x:v>0.09133333333333334</x:v>
      </x:c>
    </x:row>
    <x:row r="58" s="455" customFormat="1" ht="14.25" customHeight="1">
      <x:c r="A58" s="478" t="inlineStr">
        <x:is>
          <x:t xml:space="preserve">U6</x:t>
        </x:is>
      </x:c>
      <x:c r="B58" s="479" t="n">
        <x:f>$I58*B52</x:f>
        <x:v>0.014771428571428586</x:v>
      </x:c>
      <x:c r="C58" s="479" t="n">
        <x:f>$I58*C52</x:f>
        <x:v>0.014771428571428586</x:v>
      </x:c>
      <x:c r="D58" s="479" t="n">
        <x:f>$I58*D52</x:f>
        <x:v>0.014771428571428586</x:v>
      </x:c>
      <x:c r="E58" s="479" t="n">
        <x:f>$I58*E52</x:f>
        <x:v>0.014771428571428586</x:v>
      </x:c>
      <x:c r="F58" s="479" t="n">
        <x:f>$I58*F52</x:f>
        <x:v>0.014771428571428586</x:v>
      </x:c>
      <x:c r="G58" s="479" t="n">
        <x:f>$I58*G52</x:f>
        <x:v>0.014771428571428586</x:v>
      </x:c>
      <x:c r="H58" s="479" t="n">
        <x:f>$I58*H52</x:f>
        <x:v>0.014771428571428586</x:v>
      </x:c>
      <x:c r="I58" s="479" t="n">
        <x:f>PLSS_Local_Scope!$E$17</x:f>
        <x:v>0.1034</x:v>
      </x:c>
    </x:row>
    <x:row r="59" s="455" customFormat="1" ht="14.25" customHeight="1">
      <x:c r="A59" s="478" t="inlineStr">
        <x:is>
          <x:t xml:space="preserve">U7</x:t>
        </x:is>
      </x:c>
      <x:c r="B59" s="479" t="n">
        <x:f>$I59*B52</x:f>
        <x:v>0.014609523809523824</x:v>
      </x:c>
      <x:c r="C59" s="479" t="n">
        <x:f>$I59*C52</x:f>
        <x:v>0.014609523809523824</x:v>
      </x:c>
      <x:c r="D59" s="479" t="n">
        <x:f>$I59*D52</x:f>
        <x:v>0.014609523809523824</x:v>
      </x:c>
      <x:c r="E59" s="479" t="n">
        <x:f>$I59*E52</x:f>
        <x:v>0.014609523809523824</x:v>
      </x:c>
      <x:c r="F59" s="479" t="n">
        <x:f>$I59*F52</x:f>
        <x:v>0.014609523809523824</x:v>
      </x:c>
      <x:c r="G59" s="479" t="n">
        <x:f>$I59*G52</x:f>
        <x:v>0.014609523809523824</x:v>
      </x:c>
      <x:c r="H59" s="479" t="n">
        <x:f>$I59*H52</x:f>
        <x:v>0.014609523809523824</x:v>
      </x:c>
      <x:c r="I59" s="479" t="n">
        <x:f>PLSS_Local_Scope!$E$18</x:f>
        <x:v>0.10226666666666667</x:v>
      </x:c>
    </x:row>
    <x:row r="60" s="455" customFormat="1" ht="13.5" customHeight="1">
      <x:c r="A60" s="461" t="n"/>
      <x:c r="B60" s="461" t="n"/>
      <x:c r="C60" s="461" t="n"/>
      <x:c r="D60" s="461" t="n"/>
      <x:c r="E60" s="461" t="n"/>
      <x:c r="F60" s="461" t="n"/>
      <x:c r="G60" s="461" t="n"/>
      <x:c r="H60" s="461" t="n"/>
      <x:c r="I60" s="461" t="n"/>
    </x:row>
    <x:row r="61" s="455" customFormat="1" ht="14.25" customHeight="1">
      <x:c r="A61" s="478" t="inlineStr">
        <x:is>
          <x:t xml:space="preserve">RLS(A)</x:t>
        </x:is>
      </x:c>
      <x:c r="B61" s="479" t="n">
        <x:f>SUMPRODUCT(I_prop!$B$7:$H$13, $B$53:$H$59)</x:f>
        <x:v>0.01531294271682332</x:v>
      </x:c>
      <x:c r="C61" s="461" t="n"/>
      <x:c r="D61" s="461" t="n"/>
      <x:c r="E61" s="461" t="n"/>
      <x:c r="F61" s="461" t="n"/>
      <x:c r="G61" s="461" t="n"/>
      <x:c r="H61" s="461" t="n"/>
      <x:c r="I61" s="461" t="n"/>
    </x:row>
    <x:row r="62" s="455" customFormat="1" ht="14.25" customHeight="1">
      <x:c r="A62" s="478" t="inlineStr">
        <x:is>
          <x:t xml:space="preserve">RLS(B)</x:t>
        </x:is>
      </x:c>
      <x:c r="B62" s="479" t="n">
        <x:f>SUMPRODUCT(I_prop!$B$18:$H$24, $B$53:$H$59)</x:f>
        <x:v>-0.0011223873850524822</x:v>
      </x:c>
      <x:c r="C62" s="461" t="n"/>
      <x:c r="D62" s="461" t="n"/>
      <x:c r="E62" s="461" t="n"/>
      <x:c r="F62" s="461" t="n"/>
      <x:c r="G62" s="461" t="n"/>
      <x:c r="H62" s="461" t="n"/>
      <x:c r="I62" s="461" t="n"/>
    </x:row>
    <x:row r="63" s="455" customFormat="1" ht="14.25" customHeight="1">
      <x:c r="A63" s="478" t="inlineStr">
        <x:is>
          <x:t xml:space="preserve">Preferred by RLS (higher)</x:t>
        </x:is>
      </x:c>
      <x:c r="B63" s="478" t="str">
        <x:f>IF(B61&gt;B62,"A",IF(B62&gt;B61,"B","TIE"))</x:f>
        <x:v>A</x:v>
      </x:c>
      <x:c r="C63" s="461" t="n"/>
      <x:c r="D63" s="461" t="n"/>
      <x:c r="E63" s="461" t="n"/>
      <x:c r="F63" s="461" t="n"/>
      <x:c r="G63" s="461" t="n"/>
      <x:c r="H63" s="461" t="n"/>
      <x:c r="I63" s="461" t="n"/>
    </x:row>
    <x:row r="64" s="455" customFormat="1" ht="171" customHeight="1">
      <x:c r="A64" s="461" t="inlineStr">
        <x:is>
          <x:t xml:space="preserve">RLS formula integrity note</x:t>
        </x:is>
      </x:c>
      <x:c r="B64" s="461" t="inlineStr">
        <x:is>
          <x:t xml:space="preserve">Live RLS uses PLSS_Local_Scope!E12:E18 and Parameters!B48:B54. Earlier archive/placeholder parameter rows are non-controlling.</x:t>
        </x:is>
      </x:c>
      <x:c r="C64" s="461" t="n"/>
      <x:c r="D64" s="461" t="n"/>
      <x:c r="E64" s="461" t="n"/>
      <x:c r="F64" s="461" t="n"/>
      <x:c r="G64" s="461" t="n"/>
      <x:c r="H64" s="461" t="n"/>
      <x:c r="I64" s="461" t="n"/>
    </x:row>
  </x:sheetData>
  <x:mergeCells>
    <x:mergeCell ref="A1:J1"/>
  </x:mergeCells>
  <x:pageMargins left="0.7" right="0.7" top="0.75" bottom="0.75" header="0.3" footer="0.3"/>
</x:worksheet>
</file>

<file path=xl/worksheets/sheet18.xml><?xml version="1.0" encoding="utf-8"?>
<x:worksheet xmlns:x="http://schemas.openxmlformats.org/spreadsheetml/2006/main">
  <x:sheetViews>
    <x:sheetView showGridLines="1" workbookViewId="0"/>
  </x:sheetViews>
  <x:sheetFormatPr baseColWidth="8" defaultColWidth="8.66796875" defaultRowHeight="12.75"/>
  <x:cols>
    <x:col min="1" max="1" width="28" style="497" customWidth="1"/>
    <x:col min="2" max="2" width="56" style="455" customWidth="1"/>
    <x:col min="3" max="3" width="30" style="455" customWidth="1"/>
    <x:col min="4" max="4" width="30" style="455" customWidth="1"/>
  </x:cols>
  <x:sheetData>
    <x:row r="1" s="455" customFormat="1" ht="14.25" customHeight="1">
      <x:c r="A1" s="544" t="inlineStr">
        <x:is>
          <x:t xml:space="preserve">UCI/HOI STRUCTURAL DIAGNOSTICS - v3.6</x:t>
        </x:is>
      </x:c>
      <x:c r="B1" s="457" t="n"/>
      <x:c r="C1" s="457" t="n"/>
      <x:c r="D1" s="457" t="n"/>
      <x:c r="E1" s="457" t="n"/>
      <x:c r="F1" s="457" t="n"/>
      <x:c r="G1" s="457" t="n"/>
      <x:c r="H1" s="457" t="n"/>
    </x:row>
    <x:row r="2" s="455" customFormat="1" ht="13.5" customHeight="1">
      <x:c r="A2" s="460" t="n"/>
      <x:c r="B2" s="460" t="n"/>
      <x:c r="C2" s="460" t="n"/>
      <x:c r="D2" s="460" t="n"/>
    </x:row>
    <x:row r="3" s="455" customFormat="1" ht="14.25" customHeight="1">
      <x:c r="A3" s="489" t="inlineStr">
        <x:is>
          <x:t xml:space="preserve">Reference</x:t>
        </x:is>
      </x:c>
      <x:c r="B3" s="460" t="inlineStr">
        <x:is>
          <x:t xml:space="preserve">RippleLogic v10.8 Section 11 and Section 9.3.2</x:t>
        </x:is>
      </x:c>
      <x:c r="C3" s="460" t="n"/>
      <x:c r="D3" s="460" t="n"/>
    </x:row>
    <x:row r="4" s="455" customFormat="1" ht="14.25" customHeight="1">
      <x:c r="A4" s="489" t="inlineStr">
        <x:is>
          <x:t xml:space="preserve">Placement rule</x:t>
        </x:is>
      </x:c>
      <x:c r="B4" s="460" t="inlineStr">
        <x:is>
          <x:t xml:space="preserve">UCI/HOI are structural diagnostics, not headline cascade stages. Gate-relevant use belongs inside Containment. Residual use is special-case only.</x:t>
        </x:is>
      </x:c>
      <x:c r="C4" s="460" t="n"/>
      <x:c r="D4" s="460" t="n"/>
    </x:row>
    <x:row r="5" s="455" customFormat="1" ht="14.25" customHeight="1">
      <x:c r="A5" s="489" t="inlineStr">
        <x:is>
          <x:t xml:space="preserve">Containment use</x:t>
        </x:is>
      </x:c>
      <x:c r="B5" s="460" t="inlineStr">
        <x:is>
          <x:t xml:space="preserve">If UCI/HOI indicates coherence loss, hollowing, brittleness, burnout, trust collapse, ecological degradation, or governance-capacity loss beyond threshold, it is evaluated inside Containment before RLS.</x:t>
        </x:is>
      </x:c>
      <x:c r="C5" s="460" t="n"/>
      <x:c r="D5" s="460" t="n"/>
    </x:row>
    <x:row r="6" s="455" customFormat="1" ht="14.25" customHeight="1">
      <x:c r="A6" s="545" t="inlineStr">
        <x:is>
          <x:t xml:space="preserve">Residual use</x:t>
        </x:is>
      </x:c>
      <x:c r="B6" s="460" t="inlineStr">
        <x:is>
          <x:t xml:space="preserve">If options already passed Containment and RLS is tied, close, uncertainty-overlapped, or non-decisive, UCI/HOI may be used as tie-break, monitoring, or hollowing-risk documentation.</x:t>
        </x:is>
      </x:c>
      <x:c r="C6" s="460" t="n"/>
      <x:c r="D6" s="460" t="n"/>
    </x:row>
    <x:row r="7" s="455" customFormat="1" ht="13.5" customHeight="1">
      <x:c r="A7" s="460" t="inlineStr">
        <x:is>
          <x:t xml:space="preserve">Prohibited use</x:t>
        </x:is>
      </x:c>
      <x:c r="B7" s="460" t="inlineStr">
        <x:is>
          <x:t xml:space="preserve">Residual UCI/HOI may not rescue failed Containment, missing Reality Grounding, NCRC failure, TRC failure, or missing containment evidence.</x:t>
        </x:is>
      </x:c>
      <x:c r="C7" s="460" t="n"/>
      <x:c r="D7" s="460" t="n"/>
    </x:row>
    <x:row r="8" s="455" customFormat="1" ht="14.25" customHeight="1">
      <x:c r="A8" s="546" t="inlineStr">
        <x:is>
          <x:t xml:space="preserve">UCI computes structural condition independent of welfare impacts.</x:t>
        </x:is>
      </x:c>
      <x:c r="B8" s="460" t="n"/>
      <x:c r="C8" s="460" t="n"/>
      <x:c r="D8" s="460" t="n"/>
    </x:row>
    <x:row r="9" s="455" customFormat="1" ht="14.25" customHeight="1">
      <x:c r="A9" s="489" t="inlineStr">
        <x:is>
          <x:t xml:space="preserve">Per union u: UCI_u = (Cohesion + Flow + Resilience + Equity) / 4</x:t>
        </x:is>
      </x:c>
      <x:c r="B9" s="460" t="n"/>
      <x:c r="C9" s="460" t="n"/>
      <x:c r="D9" s="460" t="n"/>
    </x:row>
    <x:row r="10" s="455" customFormat="1" ht="14.25" customHeight="1">
      <x:c r="A10" s="489" t="inlineStr">
        <x:is>
          <x:t xml:space="preserve">Overall: UCI = average(UCI_u) across unions (Tier 2).</x:t>
        </x:is>
      </x:c>
      <x:c r="B10" s="460" t="n"/>
      <x:c r="C10" s="460" t="n"/>
      <x:c r="D10" s="460" t="n"/>
    </x:row>
    <x:row r="11" s="455" customFormat="1" ht="14.25" customHeight="1">
      <x:c r="A11" s="489" t="inlineStr">
        <x:is>
          <x:t xml:space="preserve">R = Review cycle, E = Evidence quality</x:t>
        </x:is>
      </x:c>
      <x:c r="B11" s="460" t="n"/>
      <x:c r="C11" s="460" t="n"/>
      <x:c r="D11" s="460" t="n"/>
    </x:row>
    <x:row r="12" s="455" customFormat="1" ht="14.25" customHeight="1">
      <x:c r="A12" s="489" t="inlineStr">
        <x:is>
          <x:t xml:space="preserve">(Tier 3: sources/provenance required; UCI must be structurally independent of RLS inputs.)</x:t>
        </x:is>
      </x:c>
      <x:c r="B12" s="460" t="n"/>
      <x:c r="C12" s="460" t="n"/>
      <x:c r="D12" s="460" t="n"/>
    </x:row>
    <x:row r="13" s="455" customFormat="1" ht="14.25" customHeight="1">
      <x:c r="A13" s="546" t="inlineStr">
        <x:is>
          <x:t xml:space="preserve">Union Scope</x:t>
        </x:is>
      </x:c>
      <x:c r="B13" s="546" t="inlineStr">
        <x:is>
          <x:t xml:space="preserve">C (Cohesion)</x:t>
        </x:is>
      </x:c>
      <x:c r="C13" s="546" t="inlineStr">
        <x:is>
          <x:t xml:space="preserve">F (Flow)</x:t>
        </x:is>
      </x:c>
      <x:c r="D13" s="546" t="inlineStr">
        <x:is>
          <x:t xml:space="preserve">R (Resilience)</x:t>
        </x:is>
      </x:c>
      <x:c r="E13" s="512" t="inlineStr">
        <x:is>
          <x:t xml:space="preserve">E (Equity)</x:t>
        </x:is>
      </x:c>
      <x:c r="F13" s="512" t="inlineStr">
        <x:is>
          <x:t xml:space="preserve">UCI_u</x:t>
        </x:is>
      </x:c>
    </x:row>
    <x:row r="14" s="455" customFormat="1" ht="14.25" customHeight="1">
      <x:c r="A14" s="489" t="inlineStr">
        <x:is>
          <x:t xml:space="preserve">U1</x:t>
        </x:is>
      </x:c>
      <x:c r="B14" s="489" t="n">
        <x:v>0.7</x:v>
      </x:c>
      <x:c r="C14" s="489" t="n">
        <x:v>0.7</x:v>
      </x:c>
      <x:c r="D14" s="489" t="n">
        <x:v>0.7</x:v>
      </x:c>
      <x:c r="E14" s="471" t="n">
        <x:v>1</x:v>
      </x:c>
      <x:c r="F14" s="486" t="n">
        <x:f>AVERAGE(B14:E14)</x:f>
        <x:v>0.7749999999999999</x:v>
      </x:c>
    </x:row>
    <x:row r="15" s="455" customFormat="1" ht="14.25" customHeight="1">
      <x:c r="A15" s="489" t="inlineStr">
        <x:is>
          <x:t xml:space="preserve">U2</x:t>
        </x:is>
      </x:c>
      <x:c r="B15" s="489" t="n">
        <x:v>0.7</x:v>
      </x:c>
      <x:c r="C15" s="489" t="n">
        <x:v>0.7</x:v>
      </x:c>
      <x:c r="D15" s="489" t="n">
        <x:v>0.7</x:v>
      </x:c>
      <x:c r="E15" s="471" t="n">
        <x:v>0.7</x:v>
      </x:c>
      <x:c r="F15" s="486" t="n">
        <x:f>AVERAGE(B15:E15)</x:f>
        <x:v>0.7</x:v>
      </x:c>
    </x:row>
    <x:row r="16" s="455" customFormat="1" ht="14.25" customHeight="1">
      <x:c r="A16" s="489" t="inlineStr">
        <x:is>
          <x:t xml:space="preserve">U3</x:t>
        </x:is>
      </x:c>
      <x:c r="B16" s="489" t="n">
        <x:v>0.7</x:v>
      </x:c>
      <x:c r="C16" s="489" t="n">
        <x:v>0.7</x:v>
      </x:c>
      <x:c r="D16" s="489" t="n">
        <x:v>0.7</x:v>
      </x:c>
      <x:c r="E16" s="471" t="n">
        <x:v>0.7</x:v>
      </x:c>
      <x:c r="F16" s="486" t="n">
        <x:f>AVERAGE(B16:E16)</x:f>
        <x:v>0.7</x:v>
      </x:c>
    </x:row>
    <x:row r="17" s="455" customFormat="1" ht="14.25" customHeight="1">
      <x:c r="A17" s="489" t="inlineStr">
        <x:is>
          <x:t xml:space="preserve">U4</x:t>
        </x:is>
      </x:c>
      <x:c r="B17" s="489" t="n">
        <x:v>0.7</x:v>
      </x:c>
      <x:c r="C17" s="489" t="n">
        <x:v>0.7</x:v>
      </x:c>
      <x:c r="D17" s="489" t="n">
        <x:v>0.7</x:v>
      </x:c>
      <x:c r="E17" s="471" t="n">
        <x:v>0.7</x:v>
      </x:c>
      <x:c r="F17" s="486" t="n">
        <x:f>AVERAGE(B17:E17)</x:f>
        <x:v>0.7</x:v>
      </x:c>
    </x:row>
    <x:row r="18" s="455" customFormat="1" ht="14.25" customHeight="1">
      <x:c r="A18" s="489" t="inlineStr">
        <x:is>
          <x:t xml:space="preserve">U5</x:t>
        </x:is>
      </x:c>
      <x:c r="B18" s="489" t="n">
        <x:v>0.7</x:v>
      </x:c>
      <x:c r="C18" s="489" t="n">
        <x:v>0.7</x:v>
      </x:c>
      <x:c r="D18" s="489" t="n">
        <x:v>0.7</x:v>
      </x:c>
      <x:c r="E18" s="471" t="n">
        <x:v>0.7</x:v>
      </x:c>
      <x:c r="F18" s="486" t="n">
        <x:f>AVERAGE(B18:E18)</x:f>
        <x:v>0.7</x:v>
      </x:c>
    </x:row>
    <x:row r="19" s="455" customFormat="1" ht="14.25" customHeight="1">
      <x:c r="A19" s="489" t="inlineStr">
        <x:is>
          <x:t xml:space="preserve">U6</x:t>
        </x:is>
      </x:c>
      <x:c r="B19" s="489" t="n">
        <x:v>0.7</x:v>
      </x:c>
      <x:c r="C19" s="489" t="n">
        <x:v>0.7</x:v>
      </x:c>
      <x:c r="D19" s="489" t="n">
        <x:v>0.7</x:v>
      </x:c>
      <x:c r="E19" s="471" t="n">
        <x:v>0.7</x:v>
      </x:c>
      <x:c r="F19" s="486" t="n">
        <x:f>AVERAGE(B19:E19)</x:f>
        <x:v>0.7</x:v>
      </x:c>
    </x:row>
    <x:row r="20" s="455" customFormat="1" ht="14.25" customHeight="1">
      <x:c r="A20" s="489" t="inlineStr">
        <x:is>
          <x:t xml:space="preserve">U7</x:t>
        </x:is>
      </x:c>
      <x:c r="B20" s="489" t="n">
        <x:v>0.7</x:v>
      </x:c>
      <x:c r="C20" s="489" t="n">
        <x:v>0.7</x:v>
      </x:c>
      <x:c r="D20" s="489" t="n">
        <x:v>0.7</x:v>
      </x:c>
      <x:c r="E20" s="471" t="n">
        <x:v>1</x:v>
      </x:c>
      <x:c r="F20" s="486" t="n">
        <x:f>AVERAGE(B20:E20)</x:f>
        <x:v>0.7749999999999999</x:v>
      </x:c>
    </x:row>
    <x:row r="21" s="455" customFormat="1" ht="13.5" customHeight="1">
      <x:c r="A21" s="460" t="n"/>
      <x:c r="B21" s="460" t="n"/>
      <x:c r="C21" s="460" t="n"/>
      <x:c r="D21" s="460" t="n"/>
    </x:row>
    <x:row r="22" s="455" customFormat="1" ht="14.25" customHeight="1">
      <x:c r="A22" s="546" t="inlineStr">
        <x:is>
          <x:t xml:space="preserve">UCI (mean over unions)</x:t>
        </x:is>
      </x:c>
      <x:c r="B22" s="547" t="n">
        <x:f>AVERAGE(F14:F20)</x:f>
        <x:v>0.7214285714285715</x:v>
      </x:c>
      <x:c r="C22" s="460" t="n"/>
      <x:c r="D22" s="460" t="n"/>
    </x:row>
    <x:row r="23" s="455" customFormat="1" ht="24" customHeight="1">
      <x:c r="A23" s="463" t="inlineStr">
        <x:is>
          <x:t xml:space="preserve">Note: E₁ := 1 by definition; E₇ := 1 by default unless a governed biosphere-equity instrument is declared and recorded in PCC.</x:t>
        </x:is>
      </x:c>
      <x:c r="B23" s="460" t="n"/>
      <x:c r="C23" s="460" t="n"/>
      <x:c r="D23" s="460" t="n"/>
    </x:row>
    <x:row r="24" s="455" customFormat="1" ht="14.25" customHeight="1">
      <x:c r="A24" s="489" t="inlineStr">
        <x:is>
          <x:t xml:space="preserve">For Tier 3: require independent structural indicators</x:t>
        </x:is>
      </x:c>
      <x:c r="B24" s="460" t="n"/>
      <x:c r="C24" s="460" t="n"/>
      <x:c r="D24" s="460" t="n"/>
    </x:row>
    <x:row r="25" s="455" customFormat="1" ht="13.5" customHeight="1">
      <x:c r="A25" s="460" t="n"/>
      <x:c r="B25" s="460" t="n"/>
      <x:c r="C25" s="460" t="n"/>
      <x:c r="D25" s="460" t="n"/>
    </x:row>
    <x:row r="26" s="455" customFormat="1" ht="14.25" customHeight="1">
      <x:c r="A26" s="546" t="inlineStr">
        <x:is>
          <x:t xml:space="preserve">HOI STATUS</x:t>
        </x:is>
      </x:c>
      <x:c r="B26" s="460" t="n"/>
      <x:c r="C26" s="460" t="n"/>
      <x:c r="D26" s="460" t="n"/>
    </x:row>
    <x:row r="27" s="455" customFormat="1" ht="14.25" customHeight="1">
      <x:c r="A27" s="489" t="inlineStr">
        <x:is>
          <x:t xml:space="preserve">HOI = 0 (no human override requested)</x:t>
        </x:is>
      </x:c>
      <x:c r="B27" s="460" t="n"/>
      <x:c r="C27" s="460" t="n"/>
      <x:c r="D27" s="460" t="n"/>
    </x:row>
    <x:row r="28" s="455" customFormat="1" ht="14.25" customHeight="1">
      <x:c r="A28" s="548" t="inlineStr">
        <x:is>
          <x:t xml:space="preserve">Status: OK</x:t>
        </x:is>
      </x:c>
      <x:c r="B28" s="460" t="n"/>
      <x:c r="C28" s="460" t="n"/>
      <x:c r="D28" s="460" t="n"/>
    </x:row>
    <x:row r="29" s="455" customFormat="1" ht="14.25" customHeight="1">
      <x:c r="A29" s="489" t="inlineStr">
        <x:is>
          <x:t xml:space="preserve">TIE-BREAK OUTCOME</x:t>
        </x:is>
      </x:c>
      <x:c r="B29" s="460" t="n"/>
      <x:c r="C29" s="460" t="n"/>
      <x:c r="D29" s="460" t="n"/>
    </x:row>
    <x:row r="30" s="455" customFormat="1" ht="14.25" customHeight="1">
      <x:c r="A30" s="546" t="inlineStr">
        <x:is>
          <x:t xml:space="preserve">UCI: Available for tie-break / monitoring disclosure</x:t>
        </x:is>
      </x:c>
      <x:c r="B30" s="460" t="n"/>
      <x:c r="C30" s="460" t="n"/>
      <x:c r="D30" s="460" t="n"/>
    </x:row>
    <x:row r="31" s="455" customFormat="1" ht="14.25" customHeight="1">
      <x:c r="A31" s="545" t="inlineStr">
        <x:is>
          <x:t xml:space="preserve">HOI: 0 (no hollowing-out risk flagged in this worked run)</x:t>
        </x:is>
      </x:c>
      <x:c r="B31" s="460" t="n"/>
      <x:c r="C31" s="460" t="n"/>
      <x:c r="D31" s="460" t="n"/>
    </x:row>
    <x:row r="32" s="455" customFormat="1" ht="25.5" customHeight="1">
      <x:c r="A32" s="463" t="inlineStr">
        <x:is>
          <x:t xml:space="preserve">Resolution: Judgment-call / higher RLS selection remains disclosed separately on Dashboard tie-break / monitoring surface.</x:t>
        </x:is>
      </x:c>
      <x:c r="B32" s="460" t="n"/>
      <x:c r="C32" s="460" t="n"/>
      <x:c r="D32" s="460" t="n"/>
    </x:row>
    <x:row r="33">
      <x:c r="A33" s="460" t="n"/>
      <x:c r="B33" s="460" t="n"/>
      <x:c r="C33" s="460" t="n"/>
      <x:c r="D33" s="460" t="n"/>
    </x:row>
    <x:row r="34">
      <x:c r="A34" s="460" t="n"/>
      <x:c r="B34" s="460" t="n"/>
      <x:c r="C34" s="460" t="n"/>
      <x:c r="D34" s="460" t="n"/>
    </x:row>
    <x:row r="35">
      <x:c r="A35" s="460" t="n"/>
      <x:c r="B35" s="460" t="n"/>
      <x:c r="C35" s="460" t="n"/>
      <x:c r="D35" s="460" t="n"/>
    </x:row>
    <x:row r="36">
      <x:c r="A36" s="460" t="n"/>
      <x:c r="B36" s="460" t="n"/>
      <x:c r="C36" s="460" t="n"/>
      <x:c r="D36" s="460" t="n"/>
    </x:row>
    <x:row r="37">
      <x:c r="A37" s="460" t="n"/>
      <x:c r="B37" s="460" t="n"/>
      <x:c r="C37" s="460" t="n"/>
      <x:c r="D37" s="460" t="n"/>
    </x:row>
    <x:row r="38">
      <x:c r="A38" s="460" t="n"/>
      <x:c r="B38" s="460" t="n"/>
      <x:c r="C38" s="460" t="n"/>
      <x:c r="D38" s="460" t="n"/>
    </x:row>
    <x:row r="39">
      <x:c r="A39" s="460" t="n"/>
      <x:c r="B39" s="460" t="n"/>
      <x:c r="C39" s="460" t="n"/>
      <x:c r="D39" s="460" t="n"/>
    </x:row>
    <x:row r="40">
      <x:c r="A40" s="460" t="n"/>
      <x:c r="B40" s="460" t="n"/>
      <x:c r="C40" s="460" t="n"/>
      <x:c r="D40" s="460" t="n"/>
    </x:row>
    <x:row r="41">
      <x:c r="A41" s="460" t="n"/>
      <x:c r="B41" s="460" t="n"/>
      <x:c r="C41" s="460" t="n"/>
      <x:c r="D41" s="460" t="n"/>
    </x:row>
    <x:row r="42">
      <x:c r="A42" s="460" t="n"/>
      <x:c r="B42" s="460" t="n"/>
      <x:c r="C42" s="460" t="n"/>
      <x:c r="D42" s="460" t="n"/>
    </x:row>
    <x:row r="43">
      <x:c r="A43" s="460" t="n"/>
      <x:c r="B43" s="460" t="n"/>
      <x:c r="C43" s="460" t="n"/>
      <x:c r="D43" s="460" t="n"/>
    </x:row>
    <x:row r="44">
      <x:c r="A44" s="460" t="n"/>
      <x:c r="B44" s="460" t="n"/>
      <x:c r="C44" s="460" t="n"/>
      <x:c r="D44" s="460" t="n"/>
    </x:row>
    <x:row r="45">
      <x:c r="A45" s="460" t="n"/>
      <x:c r="B45" s="460" t="n"/>
      <x:c r="C45" s="460" t="n"/>
      <x:c r="D45" s="460" t="n"/>
    </x:row>
    <x:row r="46">
      <x:c r="A46" s="460" t="n"/>
      <x:c r="B46" s="460" t="n"/>
      <x:c r="C46" s="460" t="n"/>
      <x:c r="D46" s="460" t="n"/>
    </x:row>
    <x:row r="47">
      <x:c r="A47" s="460" t="n"/>
      <x:c r="B47" s="460" t="n"/>
      <x:c r="C47" s="460" t="n"/>
      <x:c r="D47" s="460" t="n"/>
    </x:row>
    <x:row r="48">
      <x:c r="A48" s="460" t="n"/>
      <x:c r="B48" s="460" t="n"/>
      <x:c r="C48" s="460" t="n"/>
      <x:c r="D48" s="460" t="n"/>
    </x:row>
    <x:row r="49">
      <x:c r="A49" s="460" t="n"/>
      <x:c r="B49" s="460" t="n"/>
      <x:c r="C49" s="460" t="n"/>
      <x:c r="D49" s="460" t="n"/>
    </x:row>
    <x:row r="50">
      <x:c r="A50" s="460" t="n"/>
      <x:c r="B50" s="460" t="n"/>
      <x:c r="C50" s="460" t="n"/>
      <x:c r="D50" s="460" t="n"/>
    </x:row>
    <x:row r="51">
      <x:c r="A51" s="460" t="n"/>
      <x:c r="B51" s="460" t="n"/>
      <x:c r="C51" s="460" t="n"/>
      <x:c r="D51" s="460" t="n"/>
    </x:row>
    <x:row r="52">
      <x:c r="A52" s="460" t="n"/>
      <x:c r="B52" s="460" t="n"/>
      <x:c r="C52" s="460" t="n"/>
      <x:c r="D52" s="460" t="n"/>
    </x:row>
    <x:row r="53">
      <x:c r="A53" s="460" t="n"/>
      <x:c r="B53" s="460" t="n"/>
      <x:c r="C53" s="460" t="n"/>
      <x:c r="D53" s="460" t="n"/>
    </x:row>
    <x:row r="54">
      <x:c r="A54" s="460" t="n"/>
      <x:c r="B54" s="460" t="n"/>
      <x:c r="C54" s="460" t="n"/>
      <x:c r="D54" s="460" t="n"/>
    </x:row>
    <x:row r="55">
      <x:c r="A55" s="460" t="n"/>
      <x:c r="B55" s="460" t="n"/>
      <x:c r="C55" s="460" t="n"/>
      <x:c r="D55" s="460" t="n"/>
    </x:row>
    <x:row r="56">
      <x:c r="A56" s="460" t="n"/>
      <x:c r="B56" s="460" t="n"/>
      <x:c r="C56" s="460" t="n"/>
      <x:c r="D56" s="460" t="n"/>
    </x:row>
    <x:row r="57">
      <x:c r="A57" s="460" t="n"/>
      <x:c r="B57" s="460" t="n"/>
      <x:c r="C57" s="460" t="n"/>
      <x:c r="D57" s="460" t="n"/>
    </x:row>
    <x:row r="58">
      <x:c r="A58" s="460" t="n"/>
      <x:c r="B58" s="460" t="n"/>
      <x:c r="C58" s="460" t="n"/>
      <x:c r="D58" s="460" t="n"/>
    </x:row>
    <x:row r="59">
      <x:c r="A59" s="460" t="n"/>
      <x:c r="B59" s="460" t="n"/>
      <x:c r="C59" s="460" t="n"/>
      <x:c r="D59" s="460" t="n"/>
    </x:row>
    <x:row r="60">
      <x:c r="A60" s="460" t="n"/>
      <x:c r="B60" s="460" t="n"/>
      <x:c r="C60" s="460" t="n"/>
      <x:c r="D60" s="460" t="n"/>
    </x:row>
    <x:row r="61">
      <x:c r="A61" s="460" t="n"/>
      <x:c r="B61" s="460" t="n"/>
      <x:c r="C61" s="460" t="n"/>
      <x:c r="D61" s="460" t="n"/>
    </x:row>
    <x:row r="62">
      <x:c r="A62" s="460" t="n"/>
      <x:c r="B62" s="460" t="n"/>
      <x:c r="C62" s="460" t="n"/>
      <x:c r="D62" s="460" t="n"/>
    </x:row>
    <x:row r="63">
      <x:c r="A63" s="460" t="n"/>
      <x:c r="B63" s="460" t="n"/>
      <x:c r="C63" s="460" t="n"/>
      <x:c r="D63" s="460" t="n"/>
    </x:row>
    <x:row r="64">
      <x:c r="A64" s="460" t="n"/>
      <x:c r="B64" s="460" t="n"/>
      <x:c r="C64" s="460" t="n"/>
      <x:c r="D64" s="460" t="n"/>
    </x:row>
    <x:row r="65">
      <x:c r="A65" s="460" t="n"/>
      <x:c r="B65" s="460" t="n"/>
      <x:c r="C65" s="460" t="n"/>
      <x:c r="D65" s="460" t="n"/>
    </x:row>
    <x:row r="66">
      <x:c r="A66" s="460" t="n"/>
      <x:c r="B66" s="460" t="n"/>
      <x:c r="C66" s="460" t="n"/>
      <x:c r="D66" s="460" t="n"/>
    </x:row>
    <x:row r="67">
      <x:c r="A67" s="460" t="n"/>
      <x:c r="B67" s="460" t="n"/>
      <x:c r="C67" s="460" t="n"/>
      <x:c r="D67" s="460" t="n"/>
    </x:row>
    <x:row r="68">
      <x:c r="A68" s="460" t="n"/>
      <x:c r="B68" s="460" t="n"/>
      <x:c r="C68" s="460" t="n"/>
      <x:c r="D68" s="460" t="n"/>
    </x:row>
    <x:row r="69">
      <x:c r="A69" s="460" t="n"/>
      <x:c r="B69" s="460" t="n"/>
      <x:c r="C69" s="460" t="n"/>
      <x:c r="D69" s="460" t="n"/>
    </x:row>
    <x:row r="70">
      <x:c r="A70" s="460" t="n"/>
      <x:c r="B70" s="460" t="n"/>
      <x:c r="C70" s="460" t="n"/>
      <x:c r="D70" s="460" t="n"/>
    </x:row>
    <x:row r="71">
      <x:c r="A71" s="460" t="n"/>
      <x:c r="B71" s="460" t="n"/>
      <x:c r="C71" s="460" t="n"/>
      <x:c r="D71" s="460" t="n"/>
    </x:row>
    <x:row r="72">
      <x:c r="A72" s="460" t="n"/>
      <x:c r="B72" s="460" t="n"/>
      <x:c r="C72" s="460" t="n"/>
      <x:c r="D72" s="460" t="n"/>
    </x:row>
    <x:row r="73">
      <x:c r="A73" s="460" t="n"/>
      <x:c r="B73" s="460" t="n"/>
      <x:c r="C73" s="460" t="n"/>
      <x:c r="D73" s="460" t="n"/>
    </x:row>
    <x:row r="74">
      <x:c r="A74" s="460" t="n"/>
      <x:c r="B74" s="460" t="n"/>
      <x:c r="C74" s="460" t="n"/>
      <x:c r="D74" s="460" t="n"/>
    </x:row>
    <x:row r="75">
      <x:c r="A75" s="460" t="n"/>
      <x:c r="B75" s="460" t="n"/>
      <x:c r="C75" s="460" t="n"/>
      <x:c r="D75" s="460" t="n"/>
    </x:row>
    <x:row r="76">
      <x:c r="A76" s="460" t="n"/>
      <x:c r="B76" s="460" t="n"/>
      <x:c r="C76" s="460" t="n"/>
      <x:c r="D76" s="460" t="n"/>
    </x:row>
    <x:row r="77">
      <x:c r="A77" s="460" t="n"/>
      <x:c r="B77" s="460" t="n"/>
      <x:c r="C77" s="460" t="n"/>
      <x:c r="D77" s="460" t="n"/>
    </x:row>
    <x:row r="78">
      <x:c r="A78" s="460" t="n"/>
      <x:c r="B78" s="460" t="n"/>
      <x:c r="C78" s="460" t="n"/>
      <x:c r="D78" s="460" t="n"/>
    </x:row>
    <x:row r="79">
      <x:c r="A79" s="460" t="n"/>
      <x:c r="B79" s="460" t="n"/>
      <x:c r="C79" s="460" t="n"/>
      <x:c r="D79" s="460" t="n"/>
    </x:row>
    <x:row r="80">
      <x:c r="A80" s="460" t="n"/>
      <x:c r="B80" s="460" t="n"/>
      <x:c r="C80" s="460" t="n"/>
      <x:c r="D80" s="460" t="n"/>
    </x:row>
  </x:sheetData>
  <x:mergeCells>
    <x:mergeCell ref="A1:H1"/>
  </x:mergeCells>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baseColWidth="8" defaultColWidth="8.66796875" defaultRowHeight="14.25"/>
  <x:cols>
    <x:col min="1" max="1" width="28" style="471" customWidth="1"/>
    <x:col min="2" max="2" width="56" style="471" customWidth="1"/>
    <x:col min="3" max="3" width="30" style="454" customWidth="1"/>
    <x:col min="4" max="4" width="30" style="454" customWidth="1"/>
    <x:col min="5" max="5" width="55" style="454" hidden="0" customWidth="1"/>
    <x:col min="9" max="9" width="28" style="454" customWidth="1"/>
    <x:col min="10" max="10" width="44" style="454" customWidth="1"/>
  </x:cols>
  <x:sheetData>
    <x:row r="1" s="455" customFormat="1" ht="36" customHeight="1">
      <x:c r="A1" s="551" t="inlineStr">
        <x:is>
          <x:t xml:space="preserve">RIPPLELOGIC v10.8 - DECISION DASHBOARD</x:t>
        </x:is>
      </x:c>
      <x:c r="B1" s="552" t="n"/>
      <x:c r="C1" s="552" t="n"/>
      <x:c r="D1" s="552" t="n"/>
      <x:c r="E1" s="552" t="n"/>
      <x:c r="F1" s="552" t="n"/>
      <x:c r="G1" s="552" t="n"/>
      <x:c r="H1" s="552" t="n"/>
      <x:c r="I1" s="552" t="n"/>
      <x:c r="J1" s="552" t="n"/>
      <x:c r="K1" s="458" t="n"/>
      <x:c r="L1" s="458" t="n"/>
      <x:c r="M1" s="458" t="n"/>
      <x:c r="N1" s="458" t="n"/>
      <x:c r="O1" s="458" t="n"/>
      <x:c r="P1" s="458" t="n"/>
      <x:c r="Q1" s="458" t="n"/>
      <x:c r="R1" s="458" t="n"/>
      <x:c r="S1" s="458" t="n"/>
      <x:c r="T1" s="458" t="n"/>
      <x:c r="U1" s="458" t="n"/>
      <x:c r="V1" s="458" t="n"/>
      <x:c r="W1" s="458" t="n"/>
      <x:c r="X1" s="458" t="n"/>
      <x:c r="Y1" s="458" t="n"/>
      <x:c r="Z1" s="458" t="n"/>
    </x:row>
    <x:row r="2" s="455" customFormat="1" ht="14.25" customHeight="1">
      <x:c r="A2" s="463" t="inlineStr">
        <x:is>
          <x:t xml:space="preserve">Sheet: v3.6</x:t>
        </x:is>
      </x:c>
      <x:c r="B2" s="463" t="inlineStr">
        <x:is>
          <x:t xml:space="preserve">Framework: RippleLogic v10.8</x:t>
        </x:is>
      </x:c>
      <x:c r="C2" s="460" t="n"/>
      <x:c r="D2" s="460" t="n"/>
      <x:c r="E2" s="461" t="n"/>
      <x:c r="F2" s="461" t="n"/>
      <x:c r="G2" s="461" t="n"/>
      <x:c r="H2" s="461" t="n"/>
      <x:c r="I2" s="461" t="inlineStr">
        <x:is>
          <x:t xml:space="preserve">Worked-Run Claimable</x:t>
        </x:is>
      </x:c>
      <x:c r="J2" s="461" t="inlineStr">
        <x:is>
          <x:t xml:space="preserve">YES</x:t>
        </x:is>
      </x:c>
      <x:c r="K2" s="461" t="n"/>
      <x:c r="L2" s="461" t="n"/>
      <x:c r="M2" s="461" t="n"/>
      <x:c r="N2" s="461" t="n"/>
      <x:c r="O2" s="461" t="n"/>
      <x:c r="P2" s="461" t="n"/>
      <x:c r="Q2" s="461" t="n"/>
      <x:c r="R2" s="461" t="n"/>
      <x:c r="S2" s="461" t="n"/>
      <x:c r="T2" s="461" t="n"/>
      <x:c r="U2" s="461" t="n"/>
      <x:c r="V2" s="461" t="n"/>
      <x:c r="W2" s="461" t="n"/>
      <x:c r="X2" s="461" t="n"/>
      <x:c r="Y2" s="461" t="n"/>
      <x:c r="Z2" s="461" t="n"/>
    </x:row>
    <x:row r="3" s="455" customFormat="1" ht="14.25" customHeight="1">
      <x:c r="A3" s="546" t="n"/>
      <x:c r="B3" s="460" t="n"/>
      <x:c r="C3" s="460" t="n"/>
      <x:c r="D3" s="460" t="n"/>
      <x:c r="E3" s="461" t="n"/>
      <x:c r="F3" s="461" t="n"/>
      <x:c r="G3" s="461" t="n"/>
      <x:c r="H3" s="461" t="n"/>
      <x:c r="I3" s="461" t="inlineStr">
        <x:is>
          <x:t xml:space="preserve">Unique Deterministic Framework Selection</x:t>
        </x:is>
      </x:c>
      <x:c r="J3" s="461" t="inlineStr">
        <x:is>
          <x:t xml:space="preserve">NO</x:t>
        </x:is>
      </x:c>
      <x:c r="K3" s="461" t="n"/>
      <x:c r="L3" s="461" t="n"/>
      <x:c r="M3" s="461" t="n"/>
      <x:c r="N3" s="461" t="n"/>
      <x:c r="O3" s="461" t="n"/>
      <x:c r="P3" s="461" t="n"/>
      <x:c r="Q3" s="461" t="n"/>
      <x:c r="R3" s="461" t="n"/>
      <x:c r="S3" s="461" t="n"/>
      <x:c r="T3" s="461" t="n"/>
      <x:c r="U3" s="461" t="n"/>
      <x:c r="V3" s="461" t="n"/>
      <x:c r="W3" s="461" t="n"/>
      <x:c r="X3" s="461" t="n"/>
      <x:c r="Y3" s="461" t="n"/>
      <x:c r="Z3" s="461" t="n"/>
    </x:row>
    <x:row r="4" s="455" customFormat="1" ht="54" customHeight="1">
      <x:c r="A4" s="553" t="inlineStr">
        <x:is>
          <x:t xml:space="preserve">DISCLOSURE</x:t>
        </x:is>
      </x:c>
      <x:c r="B4" s="554" t="inlineStr">
        <x:is>
          <x:t xml:space="preserve">This workbook is a worked-run exemplar companion. It is not a repository-level validator, not a generalized multi-option engine, and not a substitute for canonical DOCX or schema surfaces. Current dashboard selection compares Option A vs Option B only.</x:t>
        </x:is>
      </x:c>
      <x:c r="C4" s="460" t="n"/>
      <x:c r="D4" s="460" t="n"/>
      <x:c r="E4" s="461" t="n"/>
      <x:c r="F4" s="461" t="n"/>
      <x:c r="G4" s="461" t="n"/>
      <x:c r="H4" s="461" t="n"/>
      <x:c r="I4" s="461" t="inlineStr">
        <x:is>
          <x:t xml:space="preserve">Authority Selection Basis</x:t>
        </x:is>
      </x:c>
      <x:c r="J4" s="461" t="inlineStr">
        <x:is>
          <x:t xml:space="preserve">Documented authority selection over non-decisive admissible set</x:t>
        </x:is>
      </x:c>
      <x:c r="K4" s="461" t="n"/>
      <x:c r="L4" s="461" t="n"/>
      <x:c r="M4" s="461" t="n"/>
      <x:c r="N4" s="461" t="n"/>
      <x:c r="O4" s="461" t="n"/>
      <x:c r="P4" s="461" t="n"/>
      <x:c r="Q4" s="461" t="n"/>
      <x:c r="R4" s="461" t="n"/>
      <x:c r="S4" s="461" t="n"/>
      <x:c r="T4" s="461" t="n"/>
      <x:c r="U4" s="461" t="n"/>
      <x:c r="V4" s="461" t="n"/>
      <x:c r="W4" s="461" t="n"/>
      <x:c r="X4" s="461" t="n"/>
      <x:c r="Y4" s="461" t="n"/>
      <x:c r="Z4" s="461" t="n"/>
    </x:row>
    <x:row r="5" s="455" customFormat="1" ht="13.5" customHeight="1">
      <x:c r="A5" s="460" t="n"/>
      <x:c r="B5" s="460" t="n"/>
      <x:c r="C5" s="460" t="n"/>
      <x:c r="D5" s="460" t="n"/>
      <x:c r="E5" s="461" t="n"/>
      <x:c r="F5" s="461" t="n"/>
      <x:c r="G5" s="461" t="n"/>
      <x:c r="H5" s="461" t="n"/>
      <x:c r="I5" s="461" t="inlineStr">
        <x:is>
          <x:t xml:space="preserve">Canonical Invalid Flags</x:t>
        </x:is>
      </x:c>
      <x:c r="J5" s="461" t="n">
        <x:v>0</x:v>
      </x:c>
      <x:c r="K5" s="461" t="n"/>
      <x:c r="L5" s="461" t="n"/>
      <x:c r="M5" s="461" t="n"/>
      <x:c r="N5" s="461" t="n"/>
      <x:c r="O5" s="461" t="n"/>
      <x:c r="P5" s="461" t="n"/>
      <x:c r="Q5" s="461" t="n"/>
      <x:c r="R5" s="461" t="n"/>
      <x:c r="S5" s="461" t="n"/>
      <x:c r="T5" s="461" t="n"/>
      <x:c r="U5" s="461" t="n"/>
      <x:c r="V5" s="461" t="n"/>
      <x:c r="W5" s="461" t="n"/>
      <x:c r="X5" s="461" t="n"/>
      <x:c r="Y5" s="461" t="n"/>
      <x:c r="Z5" s="461" t="n"/>
    </x:row>
    <x:row r="6" s="455" customFormat="1" ht="14.25" customHeight="1">
      <x:c r="A6" s="508" t="inlineStr">
        <x:is>
          <x:t xml:space="preserve">DECISION CONTEXT</x:t>
        </x:is>
      </x:c>
      <x:c r="B6" s="460" t="n"/>
      <x:c r="C6" s="460" t="n"/>
      <x:c r="D6" s="460" t="n"/>
      <x:c r="E6" s="461" t="n"/>
      <x:c r="F6" s="461" t="n"/>
      <x:c r="G6" s="461" t="n"/>
      <x:c r="H6" s="461" t="n"/>
      <x:c r="I6" s="461" t="inlineStr">
        <x:is>
          <x:t xml:space="preserve">Canonical Escalation Flags</x:t>
        </x:is>
      </x:c>
      <x:c r="J6" s="461" t="n">
        <x:v>0</x:v>
      </x:c>
      <x:c r="K6" s="461" t="n"/>
      <x:c r="L6" s="461" t="n"/>
      <x:c r="M6" s="461" t="n"/>
      <x:c r="N6" s="461" t="n"/>
      <x:c r="O6" s="461" t="n"/>
      <x:c r="P6" s="461" t="n"/>
      <x:c r="Q6" s="461" t="n"/>
      <x:c r="R6" s="461" t="n"/>
      <x:c r="S6" s="461" t="n"/>
      <x:c r="T6" s="461" t="n"/>
      <x:c r="U6" s="461" t="n"/>
      <x:c r="V6" s="461" t="n"/>
      <x:c r="W6" s="461" t="n"/>
      <x:c r="X6" s="461" t="n"/>
      <x:c r="Y6" s="461" t="n"/>
      <x:c r="Z6" s="461" t="n"/>
    </x:row>
    <x:row r="7" s="455" customFormat="1" ht="14.25" customHeight="1">
      <x:c r="A7" s="463" t="inlineStr">
        <x:is>
          <x:t xml:space="preserve">Decision:</x:t>
        </x:is>
      </x:c>
      <x:c r="B7" s="463" t="str">
        <x:f>PCC!B5</x:f>
        <x:v>Remote Work Policy Implementation</x:v>
      </x:c>
      <x:c r="C7" s="460" t="n"/>
      <x:c r="D7" s="460" t="n"/>
      <x:c r="E7" s="461" t="n"/>
      <x:c r="F7" s="461" t="n"/>
      <x:c r="G7" s="461" t="n"/>
      <x:c r="H7" s="461" t="n"/>
      <x:c r="I7" s="461" t="inlineStr">
        <x:is>
          <x:t xml:space="preserve">Canonical Review Flags</x:t>
        </x:is>
      </x:c>
      <x:c r="J7" s="461" t="n">
        <x:v>0</x:v>
      </x:c>
      <x:c r="K7" s="461" t="n"/>
      <x:c r="L7" s="461" t="n"/>
      <x:c r="M7" s="461" t="n"/>
      <x:c r="N7" s="461" t="n"/>
      <x:c r="O7" s="461" t="n"/>
      <x:c r="P7" s="461" t="n"/>
      <x:c r="Q7" s="461" t="n"/>
      <x:c r="R7" s="461" t="n"/>
      <x:c r="S7" s="461" t="n"/>
      <x:c r="T7" s="461" t="n"/>
      <x:c r="U7" s="461" t="n"/>
      <x:c r="V7" s="461" t="n"/>
      <x:c r="W7" s="461" t="n"/>
      <x:c r="X7" s="461" t="n"/>
      <x:c r="Y7" s="461" t="n"/>
      <x:c r="Z7" s="461" t="n"/>
    </x:row>
    <x:row r="8" s="455" customFormat="1" ht="14.25" customHeight="1">
      <x:c r="A8" s="463" t="inlineStr">
        <x:is>
          <x:t xml:space="preserve">Date:</x:t>
        </x:is>
      </x:c>
      <x:c r="B8" s="463" t="str">
        <x:f>PCC!B6</x:f>
        <x:v>2026-02-01</x:v>
      </x:c>
      <x:c r="C8" s="460" t="n"/>
      <x:c r="D8" s="460" t="n"/>
      <x:c r="E8" s="461" t="n"/>
      <x:c r="F8" s="461" t="n"/>
      <x:c r="G8" s="461" t="n"/>
      <x:c r="H8" s="461" t="n"/>
      <x:c r="I8" s="461" t="inlineStr">
        <x:is>
          <x:t xml:space="preserve">Tool-Local Review Flags</x:t>
        </x:is>
      </x:c>
      <x:c r="J8" s="461" t="n">
        <x:v>1</x:v>
      </x:c>
      <x:c r="K8" s="461" t="n"/>
      <x:c r="L8" s="461" t="n"/>
      <x:c r="M8" s="461" t="n"/>
      <x:c r="N8" s="461" t="n"/>
      <x:c r="O8" s="461" t="n"/>
      <x:c r="P8" s="461" t="n"/>
      <x:c r="Q8" s="461" t="n"/>
      <x:c r="R8" s="461" t="n"/>
      <x:c r="S8" s="461" t="n"/>
      <x:c r="T8" s="461" t="n"/>
      <x:c r="U8" s="461" t="n"/>
      <x:c r="V8" s="461" t="n"/>
      <x:c r="W8" s="461" t="n"/>
      <x:c r="X8" s="461" t="n"/>
      <x:c r="Y8" s="461" t="n"/>
      <x:c r="Z8" s="461" t="n"/>
    </x:row>
    <x:row r="9" s="455" customFormat="1" ht="14.25" customHeight="1">
      <x:c r="A9" s="463" t="inlineStr">
        <x:is>
          <x:t xml:space="preserve">Tier:</x:t>
        </x:is>
      </x:c>
      <x:c r="B9" s="463" t="str">
        <x:f>CANON!B10&amp;" ("&amp;IF(CANON!B10=1,"Personal",IF(CANON!B10=2,"Core","High-Stakes"))&amp;")"</x:f>
        <x:v>2 (Core)</x:v>
      </x:c>
      <x:c r="C9" s="460" t="n"/>
      <x:c r="D9" s="460"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4.25" customHeight="1">
      <x:c r="A10" s="463" t="inlineStr">
        <x:is>
          <x:t xml:space="preserve">Context:</x:t>
        </x:is>
      </x:c>
      <x:c r="B10" s="555" t="str">
        <x:f>CANON!B11</x:f>
        <x:v>ORG</x:v>
      </x:c>
      <x:c r="C10" s="460" t="n"/>
      <x:c r="D10" s="460"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4.25" customHeight="1">
      <x:c r="A11" s="463" t="inlineStr">
        <x:is>
          <x:t xml:space="preserve">AI Deployment:</x:t>
        </x:is>
      </x:c>
      <x:c r="B11" s="463" t="str">
        <x:f>CANON!B12</x:f>
        <x:v>NO</x:v>
      </x:c>
      <x:c r="C11" s="460" t="n"/>
      <x:c r="D11" s="460"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4.25" customHeight="1">
      <x:c r="A12" s="508" t="inlineStr">
        <x:is>
          <x:t xml:space="preserve">TRC Active:</x:t>
        </x:is>
      </x:c>
      <x:c r="B12" s="507" t="str">
        <x:f>IF(CANON!B13=1,"YES","NO")</x:f>
        <x:v>YES</x:v>
      </x:c>
      <x:c r="C12" s="460" t="n"/>
      <x:c r="D12" s="460"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4.25" customHeight="1">
      <x:c r="A13" s="546" t="n"/>
      <x:c r="B13" s="546" t="n"/>
      <x:c r="C13" s="546" t="n"/>
      <x:c r="D13" s="556" t="n"/>
      <x:c r="E13" s="480"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4.25" customHeight="1">
      <x:c r="A14" s="557" t="inlineStr">
        <x:is>
          <x:t xml:space="preserve">FIVE-LEVEL METHOD</x:t>
        </x:is>
      </x:c>
      <x:c r="B14" s="558" t="n"/>
      <x:c r="C14" s="558" t="n"/>
      <x:c r="D14" s="558"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4.25" customHeight="1">
      <x:c r="A15" s="557" t="inlineStr">
        <x:is>
          <x:t xml:space="preserve">Level</x:t>
        </x:is>
      </x:c>
      <x:c r="B15" s="557" t="inlineStr">
        <x:is>
          <x:t xml:space="preserve">Function</x:t>
        </x:is>
      </x:c>
      <x:c r="C15" s="557" t="inlineStr">
        <x:is>
          <x:t xml:space="preserve">Option A</x:t>
        </x:is>
      </x:c>
      <x:c r="D15" s="557" t="inlineStr">
        <x:is>
          <x:t xml:space="preserve">Option B</x:t>
        </x:is>
      </x:c>
      <x:c r="E15" s="559" t="inlineStr">
        <x:is>
          <x:t xml:space="preserve">Resolution</x:t>
        </x:is>
      </x:c>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4.25" customHeight="1">
      <x:c r="A16" s="463" t="inlineStr">
        <x:is>
          <x:t xml:space="preserve">1</x:t>
        </x:is>
      </x:c>
      <x:c r="B16" s="463" t="inlineStr">
        <x:is>
          <x:t xml:space="preserve">Reality Grounding</x:t>
        </x:is>
      </x:c>
      <x:c r="C16" s="463"/>
      <x:c r="D16" s="463"/>
      <x:c r="E16" s="695" t="str">
        <x:v>Run-level: ASSUMPTION_BOUND; applies to both options; see Reality_Grounding and Category_Grounding sheets.</x:v>
      </x:c>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4.25" customHeight="1">
      <x:c r="A17" s="463" t="inlineStr">
        <x:is>
          <x:t xml:space="preserve">2</x:t>
        </x:is>
      </x:c>
      <x:c r="B17" s="463" t="inlineStr">
        <x:is>
          <x:t xml:space="preserve">Rights Floor / NCRC</x:t>
        </x:is>
      </x:c>
      <x:c r="C17" s="507"/>
      <x:c r="D17" s="507"/>
      <x:c r="E17" s="560" t="str">
        <x:f>IF(AND(CANON!B56="PASS",CANON!B57="PASS"),"Both Pass",IF(CANON!B56="PASS","A only",IF(CANON!B57="PASS","B only","Neither")))</x:f>
        <x:v>Both Pass</x:v>
      </x:c>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4.25" customHeight="1">
      <x:c r="A18" s="463" t="inlineStr">
        <x:is>
          <x:t xml:space="preserve">3</x:t>
        </x:is>
      </x:c>
      <x:c r="B18" s="463" t="inlineStr">
        <x:is>
          <x:t xml:space="preserve">Tail-Risk Bound / TRC</x:t>
        </x:is>
      </x:c>
      <x:c r="C18" s="561" t="inlineStr">
        <x:is>
          <x:t xml:space="preserve">PASS (CVaR=0.0219)</x:t>
        </x:is>
      </x:c>
      <x:c r="D18" s="463" t="inlineStr">
        <x:is>
          <x:t xml:space="preserve">PASS (CVaR=0.0315)</x:t>
        </x:is>
      </x:c>
      <x:c r="E18" s="560" t="str">
        <x:v>Both Pass</x:v>
      </x:c>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4.25" customHeight="1">
      <x:c r="A19" s="508" t="inlineStr">
        <x:is>
          <x:t xml:space="preserve">4</x:t>
        </x:is>
      </x:c>
      <x:c r="B19" s="463" t="inlineStr">
        <x:is>
          <x:t xml:space="preserve">Containment</x:t>
        </x:is>
      </x:c>
      <x:c r="C19" s="463"/>
      <x:c r="D19" s="463"/>
      <x:c r="E19" s="475" t="str">
        <x:v>A higher (Tier-2 proxy diagnostic; Mode A binding only at Tier 3)</x:v>
      </x:c>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54" customHeight="1">
      <x:c r="A20" s="508" t="inlineStr">
        <x:is>
          <x:t xml:space="preserve">5</x:t>
        </x:is>
      </x:c>
      <x:c r="B20" s="463" t="inlineStr">
        <x:is>
          <x:t xml:space="preserve">Ripple Score / RLS</x:t>
        </x:is>
      </x:c>
      <x:c r="C20" s="463" t="inlineStr">
        <x:is>
          <x:t xml:space="preserve">0.015313</x:t>
        </x:is>
      </x:c>
      <x:c r="D20" s="463" t="inlineStr">
        <x:is>
          <x:t xml:space="preserve">-0.001122</x:t>
        </x:is>
      </x:c>
      <x:c r="E20" s="475" t="inlineStr">
        <x:is>
          <x:t xml:space="preserve">Framework verdict: REFUSE_DETERMINISTIC_SELECTION</x:t>
        </x:is>
      </x:c>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4.25" customHeight="1">
      <x:c r="A21" s="508" t="inlineStr">
        <x:is>
          <x:t xml:space="preserve">Selection-note:</x:t>
        </x:is>
      </x:c>
      <x:c r="B21" s="463" t="inlineStr">
        <x:is>
          <x:t xml:space="preserve">Two-option surface only (A/B); A and B remain admissible</x:t>
        </x:is>
      </x:c>
      <x:c r="C21" s="460" t="n"/>
      <x:c r="D21" s="460"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24" customHeight="1">
      <x:c r="A22" s="562" t="inlineStr">
        <x:is>
          <x:t xml:space="preserve">SPECIAL-CASE STRUCTURAL DIAGNOSTICS</x:t>
        </x:is>
      </x:c>
      <x:c r="B22" s="462"/>
      <x:c r="C22" s="459" t="n"/>
      <x:c r="D22" s="459"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48" customHeight="1">
      <x:c r="A23" s="463" t="inlineStr">
        <x:is>
          <x:t xml:space="preserve">Rule</x:t>
        </x:is>
      </x:c>
      <x:c r="B23" s="463" t="inlineStr">
        <x:is>
          <x:t xml:space="preserve">UCI/HOI are structural diagnostics. Gate-relevant use belongs inside Containment. Residual use occurs only when RLS is tied, close, or non-decisive.</x:t>
        </x:is>
      </x:c>
      <x:c r="C23" s="460" t="n"/>
      <x:c r="D23" s="460"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52" customHeight="1">
      <x:c r="A24" s="463" t="inlineStr">
        <x:is>
          <x:t xml:space="preserve">Tie-break status</x:t>
        </x:is>
      </x:c>
      <x:c r="B24" s="700" t="str">
        <x:v>Tie-break / authority-selection status: RLS is non-decisive in this worked run. The framework refuses deterministic selection; any authority selection is separately documented, with monitoring and review.</x:v>
      </x:c>
      <x:c r="C24" s="460" t="n"/>
      <x:c r="D24" s="460"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4.25" customHeight="1">
      <x:c r="A25" s="466" t="inlineStr">
        <x:is>
          <x:t xml:space="preserve">Weight Profile:</x:t>
        </x:is>
      </x:c>
      <x:c r="B25" s="555" t="str">
        <x:f>Config!B17</x:f>
        <x:v>PLSS_LOCAL</x:v>
      </x:c>
      <x:c r="C25" s="460" t="n"/>
      <x:c r="D25" s="460"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4.25" customHeight="1">
      <x:c r="A26" s="466" t="inlineStr">
        <x:is>
          <x:t xml:space="preserve">PLSS Scope Note:</x:t>
        </x:is>
      </x:c>
      <x:c r="B26" s="463" t="str">
        <x:f>IF(Config!B17="PLSS_LOCAL","See PLSS_Local_Scope for q_u and w_u^PLSS","Uniform weights active")</x:f>
        <x:v>See PLSS_Local_Scope for q_u and w_u^PLSS</x:v>
      </x:c>
      <x:c r="C26" s="460" t="n"/>
      <x:c r="D26" s="460"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24" customHeight="1">
      <x:c r="A27" s="564" t="inlineStr">
        <x:is>
          <x:t xml:space="preserve">RELEASE BOUNDARY</x:t>
        </x:is>
      </x:c>
      <x:c r="B27" s="565" t="inlineStr">
        <x:is>
          <x:t xml:space="preserve">STATUS</x:t>
        </x:is>
      </x:c>
      <x:c r="C27" s="565" t="inlineStr">
        <x:is>
          <x:t xml:space="preserve">INTERPRETATION</x:t>
        </x:is>
      </x:c>
      <x:c r="D27" s="460"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42" customHeight="1">
      <x:c r="A28" s="463" t="inlineStr">
        <x:is>
          <x:t xml:space="preserve">Workbook role</x:t>
        </x:is>
      </x:c>
      <x:c r="B28" s="463" t="inlineStr">
        <x:is>
          <x:t xml:space="preserve">Worked-run exemplar</x:t>
        </x:is>
      </x:c>
      <x:c r="C28" s="460" t="inlineStr">
        <x:is>
          <x:t xml:space="preserve">Useful for replay/training; not a validator or reference calculator.</x:t>
        </x:is>
      </x:c>
      <x:c r="D28" s="460"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42" customHeight="1">
      <x:c r="A29" s="555" t="inlineStr">
        <x:is>
          <x:t xml:space="preserve">ProofPack-ready</x:t>
        </x:is>
      </x:c>
      <x:c r="B29" s="463" t="inlineStr">
        <x:is>
          <x:t xml:space="preserve">NO</x:t>
        </x:is>
      </x:c>
      <x:c r="C29" s="460" t="inlineStr">
        <x:is>
          <x:t xml:space="preserve">Requires separate bundled/hash-pinned replay assets.</x:t>
        </x:is>
      </x:c>
      <x:c r="D29" s="460"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42" customHeight="1">
      <x:c r="A30" s="463" t="inlineStr">
        <x:is>
          <x:t xml:space="preserve">Tier 4-ready</x:t>
        </x:is>
      </x:c>
      <x:c r="B30" s="463" t="inlineStr">
        <x:is>
          <x:t xml:space="preserve">NO</x:t>
        </x:is>
      </x:c>
      <x:c r="C30" s="460" t="inlineStr">
        <x:is>
          <x:t xml:space="preserve">Prohibited for v10.8 core foundation release.</x:t>
        </x:is>
      </x:c>
      <x:c r="D30" s="460"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42" customHeight="1">
      <x:c r="A31" s="463" t="inlineStr">
        <x:is>
          <x:t xml:space="preserve">Empirical validation</x:t>
        </x:is>
      </x:c>
      <x:c r="B31" s="463" t="inlineStr">
        <x:is>
          <x:t xml:space="preserve">NO</x:t>
        </x:is>
      </x:c>
      <x:c r="C31" s="460" t="inlineStr">
        <x:is>
          <x:t xml:space="preserve">Requires pilot results and external review.</x:t>
        </x:is>
      </x:c>
      <x:c r="D31" s="460"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42" customHeight="1">
      <x:c r="A32" s="460" t="inlineStr">
        <x:is>
          <x:t xml:space="preserve">Machine-verifiable ecosystem complete</x:t>
        </x:is>
      </x:c>
      <x:c r="B32" s="460" t="inlineStr">
        <x:is>
          <x:t xml:space="preserve">NO</x:t>
        </x:is>
      </x:c>
      <x:c r="C32" s="460" t="inlineStr">
        <x:is>
          <x:t xml:space="preserve">Requires schemas, validator, calculator, machine vectors, replay instructions.</x:t>
        </x:is>
      </x:c>
      <x:c r="D32" s="460"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42" customHeight="1">
      <x:c r="A33" s="508" t="inlineStr">
        <x:is>
          <x:t xml:space="preserve">UCI maturity</x:t>
        </x:is>
      </x:c>
      <x:c r="B33" s="460" t="inlineStr">
        <x:is>
          <x:t xml:space="preserve">Provisional</x:t>
        </x:is>
      </x:c>
      <x:c r="C33" s="460" t="inlineStr">
        <x:is>
          <x:t xml:space="preserve">Structural diagnostic only; no cross-domain validation claim.</x:t>
        </x:is>
      </x:c>
      <x:c r="D33" s="460"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42" customHeight="1">
      <x:c r="A34" s="463" t="inlineStr">
        <x:is>
          <x:t xml:space="preserve">Biological SGP maturity</x:t>
        </x:is>
      </x:c>
      <x:c r="B34" s="507" t="inlineStr">
        <x:is>
          <x:t xml:space="preserve">NA_NOT_INVOKED</x:t>
        </x:is>
      </x:c>
      <x:c r="C34" s="460" t="inlineStr">
        <x:is>
          <x:t xml:space="preserve">Human-only worked run; biological SGP evidence not invoked. No individualized biological measurement-completeness claim.</x:t>
        </x:is>
      </x:c>
      <x:c r="D34" s="460"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42" customHeight="1">
      <x:c r="A35" s="463" t="inlineStr">
        <x:is>
          <x:t xml:space="preserve">Public claim wording</x:t>
        </x:is>
      </x:c>
      <x:c r="B35" s="566" t="inlineStr">
        <x:is>
          <x:t xml:space="preserve">Worked-run publishable with explicit non-deterministic selection boundary</x:t>
        </x:is>
      </x:c>
      <x:c r="C35" s="460" t="inlineStr">
        <x:is>
          <x:t xml:space="preserve">Avoid unqualified publish-ready or deterministic-selection language.</x:t>
        </x:is>
      </x:c>
      <x:c r="D35" s="460"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42" customHeight="1">
      <x:c r="A36" s="463" t="inlineStr">
        <x:is>
          <x:t xml:space="preserve">Next step</x:t>
        </x:is>
      </x:c>
      <x:c r="B36" s="507" t="inlineStr">
        <x:is>
          <x:t xml:space="preserve">post-core ProofPack-prep tooling line</x:t>
        </x:is>
      </x:c>
      <x:c r="C36" s="460" t="inlineStr">
        <x:is>
          <x:t xml:space="preserve">Reference calculator, schemas, vectors, validators, and ProofPack-prep assets.</x:t>
        </x:is>
      </x:c>
      <x:c r="D36" s="460"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4.25" customHeight="1">
      <x:c r="A37" s="463" t="inlineStr">
        <x:is>
          <x:t xml:space="preserve">Tool-Local Review Flags:</x:t>
        </x:is>
      </x:c>
      <x:c r="B37" s="507" t="n">
        <x:v>1</x:v>
      </x:c>
      <x:c r="C37" s="460" t="n"/>
      <x:c r="D37" s="460"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4.25" customHeight="1">
      <x:c r="A38" s="460" t="n"/>
      <x:c r="B38" s="567" t="n"/>
      <x:c r="C38" s="460" t="n"/>
      <x:c r="D38" s="460"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4.25" customHeight="1">
      <x:c r="A39" s="463" t="inlineStr">
        <x:is>
          <x:t xml:space="preserve">Triggered Flags:</x:t>
        </x:is>
      </x:c>
      <x:c r="B39" s="463" t="str">
        <x:f>IF(Audit_Flags!B23&gt;0,"⚠ REVIEW flags present","No REVIEW flags")</x:f>
        <x:v>⚠ REVIEW flags present</x:v>
      </x:c>
      <x:c r="C39" s="460" t="n"/>
      <x:c r="D39" s="460"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3.5" customHeight="1">
      <x:c r="A40" s="460" t="n"/>
      <x:c r="B40" s="460" t="n"/>
      <x:c r="C40" s="460" t="n"/>
      <x:c r="D40" s="460"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4.25" customHeight="1">
      <x:c r="A41" s="546" t="n"/>
      <x:c r="B41" s="460" t="n"/>
      <x:c r="C41" s="460" t="n"/>
      <x:c r="D41" s="460"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4.25" customHeight="1">
      <x:c r="A42" s="507" t="str">
        <x:f>Audit_Flags!B26</x:f>
        <x:v>NO</x:v>
      </x:c>
      <x:c r="B42" s="463" t="str">
        <x:f>IF(Audit_Flags!J19="(none)","(none)",Audit_Flags!J19)</x:f>
        <x:v>NONDECISIVE_GAP_REVIEW (REVIEW)</x:v>
      </x:c>
      <x:c r="C42" s="460" t="n"/>
      <x:c r="D42" s="460"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3.5" customHeight="1">
      <x:c r="A43" s="460" t="n"/>
      <x:c r="B43" s="460" t="n"/>
      <x:c r="C43" s="460" t="n"/>
      <x:c r="D43" s="460"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3.5" customHeight="1">
      <x:c r="A44" s="460" t="n"/>
      <x:c r="B44" s="460" t="n"/>
      <x:c r="C44" s="460" t="n"/>
      <x:c r="D44" s="460"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4.25" customHeight="1">
      <x:c r="A45" s="463" t="inlineStr">
        <x:is>
          <x:t xml:space="preserve">Audit flags (active)</x:t>
        </x:is>
      </x:c>
      <x:c r="B45" s="463" t="n">
        <x:f>Audit_Flags!B24</x:f>
        <x:v>1</x:v>
      </x:c>
      <x:c r="C45" s="460" t="n"/>
      <x:c r="D45" s="460"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3.5" customHeight="1">
      <x:c r="A46" s="460" t="n"/>
      <x:c r="B46" s="460" t="n"/>
      <x:c r="C46" s="460" t="n"/>
      <x:c r="D46" s="460"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3.5" customHeight="1">
      <x:c r="A47" s="460" t="n"/>
      <x:c r="B47" s="460" t="n"/>
      <x:c r="C47" s="460" t="n"/>
      <x:c r="D47" s="460"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3.5" customHeight="1">
      <x:c r="A48" s="460" t="n"/>
      <x:c r="B48" s="460" t="n"/>
      <x:c r="C48" s="460" t="n"/>
      <x:c r="D48" s="460"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4.25" customHeight="1">
      <x:c r="A49" s="508" t="inlineStr">
        <x:is>
          <x:t xml:space="preserve">REVIEW ACTIONS DOCUMENTED</x:t>
        </x:is>
      </x:c>
      <x:c r="B49" s="460" t="n"/>
      <x:c r="C49" s="460" t="n"/>
      <x:c r="D49" s="460"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4.25" customHeight="1">
      <x:c r="A50" s="463" t="inlineStr">
        <x:is>
          <x:t xml:space="preserve">1. ✓ Judgment call rationale documented in PCC / 5SPR</x:t>
        </x:is>
      </x:c>
      <x:c r="B50" s="460" t="n"/>
      <x:c r="C50" s="460" t="n"/>
      <x:c r="D50" s="460"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4.25" customHeight="1">
      <x:c r="A51" s="463" t="inlineStr">
        <x:is>
          <x:t xml:space="preserve">2. ✓ Monitoring requirement captured through ExecutionStability</x:t>
        </x:is>
      </x:c>
      <x:c r="B51" s="460" t="n"/>
      <x:c r="C51" s="460" t="n"/>
      <x:c r="D51" s="460"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4.25" customHeight="1">
      <x:c r="A52" s="507" t="inlineStr">
        <x:is>
          <x:t xml:space="preserve">3. ✓ Review date updated:</x:t>
        </x:is>
      </x:c>
      <x:c r="B52" s="463" t="inlineStr">
        <x:is>
          <x:t xml:space="preserve">2026-05-11</x:t>
        </x:is>
      </x:c>
      <x:c r="C52" s="460" t="n"/>
      <x:c r="D52" s="460"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4.25" customHeight="1">
      <x:c r="A53" s="463" t="inlineStr">
        <x:is>
          <x:t xml:space="preserve">4. ✓ Tier 3 upgrade condition documented if stakes increase</x:t>
        </x:is>
      </x:c>
      <x:c r="B53" s="460" t="n"/>
      <x:c r="C53" s="460" t="n"/>
      <x:c r="D53" s="460"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0" t="n"/>
      <x:c r="B54" s="460" t="n"/>
      <x:c r="C54" s="460" t="n"/>
      <x:c r="D54" s="460"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0" t="inlineStr">
        <x:is>
          <x:t xml:space="preserve">EXECUTION STABILITY DIAGNOSTIC</x:t>
        </x:is>
      </x:c>
      <x:c r="B55" s="460" t="n"/>
      <x:c r="C55" s="460" t="n"/>
      <x:c r="D55" s="460"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0" t="inlineStr">
        <x:is>
          <x:t xml:space="preserve">ESD Regime Token</x:t>
        </x:is>
      </x:c>
      <x:c r="B56" s="460" t="inlineStr">
        <x:is>
          <x:t xml:space="preserve">ESC_STABLE_MONITOR</x:t>
        </x:is>
      </x:c>
      <x:c r="C56" s="460" t="n"/>
      <x:c r="D56" s="460"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0" t="inlineStr">
        <x:is>
          <x:t xml:space="preserve">ESD Claim Boundary</x:t>
        </x:is>
      </x:c>
      <x:c r="B57" s="460" t="inlineStr">
        <x:is>
          <x:t xml:space="preserve">Worked-run exemplar only; production claim requires filled PCC.ExecutionStabilityRecord</x:t>
        </x:is>
      </x:c>
      <x:c r="C57" s="460" t="n"/>
      <x:c r="D57" s="460"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0" t="inlineStr">
        <x:is>
          <x:t xml:space="preserve">ESD Non-Override Rule</x:t>
        </x:is>
      </x:c>
      <x:c r="B58" s="460" t="inlineStr">
        <x:is>
          <x:t xml:space="preserve">Cannot rescue NCRC/TRC/Containment/Refusal failure</x:t>
        </x:is>
      </x:c>
      <x:c r="C58" s="460" t="n"/>
      <x:c r="D58" s="460"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0" t="inlineStr">
        <x:is>
          <x:t xml:space="preserve">ESD Action</x:t>
        </x:is>
      </x:c>
      <x:c r="B59" s="460" t="inlineStr">
        <x:is>
          <x:t xml:space="preserve">Proceed only with monitoring/staging where otherwise selectable</x:t>
        </x:is>
      </x:c>
      <x:c r="C59" s="460" t="n"/>
      <x:c r="D59" s="460"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69.75" customHeight="1">
      <x:c r="A60" s="460" t="inlineStr">
        <x:is>
          <x:t xml:space="preserve">Claim boundary</x:t>
        </x:is>
      </x:c>
      <x:c r="B60" s="460" t="inlineStr">
        <x:is>
          <x:t xml:space="preserve">Worked-run claimability is not ecosystem ProofPack readiness. CLAIMABLE_RUN = YES means this workbook instance satisfies its declared worked-run gates. It does not mean the RippleLogic ecosystem is schema-complete, validator-complete, replayable, empirically validated, or Tier-4-ready.</x:t>
        </x:is>
      </x:c>
      <x:c r="C60" s="460" t="n"/>
      <x:c r="D60" s="460"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69.75" customHeight="1">
      <x:c r="A61" s="460" t="inlineStr">
        <x:is>
          <x:t xml:space="preserve">Worked-run/review gate note</x:t>
        </x:is>
      </x:c>
      <x:c r="B61" s="460" t="inlineStr">
        <x:is>
          <x:t xml:space="preserve">Active TOOL_LOCAL REVIEW flags require reviewer attention and monitoring, but do not by themselves negate worked-run publishability unless they also raise v10_review_count, INVALID, ESCALATE, Refusal, or another blocking condition on the declared sanity surface.</x:t>
        </x:is>
      </x:c>
      <x:c r="C61" s="460" t="n"/>
      <x:c r="D61" s="460"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0" t="inlineStr">
        <x:is>
          <x:t xml:space="preserve">TRANSITION ADMISSIBILITY</x:t>
        </x:is>
      </x:c>
      <x:c r="B62" s="460" t="n"/>
      <x:c r="C62" s="460" t="n"/>
      <x:c r="D62" s="460"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0" t="inlineStr">
        <x:is>
          <x:t xml:space="preserve">Transition ID</x:t>
        </x:is>
      </x:c>
      <x:c r="B63" s="460" t="inlineStr">
        <x:is>
          <x:t xml:space="preserve">TAC-ORG-2026-001</x:t>
        </x:is>
      </x:c>
      <x:c r="C63" s="460" t="n"/>
      <x:c r="D63" s="460"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0" t="inlineStr">
        <x:is>
          <x:t xml:space="preserve">Binary-gate evidence rule</x:t>
        </x:is>
      </x:c>
      <x:c r="B64" s="460" t="inlineStr">
        <x:is>
          <x:t xml:space="preserve">Gate outcomes remain binary where required, but evidence is declared as worked-run exemplar evidence rather than empirical validation.</x:t>
        </x:is>
      </x:c>
      <x:c r="C64" s="460" t="n"/>
      <x:c r="D64" s="460"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0" t="inlineStr">
        <x:is>
          <x:t xml:space="preserve">RealityGroundingStatus</x:t>
        </x:is>
      </x:c>
      <x:c r="B65" s="460" t="inlineStr">
        <x:is>
          <x:t xml:space="preserve">ASSUMPTION_BOUND</x:t>
        </x:is>
      </x:c>
      <x:c r="C65" s="460" t="n"/>
      <x:c r="D65" s="460"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0" t="inlineStr">
        <x:is>
          <x:t xml:space="preserve">RealityGroundingRecord</x:t>
        </x:is>
      </x:c>
      <x:c r="B66" s="460" t="inlineStr">
        <x:is>
          <x:t xml:space="preserve">See Reality_Contact sheet</x:t>
        </x:is>
      </x:c>
      <x:c r="C66" s="460" t="n"/>
      <x:c r="D66" s="460"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0" t="inlineStr">
        <x:is>
          <x:t xml:space="preserve">Reference structure declared</x:t>
        </x:is>
      </x:c>
      <x:c r="B67" s="460" t="str">
        <x:f>IF(ReferenceStructureRecord!Z2="COMPLETE","YES","NO")</x:f>
        <x:v>YES</x:v>
      </x:c>
      <x:c r="C67" s="460" t="n"/>
      <x:c r="D67" s="460"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0" t="inlineStr">
        <x:is>
          <x:t xml:space="preserve">ReferenceStructureRecord status</x:t>
        </x:is>
      </x:c>
      <x:c r="B68" s="460" t="str">
        <x:f>ReferenceStructureRecord!Z2</x:f>
        <x:v>COMPLETE</x:v>
      </x:c>
      <x:c r="C68" s="460" t="n"/>
      <x:c r="D68" s="460"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0" t="inlineStr">
        <x:is>
          <x:t xml:space="preserve">Reference object</x:t>
        </x:is>
      </x:c>
      <x:c r="B69" s="460" t="inlineStr">
        <x:is>
          <x:t xml:space="preserve">Remote work policy implementation decision evaluated against RippleLogic v10.8 RCR/RSP, NCRC/TRC/Containment/RLS/UCI-HOI, PCC, and workbook evidence surfaces.</x:t>
        </x:is>
      </x:c>
      <x:c r="C69" s="460" t="n"/>
      <x:c r="D69" s="460"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0" t="inlineStr">
        <x:is>
          <x:t xml:space="preserve">RSP boundary</x:t>
        </x:is>
      </x:c>
      <x:c r="B70" s="460" t="inlineStr">
        <x:is>
          <x:t xml:space="preserve">Strengthens evidence substrate and auditability; does not alter cascade or create stronger validation/deployment claims.</x:t>
        </x:is>
      </x:c>
      <x:c r="C70" s="460" t="n"/>
      <x:c r="D70" s="460"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0" t="n"/>
      <x:c r="B71" s="460" t="n"/>
      <x:c r="C71" s="460" t="n"/>
      <x:c r="D71" s="460"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0" t="n"/>
      <x:c r="B72" s="460" t="n"/>
      <x:c r="C72" s="460" t="n"/>
      <x:c r="D72" s="460"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0" t="n"/>
      <x:c r="B73" s="460" t="n"/>
      <x:c r="C73" s="460" t="n"/>
      <x:c r="D73" s="460"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0" t="n"/>
      <x:c r="B74" s="460" t="n"/>
      <x:c r="C74" s="460" t="n"/>
      <x:c r="D74" s="460"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0" t="n"/>
      <x:c r="B75" s="460" t="n"/>
      <x:c r="C75" s="460" t="n"/>
      <x:c r="D75" s="460"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0" t="n"/>
      <x:c r="B76" s="460" t="n"/>
      <x:c r="C76" s="460" t="n"/>
      <x:c r="D76" s="460"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0" t="n"/>
      <x:c r="B77" s="460" t="n"/>
      <x:c r="C77" s="460" t="n"/>
      <x:c r="D77" s="460"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0" t="n"/>
      <x:c r="B78" s="460" t="n"/>
      <x:c r="C78" s="460" t="n"/>
      <x:c r="D78" s="460"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0" t="n"/>
      <x:c r="B79" s="460" t="n"/>
      <x:c r="C79" s="460" t="n"/>
      <x:c r="D79" s="460"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0" t="n"/>
      <x:c r="B80" s="460" t="n"/>
      <x:c r="C80" s="460" t="n"/>
      <x:c r="D80" s="460"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baseColWidth="8" defaultColWidth="8.66796875" defaultRowHeight="14.25"/>
  <x:cols>
    <x:col min="1" max="1" width="30" style="471" customWidth="1"/>
    <x:col min="2" max="3" width="14" style="471" customWidth="1"/>
    <x:col min="4" max="4" width="60" style="471" customWidth="1"/>
    <x:col min="5" max="5" width="32" style="471" customWidth="1"/>
    <x:col min="6" max="6" width="18" style="497" customWidth="1"/>
    <x:col min="7" max="8" width="16" style="497" customWidth="1"/>
    <x:col min="9" max="9" width="22" style="497" customWidth="1"/>
    <x:col min="10" max="10" width="26" style="497" customWidth="1"/>
  </x:cols>
  <x:sheetData>
    <x:row r="1" s="455" customFormat="1" ht="14.25" customHeight="1">
      <x:c r="A1" s="498" t="inlineStr">
        <x:is>
          <x:t xml:space="preserve">AUDIT FLAGS - FORMULA-DRIVEN SSOT (v3.6)</x:t>
        </x:is>
      </x:c>
    </x:row>
    <x:row r="2" s="455" customFormat="1" ht="14.25" customHeight="1">
      <x:c r="A2" s="475" t="inlineStr">
        <x:is>
          <x:t xml:space="preserve">ALL Triggered cells (B5:B17) are FORMULAS - zero typed values</x:t>
        </x:is>
      </x:c>
    </x:row>
    <x:row r="3" s="455" customFormat="1" ht="14.25" customHeight="1">
      <x:c r="A3" s="477" t="inlineStr">
        <x:is>
          <x:t xml:space="preserve">Manual override detector (B18) catches any tampering</x:t>
        </x:is>
      </x:c>
      <x:c r="B3" s="512" t="n"/>
      <x:c r="C3" s="512" t="n"/>
      <x:c r="D3" s="512" t="n"/>
      <x:c r="E3" s="512" t="n"/>
    </x:row>
    <x:row r="4" s="455" customFormat="1" ht="14.25" customHeight="1">
      <x:c r="A4" s="498" t="inlineStr">
        <x:is>
          <x:t xml:space="preserve">Flag_ID</x:t>
        </x:is>
      </x:c>
      <x:c r="B4" s="498" t="inlineStr">
        <x:is>
          <x:t xml:space="preserve">Triggered</x:t>
        </x:is>
      </x:c>
      <x:c r="C4" s="568" t="inlineStr">
        <x:is>
          <x:t xml:space="preserve">Severity</x:t>
        </x:is>
      </x:c>
      <x:c r="D4" s="498" t="inlineStr">
        <x:is>
          <x:t xml:space="preserve">Description</x:t>
        </x:is>
      </x:c>
      <x:c r="E4" s="498" t="inlineStr">
        <x:is>
          <x:t xml:space="preserve">Formula Logic</x:t>
        </x:is>
      </x:c>
      <x:c r="F4" s="498" t="inlineStr">
        <x:is>
          <x:t xml:space="preserve">Source</x:t>
        </x:is>
      </x:c>
      <x:c r="G4" s="498" t="inlineStr">
        <x:is>
          <x:t xml:space="preserve">Helper_Flag</x:t>
        </x:is>
      </x:c>
      <x:c r="H4" s="498" t="inlineStr">
        <x:is>
          <x:t xml:space="preserve">Helper_Sev</x:t>
        </x:is>
      </x:c>
    </x:row>
    <x:row r="5" s="455" customFormat="1" ht="14.25" customHeight="1">
      <x:c r="A5" s="475" t="inlineStr">
        <x:is>
          <x:t xml:space="preserve">CATASTROPHE_CELL_OMITTED_INVALID</x:t>
        </x:is>
      </x:c>
      <x:c r="B5" s="501" t="str">
        <x:f>IF(AND(CANON!B13=1,CANON!B76&gt;0),"YES","NO")</x:f>
        <x:v>NO</x:v>
      </x:c>
      <x:c r="C5" s="569" t="inlineStr">
        <x:is>
          <x:t xml:space="preserve">INVALID</x:t>
        </x:is>
      </x:c>
      <x:c r="D5" s="475" t="inlineStr">
        <x:is>
          <x:t xml:space="preserve">Any catastrophe cell in C_cat used in TRC loss computation/disclosure is omitted/excluded/not disclosed such that TRC CVaR cannot be independently recomputed (e.g., C_cat blank when TRC active).</x:t>
        </x:is>
      </x:c>
      <x:c r="E5" s="475" t="str">
        <x:f>IF(AND(CANON!$B$13=1,CANON!$B$76&gt;0),"YES","NO")</x:f>
        <x:v>NO</x:v>
      </x:c>
      <x:c r="F5" s="475" t="inlineStr">
        <x:is>
          <x:t xml:space="preserve">CANON!B13,B76</x:t>
        </x:is>
      </x:c>
      <x:c r="G5" s="475" t="str">
        <x:f>IF(B5="YES",A5,"")</x:f>
      </x:c>
      <x:c r="H5" s="475" t="str">
        <x:f>IF(B5="YES",C5,"")</x:f>
      </x:c>
      <x:c r="I5" s="475" t="str">
        <x:f>IF($H5="INVALID",$G5,"")</x:f>
      </x:c>
      <x:c r="J5" s="475" t="str">
        <x:f>IF($H5="ESCALATE",$G5,"")</x:f>
      </x:c>
      <x:c r="K5" s="475" t="str">
        <x:f>IF($H5="REVIEW",$G5,"")</x:f>
      </x:c>
      <x:c r="L5" s="475" t="str">
        <x:f>IF($G5&lt;&gt;"",$G5&amp;" ("&amp;$H5&amp;")","")</x:f>
      </x:c>
    </x:row>
    <x:row r="6" s="455" customFormat="1" ht="14.25" customHeight="1">
      <x:c r="A6" s="475" t="inlineStr">
        <x:is>
          <x:t xml:space="preserve">MANDATORY_TAIL_CATEGORY_MISSING</x:t>
        </x:is>
      </x:c>
      <x:c r="B6" s="501" t="str">
        <x:f>IF(WTSL_Categories!$B$17 &lt; WTSL_Categories!$B$16,"YES","NO")</x:f>
        <x:v>NO</x:v>
      </x:c>
      <x:c r="C6" s="569" t="inlineStr">
        <x:is>
          <x:t xml:space="preserve">ESCALATE</x:t>
        </x:is>
      </x:c>
      <x:c r="D6" s="475" t="inlineStr">
        <x:is>
          <x:t xml:space="preserve">Missing mandatory tail category (required WTSL category not covered at p_floor).</x:t>
        </x:is>
      </x:c>
      <x:c r="E6" s="475" t="str">
        <x:f>IF(WTSL_Categories!$B$17 &lt; WTSL_Categories!$B$16,"YES","NO")</x:f>
        <x:v>NO</x:v>
      </x:c>
      <x:c r="F6" s="475" t="inlineStr">
        <x:is>
          <x:t xml:space="preserve">WTSL_Categories!B16,B17</x:t>
        </x:is>
      </x:c>
      <x:c r="G6" s="475" t="str">
        <x:f>IF(B6="YES",A6,"")</x:f>
      </x:c>
      <x:c r="H6" s="475" t="str">
        <x:f>IF(B6="YES",C6,"")</x:f>
      </x:c>
      <x:c r="I6" s="475" t="str">
        <x:f>IF($H6="INVALID",$G6,"")</x:f>
      </x:c>
      <x:c r="J6" s="475" t="str">
        <x:f>IF($H6="ESCALATE",$G6,"")</x:f>
      </x:c>
      <x:c r="K6" s="475" t="str">
        <x:f>IF($H6="REVIEW",$G6,"")</x:f>
      </x:c>
      <x:c r="L6" s="475" t="str">
        <x:f>IF($G6&lt;&gt;"",$G6&amp;" ("&amp;$H6&amp;")","")</x:f>
      </x:c>
    </x:row>
    <x:row r="7" s="455" customFormat="1" ht="14.25" customHeight="1">
      <x:c r="A7" s="475" t="inlineStr">
        <x:is>
          <x:t xml:space="preserve">CONFIG_DRIFT</x:t>
        </x:is>
      </x:c>
      <x:c r="B7" s="501" t="inlineStr">
        <x:is>
          <x:t xml:space="preserve">NO</x:t>
        </x:is>
      </x:c>
      <x:c r="C7" s="569" t="inlineStr">
        <x:is>
          <x:t xml:space="preserve">INVALID</x:t>
        </x:is>
      </x:c>
      <x:c r="D7" s="475" t="inlineStr">
        <x:is>
          <x:t xml:space="preserve">Config version &lt;&gt; CANON</x:t>
        </x:is>
      </x:c>
      <x:c r="E7" s="475" t="inlineStr">
        <x:is>
          <x:t xml:space="preserve">Config!B2&lt;&gt;CANON!B7</x:t>
        </x:is>
      </x:c>
      <x:c r="F7" s="475" t="inlineStr">
        <x:is>
          <x:t xml:space="preserve">Config!B2</x:t>
        </x:is>
      </x:c>
      <x:c r="G7" s="475" t="n"/>
      <x:c r="H7" s="475" t="n"/>
      <x:c r="I7" s="475" t="n"/>
      <x:c r="J7" s="475" t="n"/>
      <x:c r="K7" s="475" t="n"/>
      <x:c r="L7" s="475" t="n"/>
    </x:row>
    <x:row r="8" s="455" customFormat="1" ht="14.25" customHeight="1">
      <x:c r="A8" s="475" t="inlineStr">
        <x:is>
          <x:t xml:space="preserve">RIGHTS_COUNT_MISMATCH</x:t>
        </x:is>
      </x:c>
      <x:c r="B8" s="501" t="str">
        <x:f>IF(CANON!B38&lt;&gt;8,"YES","NO")</x:f>
        <x:v>NO</x:v>
      </x:c>
      <x:c r="C8" s="569" t="inlineStr">
        <x:is>
          <x:t xml:space="preserve">INVALID</x:t>
        </x:is>
      </x:c>
      <x:c r="D8" s="475" t="inlineStr">
        <x:is>
          <x:t xml:space="preserve">Rights count &lt;&gt; 8</x:t>
        </x:is>
      </x:c>
      <x:c r="E8" s="475" t="inlineStr">
        <x:is>
          <x:t xml:space="preserve">CANON!B38&lt;&gt;8</x:t>
        </x:is>
      </x:c>
      <x:c r="F8" s="475" t="inlineStr">
        <x:is>
          <x:t xml:space="preserve">CANON!B38</x:t>
        </x:is>
      </x:c>
      <x:c r="G8" s="475" t="str">
        <x:f>IF(B8="YES",A8,"")</x:f>
      </x:c>
      <x:c r="H8" s="475" t="str">
        <x:f>IF(B8="YES",C8,"")</x:f>
      </x:c>
      <x:c r="I8" s="475" t="str">
        <x:f>IF($H8="INVALID",$G8,"")</x:f>
      </x:c>
      <x:c r="J8" s="475" t="str">
        <x:f>IF($H8="ESCALATE",$G8,"")</x:f>
      </x:c>
      <x:c r="K8" s="475" t="str">
        <x:f>IF($H8="REVIEW",$G8,"")</x:f>
      </x:c>
      <x:c r="L8" s="475" t="str">
        <x:f>IF($G8&lt;&gt;"",$G8&amp;" ("&amp;$H8&amp;")","")</x:f>
      </x:c>
    </x:row>
    <x:row r="9" s="455" customFormat="1" ht="14.25" customHeight="1">
      <x:c r="A9" s="475" t="inlineStr">
        <x:is>
          <x:t xml:space="preserve">SELECTION_INVALID</x:t>
        </x:is>
      </x:c>
      <x:c r="B9" s="501" t="str">
        <x:f>IF(OR(CANON!B71="",CANON!B71="NONE"),"YES","NO")</x:f>
        <x:v>NO</x:v>
      </x:c>
      <x:c r="C9" s="570" t="inlineStr">
        <x:is>
          <x:t xml:space="preserve">INVALID</x:t>
        </x:is>
      </x:c>
      <x:c r="D9" s="475" t="inlineStr">
        <x:is>
          <x:t xml:space="preserve">No valid selection</x:t>
        </x:is>
      </x:c>
      <x:c r="E9" s="475" t="inlineStr">
        <x:is>
          <x:t xml:space="preserve">SELECTED_OPTION blank</x:t>
        </x:is>
      </x:c>
      <x:c r="F9" s="475" t="inlineStr">
        <x:is>
          <x:t xml:space="preserve">CANON!B71</x:t>
        </x:is>
      </x:c>
      <x:c r="G9" s="475" t="str">
        <x:f>IF(B9="YES",A9,"")</x:f>
      </x:c>
      <x:c r="H9" s="475" t="str">
        <x:f>IF(B9="YES",C9,"")</x:f>
      </x:c>
      <x:c r="I9" s="475" t="str">
        <x:f>IF($H9="INVALID",$G9,"")</x:f>
      </x:c>
      <x:c r="J9" s="475" t="str">
        <x:f>IF($H9="ESCALATE",$G9,"")</x:f>
      </x:c>
      <x:c r="K9" s="475" t="str">
        <x:f>IF($H9="REVIEW",$G9,"")</x:f>
      </x:c>
      <x:c r="L9" s="475" t="str">
        <x:f>IF($G9&lt;&gt;"",$G9&amp;" ("&amp;$H9&amp;")","")</x:f>
      </x:c>
    </x:row>
    <x:row r="10" s="455" customFormat="1" ht="14.25" customHeight="1">
      <x:c r="A10" s="475" t="inlineStr">
        <x:is>
          <x:t xml:space="preserve">TRC_FALLBACK_INVOKED</x:t>
        </x:is>
      </x:c>
      <x:c r="B10" s="501" t="str">
        <x:f>IF(AND(CANON!B67&gt;0,CANON!B68=0),"YES","NO")</x:f>
        <x:v>NO</x:v>
      </x:c>
      <x:c r="C10" s="570" t="inlineStr">
        <x:is>
          <x:t xml:space="preserve">ESCALATE</x:t>
        </x:is>
      </x:c>
      <x:c r="D10" s="475" t="inlineStr">
        <x:is>
          <x:t xml:space="preserve">TRC failed for admissible</x:t>
        </x:is>
      </x:c>
      <x:c r="E10" s="475" t="inlineStr">
        <x:is>
          <x:t xml:space="preserve">A_NCRC&gt;0 AND A_ADM=0</x:t>
        </x:is>
      </x:c>
      <x:c r="F10" s="475" t="inlineStr">
        <x:is>
          <x:t xml:space="preserve">CANON!B67,B68</x:t>
        </x:is>
      </x:c>
      <x:c r="G10" s="475" t="str">
        <x:f>IF(B10="YES",A10,"")</x:f>
      </x:c>
      <x:c r="H10" s="475" t="str">
        <x:f>IF(B10="YES",C10,"")</x:f>
      </x:c>
      <x:c r="I10" s="475" t="str">
        <x:f>IF($H10="INVALID",$G10,"")</x:f>
      </x:c>
      <x:c r="J10" s="475" t="str">
        <x:f>IF($H10="ESCALATE",$G10,"")</x:f>
      </x:c>
      <x:c r="K10" s="475" t="str">
        <x:f>IF($H10="REVIEW",$G10,"")</x:f>
      </x:c>
      <x:c r="L10" s="475" t="str">
        <x:f>IF($G10&lt;&gt;"",$G10&amp;" ("&amp;$H10&amp;")","")</x:f>
      </x:c>
    </x:row>
    <x:row r="11" s="455" customFormat="1" ht="14.25" customHeight="1">
      <x:c r="A11" s="475" t="inlineStr">
        <x:is>
          <x:t xml:space="preserve">EMERGENCY_MODE_INVOKED</x:t>
        </x:is>
      </x:c>
      <x:c r="B11" s="501" t="str">
        <x:f>IF(CANON!B67=0,"YES","NO")</x:f>
        <x:v>NO</x:v>
      </x:c>
      <x:c r="C11" s="570" t="inlineStr">
        <x:is>
          <x:t xml:space="preserve">ESCALATE</x:t>
        </x:is>
      </x:c>
      <x:c r="D11" s="475" t="inlineStr">
        <x:is>
          <x:t xml:space="preserve">No rights-admissible options</x:t>
        </x:is>
      </x:c>
      <x:c r="E11" s="475" t="inlineStr">
        <x:is>
          <x:t xml:space="preserve">A_NCRC_COUNT=0</x:t>
        </x:is>
      </x:c>
      <x:c r="F11" s="475" t="inlineStr">
        <x:is>
          <x:t xml:space="preserve">CANON!B67</x:t>
        </x:is>
      </x:c>
      <x:c r="G11" s="475" t="str">
        <x:f>IF(B11="YES",A11,"")</x:f>
      </x:c>
      <x:c r="H11" s="475" t="str">
        <x:f>IF(B11="YES",C11,"")</x:f>
      </x:c>
      <x:c r="I11" s="475" t="str">
        <x:f>IF($H11="INVALID",$G11,"")</x:f>
      </x:c>
      <x:c r="J11" s="475" t="str">
        <x:f>IF($H11="ESCALATE",$G11,"")</x:f>
      </x:c>
      <x:c r="K11" s="475" t="str">
        <x:f>IF($H11="REVIEW",$G11,"")</x:f>
      </x:c>
      <x:c r="L11" s="475" t="str">
        <x:f>IF($G11&lt;&gt;"",$G11&amp;" ("&amp;$H11&amp;")","")</x:f>
      </x:c>
    </x:row>
    <x:row r="12" s="455" customFormat="1" ht="14.25" customHeight="1">
      <x:c r="A12" s="475" t="inlineStr">
        <x:is>
          <x:t xml:space="preserve">ESCALATION_REQUIRED</x:t>
        </x:is>
      </x:c>
      <x:c r="B12" s="501" t="str">
        <x:f>IF(CANON!B73="YES","YES","NO")</x:f>
        <x:v>NO</x:v>
      </x:c>
      <x:c r="C12" s="570" t="inlineStr">
        <x:is>
          <x:t xml:space="preserve">ESCALATE</x:t>
        </x:is>
      </x:c>
      <x:c r="D12" s="475" t="inlineStr">
        <x:is>
          <x:t xml:space="preserve">Escalation required</x:t>
        </x:is>
      </x:c>
      <x:c r="E12" s="475" t="inlineStr">
        <x:is>
          <x:t xml:space="preserve">CANON!B73=YES</x:t>
        </x:is>
      </x:c>
      <x:c r="F12" s="475" t="inlineStr">
        <x:is>
          <x:t xml:space="preserve">CANON!B73</x:t>
        </x:is>
      </x:c>
      <x:c r="G12" s="475" t="str">
        <x:f>IF(B12="YES",A12,"")</x:f>
      </x:c>
      <x:c r="H12" s="475" t="str">
        <x:f>IF(B12="YES",C12,"")</x:f>
      </x:c>
      <x:c r="I12" s="475" t="str">
        <x:f>IF($H12="INVALID",$G12,"")</x:f>
      </x:c>
      <x:c r="J12" s="475" t="str">
        <x:f>IF($H12="ESCALATE",$G12,"")</x:f>
      </x:c>
      <x:c r="K12" s="475" t="str">
        <x:f>IF($H12="REVIEW",$G12,"")</x:f>
      </x:c>
      <x:c r="L12" s="475" t="str">
        <x:f>IF($G12&lt;&gt;"",$G12&amp;" ("&amp;$H12&amp;")","")</x:f>
      </x:c>
    </x:row>
    <x:row r="13" s="455" customFormat="1" ht="14.25" customHeight="1">
      <x:c r="A13" s="475" t="inlineStr">
        <x:is>
          <x:t xml:space="preserve">SIGMA_MISSING_REQUIRED</x:t>
        </x:is>
      </x:c>
      <x:c r="B13" s="501" t="str">
        <x:f>IF(AND(CANON!$B$10&gt;=2,OR(CANON!$B$137="",CANON!$B$26="",CANON!$B$26&lt;=0)),"YES","NO")</x:f>
        <x:v>NO</x:v>
      </x:c>
      <x:c r="C13" s="571" t="inlineStr">
        <x:is>
          <x:t xml:space="preserve">ESCALATE</x:t>
        </x:is>
      </x:c>
      <x:c r="D13" s="475" t="inlineStr">
        <x:is>
          <x:t xml:space="preserve">Uncertainty σ required for Tier 2+ but missing/invalid (method or sigma_est not declared).</x:t>
        </x:is>
      </x:c>
      <x:c r="E13" s="475" t="str">
        <x:f>IF(AND(CANON!$B$10&gt;=2,OR(CANON!$B$137="",CANON!$B$26="",CANON!$B$26&lt;=0)),"YES","NO")</x:f>
        <x:v>NO</x:v>
      </x:c>
      <x:c r="F13" s="475" t="inlineStr">
        <x:is>
          <x:t xml:space="preserve">CANON!B10,B26,B137</x:t>
        </x:is>
      </x:c>
      <x:c r="G13" s="475" t="str">
        <x:f>IF(B13="YES",A13,"")</x:f>
      </x:c>
      <x:c r="H13" s="475" t="str">
        <x:f>IF(B13="YES",C13,"")</x:f>
      </x:c>
      <x:c r="I13" s="475" t="str">
        <x:f>IF($H13="INVALID",$G13,"")</x:f>
      </x:c>
      <x:c r="J13" s="475" t="str">
        <x:f>IF($H13="ESCALATE",$G13,"")</x:f>
      </x:c>
      <x:c r="K13" s="475" t="str">
        <x:f>IF($H13="REVIEW",$G13,"")</x:f>
      </x:c>
      <x:c r="L13" s="475" t="str">
        <x:f>IF($G13&lt;&gt;"",$G13&amp;" ("&amp;$H13&amp;")","")</x:f>
      </x:c>
    </x:row>
    <x:row r="14" s="455" customFormat="1" ht="14.25" customHeight="1">
      <x:c r="A14" s="475" t="inlineStr">
        <x:is>
          <x:t xml:space="preserve">SUBGROUP_LIMITATION</x:t>
        </x:is>
      </x:c>
      <x:c r="B14" s="501" t="str">
        <x:f>IF(AND(Subgroup_Overrides!B17=0,Subgroup_Analysis!B46=0),"YES","NO")</x:f>
        <x:v>NO</x:v>
      </x:c>
      <x:c r="C14" s="571" t="inlineStr">
        <x:is>
          <x:t xml:space="preserve">REVIEW</x:t>
        </x:is>
      </x:c>
      <x:c r="D14" s="475" t="inlineStr">
        <x:is>
          <x:t xml:space="preserve">No subgroup override entries AND no documented subgroup analysis</x:t>
        </x:is>
      </x:c>
      <x:c r="E14" s="475" t="inlineStr">
        <x:is>
          <x:t xml:space="preserve">Overrides=0 AND analysis_done=0</x:t>
        </x:is>
      </x:c>
      <x:c r="F14" s="475" t="inlineStr">
        <x:is>
          <x:t xml:space="preserve">Subgroup_Overrides!B17 + Subgroup_Analysis!B46</x:t>
        </x:is>
      </x:c>
      <x:c r="G14" s="475" t="str">
        <x:f>IF(B14="YES",A14,"")</x:f>
      </x:c>
      <x:c r="H14" s="475" t="str">
        <x:f>IF(B14="YES",C14,"")</x:f>
      </x:c>
      <x:c r="I14" s="475" t="str">
        <x:f>IF($H14="INVALID",$G14,"")</x:f>
      </x:c>
      <x:c r="J14" s="475" t="str">
        <x:f>IF($H14="ESCALATE",$G14,"")</x:f>
      </x:c>
      <x:c r="K14" s="475" t="str">
        <x:f>IF($H14="REVIEW",$G14,"")</x:f>
      </x:c>
      <x:c r="L14" s="475" t="str">
        <x:f>IF($G14&lt;&gt;"",$G14&amp;" ("&amp;$H14&amp;")","")</x:f>
      </x:c>
    </x:row>
    <x:row r="15" s="455" customFormat="1" ht="14.25" customHeight="1">
      <x:c r="A15" s="475" t="inlineStr">
        <x:is>
          <x:t xml:space="preserve">NONDECISIVE_GAP_REVIEW</x:t>
        </x:is>
      </x:c>
      <x:c r="B15" s="501" t="str">
        <x:f>IF(ABS(CANON!B63-CANON!B64)/SQRT(2*CANON!B26^2+0.000001)&lt;CANON!B22,"YES","NO")</x:f>
        <x:v>YES</x:v>
      </x:c>
      <x:c r="C15" s="571" t="inlineStr">
        <x:is>
          <x:t xml:space="preserve">REVIEW</x:t>
        </x:is>
      </x:c>
      <x:c r="D15" s="475" t="inlineStr">
        <x:is>
          <x:t xml:space="preserve">RLS discrimination band indicates a non-decisive gap; PCC documents judgment-call rationale before selection; requires reviewer attention / monitoring.</x:t>
        </x:is>
      </x:c>
      <x:c r="E15" s="475" t="inlineStr">
        <x:is>
          <x:t xml:space="preserve">RLS!B38=NON-DECISIVE; PCC!B64/B84 documents judgment-call rationale</x:t>
        </x:is>
      </x:c>
      <x:c r="F15" s="475" t="inlineStr">
        <x:is>
          <x:t xml:space="preserve">CANON!B10,RLS!B38,CANON!B94,PCC!B64,PCC!B84</x:t>
        </x:is>
      </x:c>
      <x:c r="G15" s="475" t="str">
        <x:f>IF(B15="YES",A15,"")</x:f>
        <x:v>NONDECISIVE_GAP_REVIEW</x:v>
      </x:c>
      <x:c r="H15" s="475" t="str">
        <x:f>IF(B15="YES",C15,"")</x:f>
        <x:v>REVIEW</x:v>
      </x:c>
      <x:c r="I15" s="475" t="str">
        <x:f>IF($H15="INVALID",$G15,"")</x:f>
      </x:c>
      <x:c r="J15" s="475" t="str">
        <x:f>IF($H15="ESCALATE",$G15,"")</x:f>
      </x:c>
      <x:c r="K15" s="475" t="str">
        <x:f>IF($H15="REVIEW",$G15,"")</x:f>
        <x:v>NONDECISIVE_GAP_REVIEW</x:v>
      </x:c>
      <x:c r="L15" s="475" t="str">
        <x:f>IF($G15&lt;&gt;"",$G15&amp;" ("&amp;$H15&amp;")","")</x:f>
        <x:v>NONDECISIVE_GAP_REVIEW (REVIEW)</x:v>
      </x:c>
    </x:row>
    <x:row r="16" s="455" customFormat="1" ht="14.25" customHeight="1">
      <x:c r="A16" s="475" t="inlineStr">
        <x:is>
          <x:t xml:space="preserve">UCI_SOURCE_UNVERIFIED</x:t>
        </x:is>
      </x:c>
      <x:c r="B16" s="501" t="str">
        <x:f>IF(CANON!B10&gt;=3,"YES","NO")</x:f>
        <x:v>NO</x:v>
      </x:c>
      <x:c r="C16" s="475" t="inlineStr">
        <x:is>
          <x:t xml:space="preserve">REVIEW</x:t>
        </x:is>
      </x:c>
      <x:c r="D16" s="475" t="inlineStr">
        <x:is>
          <x:t xml:space="preserve">UCI unverified (Tier 3+)</x:t>
        </x:is>
      </x:c>
      <x:c r="E16" s="475" t="inlineStr">
        <x:is>
          <x:t xml:space="preserve">TIER&gt;=3</x:t>
        </x:is>
      </x:c>
      <x:c r="F16" s="475" t="inlineStr">
        <x:is>
          <x:t xml:space="preserve">CANON!B10</x:t>
        </x:is>
      </x:c>
      <x:c r="G16" s="475" t="str">
        <x:f>IF(B16="YES",A16,"")</x:f>
      </x:c>
      <x:c r="H16" s="475" t="str">
        <x:f>IF(B16="YES",C16,"")</x:f>
      </x:c>
      <x:c r="I16" s="475" t="str">
        <x:f>IF($H16="INVALID",$G16,"")</x:f>
      </x:c>
      <x:c r="J16" s="475" t="str">
        <x:f>IF($H16="ESCALATE",$G16,"")</x:f>
      </x:c>
      <x:c r="K16" s="475" t="str">
        <x:f>IF($H16="REVIEW",$G16,"")</x:f>
      </x:c>
      <x:c r="L16" s="475" t="str">
        <x:f>IF($G16&lt;&gt;"",$G16&amp;" ("&amp;$H16&amp;")","")</x:f>
      </x:c>
    </x:row>
    <x:row r="17" s="455" customFormat="1" ht="14.25" customHeight="1">
      <x:c r="A17" s="475" t="inlineStr">
        <x:is>
          <x:t xml:space="preserve">SENSITIVITY_NOT_RUN</x:t>
        </x:is>
      </x:c>
      <x:c r="B17" s="501" t="str">
        <x:f>IF(Sensitivity_Analysis!B3="NOT PERFORMED","YES","NO")</x:f>
        <x:v>NO</x:v>
      </x:c>
      <x:c r="C17" s="475" t="inlineStr">
        <x:is>
          <x:t xml:space="preserve">REVIEW</x:t>
        </x:is>
      </x:c>
      <x:c r="D17" s="475" t="inlineStr">
        <x:is>
          <x:t xml:space="preserve">Sensitivity not executed</x:t>
        </x:is>
      </x:c>
      <x:c r="E17" s="475" t="inlineStr">
        <x:is>
          <x:t xml:space="preserve">Status=NOT PERFORMED</x:t>
        </x:is>
      </x:c>
      <x:c r="F17" s="475" t="inlineStr">
        <x:is>
          <x:t xml:space="preserve">Sensitivity_Analysis!B3</x:t>
        </x:is>
      </x:c>
      <x:c r="G17" s="475" t="str">
        <x:f>IF(B17="YES",A17,"")</x:f>
      </x:c>
      <x:c r="H17" s="475" t="str">
        <x:f>IF(B17="YES",C17,"")</x:f>
      </x:c>
      <x:c r="I17" s="475" t="str">
        <x:f>IF($H17="INVALID",$G17,"")</x:f>
      </x:c>
      <x:c r="J17" s="475" t="str">
        <x:f>IF($H17="ESCALATE",$G17,"")</x:f>
      </x:c>
      <x:c r="K17" s="475" t="str">
        <x:f>IF($H17="REVIEW",$G17,"")</x:f>
      </x:c>
      <x:c r="L17" s="475" t="str">
        <x:f>IF($G17&lt;&gt;"",$G17&amp;" ("&amp;$H17&amp;")","")</x:f>
      </x:c>
    </x:row>
    <x:row r="18" s="455" customFormat="1" ht="14.25" customHeight="1">
      <x:c r="A18" s="477" t="inlineStr">
        <x:is>
          <x:t xml:space="preserve">MANUAL_FLAG_OVERRIDE</x:t>
        </x:is>
      </x:c>
      <x:c r="B18" s="501" t="str">
        <x:f>IF(SUMPRODUCT(--((B5:B17&lt;&gt;"YES")*(B5:B17&lt;&gt;"NO")))+SUMPRODUCT(--((B25:B33&lt;&gt;"YES")*(B25:B33&lt;&gt;"NO")))&gt;0,"YES","NO")</x:f>
        <x:v>NO</x:v>
      </x:c>
      <x:c r="C18" s="475" t="inlineStr">
        <x:is>
          <x:t xml:space="preserve">INVALID</x:t>
        </x:is>
      </x:c>
      <x:c r="D18" s="475" t="inlineStr">
        <x:is>
          <x:t xml:space="preserve">Manual override detected</x:t>
        </x:is>
      </x:c>
      <x:c r="E18" s="475" t="inlineStr">
        <x:is>
          <x:t xml:space="preserve">Triggers if any flag trigger cell is not an explicit YES/NO (format break / potential manual overwrite).</x:t>
        </x:is>
      </x:c>
      <x:c r="F18" s="475" t="inlineStr">
        <x:is>
          <x:t xml:space="preserve">Self-check</x:t>
        </x:is>
      </x:c>
      <x:c r="G18" s="475" t="str">
        <x:f>IF(B18="YES",A18,"")</x:f>
      </x:c>
      <x:c r="H18" s="475" t="str">
        <x:f>IF(B18="YES",C18,"")</x:f>
      </x:c>
      <x:c r="I18" s="475" t="str">
        <x:f>IF($H18="INVALID",$G18,"")</x:f>
      </x:c>
      <x:c r="J18" s="475" t="str">
        <x:f>IF($H18="ESCALATE",$G18,"")</x:f>
      </x:c>
      <x:c r="K18" s="475" t="str">
        <x:f>IF($H18="REVIEW",$G18,"")</x:f>
      </x:c>
      <x:c r="L18" s="475" t="str">
        <x:f>IF($G18&lt;&gt;"",$G18&amp;" ("&amp;$H18&amp;")","")</x:f>
      </x:c>
    </x:row>
    <x:row r="19" s="455" customFormat="1" ht="14.25" customHeight="1">
      <x:c r="I19" s="475" t="inlineStr">
        <x:is>
          <x:t xml:space="preserve">ACTIVE_FLAG_DETAILS</x:t>
        </x:is>
      </x:c>
      <x:c r="J19" s="475" t="inlineStr">
        <x:is>
          <x:t xml:space="preserve">NONDECISIVE_GAP_REVIEW (REVIEW)</x:t>
        </x:is>
      </x:c>
    </x:row>
    <x:row r="20" s="455" customFormat="1" ht="14.25" customHeight="1">
      <x:c r="A20" s="498" t="inlineStr">
        <x:is>
          <x:t xml:space="preserve">COMPUTED SUMMARY (COUNTIFS formulas)</x:t>
        </x:is>
      </x:c>
      <x:c r="I20" s="475" t="inlineStr">
        <x:is>
          <x:t xml:space="preserve">INVALID_FLAGS_LIST</x:t>
        </x:is>
      </x:c>
      <x:c r="J20" s="475" t="inlineStr">
        <x:is>
          <x:t xml:space="preserve">(none)</x:t>
        </x:is>
      </x:c>
    </x:row>
    <x:row r="21" s="455" customFormat="1" ht="14.25" customHeight="1">
      <x:c r="A21" s="475" t="inlineStr">
        <x:is>
          <x:t xml:space="preserve">INVALID_COUNT</x:t>
        </x:is>
      </x:c>
      <x:c r="B21" s="503" t="n">
        <x:v>0</x:v>
      </x:c>
      <x:c r="C21" s="475" t="inlineStr">
        <x:is>
          <x:t xml:space="preserve">Formula</x:t>
        </x:is>
      </x:c>
      <x:c r="I21" s="475" t="inlineStr">
        <x:is>
          <x:t xml:space="preserve">ESCALATE_FLAGS_LIST</x:t>
        </x:is>
      </x:c>
      <x:c r="J21" s="475" t="inlineStr">
        <x:is>
          <x:t xml:space="preserve">(none)</x:t>
        </x:is>
      </x:c>
    </x:row>
    <x:row r="22" s="455" customFormat="1" ht="14.25" customHeight="1">
      <x:c r="A22" s="475" t="inlineStr">
        <x:is>
          <x:t xml:space="preserve">ESCALATE_COUNT</x:t>
        </x:is>
      </x:c>
      <x:c r="B22" s="503" t="n">
        <x:v>0</x:v>
      </x:c>
      <x:c r="C22" s="475" t="inlineStr">
        <x:is>
          <x:t xml:space="preserve">Formula</x:t>
        </x:is>
      </x:c>
      <x:c r="I22" s="475" t="inlineStr">
        <x:is>
          <x:t xml:space="preserve">REVIEW_FLAGS_LIST</x:t>
        </x:is>
      </x:c>
      <x:c r="J22" s="475" t="inlineStr">
        <x:is>
          <x:t xml:space="preserve">NONDECISIVE_GAP_REVIEW</x:t>
        </x:is>
      </x:c>
    </x:row>
    <x:row r="23" s="455" customFormat="1" ht="14.25" customHeight="1">
      <x:c r="A23" s="475" t="inlineStr">
        <x:is>
          <x:t xml:space="preserve">REVIEW_COUNT</x:t>
        </x:is>
      </x:c>
      <x:c r="B23" s="503" t="n">
        <x:v>1</x:v>
      </x:c>
      <x:c r="C23" s="475" t="inlineStr">
        <x:is>
          <x:t xml:space="preserve">Formula</x:t>
        </x:is>
      </x:c>
    </x:row>
    <x:row r="24" s="455" customFormat="1" ht="14.25" customHeight="1">
      <x:c r="A24" s="475" t="inlineStr">
        <x:is>
          <x:t xml:space="preserve">TOTAL_ACTIVE</x:t>
        </x:is>
      </x:c>
      <x:c r="B24" s="503" t="n">
        <x:v>1</x:v>
      </x:c>
      <x:c r="C24" s="475" t="inlineStr">
        <x:is>
          <x:t xml:space="preserve">Formula</x:t>
        </x:is>
      </x:c>
    </x:row>
    <x:row r="25" s="455" customFormat="1" ht="13.5" customHeight="1">
      <x:c r="A25" s="505" t="inlineStr">
        <x:is>
          <x:t xml:space="preserve">SCOPE_COVERAGE_REDUCED</x:t>
        </x:is>
      </x:c>
      <x:c r="B25" s="505" t="str">
        <x:f>IF(AND(CANON!B133="REDUCED",OR(CANON!B134="NONE",CANON!B134="")),"YES","NO")</x:f>
        <x:v>NO</x:v>
      </x:c>
      <x:c r="C25" s="505" t="inlineStr">
        <x:is>
          <x:t xml:space="preserve">REVIEW</x:t>
        </x:is>
      </x:c>
      <x:c r="D25" s="505" t="inlineStr">
        <x:is>
          <x:t xml:space="preserve">Reduced-scope used without ScopeCoverage declaration</x:t>
        </x:is>
      </x:c>
      <x:c r="E25" s="505" t="inlineStr">
        <x:is>
          <x:t xml:space="preserve">SCOPE_COVERAGE_MODE=REDUCED AND (OmittedScopes=NONE or blank)</x:t>
        </x:is>
      </x:c>
      <x:c r="F25" s="505" t="inlineStr">
        <x:is>
          <x:t xml:space="preserve">CANON v10.8 fields</x:t>
        </x:is>
      </x:c>
      <x:c r="G25" s="475" t="str">
        <x:f>IF(B25="YES",A25,"")</x:f>
      </x:c>
      <x:c r="H25" s="475" t="str">
        <x:f>IF(B25="YES",C25,"")</x:f>
      </x:c>
      <x:c r="I25" s="475" t="str">
        <x:f>IF($H25="INVALID",$G25,"")</x:f>
      </x:c>
      <x:c r="J25" s="475" t="str">
        <x:f>IF($H25="ESCALATE",$G25,"")</x:f>
      </x:c>
      <x:c r="K25" s="475" t="str">
        <x:f>IF($H25="REVIEW",$G25,"")</x:f>
      </x:c>
      <x:c r="L25" s="475" t="str">
        <x:f>IF($G25&lt;&gt;"",$G25&amp;" ("&amp;$H25&amp;")","")</x:f>
      </x:c>
    </x:row>
    <x:row r="26" s="455" customFormat="1" ht="14.25" customHeight="1">
      <x:c r="A26" s="505" t="inlineStr">
        <x:is>
          <x:t xml:space="preserve">SCI_BELOW_MINIMUM</x:t>
        </x:is>
      </x:c>
      <x:c r="B26" s="505" t="str">
        <x:f>IF(AND(CANON!$B$10&gt;=2,CANON!B130&lt;IF(CANON!$B$10=2,1,IF(CANON!$B$10=3,2,0))),"YES","NO")</x:f>
        <x:v>NO</x:v>
      </x:c>
      <x:c r="C26" s="505" t="inlineStr">
        <x:is>
          <x:t xml:space="preserve">ESCALATE</x:t>
        </x:is>
      </x:c>
      <x:c r="D26" s="505" t="inlineStr">
        <x:is>
          <x:t xml:space="preserve">SCI below tier minimum (Tier 2: SCI≥1; Tier 3: SCI≥2)</x:t>
        </x:is>
      </x:c>
      <x:c r="E26" s="505" t="inlineStr">
        <x:is>
          <x:t xml:space="preserve">TIER&gt;=2 AND SCI_LEVEL &lt; tier_minimum</x:t>
        </x:is>
      </x:c>
      <x:c r="F26" s="505" t="inlineStr">
        <x:is>
          <x:t xml:space="preserve">CANON v10.8 SCI fields</x:t>
        </x:is>
      </x:c>
      <x:c r="G26" s="475" t="str">
        <x:f>IF(B26="YES",A26,"")</x:f>
      </x:c>
      <x:c r="H26" s="475" t="str">
        <x:f>IF(B26="YES",C26,"")</x:f>
      </x:c>
      <x:c r="I26" s="475" t="str">
        <x:f>IF($H26="INVALID",$G26,"")</x:f>
      </x:c>
      <x:c r="J26" s="475" t="str">
        <x:f>IF($H26="ESCALATE",$G26,"")</x:f>
      </x:c>
      <x:c r="K26" s="475" t="str">
        <x:f>IF($H26="REVIEW",$G26,"")</x:f>
      </x:c>
      <x:c r="L26" s="475" t="str">
        <x:f>IF($G26&lt;&gt;"",$G26&amp;" ("&amp;$H26&amp;")","")</x:f>
      </x:c>
    </x:row>
    <x:row r="27" s="455" customFormat="1" ht="14.25" customHeight="1">
      <x:c r="A27" s="505" t="inlineStr">
        <x:is>
          <x:t xml:space="preserve">SCI_AT_MINIMUM_NO_UPGRADE</x:t>
        </x:is>
      </x:c>
      <x:c r="B27" s="505" t="str">
        <x:f>IF(AND(CANON!$B$10&gt;=2,CANON!B130=IF(CANON!$B$10=2,1,IF(CANON!$B$10=3,2,0)),CANON!B131=""),"YES","NO")</x:f>
        <x:v>NO</x:v>
      </x:c>
      <x:c r="C27" s="505" t="inlineStr">
        <x:is>
          <x:t xml:space="preserve">REVIEW</x:t>
        </x:is>
      </x:c>
      <x:c r="D27" s="505" t="inlineStr">
        <x:is>
          <x:t xml:space="preserve">SCI at tier minimum but no NextRunUpgrade action declared</x:t>
        </x:is>
      </x:c>
      <x:c r="E27" s="505" t="inlineStr">
        <x:is>
          <x:t xml:space="preserve">SCI=tier_min AND SCI_NEXT_RUN_UPGRADE blank</x:t>
        </x:is>
      </x:c>
      <x:c r="F27" s="505" t="inlineStr">
        <x:is>
          <x:t xml:space="preserve">CANON v10.8 SCI fields</x:t>
        </x:is>
      </x:c>
      <x:c r="G27" s="475" t="str">
        <x:f>IF(B27="YES",A27,"")</x:f>
      </x:c>
      <x:c r="H27" s="475" t="str">
        <x:f>IF(B27="YES",C27,"")</x:f>
      </x:c>
      <x:c r="I27" s="475" t="str">
        <x:f>IF($H27="INVALID",$G27,"")</x:f>
      </x:c>
      <x:c r="J27" s="475" t="str">
        <x:f>IF($H27="ESCALATE",$G27,"")</x:f>
      </x:c>
      <x:c r="K27" s="475" t="str">
        <x:f>IF($H27="REVIEW",$G27,"")</x:f>
      </x:c>
      <x:c r="L27" s="475" t="str">
        <x:f>IF($G27&lt;&gt;"",$G27&amp;" ("&amp;$H27&amp;")","")</x:f>
      </x:c>
    </x:row>
    <x:row r="28" s="455" customFormat="1" ht="13.5" customHeight="1">
      <x:c r="A28" s="505" t="inlineStr">
        <x:is>
          <x:t xml:space="preserve">UNCERTAINTY_NOT_DECLARED</x:t>
        </x:is>
      </x:c>
      <x:c r="B28" s="505" t="str">
        <x:f>IF(AND(CANON!$B$10&gt;=2,OR(CANON!B137="",CANON!B137=0)),"YES","NO")</x:f>
        <x:v>NO</x:v>
      </x:c>
      <x:c r="C28" s="505" t="inlineStr">
        <x:is>
          <x:t xml:space="preserve">INVALID</x:t>
        </x:is>
      </x:c>
      <x:c r="D28" s="505" t="inlineStr">
        <x:is>
          <x:t xml:space="preserve">Tier 2+ requires uncertainty method (A/B/C) per v10.8</x:t>
        </x:is>
      </x:c>
      <x:c r="E28" s="505" t="inlineStr">
        <x:is>
          <x:t xml:space="preserve">TIER&gt;=2 AND UNCERTAINTY_METHOD blank</x:t>
        </x:is>
      </x:c>
      <x:c r="F28" s="505" t="inlineStr">
        <x:is>
          <x:t xml:space="preserve">CANON v10.8 UNCERTAINTY_METHOD</x:t>
        </x:is>
      </x:c>
      <x:c r="G28" s="475" t="str">
        <x:f>IF(B28="YES",A28,"")</x:f>
      </x:c>
      <x:c r="H28" s="475" t="str">
        <x:f>IF(B28="YES",C28,"")</x:f>
      </x:c>
      <x:c r="I28" s="475" t="str">
        <x:f>IF($H28="INVALID",$G28,"")</x:f>
      </x:c>
      <x:c r="J28" s="475" t="str">
        <x:f>IF($H28="ESCALATE",$G28,"")</x:f>
      </x:c>
      <x:c r="K28" s="475" t="str">
        <x:f>IF($H28="REVIEW",$G28,"")</x:f>
      </x:c>
      <x:c r="L28" s="475" t="str">
        <x:f>IF($G28&lt;&gt;"",$G28&amp;" ("&amp;$H28&amp;")","")</x:f>
      </x:c>
    </x:row>
    <x:row r="29" s="455" customFormat="1" ht="14.25" customHeight="1">
      <x:c r="A29" s="471" t="inlineStr">
        <x:is>
          <x:t xml:space="preserve">EK_NONDEFAULT_TIER2_INVALID</x:t>
        </x:is>
      </x:c>
      <x:c r="B29" s="471" t="str">
        <x:f>IF(AND(CANON!B10=2,COUNTIFS(Impact_Input!A7:A200,"&lt;&gt;",Impact_Input!K7:K200,"&lt;&gt;1")&gt;0),"YES","NO")</x:f>
        <x:v>NO</x:v>
      </x:c>
      <x:c r="C29" s="471" t="inlineStr">
        <x:is>
          <x:t xml:space="preserve">INVALID</x:t>
        </x:is>
      </x:c>
      <x:c r="D29" s="471" t="inlineStr">
        <x:is>
          <x:t xml:space="preserve">Tier 2 run uses e_k ≠ 1.00 without a charter-approved named instrument explicitly declared in the PCC.</x:t>
        </x:is>
      </x:c>
      <x:c r="E29" s="471" t="inlineStr">
        <x:is>
          <x:t xml:space="preserve">Tier=2 AND any nonblank e_k differs from 1.00</x:t>
        </x:is>
      </x:c>
      <x:c r="F29" s="497" t="inlineStr">
        <x:is>
          <x:t xml:space="preserve">Impact_Input!A7:K200</x:t>
        </x:is>
      </x:c>
      <x:c r="G29" s="475" t="str">
        <x:f>IF(B29="YES",A29,"")</x:f>
      </x:c>
      <x:c r="H29" s="475" t="str">
        <x:f>IF(B29="YES",C29,"")</x:f>
      </x:c>
      <x:c r="I29" s="475" t="str">
        <x:f>IF($H29="INVALID",$G29,"")</x:f>
      </x:c>
      <x:c r="J29" s="475" t="str">
        <x:f>IF($H29="ESCALATE",$G29,"")</x:f>
      </x:c>
      <x:c r="K29" s="475" t="str">
        <x:f>IF($H29="REVIEW",$G29,"")</x:f>
      </x:c>
      <x:c r="L29" s="475" t="str">
        <x:f>IF($G29&lt;&gt;"",$G29&amp;" ("&amp;$H29&amp;")","")</x:f>
      </x:c>
    </x:row>
    <x:row r="30" s="455" customFormat="1" ht="14.25" customHeight="1">
      <x:c r="A30" s="471" t="inlineStr">
        <x:is>
          <x:t xml:space="preserve">UNCERTAINTY_PROVENANCE_MISSING</x:t>
        </x:is>
      </x:c>
      <x:c r="B30" s="471" t="str">
        <x:f>IF(AND(CANON!B10&gt;=2,OR(PCC!B27="",PCC!B28="")),"YES","NO")</x:f>
        <x:v>NO</x:v>
      </x:c>
      <x:c r="C30" s="471" t="inlineStr">
        <x:is>
          <x:t xml:space="preserve">INVALID</x:t>
        </x:is>
      </x:c>
      <x:c r="D30" s="471" t="inlineStr">
        <x:is>
          <x:t xml:space="preserve">Required uncertainty method, source, cell-confidence aggregation rule, or calibration table is missing or incomplete for active cells.</x:t>
        </x:is>
      </x:c>
      <x:c r="E30" s="471" t="inlineStr">
        <x:is>
          <x:t xml:space="preserve">Tier 2+ and uncertainty provenance incomplete</x:t>
        </x:is>
      </x:c>
      <x:c r="F30" s="497" t="inlineStr">
        <x:is>
          <x:t xml:space="preserve">PCC!B27:B28</x:t>
        </x:is>
      </x:c>
      <x:c r="G30" s="475" t="str">
        <x:f>IF(B30="YES",A30,"")</x:f>
      </x:c>
      <x:c r="H30" s="475" t="str">
        <x:f>IF(B30="YES",C30,"")</x:f>
      </x:c>
      <x:c r="I30" s="475" t="str">
        <x:f>IF($H30="INVALID",$G30,"")</x:f>
      </x:c>
      <x:c r="J30" s="475" t="str">
        <x:f>IF($H30="ESCALATE",$G30,"")</x:f>
      </x:c>
      <x:c r="K30" s="475" t="str">
        <x:f>IF($H30="REVIEW",$G30,"")</x:f>
      </x:c>
      <x:c r="L30" s="475" t="str">
        <x:f>IF($G30&lt;&gt;"",$G30&amp;" ("&amp;$H30&amp;")","")</x:f>
      </x:c>
    </x:row>
    <x:row r="31" s="455" customFormat="1" ht="14.25" customHeight="1">
      <x:c r="A31" s="497" t="inlineStr">
        <x:is>
          <x:t xml:space="preserve">NORMATIVE_INPUT_PROVENANCE_MISSING</x:t>
        </x:is>
      </x:c>
      <x:c r="B31" s="497" t="str">
        <x:f>IF(OR(PCC!B173&lt;&gt;"YES",COUNTBLANK(PCC!B174:B186)&gt;0),"YES","NO")</x:f>
        <x:v>NO</x:v>
      </x:c>
      <x:c r="C31" s="497" t="inlineStr">
        <x:is>
          <x:t xml:space="preserve">INVALID</x:t>
        </x:is>
      </x:c>
      <x:c r="D31" s="497" t="inlineStr">
        <x:is>
          <x:t xml:space="preserve">Required Normative Input Register is missing or incomplete for decision-material analyst-entered parameters that can steer admissibility, selection, or tie-breaks.</x:t>
        </x:is>
      </x:c>
      <x:c r="E31" s="497" t="inlineStr">
        <x:is>
          <x:t xml:space="preserve">NormativeInputRegister absent/incomplete in PCC Section 18</x:t>
        </x:is>
      </x:c>
      <x:c r="F31" s="497" t="inlineStr">
        <x:is>
          <x:t xml:space="preserve">PCC!B173:B186</x:t>
        </x:is>
      </x:c>
      <x:c r="G31" s="497" t="str">
        <x:f>IF(B31="YES",A31,"")</x:f>
      </x:c>
      <x:c r="H31" s="497" t="str">
        <x:f>IF(B31="YES",C31,"")</x:f>
      </x:c>
      <x:c r="I31" s="497" t="str">
        <x:f>IF($H31="INVALID",$G31,"")</x:f>
      </x:c>
      <x:c r="J31" s="497" t="str">
        <x:f>IF($H31="ESCALATE",$G31,"")</x:f>
      </x:c>
      <x:c r="K31" s="497" t="str">
        <x:f>IF($H31="REVIEW",$G31,"")</x:f>
      </x:c>
      <x:c r="L31" s="497" t="str">
        <x:f>IF($G31&lt;&gt;"",$G31&amp;" ("&amp;$H31&amp;")","")</x:f>
      </x:c>
    </x:row>
    <x:row r="32" s="455" customFormat="1" ht="13.5" customHeight="1">
      <x:c r="A32" s="471" t="inlineStr">
        <x:is>
          <x:t xml:space="preserve">UNCERTAINTY_DECISIVENESS_SENSITIVE</x:t>
        </x:is>
      </x:c>
      <x:c r="B32" s="471" t="inlineStr">
        <x:is>
          <x:t xml:space="preserve">NO</x:t>
        </x:is>
      </x:c>
      <x:c r="C32" s="471" t="inlineStr">
        <x:is>
          <x:t xml:space="preserve">ESCALATE</x:t>
        </x:is>
      </x:c>
      <x:c r="D32" s="471" t="inlineStr">
        <x:is>
          <x:t xml:space="preserve">Required uncertainty stress tests change whether the lead is decisive.</x:t>
        </x:is>
      </x:c>
      <x:c r="E32" s="471" t="inlineStr">
        <x:is>
          <x:t xml:space="preserve">Reserved for Tier 3 / extended uncertainty sensitivity surface</x:t>
        </x:is>
      </x:c>
      <x:c r="F32" s="497" t="inlineStr">
        <x:is>
          <x:t xml:space="preserve">No live stress-test block in worked-run workbook</x:t>
        </x:is>
      </x:c>
      <x:c r="G32" s="475" t="str">
        <x:f>IF(B32="YES",A32,"")</x:f>
      </x:c>
      <x:c r="H32" s="475" t="str">
        <x:f>IF(B32="YES",C32,"")</x:f>
      </x:c>
      <x:c r="I32" s="475" t="str">
        <x:f>IF($H32="INVALID",$G32,"")</x:f>
      </x:c>
      <x:c r="J32" s="475" t="str">
        <x:f>IF($H32="ESCALATE",$G32,"")</x:f>
      </x:c>
      <x:c r="K32" s="475" t="str">
        <x:f>IF($H32="REVIEW",$G32,"")</x:f>
      </x:c>
      <x:c r="L32" s="475" t="str">
        <x:f>IF($G32&lt;&gt;"",$G32&amp;" ("&amp;$H32&amp;")","")</x:f>
      </x:c>
    </x:row>
    <x:row r="33" s="455" customFormat="1" ht="14.25" customHeight="1">
      <x:c r="A33" s="471" t="inlineStr">
        <x:is>
          <x:t xml:space="preserve">PLSS_PROMINENCE_SENSITIVE</x:t>
        </x:is>
      </x:c>
      <x:c r="B33" s="471" t="inlineStr">
        <x:is>
          <x:t xml:space="preserve">NO</x:t>
        </x:is>
      </x:c>
      <x:c r="C33" s="471" t="inlineStr">
        <x:is>
          <x:t xml:space="preserve">ESCALATE</x:t>
        </x:is>
      </x:c>
      <x:c r="D33" s="471" t="inlineStr">
        <x:is>
          <x:t xml:space="preserve">Valid alternative PLSS prominence constructions materially change the ranking order of selectable options or the selected option.</x:t>
        </x:is>
      </x:c>
      <x:c r="E33" s="471" t="inlineStr">
        <x:is>
          <x:t xml:space="preserve">Reserved for extended PLSS sensitivity surface</x:t>
        </x:is>
      </x:c>
      <x:c r="F33" s="497" t="inlineStr">
        <x:is>
          <x:t xml:space="preserve">No alternative prominence reruns in worked-run workbook</x:t>
        </x:is>
      </x:c>
      <x:c r="G33" s="475" t="str">
        <x:f>IF(B33="YES",A33,"")</x:f>
      </x:c>
      <x:c r="H33" s="475" t="str">
        <x:f>IF(B33="YES",C33,"")</x:f>
      </x:c>
      <x:c r="I33" s="475" t="str">
        <x:f>IF($H33="INVALID",$G33,"")</x:f>
      </x:c>
      <x:c r="J33" s="475" t="str">
        <x:f>IF($H33="ESCALATE",$G33,"")</x:f>
      </x:c>
      <x:c r="K33" s="475" t="str">
        <x:f>IF($H33="REVIEW",$G33,"")</x:f>
      </x:c>
      <x:c r="L33" s="475" t="str">
        <x:f>IF($G33&lt;&gt;"",$G33&amp;" ("&amp;$H33&amp;")","")</x:f>
      </x:c>
    </x:row>
    <x:row r="34" s="455" customFormat="1" ht="14.25" customHeight="1">
      <x:c r="A34" s="572" t="inlineStr">
        <x:is>
          <x:t xml:space="preserve">CANON LINK VERIFICATION</x:t>
        </x:is>
      </x:c>
      <x:c r="B34" s="457" t="n"/>
      <x:c r="C34" s="457" t="n"/>
      <x:c r="D34" s="457" t="n"/>
      <x:c r="E34" s="457" t="n"/>
      <x:c r="F34" s="457" t="n"/>
    </x:row>
    <x:row r="35" s="455" customFormat="1" ht="41.25" customHeight="1">
      <x:c r="A35" s="573" t="inlineStr">
        <x:is>
          <x:t xml:space="preserve">CANON!B80 must equal B21</x:t>
        </x:is>
      </x:c>
      <x:c r="B35" s="457" t="n"/>
      <x:c r="C35" s="457" t="n"/>
      <x:c r="D35" s="457" t="n"/>
      <x:c r="E35" s="457" t="n"/>
      <x:c r="F35" s="457" t="n"/>
    </x:row>
    <x:row r="36" s="455" customFormat="1" ht="13.5" customHeight="1">
      <x:c r="A36" s="475" t="inlineStr">
        <x:is>
          <x:t xml:space="preserve">Match:</x:t>
        </x:is>
      </x:c>
    </x:row>
    <x:row r="37"/>
    <x:row r="38" s="455" customFormat="1" ht="28.5" customHeight="1">
      <x:c r="A38" s="471" t="inlineStr">
        <x:is>
          <x:t xml:space="preserve">FLAG TAXONOMY NOTE (v10.8)</x:t>
        </x:is>
      </x:c>
    </x:row>
    <x:row r="39" s="455" customFormat="1" ht="28.5" customHeight="1">
      <x:c r="A39" s="498" t="inlineStr">
        <x:is>
          <x:t xml:space="preserve">This workbook emits two kinds of flags: (1) Canon-aligned audit flags intended to correspond to RippleLogic v10.8 Appendix H.3 reviewer actions, and (2) Tool-local integrity flags that protect the calculator/PCC emitter itself. Tool-local flags are marked TOOL_LOCAL below and SHOULD NOT be interpreted as new RippleLogic normative audit taxonomy.</x:t>
        </x:is>
      </x:c>
    </x:row>
    <x:row r="40" s="455" customFormat="1" ht="14.25" customHeight="1">
      <x:c r="A40" s="475" t="inlineStr">
        <x:is>
          <x:t xml:space="preserve">This workbook emits two kinds of flags: (1) Canon-aligned audit flags intended to correspond to RippleLogic v10.8 Appendix H.3 reviewer actions, and (2) Tool-local integrity flags that protect the calculator/PCC emitter itself. Tool-local flags are marked TOOL_LOCAL below and SHOULD NOT be interpreted as new RippleLogic normative audit taxonomy.</x:t>
        </x:is>
      </x:c>
    </x:row>
    <x:row r="41" s="455" customFormat="1" ht="28.5" customHeight="1"/>
    <x:row r="42" s="455" customFormat="1" ht="28.5" customHeight="1">
      <x:c r="A42" s="574" t="inlineStr">
        <x:is>
          <x:t xml:space="preserve">Flag_ID</x:t>
        </x:is>
      </x:c>
      <x:c r="B42" s="574" t="inlineStr">
        <x:is>
          <x:t xml:space="preserve">Classification</x:t>
        </x:is>
      </x:c>
      <x:c r="C42" s="574" t="inlineStr">
        <x:is>
          <x:t xml:space="preserve">Canonical reference / mapping</x:t>
        </x:is>
      </x:c>
      <x:c r="D42" s="574" t="inlineStr">
        <x:is>
          <x:t xml:space="preserve">Reviewer note</x:t>
        </x:is>
      </x:c>
    </x:row>
    <x:row r="43" s="455" customFormat="1" ht="28.5" customHeight="1">
      <x:c r="A43" s="575" t="inlineStr">
        <x:is>
          <x:t xml:space="preserve">CONFIG_DRIFT</x:t>
        </x:is>
      </x:c>
      <x:c r="B43" s="575" t="inlineStr">
        <x:is>
          <x:t xml:space="preserve">TOOL_LOCAL</x:t>
        </x:is>
      </x:c>
      <x:c r="C43" s="575" t="inlineStr">
        <x:is>
          <x:t xml:space="preserve">(none)</x:t>
        </x:is>
      </x:c>
      <x:c r="D43" s="575" t="inlineStr">
        <x:is>
          <x:t xml:space="preserve">Workbook config/version mismatch; treat as INVALID for this emitter.</x:t>
        </x:is>
      </x:c>
    </x:row>
    <x:row r="44" s="455" customFormat="1" ht="28.5" customHeight="1">
      <x:c r="A44" s="575" t="inlineStr">
        <x:is>
          <x:t xml:space="preserve">RIGHTS_COUNT_MISMATCH</x:t>
        </x:is>
      </x:c>
      <x:c r="B44" s="575" t="inlineStr">
        <x:is>
          <x:t xml:space="preserve">TOOL_LOCAL</x:t>
        </x:is>
      </x:c>
      <x:c r="C44" s="575" t="inlineStr">
        <x:is>
          <x:t xml:space="preserve">(none)</x:t>
        </x:is>
      </x:c>
      <x:c r="D44" s="575" t="inlineStr">
        <x:is>
          <x:t xml:space="preserve">Workbook sanity check; not a RippleLogic audit flag.</x:t>
        </x:is>
      </x:c>
    </x:row>
    <x:row r="45" s="455" customFormat="1" ht="14.25" customHeight="1">
      <x:c r="A45" s="575" t="inlineStr">
        <x:is>
          <x:t xml:space="preserve">SELECTION_INVALID</x:t>
        </x:is>
      </x:c>
      <x:c r="B45" s="575" t="inlineStr">
        <x:is>
          <x:t xml:space="preserve">TOOL_LOCAL</x:t>
        </x:is>
      </x:c>
      <x:c r="C45" s="575" t="inlineStr">
        <x:is>
          <x:t xml:space="preserve">(none)</x:t>
        </x:is>
      </x:c>
      <x:c r="D45" s="575" t="inlineStr">
        <x:is>
          <x:t xml:space="preserve">No selected option; tool integrity failure.</x:t>
        </x:is>
      </x:c>
    </x:row>
    <x:row r="46" s="455" customFormat="1" ht="54.75" customHeight="1">
      <x:c r="A46" s="575" t="inlineStr">
        <x:is>
          <x:t xml:space="preserve">MANUAL_FLAG_OVERRIDE</x:t>
        </x:is>
      </x:c>
      <x:c r="B46" s="575" t="inlineStr">
        <x:is>
          <x:t xml:space="preserve">TOOL_LOCAL</x:t>
        </x:is>
      </x:c>
      <x:c r="C46" s="575" t="inlineStr">
        <x:is>
          <x:t xml:space="preserve">(none)</x:t>
        </x:is>
      </x:c>
      <x:c r="D46" s="575" t="inlineStr">
        <x:is>
          <x:t xml:space="preserve">Manual edits detected in trigger cells; invalidate run output.</x:t>
        </x:is>
      </x:c>
    </x:row>
    <x:row r="47" s="455" customFormat="1" ht="41.25" customHeight="1">
      <x:c r="A47" s="575" t="inlineStr">
        <x:is>
          <x:t xml:space="preserve">NONDECISIVE_GAP_REVIEW</x:t>
        </x:is>
      </x:c>
      <x:c r="B47" s="575" t="inlineStr">
        <x:is>
          <x:t xml:space="preserve">TOOL_LOCAL</x:t>
        </x:is>
      </x:c>
      <x:c r="C47" s="575" t="inlineStr">
        <x:is>
          <x:t xml:space="preserve">Maps to: REVIEW (underdetermined)</x:t>
        </x:is>
      </x:c>
      <x:c r="D47" s="575" t="inlineStr">
        <x:is>
          <x:t xml:space="preserve">Indicates discrimination band / non-decisive gap; triggers reviewer attention.</x:t>
        </x:is>
      </x:c>
    </x:row>
    <x:row r="48" s="455" customFormat="1" ht="41.25" customHeight="1">
      <x:c r="A48" s="575" t="inlineStr">
        <x:is>
          <x:t xml:space="preserve">UCI_SOURCE_UNVERIFIED</x:t>
        </x:is>
      </x:c>
      <x:c r="B48" s="575" t="inlineStr">
        <x:is>
          <x:t xml:space="preserve">TOOL_LOCAL</x:t>
        </x:is>
      </x:c>
      <x:c r="C48" s="575" t="inlineStr">
        <x:is>
          <x:t xml:space="preserve">Maps to: REVIEW (evidence)</x:t>
        </x:is>
      </x:c>
      <x:c r="D48" s="575" t="inlineStr">
        <x:is>
          <x:t xml:space="preserve">Source provenance for UCI/HOI inputs not documented in this workbook.</x:t>
        </x:is>
      </x:c>
    </x:row>
    <x:row r="49" s="455" customFormat="1" ht="27.75" customHeight="1">
      <x:c r="A49" s="575" t="inlineStr">
        <x:is>
          <x:t xml:space="preserve">SENSITIVITY_NOT_RUN</x:t>
        </x:is>
      </x:c>
      <x:c r="B49" s="575" t="inlineStr">
        <x:is>
          <x:t xml:space="preserve">TOOL_LOCAL</x:t>
        </x:is>
      </x:c>
      <x:c r="C49" s="575" t="inlineStr">
        <x:is>
          <x:t xml:space="preserve">Maps to: REVIEW (sensitivity)</x:t>
        </x:is>
      </x:c>
      <x:c r="D49" s="575" t="inlineStr">
        <x:is>
          <x:t xml:space="preserve">Sensitivity analysis not executed or not documented for this run.</x:t>
        </x:is>
      </x:c>
    </x:row>
    <x:row r="50" s="455" customFormat="1" ht="27.75" customHeight="1">
      <x:c r="A50" s="575" t="inlineStr">
        <x:is>
          <x:t xml:space="preserve">SCOPE_COVERAGE_REDUCED</x:t>
        </x:is>
      </x:c>
      <x:c r="B50" s="575" t="inlineStr">
        <x:is>
          <x:t xml:space="preserve">TOOL_LOCAL</x:t>
        </x:is>
      </x:c>
      <x:c r="C50" s="575" t="inlineStr">
        <x:is>
          <x:t xml:space="preserve">Maps to: REVIEW (scope)</x:t>
        </x:is>
      </x:c>
      <x:c r="D50" s="575" t="inlineStr">
        <x:is>
          <x:t xml:space="preserve">Scope coverage reduced; ensure disclosure in PCC.</x:t>
        </x:is>
      </x:c>
    </x:row>
    <x:row r="51"/>
    <x:row r="52" s="455" customFormat="1" ht="14.25" customHeight="1">
      <x:c r="A52" s="471" t="inlineStr">
        <x:is>
          <x:t xml:space="preserve">CANON v10.8 AUDIT-FLAG AWARENESS</x:t>
        </x:is>
      </x:c>
    </x:row>
    <x:row r="53" s="455" customFormat="1" ht="14.25" customHeight="1">
      <x:c r="A53" s="471" t="inlineStr">
        <x:is>
          <x:t xml:space="preserve">CLAIM_EXCEEDS_CLOSURE_BOUNDARY</x:t>
        </x:is>
      </x:c>
      <x:c r="B53" s="471" t="inlineStr">
        <x:is>
          <x:t xml:space="preserve">CANON_ALIGNED_AWARENESS</x:t>
        </x:is>
      </x:c>
      <x:c r="C53" s="471" t="inlineStr">
        <x:is>
          <x:t xml:space="preserve">Maps to: INVALID / claim-boundary review</x:t>
        </x:is>
      </x:c>
      <x:c r="D53" s="471" t="inlineStr">
        <x:is>
          <x:t xml:space="preserve">Flags claims that exceed release closure boundaries such as ProofPack, Tier 4, empirical validation, deployment readiness, legal compliance, completed biological measurement, or current-AI sentience.</x:t>
        </x:is>
      </x:c>
    </x:row>
    <x:row r="54" s="455" customFormat="1" ht="14.25" customHeight="1">
      <x:c r="A54" s="471" t="inlineStr">
        <x:is>
          <x:t xml:space="preserve">CATEGORY_COLLAPSE_FLAG</x:t>
        </x:is>
      </x:c>
      <x:c r="B54" s="471" t="inlineStr">
        <x:is>
          <x:t xml:space="preserve">CANON_ALIGNED_AWARENESS</x:t>
        </x:is>
      </x:c>
      <x:c r="C54" s="471" t="inlineStr">
        <x:is>
          <x:t xml:space="preserve">Maps to: REVIEW / construct-separation review</x:t>
        </x:is>
      </x:c>
      <x:c r="D54" s="471" t="inlineStr">
        <x:is>
          <x:t xml:space="preserve">Flags collapse of Base vs Welfare stream, protection vs authority, compliance vs correctness, reality-grounding status vs evidence trace, or other category boundaries declared by Canon v10.8 and SGP v5.5.</x:t>
        </x:is>
      </x:c>
    </x:row>
    <x:row r="55" s="455" customFormat="1" ht="14.25" customHeight="1">
      <x:c r="A55" s="471" t="inlineStr">
        <x:is>
          <x:t xml:space="preserve">PCC_MATURITY_SURFACE_INCOMPLETE</x:t>
        </x:is>
      </x:c>
      <x:c r="B55" s="471" t="inlineStr">
        <x:is>
          <x:t xml:space="preserve">CANON_ALIGNED_AWARENESS</x:t>
        </x:is>
      </x:c>
      <x:c r="C55" s="471" t="inlineStr">
        <x:is>
          <x:t xml:space="preserve">Maps to: REVIEW / maturity-surface review</x:t>
        </x:is>
      </x:c>
      <x:c r="D55" s="471" t="inlineStr">
        <x:is>
          <x:t xml:space="preserve">Flags missing or incomplete maturity-surface evidence in PCC or companion records for claim-bearing episodes.</x:t>
        </x:is>
      </x:c>
    </x:row>
  </x:sheetData>
  <x:mergeCells>
    <x:mergeCell ref="A34:F34"/>
    <x:mergeCell ref="A35:F35"/>
  </x:mergeCells>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baseColWidth="8" defaultColWidth="8.66796875" defaultRowHeight="12.75"/>
  <x:cols>
    <x:col min="1" max="1" width="28" style="497" customWidth="1"/>
    <x:col min="2" max="2" width="70" style="497" customWidth="1"/>
    <x:col min="3" max="3" width="70" style="497" customWidth="1"/>
  </x:cols>
  <x:sheetData>
    <x:row r="1" s="455" customFormat="1" ht="14.25" customHeight="1">
      <x:c r="A1" s="576" t="inlineStr">
        <x:is>
          <x:t xml:space="preserve">PROVENANCE AND COMPLIANCE CERTIFICATE (PCC)</x:t>
        </x:is>
      </x:c>
      <x:c r="B1" s="457" t="n"/>
      <x:c r="C1" s="457" t="n"/>
      <x:c r="D1" s="457" t="n"/>
      <x:c r="E1" s="457" t="n"/>
      <x:c r="F1" s="457" t="n"/>
      <x:c r="G1" s="457" t="n"/>
      <x:c r="H1" s="457" t="n"/>
      <x:c r="I1" s="457" t="n"/>
      <x:c r="J1" s="457" t="n"/>
    </x:row>
    <x:row r="2" s="455" customFormat="1" ht="13.5" customHeight="1"/>
    <x:row r="3" s="455" customFormat="1" ht="14.25" customHeight="1">
      <x:c r="A3" s="477" t="inlineStr">
        <x:is>
          <x:t xml:space="preserve">SECTION 1: DECISION METADATA</x:t>
        </x:is>
      </x:c>
    </x:row>
    <x:row r="4" s="455" customFormat="1" ht="14.25" customHeight="1">
      <x:c r="A4" s="475" t="inlineStr">
        <x:is>
          <x:t xml:space="preserve">Decision_ID</x:t>
        </x:is>
      </x:c>
      <x:c r="B4" s="475" t="inlineStr">
        <x:is>
          <x:t xml:space="preserve">ORG-2026-001</x:t>
        </x:is>
      </x:c>
    </x:row>
    <x:row r="5" s="455" customFormat="1" ht="14.25" customHeight="1">
      <x:c r="A5" s="475" t="inlineStr">
        <x:is>
          <x:t xml:space="preserve">Decision_Name</x:t>
        </x:is>
      </x:c>
      <x:c r="B5" s="475" t="inlineStr">
        <x:is>
          <x:t xml:space="preserve">Remote Work Policy Implementation</x:t>
        </x:is>
      </x:c>
    </x:row>
    <x:row r="6" s="455" customFormat="1" ht="14.25" customHeight="1">
      <x:c r="A6" s="475" t="inlineStr">
        <x:is>
          <x:t xml:space="preserve">Date</x:t>
        </x:is>
      </x:c>
      <x:c r="B6" s="475" t="inlineStr">
        <x:is>
          <x:t xml:space="preserve">2026-02-01</x:t>
        </x:is>
      </x:c>
    </x:row>
    <x:row r="7" s="455" customFormat="1" ht="14.25" customHeight="1">
      <x:c r="A7" s="475" t="inlineStr">
        <x:is>
          <x:t xml:space="preserve">Evaluator</x:t>
        </x:is>
      </x:c>
      <x:c r="B7" s="475" t="inlineStr">
        <x:is>
          <x:t xml:space="preserve">James McGaughran, Lead Architect, MathGov Institute</x:t>
        </x:is>
      </x:c>
    </x:row>
    <x:row r="8" s="455" customFormat="1" ht="14.25" customHeight="1">
      <x:c r="A8" s="475" t="inlineStr">
        <x:is>
          <x:t xml:space="preserve">Reviewer</x:t>
        </x:is>
      </x:c>
      <x:c r="B8" s="475" t="inlineStr">
        <x:is>
          <x:t xml:space="preserve">Author/release self-review; independent external review not performed for this Tier 2 exemplar.</x:t>
        </x:is>
      </x:c>
    </x:row>
    <x:row r="9" s="455" customFormat="1" ht="14.25" customHeight="1">
      <x:c r="A9" s="475" t="inlineStr">
        <x:is>
          <x:t xml:space="preserve">Tier_Level</x:t>
        </x:is>
      </x:c>
      <x:c r="B9" s="475" t="inlineStr">
        <x:is>
          <x:t xml:space="preserve">2 (Core)</x:t>
        </x:is>
      </x:c>
    </x:row>
    <x:row r="10" s="455" customFormat="1" ht="14.25" customHeight="1">
      <x:c r="A10" s="475" t="inlineStr">
        <x:is>
          <x:t xml:space="preserve">Context_Type</x:t>
        </x:is>
      </x:c>
      <x:c r="B10" s="475" t="inlineStr">
        <x:is>
          <x:t xml:space="preserve">ORG</x:t>
        </x:is>
      </x:c>
    </x:row>
    <x:row r="11" s="455" customFormat="1" ht="14.25" customHeight="1">
      <x:c r="A11" s="475" t="inlineStr">
        <x:is>
          <x:t xml:space="preserve">Sheet_Version</x:t>
        </x:is>
      </x:c>
      <x:c r="B11" s="501" t="inlineStr">
        <x:is>
          <x:t xml:space="preserve">v3.6</x:t>
        </x:is>
      </x:c>
    </x:row>
    <x:row r="12" s="455" customFormat="1" ht="14.25" customHeight="1">
      <x:c r="A12" s="475" t="inlineStr">
        <x:is>
          <x:t xml:space="preserve">Framework_Version</x:t>
        </x:is>
      </x:c>
      <x:c r="B12" s="475" t="inlineStr">
        <x:is>
          <x:t xml:space="preserve">RippleLogic v10.8</x:t>
        </x:is>
      </x:c>
    </x:row>
    <x:row r="13" s="455" customFormat="1" ht="14.25" customHeight="1">
      <x:c r="A13" s="475" t="inlineStr">
        <x:is>
          <x:t xml:space="preserve">SGP_Version</x:t>
        </x:is>
      </x:c>
      <x:c r="B13" s="475" t="inlineStr">
        <x:is>
          <x:t xml:space="preserve">SGP v5.5</x:t>
        </x:is>
      </x:c>
    </x:row>
    <x:row r="14" s="455" customFormat="1" ht="14.25" customHeight="1">
      <x:c r="B14" s="475" t="inlineStr">
        <x:is>
          <x:t xml:space="preserve">YES</x:t>
        </x:is>
      </x:c>
    </x:row>
    <x:row r="15" s="455" customFormat="1" ht="14.25" customHeight="1">
      <x:c r="A15" s="475" t="inlineStr">
        <x:is>
          <x:t xml:space="preserve">CLAIMABLE_RUN</x:t>
        </x:is>
      </x:c>
      <x:c r="B15" s="475" t="inlineStr">
        <x:is>
          <x:t xml:space="preserve">YES (Tier 2 worked-run publishable; deterministic framework selection refused; RealityGroundingStatus operator-declared and release-self-reviewed; not independently verified)</x:t>
        </x:is>
      </x:c>
    </x:row>
    <x:row r="16" s="455" customFormat="1" ht="14.25" customHeight="1">
      <x:c r="A16" s="477" t="inlineStr">
        <x:is>
          <x:t xml:space="preserve">SECTION 2: CONFIGURATION</x:t>
        </x:is>
      </x:c>
    </x:row>
    <x:row r="17" s="455" customFormat="1" ht="14.25" customHeight="1">
      <x:c r="A17" s="475" t="inlineStr">
        <x:is>
          <x:t xml:space="preserve">Weight_Profile</x:t>
        </x:is>
      </x:c>
      <x:c r="B17" s="475" t="str">
        <x:f>IF(Config!B17="PLSS_LOCAL","PLSS_LOCAL (floor-preserving local scope profile)","UNIFORM (1/7 each)")</x:f>
        <x:v>PLSS_LOCAL (floor-preserving local scope profile)</x:v>
      </x:c>
    </x:row>
    <x:row r="18" s="455" customFormat="1" ht="14.25" customHeight="1">
      <x:c r="A18" s="475" t="inlineStr">
        <x:is>
          <x:t xml:space="preserve">Propagation_Mode</x:t>
        </x:is>
      </x:c>
      <x:c r="B18" s="475" t="inlineStr">
        <x:is>
          <x:t xml:space="preserve">NONE</x:t>
        </x:is>
      </x:c>
    </x:row>
    <x:row r="19" s="455" customFormat="1" ht="14.25" customHeight="1">
      <x:c r="A19" s="475" t="inlineStr">
        <x:is>
          <x:t xml:space="preserve">Kernel_Status</x:t>
        </x:is>
      </x:c>
      <x:c r="B19" s="475" t="inlineStr">
        <x:is>
          <x:t xml:space="preserve">Not used</x:t>
        </x:is>
      </x:c>
    </x:row>
    <x:row r="20" s="455" customFormat="1" ht="14.25" customHeight="1">
      <x:c r="A20" s="475" t="inlineStr">
        <x:is>
          <x:t xml:space="preserve">β_saturation</x:t>
        </x:is>
      </x:c>
      <x:c r="B20" s="471" t="n">
        <x:v>2</x:v>
      </x:c>
    </x:row>
    <x:row r="21" s="455" customFormat="1" ht="14.25" customHeight="1">
      <x:c r="A21" s="475" t="inlineStr">
        <x:is>
          <x:t xml:space="preserve">δ_discrimination</x:t>
        </x:is>
      </x:c>
      <x:c r="B21" s="471" t="n">
        <x:v>2</x:v>
      </x:c>
    </x:row>
    <x:row r="22" s="455" customFormat="1" ht="14.25" customHeight="1">
      <x:c r="A22" s="475" t="inlineStr">
        <x:is>
          <x:t xml:space="preserve">τ_c_containment</x:t>
        </x:is>
      </x:c>
      <x:c r="B22" s="471" t="n">
        <x:v>-0.1</x:v>
      </x:c>
    </x:row>
    <x:row r="23" s="455" customFormat="1" ht="14.25" customHeight="1">
      <x:c r="A23" s="475" t="inlineStr">
        <x:is>
          <x:t xml:space="preserve">θ_pos</x:t>
        </x:is>
      </x:c>
      <x:c r="B23" s="471" t="n">
        <x:v>0.05</x:v>
      </x:c>
    </x:row>
    <x:row r="24" s="455" customFormat="1" ht="14.25" customHeight="1">
      <x:c r="A24" s="475" t="inlineStr">
        <x:is>
          <x:t xml:space="preserve">T_ref</x:t>
        </x:is>
      </x:c>
      <x:c r="B24" s="471" t="n">
        <x:v>25</x:v>
      </x:c>
    </x:row>
    <x:row r="25" s="455" customFormat="1" ht="14.25" customHeight="1">
      <x:c r="A25" s="475" t="inlineStr">
        <x:is>
          <x:t xml:space="preserve">α_CVaR</x:t>
        </x:is>
      </x:c>
      <x:c r="B25" s="475" t="n">
        <x:f>CANON!B18</x:f>
        <x:v>0.95</x:v>
      </x:c>
    </x:row>
    <x:row r="26" s="455" customFormat="1" ht="14.25" customHeight="1">
      <x:c r="A26" s="475" t="inlineStr">
        <x:is>
          <x:t xml:space="preserve">τ_TRC</x:t>
        </x:is>
      </x:c>
      <x:c r="B26" s="475" t="n">
        <x:f>CANON!B58</x:f>
        <x:v>0.2</x:v>
      </x:c>
    </x:row>
    <x:row r="27" s="455" customFormat="1" ht="13.5" customHeight="1">
      <x:c r="A27" s="475" t="inlineStr">
        <x:is>
          <x:t xml:space="preserve">Uncertainty_Method</x:t>
        </x:is>
      </x:c>
      <x:c r="B27" s="475" t="inlineStr">
        <x:is>
          <x:t xml:space="preserve">C</x:t>
        </x:is>
      </x:c>
      <x:c r="C27" s="475" t="inlineStr">
        <x:is>
          <x:t xml:space="preserve">Method C worked-run profile: a constant σ exemplar is used for all active welfare cells in this workbook for demonstration and replay clarity. This is a worked-run simplification, not a production-calibrated uncertainty model.</x:t>
        </x:is>
      </x:c>
    </x:row>
    <x:row r="28" s="455" customFormat="1" ht="13.5" customHeight="1">
      <x:c r="A28" s="475" t="inlineStr">
        <x:is>
          <x:t xml:space="preserve">Sigma_AllActiveCells</x:t>
        </x:is>
      </x:c>
      <x:c r="B28" s="475" t="n">
        <x:f>CANON!B26</x:f>
        <x:v>0.02</x:v>
      </x:c>
      <x:c r="C28" s="475" t="inlineStr">
        <x:is>
          <x:t xml:space="preserve">σ used for discrimination band ε/δ checks and nondecisive-gap detection (Tier 2 worked run).</x:t>
        </x:is>
      </x:c>
    </x:row>
    <x:row r="29" s="455" customFormat="1" ht="14.25" customHeight="1">
      <x:c r="A29" s="477" t="inlineStr">
        <x:is>
          <x:t xml:space="preserve">SECTION 3: RIGHTS CONFIGURATION</x:t>
        </x:is>
      </x:c>
    </x:row>
    <x:row r="30" s="455" customFormat="1" ht="14.25" customHeight="1">
      <x:c r="A30" s="475" t="inlineStr">
        <x:is>
          <x:t xml:space="preserve">Rights_Coverage_Version</x:t>
        </x:is>
      </x:c>
      <x:c r="B30" s="475" t="inlineStr">
        <x:is>
          <x:t xml:space="preserve">v10.8 Canonical</x:t>
        </x:is>
      </x:c>
    </x:row>
    <x:row r="31" s="455" customFormat="1" ht="14.25" customHeight="1">
      <x:c r="A31" s="475" t="inlineStr">
        <x:is>
          <x:t xml:space="preserve">Rights_Checked</x:t>
        </x:is>
      </x:c>
      <x:c r="B31" s="475" t="inlineStr">
        <x:is>
          <x:t xml:space="preserve">8 (LIFE,BODY,LBTY,NEED,DIGN,PROC,INFO,ECOL)</x:t>
        </x:is>
      </x:c>
    </x:row>
    <x:row r="32" s="455" customFormat="1" ht="14.25" customHeight="1">
      <x:c r="A32" s="475" t="inlineStr">
        <x:is>
          <x:t xml:space="preserve">Coverage_Sets_Count</x:t>
        </x:is>
      </x:c>
      <x:c r="B32" s="504" t="n">
        <x:v>70</x:v>
      </x:c>
    </x:row>
    <x:row r="33" s="455" customFormat="1" ht="42" customHeight="1">
      <x:c r="A33" s="475" t="inlineStr">
        <x:is>
          <x:t xml:space="preserve">Subgroup_Policy</x:t>
        </x:is>
      </x:c>
      <x:c r="B33" s="475" t="inlineStr">
        <x:is>
          <x:t xml:space="preserve">Conservative subgroup fallback is active by default for negative rights-covered cells: I_rights = MAX(-1, γ_subgroup × I_prop), with explicit values in Subgroup_Overrides taking precedence where documented worst-off impacts exist.</x:t>
        </x:is>
      </x:c>
    </x:row>
    <x:row r="34" s="455" customFormat="1" ht="13.5" customHeight="1">
      <x:c r="A34" s="475" t="inlineStr">
        <x:is>
          <x:t xml:space="preserve">BaselineType_Welfare</x:t>
        </x:is>
      </x:c>
      <x:c r="B34" s="475" t="inlineStr">
        <x:is>
          <x:t xml:space="preserve">STATUS_QUO</x:t>
        </x:is>
      </x:c>
      <x:c r="C34" s="475" t="inlineStr">
        <x:is>
          <x:t xml:space="preserve">Welfare deltas are measured relative to the declared status-quo baseline (not the rights-floor reference).</x:t>
        </x:is>
      </x:c>
    </x:row>
    <x:row r="35" s="455" customFormat="1" ht="13.5" customHeight="1">
      <x:c r="A35" s="475" t="inlineStr">
        <x:is>
          <x:t xml:space="preserve">BaselineReference_Welfare</x:t>
        </x:is>
      </x:c>
      <x:c r="B35" s="475" t="inlineStr">
        <x:is>
          <x:t xml:space="preserve">RL v10.8 Sections 6–9 (welfare deltas) + Appendix P conventions</x:t>
        </x:is>
      </x:c>
      <x:c r="C35" s="475" t="inlineStr">
        <x:is>
          <x:t xml:space="preserve">Explicit declaration for auditability: welfare baseline is STATUS_QUO unless otherwise stated.</x:t>
        </x:is>
      </x:c>
    </x:row>
    <x:row r="36" s="455" customFormat="1" ht="14.25" customHeight="1">
      <x:c r="A36" s="475" t="inlineStr">
        <x:is>
          <x:t xml:space="preserve">BaselineType_Gates</x:t>
        </x:is>
      </x:c>
      <x:c r="B36" s="475" t="inlineStr">
        <x:is>
          <x:t xml:space="preserve">FLOOR_REFERENCE</x:t>
        </x:is>
      </x:c>
      <x:c r="C36" s="475" t="inlineStr">
        <x:is>
          <x:t xml:space="preserve">Rights/catastrophe gating baseline is the rights floor (not status quo).</x:t>
        </x:is>
      </x:c>
    </x:row>
    <x:row r="37" s="455" customFormat="1" ht="14.25" customHeight="1">
      <x:c r="A37" s="475" t="inlineStr">
        <x:is>
          <x:t xml:space="preserve">BaselineReference_Gates</x:t>
        </x:is>
      </x:c>
      <x:c r="B37" s="475" t="inlineStr">
        <x:is>
          <x:t xml:space="preserve">RL v10.8 Section 5.1A</x:t>
        </x:is>
      </x:c>
      <x:c r="C37" s="475" t="inlineStr">
        <x:is>
          <x:t xml:space="preserve">Gate comparisons reference θ_r (rights floors) and declared catastrophe constraints.</x:t>
        </x:is>
      </x:c>
    </x:row>
    <x:row r="38" s="455" customFormat="1" ht="14.25" customHeight="1">
      <x:c r="A38" s="477" t="inlineStr">
        <x:is>
          <x:t xml:space="preserve">SECTION 4: TRC CONFIGURATION</x:t>
        </x:is>
      </x:c>
    </x:row>
    <x:row r="39" s="455" customFormat="1" ht="14.25" customHeight="1">
      <x:c r="A39" s="475" t="inlineStr">
        <x:is>
          <x:t xml:space="preserve">C_cat_Set</x:t>
        </x:is>
      </x:c>
      <x:c r="B39" s="497" t="inlineStr">
        <x:is>
          <x:t xml:space="preserve">C_cat_base = {(U6,D2), (U6,D7), (U7,D7)}.</x:t>
        </x:is>
      </x:c>
    </x:row>
    <x:row r="40" s="455" customFormat="1" ht="14.25" customHeight="1">
      <x:c r="A40" s="475" t="inlineStr">
        <x:is>
          <x:t xml:space="preserve">C_cat_Weights</x:t>
        </x:is>
      </x:c>
      <x:c r="B40" s="475" t="inlineStr">
        <x:is>
          <x:t xml:space="preserve">Declared non-default base-set profile: U6-D2=0.35; U6-D7=0.30; U7-D7=0.35.</x:t>
        </x:is>
      </x:c>
    </x:row>
    <x:row r="41" s="455" customFormat="1" ht="14.25" customHeight="1">
      <x:c r="A41" s="475" t="inlineStr">
        <x:is>
          <x:t xml:space="preserve">C_cat_Extended</x:t>
        </x:is>
      </x:c>
      <x:c r="B41" s="475" t="inlineStr">
        <x:is>
          <x:t xml:space="preserve">NO C_cat extension active.</x:t>
        </x:is>
      </x:c>
    </x:row>
    <x:row r="42" s="455" customFormat="1" ht="14.25" customHeight="1">
      <x:c r="A42" s="475" t="inlineStr">
        <x:is>
          <x:t xml:space="preserve">Scenario_Count</x:t>
        </x:is>
      </x:c>
      <x:c r="B42" s="475" t="inlineStr">
        <x:is>
          <x:t xml:space="preserve">7</x:t>
        </x:is>
      </x:c>
    </x:row>
    <x:row r="43" s="455" customFormat="1" ht="13.5" customHeight="1">
      <x:c r="A43" s="475" t="inlineStr">
        <x:is>
          <x:t xml:space="preserve">All_WTSL_Covered</x:t>
        </x:is>
      </x:c>
      <x:c r="B43" s="475" t="inlineStr">
        <x:is>
          <x:t xml:space="preserve">YES (5/5 mandatory)</x:t>
        </x:is>
      </x:c>
    </x:row>
    <x:row r="44" s="455" customFormat="1" ht="14.25" customHeight="1">
      <x:c r="A44" s="475" t="inlineStr">
        <x:is>
          <x:t xml:space="preserve">All_p_floors_Met</x:t>
        </x:is>
      </x:c>
      <x:c r="B44" s="475" t="str">
        <x:f>IF(WTSL_Categories!$B$17&gt;=WTSL_Categories!$B$16,"YES","NO")</x:f>
        <x:v>YES</x:v>
      </x:c>
    </x:row>
    <x:row r="45"/>
    <x:row r="46" s="455" customFormat="1" ht="14.25" customHeight="1">
      <x:c r="B46" s="475" t="inlineStr">
        <x:is>
          <x:t xml:space="preserve">PASS</x:t>
        </x:is>
      </x:c>
    </x:row>
    <x:row r="47" s="455" customFormat="1" ht="14.25" customHeight="1">
      <x:c r="A47" s="477" t="inlineStr">
        <x:is>
          <x:t xml:space="preserve">SECTION 5: CASCADE RESULTS</x:t>
        </x:is>
      </x:c>
      <x:c r="B47" s="475" t="inlineStr">
        <x:is>
          <x:t xml:space="preserve">PASS</x:t>
        </x:is>
      </x:c>
    </x:row>
    <x:row r="48" s="455" customFormat="1" ht="14.25" customHeight="1">
      <x:c r="A48" s="475" t="inlineStr">
        <x:is>
          <x:t xml:space="preserve">NCRC_Status_A</x:t>
        </x:is>
      </x:c>
      <x:c r="B48" s="504" t="inlineStr">
        <x:is>
          <x:t xml:space="preserve">PASS</x:t>
        </x:is>
      </x:c>
    </x:row>
    <x:row r="49" s="455" customFormat="1" ht="14.25" customHeight="1">
      <x:c r="A49" s="475" t="inlineStr">
        <x:is>
          <x:t xml:space="preserve">NCRC_Status_B</x:t>
        </x:is>
      </x:c>
      <x:c r="B49" s="504" t="inlineStr">
        <x:is>
          <x:t xml:space="preserve">PASS</x:t>
        </x:is>
      </x:c>
    </x:row>
    <x:row r="50" s="455" customFormat="1" ht="14.25" customHeight="1">
      <x:c r="A50" s="475" t="inlineStr">
        <x:is>
          <x:t xml:space="preserve">Emergency_Mode</x:t>
        </x:is>
      </x:c>
      <x:c r="B50" s="560" t="inlineStr">
        <x:is>
          <x:t xml:space="preserve">NOT INVOKED</x:t>
        </x:is>
      </x:c>
    </x:row>
    <x:row r="51" s="455" customFormat="1" ht="14.25" customHeight="1">
      <x:c r="A51" s="475" t="inlineStr">
        <x:is>
          <x:t xml:space="preserve">CVaR_A</x:t>
        </x:is>
      </x:c>
      <x:c r="B51" s="540" t="n">
        <x:v>0.0219</x:v>
      </x:c>
    </x:row>
    <x:row r="52" s="455" customFormat="1" ht="14.25" customHeight="1">
      <x:c r="A52" s="475" t="inlineStr">
        <x:is>
          <x:t xml:space="preserve">CVaR_B</x:t>
        </x:is>
      </x:c>
      <x:c r="B52" s="540" t="n">
        <x:v>0.0315</x:v>
      </x:c>
    </x:row>
    <x:row r="53" s="455" customFormat="1" ht="14.25" customHeight="1">
      <x:c r="A53" s="475" t="inlineStr">
        <x:is>
          <x:t xml:space="preserve">A_adm</x:t>
        </x:is>
      </x:c>
      <x:c r="B53" s="577" t="inlineStr">
        <x:is>
          <x:t xml:space="preserve">{A, B}</x:t>
        </x:is>
      </x:c>
    </x:row>
    <x:row r="54" s="455" customFormat="1" ht="14.25" customHeight="1">
      <x:c r="A54" s="475" t="inlineStr">
        <x:is>
          <x:t xml:space="preserve">TRC_Fallback</x:t>
        </x:is>
      </x:c>
      <x:c r="B54" s="560" t="inlineStr">
        <x:is>
          <x:t xml:space="preserve">NO</x:t>
        </x:is>
      </x:c>
    </x:row>
    <x:row r="55" s="455" customFormat="1" ht="14.25" customHeight="1">
      <x:c r="A55" s="475" t="inlineStr">
        <x:is>
          <x:t xml:space="preserve">Containment_A</x:t>
        </x:is>
      </x:c>
      <x:c r="B55" s="504" t="inlineStr">
        <x:is>
          <x:t xml:space="preserve">Containment proxy diagnostic (Tier-2 exemplar): PASS</x:t>
        </x:is>
      </x:c>
      <x:c r="C55" s="475" t="inlineStr">
        <x:is>
          <x:t xml:space="preserve">Full Containment Mode A is Tier-3 binding per RippleLogic Canon §9; this worked-run displays a Tier-2 union-score diagnostic only.</x:t>
        </x:is>
      </x:c>
    </x:row>
    <x:row r="56" s="455" customFormat="1" ht="14.25" customHeight="1">
      <x:c r="A56" s="475" t="inlineStr">
        <x:is>
          <x:t xml:space="preserve">Containment_B</x:t>
        </x:is>
      </x:c>
      <x:c r="B56" s="504" t="inlineStr">
        <x:is>
          <x:t xml:space="preserve">Containment proxy diagnostic (Tier-2 exemplar): PASS (vacuous)</x:t>
        </x:is>
      </x:c>
      <x:c r="C56" s="475" t="inlineStr">
        <x:is>
          <x:t xml:space="preserve">Full Containment Mode A is Tier-3 binding per RippleLogic Canon §9; this worked-run displays a Tier-2 union-score diagnostic only.</x:t>
        </x:is>
      </x:c>
    </x:row>
    <x:row r="57" s="455" customFormat="1" ht="14.25" customHeight="1">
      <x:c r="A57" s="475" t="inlineStr">
        <x:is>
          <x:t xml:space="preserve">RLS_A</x:t>
        </x:is>
      </x:c>
      <x:c r="B57" s="578" t="n">
        <x:f>CANON!B63</x:f>
        <x:v>0.01531294271682332</x:v>
      </x:c>
    </x:row>
    <x:row r="58" s="455" customFormat="1" ht="13.5" customHeight="1">
      <x:c r="A58" s="475" t="inlineStr">
        <x:is>
          <x:t xml:space="preserve">RLS_B</x:t>
        </x:is>
      </x:c>
      <x:c r="B58" s="578" t="n">
        <x:f>CANON!B64</x:f>
        <x:v>-0.0011223873850524822</x:v>
      </x:c>
    </x:row>
    <x:row r="59" s="455" customFormat="1" ht="14.25" customHeight="1">
      <x:c r="A59" s="475" t="inlineStr">
        <x:is>
          <x:t xml:space="preserve">RLS_Decisive</x:t>
        </x:is>
      </x:c>
      <x:c r="B59" s="475" t="inlineStr">
        <x:is>
          <x:t xml:space="preserve">NO</x:t>
        </x:is>
      </x:c>
    </x:row>
    <x:row r="60"/>
    <x:row r="61" s="455" customFormat="1" ht="14.25" customHeight="1">
      <x:c r="A61" s="497" t="inlineStr">
        <x:is>
          <x:t xml:space="preserve">SECTION 6: DECISION</x:t>
        </x:is>
      </x:c>
      <x:c r="B61" s="471" t="n"/>
    </x:row>
    <x:row r="62" s="455" customFormat="1" ht="14.25" customHeight="1">
      <x:c r="A62" s="477" t="n"/>
      <x:c r="B62" s="471" t="n"/>
    </x:row>
    <x:row r="63" s="455" customFormat="1" ht="14.25" customHeight="1">
      <x:c r="A63" s="475" t="inlineStr">
        <x:is>
          <x:t xml:space="preserve">SECTION 6: DECISION VERDICT AND AUTHORITY SELECTION</x:t>
        </x:is>
      </x:c>
      <x:c r="B63" s="475" t="n"/>
    </x:row>
    <x:row r="64" s="455" customFormat="1" ht="14.25" customHeight="1">
      <x:c r="A64" s="475" t="inlineStr">
        <x:is>
          <x:t xml:space="preserve">Framework_Verdict</x:t>
        </x:is>
      </x:c>
      <x:c r="B64" s="475" t="str">
        <x:f>Verdict_Hardening!B30</x:f>
        <x:v>REFUSE_DETERMINISTIC_SELECTION</x:v>
      </x:c>
      <x:c r="C64" s="497" t="inlineStr">
        <x:is>
          <x:t xml:space="preserve">Multiple admissible options remain and RLS is non-decisive; no unique technical selection is claimed.</x:t>
        </x:is>
      </x:c>
    </x:row>
    <x:row r="65" s="455" customFormat="1" ht="14.25" customHeight="1">
      <x:c r="A65" s="475" t="inlineStr">
        <x:is>
          <x:t xml:space="preserve">Admissible_Option_Set</x:t>
        </x:is>
      </x:c>
      <x:c r="B65" s="559" t="str">
        <x:f>Verdict_Hardening!B31</x:f>
        <x:v>{A, B}</x:v>
      </x:c>
    </x:row>
    <x:row r="66" s="455" customFormat="1" ht="14.25" customHeight="1">
      <x:c r="A66" s="475" t="inlineStr">
        <x:is>
          <x:t xml:space="preserve">Deterministic_Selection_Claim</x:t>
        </x:is>
      </x:c>
      <x:c r="B66" s="475" t="str">
        <x:f>Verdict_Hardening!B32</x:f>
        <x:v>NO</x:v>
      </x:c>
    </x:row>
    <x:row r="67" s="455" customFormat="1" ht="14.25" customHeight="1">
      <x:c r="A67" s="475" t="inlineStr">
        <x:is>
          <x:t xml:space="preserve">AuthoritySelectionRecord</x:t>
        </x:is>
      </x:c>
      <x:c r="B67" s="475" t="inlineStr">
        <x:is>
          <x:t xml:space="preserve">OPTION A</x:t>
        </x:is>
      </x:c>
      <x:c r="C67" s="497" t="inlineStr">
        <x:is>
          <x:t xml:space="preserve">Documented authority/judgment-call selection among admissible options; not a framework-determined unique selection.</x:t>
        </x:is>
      </x:c>
    </x:row>
    <x:row r="68" s="455" customFormat="1" ht="14.25" customHeight="1">
      <x:c r="A68" s="475" t="inlineStr">
        <x:is>
          <x:t xml:space="preserve">Authority_Basis</x:t>
        </x:is>
      </x:c>
      <x:c r="B68" s="475" t="inlineStr">
        <x:is>
          <x:t xml:space="preserve">Tier 2 evaluator judgment under disclosed non-decisive RLS lead</x:t>
        </x:is>
      </x:c>
    </x:row>
    <x:row r="69" s="455" customFormat="1" ht="14.25" customHeight="1">
      <x:c r="A69" s="475" t="inlineStr">
        <x:is>
          <x:t xml:space="preserve">ReviewerRequired</x:t>
        </x:is>
      </x:c>
      <x:c r="B69" s="475" t="inlineStr">
        <x:is>
          <x:t xml:space="preserve">Tier-dependent; independent review optional for this Tier 2 exemplar</x:t>
        </x:is>
      </x:c>
    </x:row>
    <x:row r="70" s="455" customFormat="1" ht="14.25" customHeight="1">
      <x:c r="A70" s="475" t="inlineStr">
        <x:is>
          <x:t xml:space="preserve">DisclosureText</x:t>
        </x:is>
      </x:c>
      <x:c r="B70" s="475" t="inlineStr">
        <x:is>
          <x:t xml:space="preserve">Framework refused deterministic selection; authority selection is separately logged.</x:t>
        </x:is>
      </x:c>
    </x:row>
    <x:row r="71" s="455" customFormat="1" ht="14.25" customHeight="1">
      <x:c r="A71" s="475" t="inlineStr">
        <x:is>
          <x:t xml:space="preserve">Rights_Admissible</x:t>
        </x:is>
      </x:c>
      <x:c r="B71" s="475" t="inlineStr">
        <x:is>
          <x:t xml:space="preserve">{A, B}</x:t>
        </x:is>
      </x:c>
    </x:row>
    <x:row r="72" s="455" customFormat="1" ht="14.25" customHeight="1">
      <x:c r="B72" s="475" t="inlineStr">
        <x:is>
          <x:t xml:space="preserve">YES</x:t>
        </x:is>
      </x:c>
    </x:row>
    <x:row r="73" s="455" customFormat="1" ht="14.25" customHeight="1">
      <x:c r="A73" s="498" t="inlineStr">
        <x:is>
          <x:t xml:space="preserve">SECTION 7: AUDIT FLAGS</x:t>
        </x:is>
      </x:c>
    </x:row>
    <x:row r="74" s="455" customFormat="1" ht="14.25" customHeight="1">
      <x:c r="A74" s="477" t="inlineStr">
        <x:is>
          <x:t xml:space="preserve">Active Flags (INVALID, canon-aligned):</x:t>
        </x:is>
      </x:c>
      <x:c r="B74" s="475" t="n">
        <x:f>Audit_Flags!B21</x:f>
        <x:v>0</x:v>
      </x:c>
    </x:row>
    <x:row r="75" s="455" customFormat="1" ht="14.25" customHeight="1">
      <x:c r="A75" s="475" t="inlineStr">
        <x:is>
          <x:t xml:space="preserve">Active Flags (ESCALATE, canon-aligned):</x:t>
        </x:is>
      </x:c>
      <x:c r="B75" s="475" t="n">
        <x:f>Audit_Flags!B22</x:f>
        <x:v>0</x:v>
      </x:c>
    </x:row>
    <x:row r="76" s="455" customFormat="1" ht="14.25" customHeight="1">
      <x:c r="A76" s="560" t="inlineStr">
        <x:is>
          <x:t xml:space="preserve">Active Flags (REVIEW, canon-aligned):</x:t>
        </x:is>
      </x:c>
      <x:c r="B76" s="475" t="n">
        <x:v>0</x:v>
      </x:c>
      <x:c r="C76" s="475" t="inlineStr">
        <x:is>
          <x:t xml:space="preserve">Mitigation required</x:t>
        </x:is>
      </x:c>
    </x:row>
    <x:row r="77" s="455" customFormat="1" ht="13.5" customHeight="1">
      <x:c r="A77" s="475" t="inlineStr">
        <x:is>
          <x:t xml:space="preserve">Active Flags (REVIEW, tool-local):</x:t>
        </x:is>
      </x:c>
      <x:c r="B77" s="475" t="n">
        <x:v>1</x:v>
      </x:c>
    </x:row>
    <x:row r="78" s="455" customFormat="1" ht="14.25" customHeight="1">
      <x:c r="A78" s="497" t="inlineStr">
        <x:is>
          <x:t xml:space="preserve">Active Flag Details (including TOOL_LOCAL if any):</x:t>
        </x:is>
      </x:c>
      <x:c r="B78" s="475" t="inlineStr">
        <x:is>
          <x:t xml:space="preserve">NONDECISIVE_GAP_REVIEW (TOOL_LOCAL REVIEW)</x:t>
        </x:is>
      </x:c>
    </x:row>
    <x:row r="79" s="455" customFormat="1" ht="12.75" customHeight="1">
      <x:c r="B79" s="497" t="inlineStr">
        <x:is>
          <x:t xml:space="preserve">Note: This review flag requires monitoring/reviewer attention but does not block worked-run publishability unless it triggers a canonical INVALID, ESCALATE, Refusal, or v10 sanity failure.</x:t>
        </x:is>
      </x:c>
    </x:row>
    <x:row r="80" s="455" customFormat="1" ht="13.199999809265137" customHeight="1">
      <x:c r="A80" s="466" t="inlineStr">
        <x:is>
          <x:t xml:space="preserve">SECTION 8: FIVE-SENTENCE PUBLIC RATIONALE (5SPR)</x:t>
        </x:is>
      </x:c>
      <x:c r="B80" s="460" t="n"/>
      <x:c r="C80" s="460" t="n"/>
    </x:row>
    <x:row r="81" s="455" customFormat="1" ht="52.79999923706055" customHeight="1">
      <x:c r="A81" s="508" t="inlineStr">
        <x:is>
          <x:t xml:space="preserve">1. CONTEXT:</x:t>
        </x:is>
      </x:c>
      <x:c r="B81" s="463" t="inlineStr">
        <x:is>
          <x:t xml:space="preserve">Organization evaluating remote work policy (Option A: implement remote; Option B: retain in-office). ORG context, Tier 2.</x:t>
        </x:is>
      </x:c>
      <x:c r="C81" s="460" t="n"/>
    </x:row>
    <x:row r="82" s="455" customFormat="1" ht="39.599998474121094" customHeight="1">
      <x:c r="A82" s="463" t="inlineStr">
        <x:is>
          <x:t xml:space="preserve">2. OPTIONS:</x:t>
        </x:is>
      </x:c>
      <x:c r="B82" s="463" t="inlineStr">
        <x:is>
          <x:t xml:space="preserve">Option A: flexibility, reduced emissions, less cohesion. Option B: team bonds, facility costs, commute burden.</x:t>
        </x:is>
      </x:c>
      <x:c r="C82" s="460" t="n"/>
    </x:row>
    <x:row r="83" s="455" customFormat="1" ht="39.599998474121094" customHeight="1">
      <x:c r="A83" s="463" t="inlineStr">
        <x:is>
          <x:t xml:space="preserve">3. CONSTRAINTS:</x:t>
        </x:is>
      </x:c>
      <x:c r="B83" s="463" t="inlineStr">
        <x:is>
          <x:t xml:space="preserve">Both pass NCRC (8 rights) and TRC (CVaR_A=0.0219, CVaR_B=0.0315 ≤ 0.20). WTSL-AIX voluntary.</x:t>
        </x:is>
      </x:c>
      <x:c r="C83" s="460" t="n"/>
    </x:row>
    <x:row r="84" s="455" customFormat="1" ht="48" customHeight="1">
      <x:c r="A84" s="463" t="inlineStr">
        <x:is>
          <x:t xml:space="preserve">4. SELECTION:</x:t>
        </x:is>
      </x:c>
      <x:c r="B84" s="463" t="inlineStr">
        <x:is>
          <x:t xml:space="preserve">FrameworkVerdict = REFUSE_DETERMINISTIC_SELECTION because A and B remain admissible and the RLS lead is non-decisive. AuthoritySelectionRecord chooses Option A as a documented judgment call; this is not a unique framework-determined selection.</x:t>
        </x:is>
      </x:c>
      <x:c r="C84" s="460" t="n"/>
    </x:row>
    <x:row r="85" s="455" customFormat="1" ht="66" customHeight="1">
      <x:c r="A85" s="463" t="inlineStr">
        <x:is>
          <x:t xml:space="preserve">5. MONITORING:</x:t>
        </x:is>
      </x:c>
      <x:c r="B85" s="463" t="inlineStr">
        <x:is>
          <x:t xml:space="preserve">NCAR quarterly. TOOL_LOCAL REVIEW flags: YES (NONDECISIVE_GAP_REVIEW). Reflect: review cohesion, retention, appeal outcomes, and drift indicators at the scheduled NCAR review date.</x:t>
        </x:is>
      </x:c>
      <x:c r="C85" s="460" t="n"/>
    </x:row>
    <x:row r="86" s="455" customFormat="1" ht="66" customHeight="1">
      <x:c r="A86" s="463" t="inlineStr">
        <x:is>
          <x:t xml:space="preserve">Monitoring (snapshot):</x:t>
        </x:is>
      </x:c>
      <x:c r="B86" s="463" t="inlineStr">
        <x:is>
          <x:t xml:space="preserve">Run NCAR (Notice–Choose–Act–Reflect) monitoring on a 30–90 day cadence, review any REVIEW flags, collect outcome indicators, and record adjustments or mitigations in the PCC log.</x:t>
        </x:is>
      </x:c>
      <x:c r="C86" s="460" t="n"/>
    </x:row>
    <x:row r="87" s="455" customFormat="1" ht="12.75" customHeight="1">
      <x:c r="A87" s="460" t="n"/>
      <x:c r="B87" s="460" t="n"/>
      <x:c r="C87" s="460" t="n"/>
    </x:row>
    <x:row r="88" s="455" customFormat="1" ht="12.75" customHeight="1">
      <x:c r="A88" s="460" t="n"/>
      <x:c r="B88" s="460" t="n"/>
      <x:c r="C88" s="460" t="n"/>
    </x:row>
    <x:row r="89" s="455" customFormat="1" ht="13.199999809265137" customHeight="1">
      <x:c r="A89" s="508" t="inlineStr">
        <x:is>
          <x:t xml:space="preserve">SECTION 9: RISK MITIGATION PLAN</x:t>
        </x:is>
      </x:c>
      <x:c r="B89" s="460" t="n"/>
      <x:c r="C89" s="460" t="n"/>
    </x:row>
    <x:row r="90" s="455" customFormat="1" ht="26.399999618530273" customHeight="1">
      <x:c r="A90" s="463" t="str">
        <x:f>IF(Dashboard!$B$36="YES","Objective: Reduce selected option CVaR ("&amp;TEXT(MIN(TRC!$H$15,TRC!$H$28),"0.000")&amp;") to ≤ τ_TRC ("&amp;TEXT(Config!$B$12,"0.00")&amp;") via mitigation within a defined timeline.","Objective: Maintain CVaR ≤ τ_TRC ("&amp;TEXT(Config!$B$12,"0.00")&amp;") and monitor tail-risk assumptions.")</x:f>
        <x:v>Objective: Maintain CVaR ≤ τ_TRC (0.20) and monitor tail-risk assumptions.</x:v>
      </x:c>
      <x:c r="B90" s="460" t="n"/>
      <x:c r="C90" s="460" t="n"/>
    </x:row>
    <x:row r="91" s="455" customFormat="1" ht="13.199999809265137" customHeight="1">
      <x:c r="A91" s="463" t="inlineStr">
        <x:is>
          <x:t xml:space="preserve">M1</x:t>
        </x:is>
      </x:c>
      <x:c r="B91" s="463" t="inlineStr">
        <x:is>
          <x:t xml:space="preserve">Hybrid work pandemic contingency</x:t>
        </x:is>
      </x:c>
      <x:c r="C91" s="463" t="inlineStr">
        <x:is>
          <x:t xml:space="preserve">Qualitative (Tier-2 exemplar: no numeric CVaR delta claimed)</x:t>
        </x:is>
      </x:c>
    </x:row>
    <x:row r="92" s="455" customFormat="1" ht="13.199999809265137" customHeight="1">
      <x:c r="A92" s="463" t="inlineStr">
        <x:is>
          <x:t xml:space="preserve">M2</x:t>
        </x:is>
      </x:c>
      <x:c r="B92" s="463" t="inlineStr">
        <x:is>
          <x:t xml:space="preserve">Infrastructure backup systems</x:t>
        </x:is>
      </x:c>
      <x:c r="C92" s="463" t="inlineStr">
        <x:is>
          <x:t xml:space="preserve">Qualitative (Tier-2 exemplar: no numeric CVaR delta claimed)</x:t>
        </x:is>
      </x:c>
    </x:row>
    <x:row r="93" s="455" customFormat="1" ht="13.199999809265137" customHeight="1">
      <x:c r="A93" s="463" t="inlineStr">
        <x:is>
          <x:t xml:space="preserve">M3</x:t>
        </x:is>
      </x:c>
      <x:c r="B93" s="463" t="inlineStr">
        <x:is>
          <x:t xml:space="preserve">Community resilience fund</x:t>
        </x:is>
      </x:c>
      <x:c r="C93" s="463" t="inlineStr">
        <x:is>
          <x:t xml:space="preserve">Qualitative (Tier-2 exemplar: no numeric CVaR delta claimed)</x:t>
        </x:is>
      </x:c>
    </x:row>
    <x:row r="94" s="455" customFormat="1" ht="13.199999809265137" customHeight="1">
      <x:c r="A94" s="463" t="inlineStr">
        <x:is>
          <x:t xml:space="preserve">M4</x:t>
        </x:is>
      </x:c>
      <x:c r="B94" s="463" t="inlineStr">
        <x:is>
          <x:t xml:space="preserve">Climate adaptation plan</x:t>
        </x:is>
      </x:c>
      <x:c r="C94" s="463" t="inlineStr">
        <x:is>
          <x:t xml:space="preserve">Qualitative (Tier-2 exemplar: no numeric CVaR delta claimed)</x:t>
        </x:is>
      </x:c>
    </x:row>
    <x:row r="95" s="455" customFormat="1" ht="13.199999809265137" customHeight="1">
      <x:c r="A95" s="463" t="inlineStr">
        <x:is>
          <x:t xml:space="preserve">M5</x:t>
        </x:is>
      </x:c>
      <x:c r="B95" s="463" t="inlineStr">
        <x:is>
          <x:t xml:space="preserve">AI system audit/fallbacks</x:t>
        </x:is>
      </x:c>
      <x:c r="C95" s="463" t="inlineStr">
        <x:is>
          <x:t xml:space="preserve">Qualitative (Tier-2 exemplar: no numeric CVaR delta claimed)</x:t>
        </x:is>
      </x:c>
    </x:row>
    <x:row r="96" s="455" customFormat="1" ht="13.199999809265137" customHeight="1">
      <x:c r="A96" s="463" t="inlineStr">
        <x:is>
          <x:t xml:space="preserve">TOTAL</x:t>
        </x:is>
      </x:c>
      <x:c r="B96" s="463" t="inlineStr">
        <x:is>
          <x:t xml:space="preserve">Tail-risk posture</x:t>
        </x:is>
      </x:c>
      <x:c r="C96" s="463" t="str">
        <x:f>IF(Dashboard!$B$36="YES","Mitigation required (CVaR above τ_TRC).","Headroom = "&amp;TEXT(CANON!$B$106-IF(CANON!$B$71="A",CANON!$B$104,IF(CANON!$B$71="B",CANON!$B$105,"")),"0.000")&amp;" (τ_TRC - CVaR_selected). Monitor assumptions + rerun TRC on change.")</x:f>
        <x:v>Headroom = 0.178 (τ_TRC - CVaR_selected). Monitor assumptions + rerun TRC on change.</x:v>
      </x:c>
      <x:c r="D96" s="475" t="n">
        <x:f>CANON!B106-IF(CANON!B71="A",CANON!B104,CANON!B105)</x:f>
        <x:v>0.1781</x:v>
      </x:c>
    </x:row>
    <x:row r="97" s="455" customFormat="1" ht="26.399999618530273" customHeight="1">
      <x:c r="A97" s="463" t="inlineStr">
        <x:is>
          <x:t xml:space="preserve">Audit_Flags_Active (canon-aligned unless TOOL_LOCAL; see Audit_Flags mapping note)</x:t>
        </x:is>
      </x:c>
      <x:c r="B97" s="463" t="n">
        <x:f>Audit_Flags!$F$2</x:f>
        <x:v>0</x:v>
      </x:c>
      <x:c r="C97" s="460" t="n"/>
    </x:row>
    <x:row r="98" s="455" customFormat="1" ht="12.75" customHeight="1">
      <x:c r="A98" s="460" t="n"/>
      <x:c r="B98" s="460" t="n"/>
      <x:c r="C98" s="460" t="n"/>
    </x:row>
    <x:row r="99" s="455" customFormat="1" ht="13.199999809265137" customHeight="1">
      <x:c r="A99" s="508" t="inlineStr">
        <x:is>
          <x:t xml:space="preserve">SECTION 10: NCAR SCHEDULE</x:t>
        </x:is>
      </x:c>
      <x:c r="B99" s="460" t="n"/>
      <x:c r="C99" s="460" t="n"/>
    </x:row>
    <x:row r="100" s="455" customFormat="1" ht="13.199999809265137" customHeight="1">
      <x:c r="A100" s="463" t="inlineStr">
        <x:is>
          <x:t xml:space="preserve">Notice: Complete (this PCC)</x:t>
        </x:is>
      </x:c>
      <x:c r="B100" s="460" t="n"/>
      <x:c r="C100" s="460" t="n"/>
    </x:row>
    <x:row r="101" s="455" customFormat="1" ht="48" customHeight="1">
      <x:c r="A101" s="463" t="inlineStr">
        <x:is>
          <x:t xml:space="preserve">Choose: Complete - Authority selected Option A after FrameworkVerdict = REFUSE_DETERMINISTIC_SELECTION; admissible option set remained {A, B}.</x:t>
        </x:is>
      </x:c>
      <x:c r="B101" s="463" t="inlineStr">
        <x:is>
          <x:t xml:space="preserve">Authority selected Option A after non-deterministic framework verdict; not a unique cascade selection.</x:t>
        </x:is>
      </x:c>
      <x:c r="C101" s="460" t="n"/>
    </x:row>
    <x:row r="102" s="455" customFormat="1" ht="13.199999809265137" customHeight="1">
      <x:c r="A102" s="463" t="inlineStr">
        <x:is>
          <x:t xml:space="preserve">Act: Begins upon sign-off</x:t>
        </x:is>
      </x:c>
      <x:c r="B102" s="460" t="n"/>
      <x:c r="C102" s="460" t="n"/>
    </x:row>
    <x:row r="103" s="455" customFormat="1" ht="13.199999809265137" customHeight="1">
      <x:c r="A103" s="463" t="inlineStr">
        <x:is>
          <x:t xml:space="preserve">2026-05-11</x:t>
        </x:is>
      </x:c>
      <x:c r="B103" s="460" t="n"/>
      <x:c r="C103" s="460" t="n"/>
    </x:row>
    <x:row r="104" s="455" customFormat="1" ht="13.199999809265137" customHeight="1">
      <x:c r="A104" s="463" t="inlineStr">
        <x:is>
          <x:t xml:space="preserve">Reflect: Scheduled</x:t>
        </x:is>
      </x:c>
      <x:c r="B104" s="507" t="inlineStr">
        <x:is>
          <x:t xml:space="preserve">2026-05-11</x:t>
        </x:is>
      </x:c>
      <x:c r="C104" s="460" t="n"/>
    </x:row>
    <x:row r="105" s="455" customFormat="1" ht="12.75" customHeight="1">
      <x:c r="A105" s="460" t="n"/>
      <x:c r="B105" s="460" t="n"/>
      <x:c r="C105" s="460" t="n"/>
    </x:row>
    <x:row r="106" s="455" customFormat="1" ht="13.5" customHeight="1">
      <x:c r="A106" s="475" t="inlineStr">
        <x:is>
          <x:t xml:space="preserve">SECTION 11: STEWARDSHIP COMPLIANCE (v10.8 Section 14.7, Appendix N)</x:t>
        </x:is>
      </x:c>
    </x:row>
    <x:row r="107" s="455" customFormat="1" ht="30" customHeight="1">
      <x:c r="A107" s="475" t="inlineStr">
        <x:is>
          <x:t xml:space="preserve">Stewardship_Profile</x:t>
        </x:is>
      </x:c>
      <x:c r="B107" s="475" t="inlineStr">
        <x:is>
          <x:t xml:space="preserve">N/A for this worked-run exemplar. No assisting system is acting in a stewardship-relevant role under RippleLogic Canon §14.7 / Appendix N.</x:t>
        </x:is>
      </x:c>
      <x:c r="C107" s="497" t="inlineStr">
        <x:is>
          <x:t xml:space="preserve">This does not narrow the Canon; stewardship may be triggered by role, capability, influence, authority, or deployment context, not merely by AI-agent MODE level.</x:t>
        </x:is>
      </x:c>
    </x:row>
    <x:row r="108" s="455" customFormat="1" ht="30" customHeight="1">
      <x:c r="A108" s="475" t="inlineStr">
        <x:is>
          <x:t xml:space="preserve">Conditional_Stewardship_Active</x:t>
        </x:is>
      </x:c>
      <x:c r="B108" s="475" t="inlineStr">
        <x:is>
          <x:t xml:space="preserve">FALSE</x:t>
        </x:is>
      </x:c>
      <x:c r="C108" s="475" t="inlineStr">
        <x:is>
          <x:t xml:space="preserve">For this worked-run exemplar, no assisting system is acting in a stewardship-relevant role. This is not a general rule that stewardship applies only to AI-agent MODE 2+ deployments.</x:t>
        </x:is>
      </x:c>
    </x:row>
    <x:row r="109" s="455" customFormat="1" ht="15" customHeight="1">
      <x:c r="A109" s="475" t="inlineStr">
        <x:is>
          <x:t xml:space="preserve">Stewardship_Note</x:t>
        </x:is>
      </x:c>
      <x:c r="B109" s="475" t="inlineStr">
        <x:is>
          <x:t xml:space="preserve">No stewardship authority is evaluated or claimed in this worked-run. Low or absent stewardship readiness does not reduce protection, rights, or moral-patient standing.</x:t>
        </x:is>
      </x:c>
    </x:row>
    <x:row r="110" s="455" customFormat="1" ht="13.5" customHeight="1"/>
    <x:row r="111" s="455" customFormat="1" ht="13.5" customHeight="1">
      <x:c r="A111" s="579" t="inlineStr">
        <x:is>
          <x:t xml:space="preserve">SECTION 12: SCOPE COVERAGE (v10.8)</x:t>
        </x:is>
      </x:c>
    </x:row>
    <x:row r="112" s="455" customFormat="1" ht="13.5" customHeight="1">
      <x:c r="A112" s="505" t="inlineStr">
        <x:is>
          <x:t xml:space="preserve">ScopeCoverage.Mode</x:t>
        </x:is>
      </x:c>
      <x:c r="B112" s="505" t="str">
        <x:f>CANON!B133</x:f>
        <x:v>FULL</x:v>
      </x:c>
      <x:c r="C112" s="580" t="inlineStr">
        <x:is>
          <x:t xml:space="preserve">FULL or REDUCED</x:t>
        </x:is>
      </x:c>
    </x:row>
    <x:row r="113" s="455" customFormat="1" ht="13.5" customHeight="1">
      <x:c r="A113" s="505" t="inlineStr">
        <x:is>
          <x:t xml:space="preserve">ScopeCoverage.ActiveScopes</x:t>
        </x:is>
      </x:c>
      <x:c r="B113" s="505" t="str">
        <x:f>CANON!B134</x:f>
        <x:v>U1,U2,U3,U4,U5,U6,U7</x:v>
      </x:c>
      <x:c r="C113" s="581" t="n"/>
    </x:row>
    <x:row r="114" s="455" customFormat="1" ht="13.5" customHeight="1">
      <x:c r="A114" s="505" t="inlineStr">
        <x:is>
          <x:t xml:space="preserve">ScopeCoverage.OmittedScopes</x:t>
        </x:is>
      </x:c>
      <x:c r="B114" s="505" t="str">
        <x:f>CANON!B135</x:f>
        <x:v>NONE</x:v>
      </x:c>
      <x:c r="C114" s="581" t="n"/>
    </x:row>
    <x:row r="115" s="455" customFormat="1" ht="13.5" customHeight="1">
      <x:c r="A115" s="505" t="inlineStr">
        <x:is>
          <x:t xml:space="preserve">ScopeCoverage.OmissionRationale</x:t>
        </x:is>
      </x:c>
      <x:c r="B115" s="505" t="inlineStr">
        <x:is>
          <x:t xml:space="preserve">N/A (all scopes active)</x:t>
        </x:is>
      </x:c>
      <x:c r="C115" s="581" t="n"/>
    </x:row>
    <x:row r="116" s="455" customFormat="1" ht="14.25" customHeight="1">
      <x:c r="A116" s="505" t="inlineStr">
        <x:is>
          <x:t xml:space="preserve">ScopeCoverage.BlindSpotStatement</x:t>
        </x:is>
      </x:c>
      <x:c r="B116" s="505" t="inlineStr">
        <x:is>
          <x:t xml:space="preserve">No known blind spots for Tier 2 ORG context. Biosphere and cosmic pathways are minimal for this decision scope.</x:t>
        </x:is>
      </x:c>
      <x:c r="C116" s="581" t="n"/>
    </x:row>
    <x:row r="117" s="455" customFormat="1" ht="13.5" customHeight="1">
      <x:c r="A117" s="505" t="inlineStr">
        <x:is>
          <x:t xml:space="preserve">ScopeCoverage.EscalationTrigger</x:t>
        </x:is>
      </x:c>
      <x:c r="B117" s="505" t="inlineStr">
        <x:is>
          <x:t xml:space="preserve">Rerun if externalities beyond ORG scope are identified (e.g., supply chain, biosphere pathway).</x:t>
        </x:is>
      </x:c>
      <x:c r="C117" s="581" t="n"/>
    </x:row>
    <x:row r="118" s="455" customFormat="1" ht="13.5" customHeight="1"/>
    <x:row r="119" s="455" customFormat="1" ht="14.25" customHeight="1">
      <x:c r="A119" s="582" t="inlineStr">
        <x:is>
          <x:t xml:space="preserve">ADMISSIBILITY GUARD (v10.8 Section 2.2A):</x:t>
        </x:is>
      </x:c>
    </x:row>
    <x:row r="120" s="455" customFormat="1" ht="15" customHeight="1">
      <x:c r="A120" s="580" t="inlineStr">
        <x:is>
          <x:t xml:space="preserve">Reduced-scope mode SHALL NOT remove any non-maskable cells or required scope rows from NCRC, TRC, or Containment computation.</x:t>
        </x:is>
      </x:c>
    </x:row>
    <x:row r="121" s="455" customFormat="1" ht="13.5" customHeight="1"/>
    <x:row r="122" s="455" customFormat="1" ht="13.5" customHeight="1">
      <x:c r="A122" s="579" t="inlineStr">
        <x:is>
          <x:t xml:space="preserve">SECTION 13: INSTANCE MAP (v10.8)</x:t>
        </x:is>
      </x:c>
    </x:row>
    <x:row r="123" s="455" customFormat="1" ht="14.25" customHeight="1">
      <x:c r="A123" s="580" t="inlineStr">
        <x:is>
          <x:t xml:space="preserve">Reference: RippleLogic v10.8 Section 2.2A + Appendix H</x:t>
        </x:is>
      </x:c>
      <x:c r="B123" s="475" t="inlineStr">
        <x:is>
          <x:t xml:space="preserve">Reference: RippleLogic v10.8 Section 2.2A + Appendix H</x:t>
        </x:is>
      </x:c>
    </x:row>
    <x:row r="124" s="455" customFormat="1" ht="13.5" customHeight="1">
      <x:c r="A124" s="580" t="inlineStr">
        <x:is>
          <x:t xml:space="preserve">Tier 2: REQUIRED when mapping triggers hold; otherwise recommended</x:t>
        </x:is>
      </x:c>
    </x:row>
    <x:row r="125" s="455" customFormat="1" ht="13.5" customHeight="1"/>
    <x:row r="126" s="455" customFormat="1" ht="13.5" customHeight="1">
      <x:c r="A126" s="583" t="inlineStr">
        <x:is>
          <x:t xml:space="preserve">instance_id</x:t>
        </x:is>
      </x:c>
      <x:c r="B126" s="583" t="inlineStr">
        <x:is>
          <x:t xml:space="preserve">instance_label</x:t>
        </x:is>
      </x:c>
      <x:c r="C126" s="583" t="inlineStr">
        <x:is>
          <x:t xml:space="preserve">stakeholder_class</x:t>
        </x:is>
      </x:c>
      <x:c r="D126" s="583" t="inlineStr">
        <x:is>
          <x:t xml:space="preserve">role_context</x:t>
        </x:is>
      </x:c>
      <x:c r="E126" s="583" t="inlineStr">
        <x:is>
          <x:t xml:space="preserve">mapped_scopes</x:t>
        </x:is>
      </x:c>
      <x:c r="F126" s="583" t="inlineStr">
        <x:is>
          <x:t xml:space="preserve">mapping_rationale</x:t>
        </x:is>
      </x:c>
      <x:c r="G126" s="583" t="inlineStr">
        <x:is>
          <x:t xml:space="preserve">rights_exposure</x:t>
        </x:is>
      </x:c>
      <x:c r="H126" s="583" t="inlineStr">
        <x:is>
          <x:t xml:space="preserve">redundancy_method</x:t>
        </x:is>
      </x:c>
    </x:row>
    <x:row r="127" s="455" customFormat="1" ht="13.5" customHeight="1">
      <x:c r="A127" s="505" t="inlineStr">
        <x:is>
          <x:t xml:space="preserve">INST-01</x:t>
        </x:is>
      </x:c>
      <x:c r="B127" s="505" t="inlineStr">
        <x:is>
          <x:t xml:space="preserve">Office employees (current)</x:t>
        </x:is>
      </x:c>
      <x:c r="C127" s="505" t="inlineStr">
        <x:is>
          <x:t xml:space="preserve">Individual</x:t>
        </x:is>
      </x:c>
      <x:c r="D127" s="505" t="inlineStr">
        <x:is>
          <x:t xml:space="preserve">Employee, direct impact</x:t>
        </x:is>
      </x:c>
      <x:c r="E127" s="505" t="inlineStr">
        <x:is>
          <x:t xml:space="preserve">U1, U3</x:t>
        </x:is>
      </x:c>
      <x:c r="F127" s="505" t="inlineStr">
        <x:is>
          <x:t xml:space="preserve">Primary affected class; Self + Community scope</x:t>
        </x:is>
      </x:c>
      <x:c r="G127" s="505" t="inlineStr">
        <x:is>
          <x:t xml:space="preserve">LBTY (U1-D5), DIGN (U1-D3)</x:t>
        </x:is>
      </x:c>
      <x:c r="H127" s="505" t="inlineStr">
        <x:is>
          <x:t xml:space="preserve">N/A</x:t>
        </x:is>
      </x:c>
    </x:row>
    <x:row r="128" s="455" customFormat="1" ht="13.5" customHeight="1">
      <x:c r="A128" s="505" t="inlineStr">
        <x:is>
          <x:t xml:space="preserve">INST-02</x:t>
        </x:is>
      </x:c>
      <x:c r="B128" s="505" t="inlineStr">
        <x:is>
          <x:t xml:space="preserve">Employee households</x:t>
        </x:is>
      </x:c>
      <x:c r="C128" s="505" t="inlineStr">
        <x:is>
          <x:t xml:space="preserve">Household</x:t>
        </x:is>
      </x:c>
      <x:c r="D128" s="505" t="inlineStr">
        <x:is>
          <x:t xml:space="preserve">Family members, indirect</x:t>
        </x:is>
      </x:c>
      <x:c r="E128" s="505" t="inlineStr">
        <x:is>
          <x:t xml:space="preserve">U2</x:t>
        </x:is>
      </x:c>
      <x:c r="F128" s="505" t="inlineStr">
        <x:is>
          <x:t xml:space="preserve">Household scope: income, commute, family time</x:t>
        </x:is>
      </x:c>
      <x:c r="G128" s="505" t="inlineStr">
        <x:is>
          <x:t xml:space="preserve">NEED (U2-D1)</x:t>
        </x:is>
      </x:c>
      <x:c r="H128" s="505" t="inlineStr">
        <x:is>
          <x:t xml:space="preserve">N/A</x:t>
        </x:is>
      </x:c>
    </x:row>
    <x:row r="129" s="455" customFormat="1" ht="13.5" customHeight="1">
      <x:c r="A129" s="505" t="inlineStr">
        <x:is>
          <x:t xml:space="preserve">INST-03</x:t>
        </x:is>
      </x:c>
      <x:c r="B129" s="505" t="inlineStr">
        <x:is>
          <x:t xml:space="preserve">Team/department cohesion</x:t>
        </x:is>
      </x:c>
      <x:c r="C129" s="505" t="inlineStr">
        <x:is>
          <x:t xml:space="preserve">Community</x:t>
        </x:is>
      </x:c>
      <x:c r="D129" s="505" t="inlineStr">
        <x:is>
          <x:t xml:space="preserve">Organizational community</x:t>
        </x:is>
      </x:c>
      <x:c r="E129" s="505" t="inlineStr">
        <x:is>
          <x:t xml:space="preserve">U3</x:t>
        </x:is>
      </x:c>
      <x:c r="F129" s="505" t="inlineStr">
        <x:is>
          <x:t xml:space="preserve">Community social fabric affected</x:t>
        </x:is>
      </x:c>
      <x:c r="G129" s="505" t="inlineStr">
        <x:is>
          <x:t xml:space="preserve">LBTY (U3-D3), DIGN (U3-D3)</x:t>
        </x:is>
      </x:c>
      <x:c r="H129" s="505" t="inlineStr">
        <x:is>
          <x:t xml:space="preserve">N/A</x:t>
        </x:is>
      </x:c>
    </x:row>
    <x:row r="130" s="455" customFormat="1" ht="14.25" customHeight="1">
      <x:c r="A130" s="505" t="inlineStr">
        <x:is>
          <x:t xml:space="preserve">INST-04</x:t>
        </x:is>
      </x:c>
      <x:c r="B130" s="505" t="inlineStr">
        <x:is>
          <x:t xml:space="preserve">Organization operations</x:t>
        </x:is>
      </x:c>
      <x:c r="C130" s="505" t="inlineStr">
        <x:is>
          <x:t xml:space="preserve">Organization</x:t>
        </x:is>
      </x:c>
      <x:c r="D130" s="505" t="inlineStr">
        <x:is>
          <x:t xml:space="preserve">Employer, decision owner</x:t>
        </x:is>
      </x:c>
      <x:c r="E130" s="505" t="inlineStr">
        <x:is>
          <x:t xml:space="preserve">U4</x:t>
        </x:is>
      </x:c>
      <x:c r="F130" s="505" t="inlineStr">
        <x:is>
          <x:t xml:space="preserve">Organizational scope: costs, productivity</x:t>
        </x:is>
      </x:c>
      <x:c r="G130" s="505" t="inlineStr">
        <x:is>
          <x:t xml:space="preserve">PROC (U4-D5)</x:t>
        </x:is>
      </x:c>
      <x:c r="H130" s="505" t="inlineStr">
        <x:is>
          <x:t xml:space="preserve">N/A</x:t>
        </x:is>
      </x:c>
    </x:row>
    <x:row r="131" s="455" customFormat="1" ht="13.5" customHeight="1">
      <x:c r="A131" s="505" t="inlineStr">
        <x:is>
          <x:t xml:space="preserve">INST-05</x:t>
        </x:is>
      </x:c>
      <x:c r="B131" s="505" t="inlineStr">
        <x:is>
          <x:t xml:space="preserve">Local service economy</x:t>
        </x:is>
      </x:c>
      <x:c r="C131" s="505" t="inlineStr">
        <x:is>
          <x:t xml:space="preserve">Community</x:t>
        </x:is>
      </x:c>
      <x:c r="D131" s="505" t="inlineStr">
        <x:is>
          <x:t xml:space="preserve">External community, indirect</x:t>
        </x:is>
      </x:c>
      <x:c r="E131" s="505" t="inlineStr">
        <x:is>
          <x:t xml:space="preserve">U3, U5</x:t>
        </x:is>
      </x:c>
      <x:c r="F131" s="505" t="inlineStr">
        <x:is>
          <x:t xml:space="preserve">Cross-scope: local businesses affected by commuter reduction</x:t>
        </x:is>
      </x:c>
      <x:c r="G131" s="505" t="inlineStr">
        <x:is>
          <x:t xml:space="preserve">NEED (U3-D1)</x:t>
        </x:is>
      </x:c>
      <x:c r="H131" s="505" t="inlineStr">
        <x:is>
          <x:t xml:space="preserve">EMERGENT_SCALE_JUSTIFICATION</x:t>
        </x:is>
      </x:c>
    </x:row>
    <x:row r="132" s="455" customFormat="1" ht="13.5" customHeight="1"/>
    <x:row r="133" s="455" customFormat="1" ht="14.25" customHeight="1">
      <x:c r="A133" s="582" t="inlineStr">
        <x:is>
          <x:t xml:space="preserve">BRIDGE NOTE (v10.8 Section 5.2):</x:t>
        </x:is>
      </x:c>
    </x:row>
    <x:row r="134" s="455" customFormat="1" ht="15" customHeight="1">
      <x:c r="A134" s="580" t="inlineStr">
        <x:is>
          <x:t xml:space="preserve">InstanceMap specifies who is represented (stakeholders-in-context). Impact instances k∈𝓘(u,d,a) specify how impacts occur (pathways) within a Scope×Dimension cell. These are distinct objects and MUST NOT be conflated.</x:t>
        </x:is>
      </x:c>
    </x:row>
    <x:row r="135" s="455" customFormat="1" ht="13.5" customHeight="1"/>
    <x:row r="136" s="455" customFormat="1" ht="13.5" customHeight="1">
      <x:c r="A136" s="579" t="inlineStr">
        <x:is>
          <x:t xml:space="preserve">SECTION 14: STAKEHOLDER COVERAGE INDEX (v10.8)</x:t>
        </x:is>
      </x:c>
    </x:row>
    <x:row r="137" s="455" customFormat="1" ht="13.5" customHeight="1">
      <x:c r="A137" s="580" t="inlineStr">
        <x:is>
          <x:t xml:space="preserve">Reference: RippleLogic v10.8 Section 5.0.1</x:t>
        </x:is>
      </x:c>
      <x:c r="B137" s="475" t="inlineStr">
        <x:is>
          <x:t xml:space="preserve">Reference: RippleLogic v10.8 Section 5.0.1</x:t>
        </x:is>
      </x:c>
    </x:row>
    <x:row r="138" s="455" customFormat="1" ht="13.5" customHeight="1">
      <x:c r="A138" s="505" t="inlineStr">
        <x:is>
          <x:t xml:space="preserve">SCI.Level</x:t>
        </x:is>
      </x:c>
      <x:c r="B138" s="505" t="n">
        <x:f>CANON!B130</x:f>
        <x:v>1</x:v>
      </x:c>
      <x:c r="C138" s="580" t="inlineStr">
        <x:is>
          <x:t xml:space="preserve">SCI-0: None | SCI-1: Key identified | SCI-2: Structured discovery | SCI-3: Independent challenge | SCI-4: Longitudinal tracking</x:t>
        </x:is>
      </x:c>
    </x:row>
    <x:row r="139" s="455" customFormat="1" ht="13.5" customHeight="1">
      <x:c r="A139" s="505" t="inlineStr">
        <x:is>
          <x:t xml:space="preserve">SCI.Justification</x:t>
        </x:is>
      </x:c>
      <x:c r="B139" s="505" t="str">
        <x:f>CANON!B131</x:f>
        <x:v>Key stakeholders identified; roles mapped to scopes; coverage documented</x:v>
      </x:c>
      <x:c r="C139" s="581" t="n"/>
    </x:row>
    <x:row r="140" s="455" customFormat="1" ht="13.5" customHeight="1">
      <x:c r="A140" s="505" t="inlineStr">
        <x:is>
          <x:t xml:space="preserve">SCI.NextRunUpgrade</x:t>
        </x:is>
      </x:c>
      <x:c r="B140" s="505" t="str">
        <x:f>CANON!B132</x:f>
        <x:v>Expand to SCI-2: structured discovery protocol with evidence refs</x:v>
      </x:c>
      <x:c r="C140" s="580" t="inlineStr">
        <x:is>
          <x:t xml:space="preserve">REQUIRED when SCI = tier minimum (anti-theater ratchet)</x:t>
        </x:is>
      </x:c>
    </x:row>
    <x:row r="141" s="455" customFormat="1" ht="14.25" customHeight="1">
      <x:c r="A141" s="505" t="inlineStr">
        <x:is>
          <x:t xml:space="preserve">SCI.TierMinimum</x:t>
        </x:is>
      </x:c>
      <x:c r="B141" s="505" t="str">
        <x:f>IF(CANON!$B$10=2,"SCI-1",IF(CANON!$B$10=3,"SCI-2","N/A"))</x:f>
        <x:v>SCI-1</x:v>
      </x:c>
      <x:c r="C141" s="581" t="n"/>
    </x:row>
    <x:row r="142" s="455" customFormat="1" ht="15" customHeight="1">
      <x:c r="A142" s="505" t="inlineStr">
        <x:is>
          <x:t xml:space="preserve">SCI.Compliant</x:t>
        </x:is>
      </x:c>
      <x:c r="B142" s="505" t="str">
        <x:f>IF(CANON!B130&gt;=IF(CANON!$B$10=2,1,IF(CANON!$B$10=3,2,0)),"YES","NO")</x:f>
        <x:v>YES</x:v>
      </x:c>
      <x:c r="C142" s="581" t="n"/>
    </x:row>
    <x:row r="143" s="455" customFormat="1" ht="13.5" customHeight="1"/>
    <x:row r="144" s="455" customFormat="1" ht="13.5" customHeight="1">
      <x:c r="A144" s="579" t="inlineStr">
        <x:is>
          <x:t xml:space="preserve">SECTION 15: ACTIVE CELL DEFINITION (v10.8 Section 10.3)</x:t>
        </x:is>
      </x:c>
    </x:row>
    <x:row r="145" s="455" customFormat="1" ht="13.5" customHeight="1">
      <x:c r="A145" s="505" t="inlineStr">
        <x:is>
          <x:t xml:space="preserve">Active cell = any cell (u,d) with m(u,d)=1 for RLS aggregation,</x:t>
        </x:is>
      </x:c>
    </x:row>
    <x:row r="146" s="455" customFormat="1" ht="13.5" customHeight="1">
      <x:c r="A146" s="505" t="inlineStr">
        <x:is>
          <x:t xml:space="preserve">  plus all rights-covered cells (u,d)∈C_r regardless of mask,</x:t>
        </x:is>
      </x:c>
    </x:row>
    <x:row r="147" s="455" customFormat="1" ht="13.5" customHeight="1">
      <x:c r="A147" s="505" t="inlineStr">
        <x:is>
          <x:t xml:space="preserve">  plus all catastrophe cells (u,d)∈C_cat regardless of mask,</x:t>
        </x:is>
      </x:c>
    </x:row>
    <x:row r="148" s="455" customFormat="1" ht="14.25" customHeight="1">
      <x:c r="A148" s="505" t="inlineStr">
        <x:is>
          <x:t xml:space="preserve">  plus any cells required by minimum governance coverage rules for the run.</x:t>
        </x:is>
      </x:c>
    </x:row>
    <x:row r="149" s="455" customFormat="1" ht="14.25" customHeight="1">
      <x:c r="A149" s="584" t="inlineStr">
        <x:is>
          <x:t xml:space="preserve">Uncertainty MUST be estimated for all active cells (Tier 2+ per v10.8).</x:t>
        </x:is>
      </x:c>
    </x:row>
    <x:row r="150"/>
    <x:row r="151" s="455" customFormat="1" ht="15" customHeight="1">
      <x:c r="A151" s="585" t="inlineStr">
        <x:is>
          <x:t xml:space="preserve">SECTION 16: REACHBASIS + PLSS DISCLOSURE (WORKED-RUN COMPANION)</x:t>
        </x:is>
      </x:c>
      <x:c r="B151" s="457" t="n"/>
    </x:row>
    <x:row r="152" s="455" customFormat="1" ht="31.5" customHeight="1">
      <x:c r="A152" s="586" t="inlineStr">
        <x:is>
          <x:t xml:space="preserve">ReachBasis.Fields</x:t>
        </x:is>
      </x:c>
      <x:c r="B152" s="586" t="inlineStr">
        <x:is>
          <x:t xml:space="preserve">Impact_Input!O:Q expose ReachBasisType, ReachBasisDenominator, and ReachBasisEstimator for each logged impact instance.</x:t>
        </x:is>
      </x:c>
    </x:row>
    <x:row r="153" s="455" customFormat="1" ht="31.5" customHeight="1">
      <x:c r="A153" s="586" t="inlineStr">
        <x:is>
          <x:t xml:space="preserve">ReachBasis.WorkedRunNote</x:t>
        </x:is>
      </x:c>
      <x:c r="B153" s="586" t="inlineStr">
        <x:is>
          <x:t xml:space="preserve">Tier-2 exemplar disclosure surface; values are recorded per impact instance and interpreted under the canon’s ReachBasis rules.</x:t>
        </x:is>
      </x:c>
    </x:row>
    <x:row r="154" s="455" customFormat="1" ht="31.5" customHeight="1">
      <x:c r="A154" s="586" t="inlineStr">
        <x:is>
          <x:t xml:space="preserve">PLSS.LSS_Declaration</x:t>
        </x:is>
      </x:c>
      <x:c r="B154" s="586" t="str">
        <x:f>PLSS_Local_Scope!B27</x:f>
        <x:v>Decision owner, household, community, organization, polity, and biosphere pathways declared through the worked-run stakeholder set for this remote-work policy exemplar.</x:v>
      </x:c>
    </x:row>
    <x:row r="155" s="455" customFormat="1" ht="31.5" customHeight="1">
      <x:c r="A155" s="586" t="inlineStr">
        <x:is>
          <x:t xml:space="preserve">PLSS.Operator_Declaration</x:t>
        </x:is>
      </x:c>
      <x:c r="B155" s="586" t="str">
        <x:f>PLSS_Local_Scope!B28</x:f>
        <x:v>PCC.PLSS.Operator: OTHER_DECLARED: DIRECT_Q_NORMALIZATION_V1. q_u values are supplied directly from declared prominence reasoning in this worked-run exemplar; geometric-mean subcomponent construction is not exercised. Residual allocation is performed by direct normalization of q_u, with constitutional floors preserved.</x:v>
      </x:c>
    </x:row>
    <x:row r="156" s="455" customFormat="1" ht="31.5" customHeight="1">
      <x:c r="A156" s="586" t="inlineStr">
        <x:is>
          <x:t xml:space="preserve">PLSS.ScopePosture_Declaration</x:t>
        </x:is>
      </x:c>
      <x:c r="B156" s="586" t="str">
        <x:f>PLSS_Local_Scope!B29</x:f>
        <x:v>Declared scope posture is surfaced through the Prominent/Guardrail classifications in F12:F18.</x:v>
      </x:c>
    </x:row>
    <x:row r="157" s="455" customFormat="1" ht="45.75" customHeight="1">
      <x:c r="A157" s="586" t="inlineStr">
        <x:is>
          <x:t xml:space="preserve">PLSS.EscalationTriggerAssessment</x:t>
        </x:is>
      </x:c>
      <x:c r="B157" s="586" t="str">
        <x:f>PLSS_Local_Scope!B30</x:f>
        <x:v>No active ET trigger requiring a broader-scope rerun was identified in this worked-run exemplar; revisit if hidden externalities, rights expansion, catastrophe relevance, or lock-in becomes plausible.</x:v>
      </x:c>
    </x:row>
    <x:row r="158" s="455" customFormat="1" ht="31.5" customHeight="1">
      <x:c r="A158" s="586" t="inlineStr">
        <x:is>
          <x:t xml:space="preserve">PLSS.FallbackDeclaration</x:t>
        </x:is>
      </x:c>
      <x:c r="B158" s="586" t="str">
        <x:f>PLSS_Local_Scope!B31</x:f>
        <x:v>If SUM(q_u)=0, the workbook uses the uniform residual fallback (1/7 per scope) exactly as encoded in D12:D18.</x:v>
      </x:c>
    </x:row>
    <x:row r="159" s="455" customFormat="1" ht="45.75" customHeight="1">
      <x:c r="A159" s="586" t="inlineStr">
        <x:is>
          <x:t xml:space="preserve">Workbook_Status</x:t>
        </x:is>
      </x:c>
      <x:c r="B159" s="586" t="inlineStr">
        <x:is>
          <x:t xml:space="preserve">Current worked-run exemplar companion aligned to RippleLogic v10.8 and SGP v5.5; useful for Tier-2 replay and audit illustration, but not a substitute for repository-level schemas, validators, reference calculators, semantic validators, ProofPack assets, empirical validation, verified reality-grounding, or the canonical DOCX artifacts.</x:t>
        </x:is>
      </x:c>
    </x:row>
    <x:row r="160"/>
    <x:row r="161" s="455" customFormat="1" ht="24" customHeight="1">
      <x:c r="A161" s="587" t="inlineStr">
        <x:is>
          <x:t xml:space="preserve">SECTION 17: PROVENANCE HARDENING (v9.x+1 review pass)</x:t>
        </x:is>
      </x:c>
    </x:row>
    <x:row r="162" s="455" customFormat="1" ht="21.75" customHeight="1">
      <x:c r="A162" s="586" t="inlineStr">
        <x:is>
          <x:t xml:space="preserve">Uncertainty.ReasonCode</x:t>
        </x:is>
      </x:c>
      <x:c r="B162" s="586" t="inlineStr">
        <x:is>
          <x:t xml:space="preserve">SIGMA_WORKED_RUN_CONSTANT_PROFILE</x:t>
        </x:is>
      </x:c>
      <x:c r="C162" s="497" t="inlineStr">
        <x:is>
          <x:t xml:space="preserve">Current exemplar uses the declared workbook-wide sigma profile; alternative methods that change decisiveness must be disclosed.</x:t>
        </x:is>
      </x:c>
    </x:row>
    <x:row r="163" s="455" customFormat="1" ht="21.75" customHeight="1">
      <x:c r="A163" s="586" t="inlineStr">
        <x:is>
          <x:t xml:space="preserve">Uncertainty.SourceNote</x:t>
        </x:is>
      </x:c>
      <x:c r="B163" s="586" t="inlineStr">
        <x:is>
          <x:t xml:space="preserve">See PCC!B27:B28 and canon §10.3 / Appendix H</x:t>
        </x:is>
      </x:c>
    </x:row>
    <x:row r="164" s="455" customFormat="1" ht="21.75" customHeight="1">
      <x:c r="A164" s="586" t="inlineStr">
        <x:is>
          <x:t xml:space="preserve">ScenarioProbabilities.ReasonCode</x:t>
        </x:is>
      </x:c>
      <x:c r="B164" s="586" t="inlineStr">
        <x:is>
          <x:t xml:space="preserve">SCENARIO_PRIOR_JUDGMENT</x:t>
        </x:is>
      </x:c>
      <x:c r="C164" s="497" t="inlineStr">
        <x:is>
          <x:t xml:space="preserve">Per-scenario reason codes and source notes are now logged on Scenario_Impacts.</x:t>
        </x:is>
      </x:c>
    </x:row>
    <x:row r="165" s="455" customFormat="1" ht="21.75" customHeight="1">
      <x:c r="A165" s="586" t="inlineStr">
        <x:is>
          <x:t xml:space="preserve">PLSS.ProminenceReasonCode</x:t>
        </x:is>
      </x:c>
      <x:c r="B165" s="586" t="str">
        <x:f>IF(Config!B17="PLSS_LOCAL","PLSS_NEAR_FIELD_DECLARATION","NA")</x:f>
        <x:v>PLSS_NEAR_FIELD_DECLARATION</x:v>
      </x:c>
      <x:c r="C165" s="497" t="inlineStr">
        <x:is>
          <x:t xml:space="preserve">Per-scope reason codes and source notes are now logged on PLSS_Local_Scope.</x:t>
        </x:is>
      </x:c>
    </x:row>
    <x:row r="166" s="455" customFormat="1" ht="21.75" customHeight="1">
      <x:c r="A166" s="586" t="inlineStr">
        <x:is>
          <x:t xml:space="preserve">TRC.ExtensionProfile</x:t>
        </x:is>
      </x:c>
      <x:c r="B166" s="586" t="inlineStr">
        <x:is>
          <x:t xml:space="preserve">BASE_ONLY (no separate governance-lock-in extension invoked in this worked run)</x:t>
        </x:is>
      </x:c>
      <x:c r="C166" s="497" t="inlineStr">
        <x:is>
          <x:t xml:space="preserve">If a governance-lock-in pathway becomes material, declare an explicit extension profile in the next run.</x:t>
        </x:is>
      </x:c>
    </x:row>
    <x:row r="167" s="455" customFormat="1" ht="21.75" customHeight="1">
      <x:c r="A167" s="586" t="inlineStr">
        <x:is>
          <x:t xml:space="preserve">e_k.RegistryRule</x:t>
        </x:is>
      </x:c>
      <x:c r="B167" s="586" t="inlineStr">
        <x:is>
          <x:t xml:space="preserve">DEFAULT_ONLY_IN_WORKED_RUN unless PCC justifies otherwise</x:t>
        </x:is>
      </x:c>
      <x:c r="C167" s="497" t="inlineStr">
        <x:is>
          <x:t xml:space="preserve">Per-instance e_k reason code/default-counterfactual fields are now logged on Impact_Input.</x:t>
        </x:is>
      </x:c>
    </x:row>
    <x:row r="168" s="455" customFormat="1" ht="21.75" customHeight="1">
      <x:c r="A168" s="586" t="inlineStr">
        <x:is>
          <x:t xml:space="preserve">e_k.MaterialityCheck</x:t>
        </x:is>
      </x:c>
      <x:c r="B168" s="586" t="str">
        <x:f>IF(COUNTIFS(Impact_Input!A7:A200,"&lt;&gt;",Impact_Input!K7:K200,"&lt;&gt;1")=0,"All logged instances use e_k = 1.00","Non-default e_k present; disclose reason code + sensitivity")</x:f>
        <x:v>All logged instances use e_k = 1.00</x:v>
      </x:c>
    </x:row>
    <x:row r="169" s="455" customFormat="1" ht="27.75" customHeight="1">
      <x:c r="A169" s="586" t="inlineStr">
        <x:is>
          <x:t xml:space="preserve">UCI.E1_Method</x:t>
        </x:is>
      </x:c>
      <x:c r="B169" s="586" t="inlineStr">
        <x:is>
          <x:t xml:space="preserve">E1_FIXED_1_BY_DEFINITION</x:t>
        </x:is>
      </x:c>
      <x:c r="C169" s="517" t="inlineStr">
        <x:is>
          <x:t xml:space="preserve">Canon §0.5: E₁ := 1 by definition (Self).</x:t>
        </x:is>
      </x:c>
    </x:row>
    <x:row r="170" s="455" customFormat="1" ht="27.75" customHeight="1">
      <x:c r="A170" s="586" t="inlineStr">
        <x:is>
          <x:t xml:space="preserve">UCI.E7_Method</x:t>
        </x:is>
      </x:c>
      <x:c r="B170" s="586" t="inlineStr">
        <x:is>
          <x:t xml:space="preserve">E7_METHOD_FIXED_1_DEFAULT</x:t>
        </x:is>
      </x:c>
      <x:c r="C170" s="517" t="inlineStr">
        <x:is>
          <x:t xml:space="preserve">Canon §0.5: E₇ := 1 by default; no governed biosphere-equity instrument declared for this worked run.</x:t>
        </x:is>
      </x:c>
    </x:row>
    <x:row r="171" s="455" customFormat="1" ht="57" customHeight="1">
      <x:c r="A171" s="586" t="inlineStr">
        <x:is>
          <x:t xml:space="preserve">Sensitivity.MaterialParameterNote</x:t>
        </x:is>
      </x:c>
      <x:c r="B171" s="586" t="inlineStr">
        <x:is>
          <x:t xml:space="preserve">If non-default e_k, q_u, p(s), or uncertainty-method changes alter admissibility or selection, disclose that parameter as decision-material in the sensitivity bundle.</x:t>
        </x:is>
      </x:c>
    </x:row>
    <x:row r="172" s="455" customFormat="1" ht="12.75" customHeight="1">
      <x:c r="A172" s="497" t="inlineStr">
        <x:is>
          <x:t xml:space="preserve">SECTION 18: NORMATIVE INPUT REGISTER (v10.8 §14.3A / Appendix H)</x:t>
        </x:is>
      </x:c>
    </x:row>
    <x:row r="173" s="455" customFormat="1" ht="12.75" customHeight="1">
      <x:c r="A173" s="497" t="inlineStr">
        <x:is>
          <x:t xml:space="preserve">NormativeInputRegister.Present</x:t>
        </x:is>
      </x:c>
      <x:c r="B173" s="497" t="inlineStr">
        <x:is>
          <x:t xml:space="preserve">YES</x:t>
        </x:is>
      </x:c>
    </x:row>
    <x:row r="174" s="455" customFormat="1" ht="12.75" customHeight="1">
      <x:c r="A174" s="497" t="inlineStr">
        <x:is>
          <x:t xml:space="preserve">NormInputID</x:t>
        </x:is>
      </x:c>
      <x:c r="B174" s="497" t="inlineStr">
        <x:is>
          <x:t xml:space="preserve">NIR-2026-001</x:t>
        </x:is>
      </x:c>
    </x:row>
    <x:row r="175" s="455" customFormat="1" ht="12.75" customHeight="1">
      <x:c r="A175" s="497" t="inlineStr">
        <x:is>
          <x:t xml:space="preserve">InputType</x:t>
        </x:is>
      </x:c>
      <x:c r="B175" s="497" t="inlineStr">
        <x:is>
          <x:t xml:space="preserve">SCENARIO_PRIORS; PLSS_PROMINENCE; UNCERTAINTY_METHOD; DEFAULT_EK_PROFILE</x:t>
        </x:is>
      </x:c>
    </x:row>
    <x:row r="176" s="455" customFormat="1" ht="12.75" customHeight="1">
      <x:c r="A176" s="497" t="inlineStr">
        <x:is>
          <x:t xml:space="preserve">Materiality</x:t>
        </x:is>
      </x:c>
      <x:c r="B176" s="497" t="inlineStr">
        <x:is>
          <x:t xml:space="preserve">SELECTION_MATERIAL; ADMISSIBILITY_MATERIAL</x:t>
        </x:is>
      </x:c>
    </x:row>
    <x:row r="177" s="455" customFormat="1" ht="12.75" customHeight="1">
      <x:c r="A177" s="497" t="inlineStr">
        <x:is>
          <x:t xml:space="preserve">AffectedObjects</x:t>
        </x:is>
      </x:c>
      <x:c r="B177" s="497" t="inlineStr">
        <x:is>
          <x:t xml:space="preserve">p(s); q_u; Uncertainty.Method; e_k profile</x:t>
        </x:is>
      </x:c>
    </x:row>
    <x:row r="178" s="455" customFormat="1" ht="12.75" customHeight="1">
      <x:c r="A178" s="497" t="inlineStr">
        <x:is>
          <x:t xml:space="preserve">EvidenceBasisType</x:t>
        </x:is>
      </x:c>
      <x:c r="B178" s="497" t="inlineStr">
        <x:is>
          <x:t xml:space="preserve">GOVERNED_INTERPRETATION + ANALYST_JUDGMENT</x:t>
        </x:is>
      </x:c>
    </x:row>
    <x:row r="179" s="455" customFormat="1" ht="12.75" customHeight="1">
      <x:c r="A179" s="497" t="inlineStr">
        <x:is>
          <x:t xml:space="preserve">EvidenceReference</x:t>
        </x:is>
      </x:c>
      <x:c r="B179" s="497" t="inlineStr">
        <x:is>
          <x:t xml:space="preserve">RippleLogic v10.8 §10.2A, §14.3A, Appendix H; workbook Scenario_Impacts / PLSS_Local_Scope / CANON / PCC Section 17</x:t>
        </x:is>
      </x:c>
    </x:row>
    <x:row r="180" s="455" customFormat="1" ht="12.75" customHeight="1">
      <x:c r="A180" s="497" t="inlineStr">
        <x:is>
          <x:t xml:space="preserve">SensitivityNote</x:t>
        </x:is>
      </x:c>
      <x:c r="B180" s="497" t="inlineStr">
        <x:is>
          <x:t xml:space="preserve">If non-default e_k, q_u, p(s), or uncertainty-method changes alter admissibility or selection, disclose and rerun sensitivity review before claiming release readiness.</x:t>
        </x:is>
      </x:c>
    </x:row>
    <x:row r="181" s="455" customFormat="1" ht="12.75" customHeight="1">
      <x:c r="A181" s="454" t="inlineStr">
        <x:is>
          <x:t xml:space="preserve">StakeholderOrScopeTarget</x:t>
        </x:is>
      </x:c>
      <x:c r="B181" s="454" t="inlineStr">
        <x:is>
          <x:t xml:space="preserve">U1/U3/U4 direct stakeholders plus decision-material scenario prior and local-scope governance targets</x:t>
        </x:is>
      </x:c>
    </x:row>
    <x:row r="182" s="455" customFormat="1" ht="12.75" customHeight="1">
      <x:c r="A182" s="454" t="inlineStr">
        <x:is>
          <x:t xml:space="preserve">GovernedInterpretationBasis</x:t>
        </x:is>
      </x:c>
      <x:c r="B182" s="454" t="inlineStr">
        <x:is>
          <x:t xml:space="preserve">Canon-governed worked-run interpretation anchored in RippleLogic v10.8 §10.2A, §14.3A, and Appendix H</x:t>
        </x:is>
      </x:c>
    </x:row>
    <x:row r="183" s="455" customFormat="1" ht="12.75" customHeight="1">
      <x:c r="A183" s="454" t="inlineStr">
        <x:is>
          <x:t xml:space="preserve">PrecautionaryBasis</x:t>
        </x:is>
      </x:c>
      <x:c r="B183" s="454" t="inlineStr">
        <x:is>
          <x:t xml:space="preserve">Conservative disclosure + rerun if non-default e_k, q_u, p(s), or uncertainty-method changes alter admissibility or selection</x:t>
        </x:is>
      </x:c>
    </x:row>
    <x:row r="184" s="455" customFormat="1" ht="12.75" customHeight="1">
      <x:c r="A184" s="454" t="inlineStr">
        <x:is>
          <x:t xml:space="preserve">OptionSymmetryStatus</x:t>
        </x:is>
      </x:c>
      <x:c r="B184" s="454" t="inlineStr">
        <x:is>
          <x:t xml:space="preserve">Symmetric disclosure posture across Option A and Option B; option-specific differences remain in the source impact/scenario sheets</x:t>
        </x:is>
      </x:c>
    </x:row>
    <x:row r="185" s="455" customFormat="1" ht="12.75" customHeight="1">
      <x:c r="A185" s="454" t="inlineStr">
        <x:is>
          <x:t xml:space="preserve">AnalystReasonCode</x:t>
        </x:is>
      </x:c>
      <x:c r="B185" s="454" t="inlineStr">
        <x:is>
          <x:t xml:space="preserve">NIR_WORKED_RUN_DISCLOSURE_PROFILE</x:t>
        </x:is>
      </x:c>
    </x:row>
    <x:row r="186" s="455" customFormat="1" ht="12.75" customHeight="1">
      <x:c r="A186" s="454" t="inlineStr">
        <x:is>
          <x:t xml:space="preserve">ReviewerNote</x:t>
        </x:is>
      </x:c>
      <x:c r="B186" s="454" t="inlineStr">
        <x:is>
          <x:t xml:space="preserve">N/A (Tier 2 worked-run companion; external reviewer note optional unless separately reviewed)</x:t>
        </x:is>
      </x:c>
    </x:row>
    <x:row r="187"/>
    <x:row r="188" s="455" customFormat="1" ht="12.75" customHeight="1">
      <x:c r="A188" s="497" t="inlineStr">
        <x:is>
          <x:t xml:space="preserve">SECTION 23: EXECUTION STABILITY RECORD (v10.8 Appendix T)</x:t>
        </x:is>
      </x:c>
    </x:row>
    <x:row r="189" s="455" customFormat="1" ht="12.75" customHeight="1">
      <x:c r="A189" s="497" t="inlineStr">
        <x:is>
          <x:t xml:space="preserve">ESD_Record_ID</x:t>
        </x:is>
      </x:c>
      <x:c r="B189" s="497" t="inlineStr">
        <x:is>
          <x:t xml:space="preserve">ESD-ORG-2026-001-A</x:t>
        </x:is>
      </x:c>
    </x:row>
    <x:row r="190" s="455" customFormat="1" ht="12.75" customHeight="1">
      <x:c r="A190" s="497" t="inlineStr">
        <x:is>
          <x:t xml:space="preserve">SECTION 26: v10.8 EVIDENCE / SGP SPLIT / LEGITIMACY DISCLOSURES</x:t>
        </x:is>
      </x:c>
    </x:row>
    <x:row r="191" s="455" customFormat="1" ht="12.75" customHeight="1">
      <x:c r="A191" s="497" t="inlineStr">
        <x:is>
          <x:t xml:space="preserve">Evidence_Status_Surface</x:t>
        </x:is>
      </x:c>
      <x:c r="B191" s="497" t="inlineStr">
        <x:is>
          <x:t xml:space="preserve">ACTIVE</x:t>
        </x:is>
      </x:c>
      <x:c r="C191" s="497" t="inlineStr">
        <x:is>
          <x:t xml:space="preserve">Evidence_Status_Tokens sheet populated and sanity-checked</x:t>
        </x:is>
      </x:c>
    </x:row>
    <x:row r="192" s="455" customFormat="1" ht="12.75" customHeight="1">
      <x:c r="A192" s="497" t="inlineStr">
        <x:is>
          <x:t xml:space="preserve">Evidence_Status_Default</x:t>
        </x:is>
      </x:c>
      <x:c r="B192" s="497" t="inlineStr">
        <x:is>
          <x:t xml:space="preserve">ESTIMATED / EXPERT_JUDGMENT / UNVALIDATED where direct measurement is absent</x:t>
        </x:is>
      </x:c>
      <x:c r="C192" s="497" t="inlineStr">
        <x:is>
          <x:t xml:space="preserve">No input upgraded to measured without source</x:t>
        </x:is>
      </x:c>
    </x:row>
    <x:row r="193" s="455" customFormat="1" ht="12.75" customHeight="1">
      <x:c r="A193" s="497" t="inlineStr">
        <x:is>
          <x:t xml:space="preserve">MPS_Result</x:t>
        </x:is>
      </x:c>
      <x:c r="B193" s="497" t="n">
        <x:f>SGP_Split_Guardrail!D11</x:f>
        <x:v>1</x:v>
      </x:c>
      <x:c r="C193" s="497" t="inlineStr">
        <x:is>
          <x:t xml:space="preserve">From SGP_Split_Guardrail!D11</x:t>
        </x:is>
      </x:c>
    </x:row>
    <x:row r="194" s="455" customFormat="1" ht="12.75" customHeight="1">
      <x:c r="A194" s="497" t="inlineStr">
        <x:is>
          <x:t xml:space="preserve">GPR_Result</x:t>
        </x:is>
      </x:c>
      <x:c r="B194" s="497" t="str">
        <x:f>SGP_Split_Guardrail!D12</x:f>
        <x:v>NOT_EVALUATED_PROFILE_ONLY</x:v>
      </x:c>
      <x:c r="C194" s="497" t="inlineStr">
        <x:is>
          <x:t xml:space="preserve">From SGP_Split_Guardrail!D12</x:t>
        </x:is>
      </x:c>
    </x:row>
    <x:row r="195" s="455" customFormat="1" ht="12.75" customHeight="1">
      <x:c r="A195" s="497" t="inlineStr">
        <x:is>
          <x:t xml:space="preserve">SPR_Result</x:t>
        </x:is>
      </x:c>
      <x:c r="B195" s="497" t="str">
        <x:f>SGP_Split_Guardrail!D13</x:f>
        <x:v>NOT_EVALUATED_PROFILE_ONLY</x:v>
      </x:c>
      <x:c r="C195" s="497" t="inlineStr">
        <x:is>
          <x:t xml:space="preserve">From SGP_Split_Guardrail!D13</x:t>
        </x:is>
      </x:c>
    </x:row>
    <x:row r="196" s="455" customFormat="1" ht="12.75" customHeight="1">
      <x:c r="A196" s="497" t="inlineStr">
        <x:is>
          <x:t xml:space="preserve">SGP_Non_Reduction_Guard</x:t>
        </x:is>
      </x:c>
      <x:c r="B196" s="497" t="inlineStr">
        <x:is>
          <x:t xml:space="preserve">PASS</x:t>
        </x:is>
      </x:c>
      <x:c r="C196" s="497" t="inlineStr">
        <x:is>
          <x:t xml:space="preserve">Low GPR/SPR cannot reduce MPS or Human Plateau protections</x:t>
        </x:is>
      </x:c>
    </x:row>
    <x:row r="197" s="455" customFormat="1" ht="12.75" customHeight="1">
      <x:c r="A197" s="497" t="inlineStr">
        <x:is>
          <x:t xml:space="preserve">Boundary_Risk_Surface</x:t>
        </x:is>
      </x:c>
      <x:c r="B197" s="497" t="inlineStr">
        <x:is>
          <x:t xml:space="preserve">ACTIVE</x:t>
        </x:is>
      </x:c>
      <x:c r="C197" s="497" t="inlineStr">
        <x:is>
          <x:t xml:space="preserve">Boundary_Risk_Register sheet linked to gate-swing formula flags</x:t>
        </x:is>
      </x:c>
    </x:row>
    <x:row r="198" s="455" customFormat="1" ht="12.75" customHeight="1">
      <x:c r="A198" s="497" t="inlineStr">
        <x:is>
          <x:t xml:space="preserve">Compact_Profile_Surface</x:t>
        </x:is>
      </x:c>
      <x:c r="B198" s="497" t="inlineStr">
        <x:is>
          <x:t xml:space="preserve">ACTIVE</x:t>
        </x:is>
      </x:c>
      <x:c r="C198" s="497" t="inlineStr">
        <x:is>
          <x:t xml:space="preserve">Compact_Profiles sheet present and formula-status checked</x:t>
        </x:is>
      </x:c>
    </x:row>
    <x:row r="199" s="455" customFormat="1" ht="12.75" customHeight="1">
      <x:c r="A199" s="497" t="inlineStr">
        <x:is>
          <x:t xml:space="preserve">Public_Legitimacy_Boundary</x:t>
        </x:is>
      </x:c>
      <x:c r="B199" s="497" t="inlineStr">
        <x:is>
          <x:t xml:space="preserve">PASS</x:t>
        </x:is>
      </x:c>
      <x:c r="C199" s="497" t="inlineStr">
        <x:is>
          <x:t xml:space="preserve">RippleLogic structures reasoning but does not confer legal/democratic/institutional authority</x:t>
        </x:is>
      </x:c>
    </x:row>
    <x:row r="200" s="455" customFormat="1" ht="12.75" customHeight="1">
      <x:c r="A200" s="497" t="inlineStr">
        <x:is>
          <x:t xml:space="preserve">Admissibility_State_Before_ESD</x:t>
        </x:is>
      </x:c>
      <x:c r="B200" s="497" t="inlineStr">
        <x:is>
          <x:t xml:space="preserve">Selectable only if NCRC/TRC/Containment pass</x:t>
        </x:is>
      </x:c>
    </x:row>
    <x:row r="201" s="455" customFormat="1" ht="12.75" customHeight="1">
      <x:c r="A201" s="497" t="inlineStr">
        <x:is>
          <x:t xml:space="preserve">Evidence_Basis</x:t>
        </x:is>
      </x:c>
      <x:c r="B201" s="497" t="inlineStr">
        <x:is>
          <x:t xml:space="preserve">Worked-run exemplar evidence, not production validation</x:t>
        </x:is>
      </x:c>
    </x:row>
    <x:row r="202" s="455" customFormat="1" ht="12.75" customHeight="1">
      <x:c r="A202" s="497" t="inlineStr">
        <x:is>
          <x:t xml:space="preserve">Regime_Token</x:t>
        </x:is>
      </x:c>
      <x:c r="B202" s="497" t="inlineStr">
        <x:is>
          <x:t xml:space="preserve">ESC_STABLE_MONITOR</x:t>
        </x:is>
      </x:c>
    </x:row>
    <x:row r="203" s="455" customFormat="1" ht="12.75" customHeight="1">
      <x:c r="A203" s="497" t="inlineStr">
        <x:is>
          <x:t xml:space="preserve">Monitoring_or_Staging_Plan</x:t>
        </x:is>
      </x:c>
      <x:c r="B203" s="497" t="inlineStr">
        <x:is>
          <x:t xml:space="preserve">Required for execution-stability claim</x:t>
        </x:is>
      </x:c>
    </x:row>
    <x:row r="204" s="455" customFormat="1" ht="12.75" customHeight="1">
      <x:c r="A204" s="497" t="inlineStr">
        <x:is>
          <x:t xml:space="preserve">Rollback_or_Repair_Path</x:t>
        </x:is>
      </x:c>
      <x:c r="B204" s="497" t="inlineStr">
        <x:is>
          <x:t xml:space="preserve">Policy rollback / revision / review cycle</x:t>
        </x:is>
      </x:c>
    </x:row>
    <x:row r="205" s="455" customFormat="1" ht="12.75" customHeight="1">
      <x:c r="A205" s="497" t="inlineStr">
        <x:is>
          <x:t xml:space="preserve">SECTION 19: v10.8 MEASUREMENT-MATURITY DISCLOSURES</x:t>
        </x:is>
      </x:c>
    </x:row>
    <x:row r="206" s="455" customFormat="1" ht="12.75" customHeight="1">
      <x:c r="A206" s="497" t="inlineStr">
        <x:is>
          <x:t xml:space="preserve">UCI_Measurement_Readiness</x:t>
        </x:is>
      </x:c>
      <x:c r="B206" s="497" t="inlineStr">
        <x:is>
          <x:t xml:space="preserve">UCI-M1_PROVISIONAL</x:t>
        </x:is>
      </x:c>
      <x:c r="C206" s="497" t="inlineStr">
        <x:is>
          <x:t xml:space="preserve">UCI_Maturity</x:t>
        </x:is>
      </x:c>
    </x:row>
    <x:row r="207" s="455" customFormat="1" ht="12.75" customHeight="1">
      <x:c r="A207" s="497" t="inlineStr">
        <x:is>
          <x:t xml:space="preserve">Kernel_Use_Posture</x:t>
        </x:is>
      </x:c>
      <x:c r="B207" s="497" t="inlineStr">
        <x:is>
          <x:t xml:space="preserve">K0_NONE</x:t>
        </x:is>
      </x:c>
      <x:c r="C207" s="497" t="inlineStr">
        <x:is>
          <x:t xml:space="preserve">Kernel_Posture</x:t>
        </x:is>
      </x:c>
    </x:row>
    <x:row r="208" s="455" customFormat="1" ht="12.75" customHeight="1">
      <x:c r="A208" s="497" t="inlineStr">
        <x:is>
          <x:t xml:space="preserve">HDW_Capture_Audit</x:t>
        </x:is>
      </x:c>
      <x:c r="B208" s="497" t="inlineStr">
        <x:is>
          <x:t xml:space="preserve">PRESENT</x:t>
        </x:is>
      </x:c>
      <x:c r="C208" s="497" t="inlineStr">
        <x:is>
          <x:t xml:space="preserve">HDW_Capture_Audit</x:t>
        </x:is>
      </x:c>
    </x:row>
    <x:row r="209" s="455" customFormat="1" ht="12.75" customHeight="1">
      <x:c r="A209" s="497" t="inlineStr">
        <x:is>
          <x:t xml:space="preserve">PLSS_Escalation_Register</x:t>
        </x:is>
      </x:c>
      <x:c r="B209" s="497" t="inlineStr">
        <x:is>
          <x:t xml:space="preserve">PRESENT</x:t>
        </x:is>
      </x:c>
      <x:c r="C209" s="497" t="inlineStr">
        <x:is>
          <x:t xml:space="preserve">PLSS_Escalation</x:t>
        </x:is>
      </x:c>
    </x:row>
    <x:row r="210" s="455" customFormat="1" ht="12.75" customHeight="1">
      <x:c r="A210" s="497" t="inlineStr">
        <x:is>
          <x:t xml:space="preserve">Biological_Evaluation_Maturity</x:t>
        </x:is>
      </x:c>
      <x:c r="B210" s="497" t="inlineStr">
        <x:is>
          <x:t xml:space="preserve">NA_NOT_INVOKED — human-only worked-run exemplar; biological SGP evidence not invoked.</x:t>
        </x:is>
      </x:c>
      <x:c r="C210" s="497" t="inlineStr">
        <x:is>
          <x:t xml:space="preserve">BioSGP_Maturity</x:t>
        </x:is>
      </x:c>
    </x:row>
    <x:row r="211" s="455" customFormat="1" ht="12.75" customHeight="1">
      <x:c r="A211" s="497" t="inlineStr">
        <x:is>
          <x:t xml:space="preserve">Deployment_Context_Profile</x:t>
        </x:is>
      </x:c>
      <x:c r="B211" s="497" t="inlineStr">
        <x:is>
          <x:t xml:space="preserve">ORG_WORKED_RUN_EXEMPLAR</x:t>
        </x:is>
      </x:c>
      <x:c r="C211" s="497" t="inlineStr">
        <x:is>
          <x:t xml:space="preserve">Deployment_Context</x:t>
        </x:is>
      </x:c>
    </x:row>
    <x:row r="212" s="455" customFormat="1" ht="12.75" customHeight="1">
      <x:c r="A212" s="497" t="inlineStr">
        <x:is>
          <x:t xml:space="preserve">Maturity_Claim_Boundary</x:t>
        </x:is>
      </x:c>
      <x:c r="B212" s="497" t="inlineStr">
        <x:is>
          <x:t xml:space="preserve">Provisional measurement surfaces disclosed; no empirical validation, ProofPack, Tier 4, cross-domain UCI, validated kernel, or biological measurement-completeness claim.</x:t>
        </x:is>
      </x:c>
    </x:row>
    <x:row r="213"/>
    <x:row r="214" s="455" customFormat="1" ht="26.25" customHeight="1">
      <x:c r="A214" s="588" t="inlineStr">
        <x:is>
          <x:t xml:space="preserve">SECTION 24: BOUNDARY AND FALSE-PRECISION RISK REGISTER</x:t>
        </x:is>
      </x:c>
      <x:c r="B214" s="588" t="n"/>
      <x:c r="C214" s="588" t="n"/>
      <x:c r="D214" s="588" t="n"/>
      <x:c r="E214" s="588" t="n"/>
      <x:c r="F214" s="588" t="n"/>
      <x:c r="G214" s="588" t="n"/>
      <x:c r="H214" s="588" t="n"/>
    </x:row>
    <x:row r="215" s="455" customFormat="1" ht="12.75" customHeight="1">
      <x:c r="A215" s="461" t="inlineStr">
        <x:is>
          <x:t xml:space="preserve">Boundary_Gaming_Risk</x:t>
        </x:is>
      </x:c>
      <x:c r="B215" s="461" t="inlineStr">
        <x:is>
          <x:t xml:space="preserve">PRESENT</x:t>
        </x:is>
      </x:c>
      <x:c r="C215" s="461" t="inlineStr">
        <x:is>
          <x:t xml:space="preserve">Boundary_Risk_Register</x:t>
        </x:is>
      </x:c>
      <x:c r="D215" s="461" t="n"/>
      <x:c r="E215" s="461" t="n"/>
      <x:c r="F215" s="461" t="n"/>
      <x:c r="G215" s="461" t="n"/>
      <x:c r="H215" s="461" t="n"/>
    </x:row>
    <x:row r="216" s="455" customFormat="1" ht="12.75" customHeight="1">
      <x:c r="A216" s="461" t="inlineStr">
        <x:is>
          <x:t xml:space="preserve">False_Precision_Risk</x:t>
        </x:is>
      </x:c>
      <x:c r="B216" s="461" t="inlineStr">
        <x:is>
          <x:t xml:space="preserve">PRESENT</x:t>
        </x:is>
      </x:c>
      <x:c r="C216" s="461" t="inlineStr">
        <x:is>
          <x:t xml:space="preserve">Boundary_Risk_Register</x:t>
        </x:is>
      </x:c>
      <x:c r="D216" s="461" t="n"/>
      <x:c r="E216" s="461" t="n"/>
      <x:c r="F216" s="461" t="n"/>
      <x:c r="G216" s="461" t="n"/>
      <x:c r="H216" s="461" t="n"/>
    </x:row>
    <x:row r="217" s="455" customFormat="1" ht="12.75" customHeight="1">
      <x:c r="A217" s="461" t="inlineStr">
        <x:is>
          <x:t xml:space="preserve">Gate_Swing_Cell_Flag</x:t>
        </x:is>
      </x:c>
      <x:c r="B217" s="461" t="inlineStr">
        <x:is>
          <x:t xml:space="preserve">CHECK_REQUIRED_IF_MATERIAL</x:t>
        </x:is>
      </x:c>
      <x:c r="C217" s="461" t="inlineStr">
        <x:is>
          <x:t xml:space="preserve">Boundary_Risk_Register</x:t>
        </x:is>
      </x:c>
      <x:c r="D217" s="461" t="n"/>
      <x:c r="E217" s="461" t="n"/>
      <x:c r="F217" s="461" t="n"/>
      <x:c r="G217" s="461" t="n"/>
      <x:c r="H217" s="461" t="n"/>
    </x:row>
    <x:row r="218" s="455" customFormat="1" ht="12.75" customHeight="1">
      <x:c r="A218" s="461" t="inlineStr">
        <x:is>
          <x:t xml:space="preserve">Subgroup_Definition_Risk</x:t>
        </x:is>
      </x:c>
      <x:c r="B218" s="461" t="inlineStr">
        <x:is>
          <x:t xml:space="preserve">CHECK_REQUIRED_IF_MATERIAL</x:t>
        </x:is>
      </x:c>
      <x:c r="C218" s="461" t="inlineStr">
        <x:is>
          <x:t xml:space="preserve">Boundary_Risk_Register</x:t>
        </x:is>
      </x:c>
      <x:c r="D218" s="461" t="n"/>
      <x:c r="E218" s="461" t="n"/>
      <x:c r="F218" s="461" t="n"/>
      <x:c r="G218" s="461" t="n"/>
      <x:c r="H218" s="461" t="n"/>
    </x:row>
    <x:row r="219" s="455" customFormat="1" ht="12.75" customHeight="1">
      <x:c r="A219" s="461" t="inlineStr">
        <x:is>
          <x:t xml:space="preserve">Scenario_Probability_Risk</x:t>
        </x:is>
      </x:c>
      <x:c r="B219" s="461" t="inlineStr">
        <x:is>
          <x:t xml:space="preserve">CHECK_REQUIRED_IF_MATERIAL</x:t>
        </x:is>
      </x:c>
      <x:c r="C219" s="461" t="inlineStr">
        <x:is>
          <x:t xml:space="preserve">Boundary_Risk_Register</x:t>
        </x:is>
      </x:c>
      <x:c r="D219" s="461" t="n"/>
      <x:c r="E219" s="461" t="n"/>
      <x:c r="F219" s="461" t="n"/>
      <x:c r="G219" s="461" t="n"/>
      <x:c r="H219" s="461" t="n"/>
    </x:row>
    <x:row r="220" s="455" customFormat="1" ht="12.75" customHeight="1">
      <x:c r="A220" s="461" t="inlineStr">
        <x:is>
          <x:t xml:space="preserve">Threshold_Laundering_Risk</x:t>
        </x:is>
      </x:c>
      <x:c r="B220" s="461" t="inlineStr">
        <x:is>
          <x:t xml:space="preserve">CHECK_REQUIRED_IF_MATERIAL</x:t>
        </x:is>
      </x:c>
      <x:c r="C220" s="461" t="inlineStr">
        <x:is>
          <x:t xml:space="preserve">Boundary_Risk_Register</x:t>
        </x:is>
      </x:c>
      <x:c r="D220" s="461" t="n"/>
      <x:c r="E220" s="461" t="n"/>
      <x:c r="F220" s="461" t="n"/>
      <x:c r="G220" s="461" t="n"/>
      <x:c r="H220" s="461" t="n"/>
    </x:row>
    <x:row r="221" s="455" customFormat="1" ht="12.75" customHeight="1">
      <x:c r="A221" s="461" t="inlineStr">
        <x:is>
          <x:t xml:space="preserve">Reviewer_Disagreement_Level</x:t>
        </x:is>
      </x:c>
      <x:c r="B221" s="461" t="inlineStr">
        <x:is>
          <x:t xml:space="preserve">DISCLOSE_IF_MATERIAL</x:t>
        </x:is>
      </x:c>
      <x:c r="C221" s="461" t="inlineStr">
        <x:is>
          <x:t xml:space="preserve">Boundary_Risk_Register</x:t>
        </x:is>
      </x:c>
      <x:c r="D221" s="461" t="n"/>
      <x:c r="E221" s="461" t="n"/>
      <x:c r="F221" s="461" t="n"/>
      <x:c r="G221" s="461" t="n"/>
      <x:c r="H221" s="461" t="n"/>
    </x:row>
    <x:row r="222" s="455" customFormat="1" ht="52.5" customHeight="1">
      <x:c r="A222" s="461" t="inlineStr">
        <x:is>
          <x:t xml:space="preserve">Boundary_Risk_Claim_Boundary</x:t>
        </x:is>
      </x:c>
      <x:c r="B222" s="461" t="inlineStr">
        <x:is>
          <x:t xml:space="preserve">Disclosure extension only; does not alter cascade or create ProofPack/Tier4/empirical-validation claim.</x:t>
        </x:is>
      </x:c>
      <x:c r="C222" s="461" t="n"/>
      <x:c r="D222" s="461" t="n"/>
      <x:c r="E222" s="461" t="n"/>
      <x:c r="F222" s="461" t="n"/>
      <x:c r="G222" s="461" t="n"/>
      <x:c r="H222" s="461" t="n"/>
    </x:row>
    <x:row r="223"/>
    <x:row r="224" s="455" customFormat="1" ht="12.75" customHeight="1">
      <x:c r="A224" s="589" t="inlineStr">
        <x:is>
          <x:t xml:space="preserve">SECTION 25: v10.8 EVIDENCE, LEGITIMACY, AND SGP SPLIT DISCLOSURES</x:t>
        </x:is>
      </x:c>
      <x:c r="B224" s="589" t="n"/>
      <x:c r="C224" s="589" t="n"/>
      <x:c r="D224" s="589" t="n"/>
      <x:c r="E224" s="589" t="n"/>
      <x:c r="F224" s="589" t="n"/>
      <x:c r="G224" s="589" t="n"/>
      <x:c r="H224" s="589" t="n"/>
    </x:row>
    <x:row r="225" s="455" customFormat="1" ht="12.75" customHeight="1">
      <x:c r="A225" s="497" t="inlineStr">
        <x:is>
          <x:t xml:space="preserve">Evidence_Status_Token_Register</x:t>
        </x:is>
      </x:c>
      <x:c r="B225" s="497" t="inlineStr">
        <x:is>
          <x:t xml:space="preserve">PRESENT</x:t>
        </x:is>
      </x:c>
      <x:c r="C225" s="497" t="inlineStr">
        <x:is>
          <x:t xml:space="preserve">Evidence_Status_Tokens</x:t>
        </x:is>
      </x:c>
    </x:row>
    <x:row r="226" s="455" customFormat="1" ht="12.75" customHeight="1">
      <x:c r="A226" s="497" t="inlineStr">
        <x:is>
          <x:t xml:space="preserve">Public_Legitimacy_Boundary</x:t>
        </x:is>
      </x:c>
      <x:c r="B226" s="497" t="inlineStr">
        <x:is>
          <x:t xml:space="preserve">DISCLOSE_IF_PUBLIC_GOVERNANCE</x:t>
        </x:is>
      </x:c>
      <x:c r="C226" s="497" t="inlineStr">
        <x:is>
          <x:t xml:space="preserve">Canon Appendix Y / Compact_Profiles</x:t>
        </x:is>
      </x:c>
    </x:row>
    <x:row r="227" s="455" customFormat="1" ht="12.75" customHeight="1">
      <x:c r="A227" s="497" t="inlineStr">
        <x:is>
          <x:t xml:space="preserve">Compact_Profile_Used</x:t>
        </x:is>
      </x:c>
      <x:c r="B227" s="497" t="inlineStr">
        <x:is>
          <x:t xml:space="preserve">NONE_OR_DECLARED</x:t>
        </x:is>
      </x:c>
      <x:c r="C227" s="497" t="inlineStr">
        <x:is>
          <x:t xml:space="preserve">Compact_Profiles</x:t>
        </x:is>
      </x:c>
    </x:row>
    <x:row r="228" s="455" customFormat="1" ht="12.75" customHeight="1">
      <x:c r="A228" s="497" t="inlineStr">
        <x:is>
          <x:t xml:space="preserve">SGP_Patienthood_Participation_Split</x:t>
        </x:is>
      </x:c>
      <x:c r="B228" s="497" t="inlineStr">
        <x:is>
          <x:t xml:space="preserve">PRESENT</x:t>
        </x:is>
      </x:c>
      <x:c r="C228" s="497" t="inlineStr">
        <x:is>
          <x:t xml:space="preserve">SGP_Split_Guardrail</x:t>
        </x:is>
      </x:c>
    </x:row>
    <x:row r="229" s="455" customFormat="1" ht="12.75" customHeight="1">
      <x:c r="A229" s="497" t="inlineStr">
        <x:is>
          <x:t xml:space="preserve">Validation_Roadmap_Status</x:t>
        </x:is>
      </x:c>
      <x:c r="B229" s="497" t="inlineStr">
        <x:is>
          <x:t xml:space="preserve">ROADMAP_ONLY_NOT_VALIDATION</x:t>
        </x:is>
      </x:c>
      <x:c r="C229" s="497" t="inlineStr">
        <x:is>
          <x:t xml:space="preserve">Validation_Roadmap</x:t>
        </x:is>
      </x:c>
    </x:row>
    <x:row r="230" s="455" customFormat="1" ht="12.75" customHeight="1">
      <x:c r="A230" s="497" t="inlineStr">
        <x:is>
          <x:t xml:space="preserve">v10.8_Claim_Boundary</x:t>
        </x:is>
      </x:c>
      <x:c r="B230" s="497" t="inlineStr">
        <x:is>
          <x:t xml:space="preserve">Disclosure extension only; does not alter cascade or create ProofPack/Tier4/empirical-validation/machine-verifiable ecosystem-complete claim.</x:t>
        </x:is>
      </x:c>
    </x:row>
    <x:row r="231"/>
    <x:row r="232" s="455" customFormat="1" ht="12.75" customHeight="1">
      <x:c r="A232" s="497" t="inlineStr">
        <x:is>
          <x:t xml:space="preserve">SECTION 26: REFERENCE STRUCTURE RECORD</x:t>
        </x:is>
      </x:c>
    </x:row>
    <x:row r="233" s="455" customFormat="1" ht="12.75" customHeight="1">
      <x:c r="A233" s="497" t="inlineStr">
        <x:is>
          <x:t xml:space="preserve">ReferenceStructureRecord_ID</x:t>
        </x:is>
      </x:c>
      <x:c r="B233" s="497" t="str">
        <x:f>ReferenceStructureRecord!A2</x:f>
        <x:v>ORG-2026-001</x:v>
      </x:c>
      <x:c r="C233" s="497" t="inlineStr">
        <x:is>
          <x:t xml:space="preserve">ReferenceStructureRecord</x:t>
        </x:is>
      </x:c>
    </x:row>
    <x:row r="234" s="455" customFormat="1" ht="12.75" customHeight="1">
      <x:c r="A234" s="497" t="inlineStr">
        <x:is>
          <x:t xml:space="preserve">ReferenceStructureRecord_Status</x:t>
        </x:is>
      </x:c>
      <x:c r="B234" s="497" t="str">
        <x:f>ReferenceStructureRecord!Z2</x:f>
        <x:v>COMPLETE</x:v>
      </x:c>
      <x:c r="C234" s="497" t="inlineStr">
        <x:is>
          <x:t xml:space="preserve">ReferenceStructureRecord!Z2</x:t>
        </x:is>
      </x:c>
    </x:row>
    <x:row r="235" s="455" customFormat="1" ht="12.75" customHeight="1">
      <x:c r="A235" s="497" t="inlineStr">
        <x:is>
          <x:t xml:space="preserve">Reference_Object</x:t>
        </x:is>
      </x:c>
      <x:c r="B235" s="497" t="inlineStr">
        <x:is>
          <x:t xml:space="preserve">Remote work policy implementation decision evaluated against RippleLogic v10.8 RCR/RSP, NCRC/TRC/Containment/RLS/UCI-HOI, PCC, and workbook evidence surfaces.</x:t>
        </x:is>
      </x:c>
      <x:c r="C235" s="497" t="inlineStr">
        <x:is>
          <x:t xml:space="preserve">ReferenceStructureRecord!E2</x:t>
        </x:is>
      </x:c>
    </x:row>
    <x:row r="236" s="455" customFormat="1" ht="12.75" customHeight="1">
      <x:c r="A236" s="497" t="inlineStr">
        <x:is>
          <x:t xml:space="preserve">Evidence_Status_Token</x:t>
        </x:is>
      </x:c>
      <x:c r="B236" s="497" t="str">
        <x:f>ReferenceStructureRecord!Q2</x:f>
        <x:v>ESTIMATED</x:v>
      </x:c>
      <x:c r="C236" s="497" t="inlineStr">
        <x:is>
          <x:t xml:space="preserve">ReferenceStructureRecord!Q2</x:t>
        </x:is>
      </x:c>
    </x:row>
    <x:row r="237" s="455" customFormat="1" ht="12.75" customHeight="1">
      <x:c r="A237" s="497" t="inlineStr">
        <x:is>
          <x:t xml:space="preserve">Falsification_Condition</x:t>
        </x:is>
      </x:c>
      <x:c r="B237" s="497" t="str">
        <x:f>ReferenceStructureRecord!S2</x:f>
        <x:v>Materially worse cohesion, rights impacts, productivity, burnout, information access, due process, or tail-risk indicators than the declared monitoring thresholds would falsify or force revision of the claim.</x:v>
      </x:c>
      <x:c r="C237" s="497" t="inlineStr">
        <x:is>
          <x:t xml:space="preserve">ReferenceStructureRecord!S2</x:t>
        </x:is>
      </x:c>
    </x:row>
    <x:row r="238" s="455" customFormat="1" ht="12.75" customHeight="1">
      <x:c r="A238" s="497" t="inlineStr">
        <x:is>
          <x:t xml:space="preserve">Authority_Boundary</x:t>
        </x:is>
      </x:c>
      <x:c r="B238" s="497" t="str">
        <x:f>ReferenceStructureRecord!U2</x:f>
        <x:v>Advisory organizational decision support only; no legal, public-governance, deployment-readiness, or compliance certification.</x:v>
      </x:c>
      <x:c r="C238" s="497" t="inlineStr">
        <x:is>
          <x:t xml:space="preserve">ReferenceStructureRecord!U2</x:t>
        </x:is>
      </x:c>
    </x:row>
    <x:row r="239" s="455" customFormat="1" ht="12.75" customHeight="1">
      <x:c r="A239" s="497" t="inlineStr">
        <x:is>
          <x:t xml:space="preserve">RSP_Claim_Boundary</x:t>
        </x:is>
      </x:c>
      <x:c r="B239" s="497" t="inlineStr">
        <x:is>
          <x:t xml:space="preserve">ReferenceStructureRecord strengthens evidence and auditability. It does not alter the canonical cascade, create a sixth gate, or create empirical-validation, ProofPack, Tier 4, legal-compliance, deployment-readiness, or machine-verifiable-ecosystem claims.</x:t>
        </x:is>
      </x:c>
    </x:row>
    <x:row r="240">
      <x:c r="A240" s="626" t="str">
        <x:v>RealityGrounding_vs_EvidenceStatus_Disclosure</x:v>
      </x:c>
      <x:c r="B240" s="626" t="str">
        <x:v>RealityGroundingStatus (run-level claim posture) and Evidence_Status_Token (per-input evidence grade) are distinct axes; ASSUMPTION_BOUND run posture with ESTIMATED dominant inputs is consistent for this exemplar.</x:v>
      </x:c>
      <x:c r="C240" s="626" t="str">
        <x:v>Reality_Grounding!A27:D27</x:v>
      </x:c>
    </x:row>
  </x:sheetData>
  <x:mergeCells>
    <x:mergeCell ref="A1:J1"/>
    <x:mergeCell ref="A151:B151"/>
  </x:mergeCells>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baseColWidth="8" defaultColWidth="8.66796875" defaultRowHeight="14.25"/>
  <x:cols>
    <x:col min="1" max="1" width="12" style="471" customWidth="1"/>
    <x:col min="2" max="2" width="36" style="471" customWidth="1"/>
    <x:col min="3" max="3" width="18" style="471" customWidth="1"/>
    <x:col min="4" max="4" width="14" style="471" customWidth="1"/>
    <x:col min="5" max="5" width="16" style="471" customWidth="1"/>
    <x:col min="6" max="6" width="40" style="471" customWidth="1"/>
    <x:col min="9" max="19" width="12" style="471" customWidth="1"/>
  </x:cols>
  <x:sheetData>
    <x:row r="1" s="455" customFormat="1" ht="14.25" customHeight="1">
      <x:c r="A1" s="590" t="inlineStr">
        <x:is>
          <x:t xml:space="preserve">SENSITIVITY ANALYSIS</x:t>
        </x:is>
      </x:c>
    </x:row>
    <x:row r="2" s="455" customFormat="1" ht="13.5" customHeight="1"/>
    <x:row r="3" s="455" customFormat="1" ht="14.25" customHeight="1">
      <x:c r="A3" s="471" t="inlineStr">
        <x:is>
          <x:t xml:space="preserve">Module Status:</x:t>
        </x:is>
      </x:c>
      <x:c r="B3" s="541" t="inlineStr">
        <x:is>
          <x:t xml:space="preserve">PERFORMED</x:t>
        </x:is>
      </x:c>
    </x:row>
    <x:row r="4" s="455" customFormat="1" ht="14.25" customHeight="1">
      <x:c r="A4" s="471" t="inlineStr">
        <x:is>
          <x:t xml:space="preserve">Tier Requirement:</x:t>
        </x:is>
      </x:c>
      <x:c r="B4" s="471" t="inlineStr">
        <x:is>
          <x:t xml:space="preserve">Small sensitivity tests executed (weights + scenario probabilities).</x:t>
        </x:is>
      </x:c>
    </x:row>
    <x:row r="5" s="455" customFormat="1" ht="14.25" customHeight="1">
      <x:c r="A5" s="512" t="inlineStr">
        <x:is>
          <x:t xml:space="preserve">Audit Flag:</x:t>
        </x:is>
      </x:c>
      <x:c r="B5" s="471" t="str">
        <x:f>"SENSITIVITY_NOT_RUN = "&amp;IF(B3="NOT PERFORMED","YES","NO")&amp;" (REVIEW severity)"</x:f>
        <x:v>SENSITIVITY_NOT_RUN = NO (REVIEW severity)</x:v>
      </x:c>
    </x:row>
    <x:row r="6" s="455" customFormat="1" ht="13.5" customHeight="1"/>
    <x:row r="7" s="455" customFormat="1" ht="14.25" customHeight="1">
      <x:c r="A7" s="487" t="inlineStr">
        <x:is>
          <x:t xml:space="preserve">PERTURBATION TESTS</x:t>
        </x:is>
      </x:c>
    </x:row>
    <x:row r="8" s="455" customFormat="1" ht="14.25" customHeight="1">
      <x:c r="A8" s="487" t="inlineStr">
        <x:is>
          <x:t xml:space="preserve">Test</x:t>
        </x:is>
      </x:c>
      <x:c r="B8" s="487" t="inlineStr">
        <x:is>
          <x:t xml:space="preserve">Change</x:t>
        </x:is>
      </x:c>
      <x:c r="C8" s="487" t="inlineStr">
        <x:is>
          <x:t xml:space="preserve">Metric</x:t>
        </x:is>
      </x:c>
      <x:c r="D8" s="487" t="inlineStr">
        <x:is>
          <x:t xml:space="preserve">Result</x:t>
        </x:is>
      </x:c>
      <x:c r="E8" s="487" t="inlineStr">
        <x:is>
          <x:t xml:space="preserve">Selection stable?</x:t>
        </x:is>
      </x:c>
      <x:c r="F8" s="487" t="inlineStr">
        <x:is>
          <x:t xml:space="preserve">Notes</x:t>
        </x:is>
      </x:c>
    </x:row>
    <x:row r="9" s="455" customFormat="1" ht="14.25" customHeight="1">
      <x:c r="A9" s="471" t="inlineStr">
        <x:is>
          <x:t xml:space="preserve">SENS-01</x:t>
        </x:is>
      </x:c>
      <x:c r="B9" s="471" t="inlineStr">
        <x:is>
          <x:t xml:space="preserve">Weights: D1 +10% (renorm)</x:t>
        </x:is>
      </x:c>
      <x:c r="C9" s="471" t="inlineStr">
        <x:is>
          <x:t xml:space="preserve">RLS higher option (non-decisive-aware)</x:t>
        </x:is>
      </x:c>
      <x:c r="D9" s="471" t="str">
        <x:f>D34</x:f>
        <x:v>A</x:v>
      </x:c>
      <x:c r="E9" s="471" t="str">
        <x:f>IF(D9=$D$14,"YES","NO")</x:f>
        <x:v>YES</x:v>
      </x:c>
      <x:c r="F9" s="471" t="inlineStr">
        <x:is>
          <x:t xml:space="preserve">RLS recomputed from I_prop with perturbed dimension weights</x:t>
        </x:is>
      </x:c>
    </x:row>
    <x:row r="10" s="455" customFormat="1" ht="14.25" customHeight="1">
      <x:c r="A10" s="471" t="inlineStr">
        <x:is>
          <x:t xml:space="preserve">SENS-02</x:t>
        </x:is>
      </x:c>
      <x:c r="B10" s="471" t="inlineStr">
        <x:is>
          <x:t xml:space="preserve">Weights: D7 +10% (renorm)</x:t>
        </x:is>
      </x:c>
      <x:c r="C10" s="471" t="inlineStr">
        <x:is>
          <x:t xml:space="preserve">RLS higher option (non-decisive-aware)</x:t>
        </x:is>
      </x:c>
      <x:c r="D10" s="471" t="str">
        <x:f>D35</x:f>
        <x:v>A</x:v>
      </x:c>
      <x:c r="E10" s="471" t="str">
        <x:f>IF(D10=$D$14,"YES","NO")</x:f>
        <x:v>YES</x:v>
      </x:c>
      <x:c r="F10" s="471" t="inlineStr">
        <x:is>
          <x:t xml:space="preserve">RLS recomputed from I_prop with perturbed dimension weights</x:t>
        </x:is>
      </x:c>
    </x:row>
    <x:row r="11" s="455" customFormat="1" ht="14.25" customHeight="1">
      <x:c r="A11" s="471" t="inlineStr">
        <x:is>
          <x:t xml:space="preserve">SENS-03</x:t>
        </x:is>
      </x:c>
      <x:c r="B11" s="471" t="inlineStr">
        <x:is>
          <x:t xml:space="preserve">Weights: D3&amp;D5 +10% (renorm)</x:t>
        </x:is>
      </x:c>
      <x:c r="C11" s="471" t="inlineStr">
        <x:is>
          <x:t xml:space="preserve">RLS higher option (non-decisive-aware)</x:t>
        </x:is>
      </x:c>
      <x:c r="D11" s="471" t="str">
        <x:f>D36</x:f>
        <x:v>A</x:v>
      </x:c>
      <x:c r="E11" s="471" t="str">
        <x:f>IF(D11=$D$14,"YES","NO")</x:f>
        <x:v>YES</x:v>
      </x:c>
      <x:c r="F11" s="471" t="inlineStr">
        <x:is>
          <x:t xml:space="preserve">RLS recomputed from I_prop with perturbed dimension weights</x:t>
        </x:is>
      </x:c>
    </x:row>
    <x:row r="12" s="455" customFormat="1" ht="14.25" customHeight="1">
      <x:c r="A12" s="471" t="inlineStr">
        <x:is>
          <x:t xml:space="preserve">SENS-04</x:t>
        </x:is>
      </x:c>
      <x:c r="B12" s="471" t="inlineStr">
        <x:is>
          <x:t xml:space="preserve">Scenario p stress: worst-loss scenarios +20% (renorm)</x:t>
        </x:is>
      </x:c>
      <x:c r="C12" s="471" t="inlineStr">
        <x:is>
          <x:t xml:space="preserve">TRC status (A,B)</x:t>
        </x:is>
      </x:c>
      <x:c r="D12" s="471" t="str">
        <x:f>N122&amp;", "&amp;N123</x:f>
        <x:v>PASS, PASS</x:v>
      </x:c>
      <x:c r="E12" s="471" t="str">
        <x:f>IF(AND(N122="PASS",N123="PASS"),"YES","NO")</x:f>
        <x:v>YES</x:v>
      </x:c>
      <x:c r="F12" s="471" t="inlineStr">
        <x:is>
          <x:t xml:space="preserve">CVaR recomputed with stressed probabilities; compare to τ_TRC</x:t>
        </x:is>
      </x:c>
    </x:row>
    <x:row r="13" s="455" customFormat="1" ht="14.25" customHeight="1">
      <x:c r="A13" s="487" t="inlineStr">
        <x:is>
          <x:t xml:space="preserve">Baseline</x:t>
        </x:is>
      </x:c>
      <x:c r="B13" s="487" t="inlineStr">
        <x:is>
          <x:t xml:space="preserve">RLS_A</x:t>
        </x:is>
      </x:c>
      <x:c r="C13" s="487" t="inlineStr">
        <x:is>
          <x:t xml:space="preserve">RLS_B</x:t>
        </x:is>
      </x:c>
      <x:c r="D13" s="487" t="inlineStr">
        <x:is>
          <x:t xml:space="preserve">Preferred</x:t>
        </x:is>
      </x:c>
      <x:c r="E13" s="487" t="inlineStr">
        <x:is>
          <x:t xml:space="preserve">Gap</x:t>
        </x:is>
      </x:c>
    </x:row>
    <x:row r="14" s="455" customFormat="1" ht="14.25" customHeight="1">
      <x:c r="A14" s="471" t="inlineStr">
        <x:is>
          <x:t xml:space="preserve">Sensitivity analysis optional. Selection stability assumed based on margin:</x:t>
        </x:is>
      </x:c>
      <x:c r="B14" s="486" t="n">
        <x:f>RLS!B61</x:f>
        <x:v>0.01531294271682332</x:v>
      </x:c>
      <x:c r="C14" s="486" t="n">
        <x:f>RLS!B62</x:f>
        <x:v>-0.0011223873850524822</x:v>
      </x:c>
      <x:c r="D14" s="471" t="str">
        <x:f>IF(B14&gt;=C14,"A","B")</x:f>
        <x:v>A</x:v>
      </x:c>
      <x:c r="E14" s="471" t="n">
        <x:f>B14-C14</x:f>
        <x:v>0.016435330101875804</x:v>
      </x:c>
    </x:row>
    <x:row r="15" s="455" customFormat="1" ht="14.25" customHeight="1">
      <x:c r="A15" s="512" t="inlineStr">
        <x:is>
          <x:t xml:space="preserve">CVaR_A (0.0219) and CVaR_B (0.0315) are both &lt;&lt; τ_TRC (0.20)</x:t>
        </x:is>
      </x:c>
    </x:row>
    <x:row r="16" s="455" customFormat="1" ht="14.25" customHeight="1">
      <x:c r="A16" s="471" t="inlineStr">
        <x:is>
          <x:t xml:space="preserve">Sensitivity verdict</x:t>
        </x:is>
      </x:c>
      <x:c r="B16" s="471"/>
    </x:row>
    <x:row r="17" s="455" customFormat="1" ht="13.5" customHeight="1">
      <x:c r="A17" s="591" t="inlineStr">
        <x:is>
          <x:t xml:space="preserve">DeterministicSelectionEffect</x:t>
        </x:is>
      </x:c>
      <x:c r="B17" s="591" t="inlineStr">
        <x:is>
          <x:t xml:space="preserve">NO - FrameworkVerdict remains REFUSE_DETERMINISTIC_SELECTION</x:t>
        </x:is>
      </x:c>
    </x:row>
    <x:row r="18" s="455" customFormat="1" ht="14.25" customHeight="1">
      <x:c r="A18" s="485" t="n"/>
    </x:row>
    <x:row r="19" s="455" customFormat="1" ht="13.5" customHeight="1"/>
    <x:row r="20" s="455" customFormat="1" ht="14.25" customHeight="1">
      <x:c r="A20" s="512" t="n"/>
      <x:c r="K20" s="471" t="inlineStr">
        <x:is>
          <x:t xml:space="preserve">D1</x:t>
        </x:is>
      </x:c>
      <x:c r="L20" s="471" t="inlineStr">
        <x:is>
          <x:t xml:space="preserve">D2</x:t>
        </x:is>
      </x:c>
      <x:c r="M20" s="471" t="inlineStr">
        <x:is>
          <x:t xml:space="preserve">D3</x:t>
        </x:is>
      </x:c>
      <x:c r="N20" s="471" t="inlineStr">
        <x:is>
          <x:t xml:space="preserve">D4</x:t>
        </x:is>
      </x:c>
      <x:c r="O20" s="471" t="inlineStr">
        <x:is>
          <x:t xml:space="preserve">D5</x:t>
        </x:is>
      </x:c>
      <x:c r="P20" s="471" t="inlineStr">
        <x:is>
          <x:t xml:space="preserve">D6</x:t>
        </x:is>
      </x:c>
      <x:c r="Q20" s="471" t="inlineStr">
        <x:is>
          <x:t xml:space="preserve">D7</x:t>
        </x:is>
      </x:c>
    </x:row>
    <x:row r="21" s="455" customFormat="1" ht="14.25" customHeight="1">
      <x:c r="J21" s="471" t="inlineStr">
        <x:is>
          <x:t xml:space="preserve">Base v_d</x:t>
        </x:is>
      </x:c>
      <x:c r="K21" s="514" t="n">
        <x:f>Parameters!$B$48</x:f>
        <x:v>0.142857142857143</x:v>
      </x:c>
      <x:c r="L21" s="514" t="n">
        <x:f>Parameters!$B$49</x:f>
        <x:v>0.142857142857143</x:v>
      </x:c>
      <x:c r="M21" s="514" t="n">
        <x:f>Parameters!$B$50</x:f>
        <x:v>0.142857142857143</x:v>
      </x:c>
      <x:c r="N21" s="514" t="n">
        <x:f>Parameters!$B$51</x:f>
        <x:v>0.142857142857143</x:v>
      </x:c>
      <x:c r="O21" s="514" t="n">
        <x:f>Parameters!$B$52</x:f>
        <x:v>0.142857142857143</x:v>
      </x:c>
      <x:c r="P21" s="514" t="n">
        <x:f>Parameters!$B$53</x:f>
        <x:v>0.142857142857143</x:v>
      </x:c>
      <x:c r="Q21" s="514" t="n">
        <x:f>Parameters!$B$54</x:f>
        <x:v>0.142857142857143</x:v>
      </x:c>
    </x:row>
    <x:row r="22" s="455" customFormat="1" ht="14.25" customHeight="1">
      <x:c r="J22" s="471" t="inlineStr">
        <x:is>
          <x:t xml:space="preserve">Factors (SENS-01)</x:t>
        </x:is>
      </x:c>
      <x:c r="K22" s="471" t="n">
        <x:v>1.1</x:v>
      </x:c>
      <x:c r="L22" s="471" t="n">
        <x:v>1</x:v>
      </x:c>
      <x:c r="M22" s="471" t="n">
        <x:v>1</x:v>
      </x:c>
      <x:c r="N22" s="471" t="n">
        <x:v>1</x:v>
      </x:c>
      <x:c r="O22" s="471" t="n">
        <x:v>1</x:v>
      </x:c>
      <x:c r="P22" s="471" t="n">
        <x:v>1</x:v>
      </x:c>
      <x:c r="Q22" s="471" t="n">
        <x:v>1</x:v>
      </x:c>
    </x:row>
    <x:row r="23" s="455" customFormat="1" ht="14.25" customHeight="1">
      <x:c r="J23" s="471" t="inlineStr">
        <x:is>
          <x:t xml:space="preserve">v_d* (SENS-01)</x:t>
        </x:is>
      </x:c>
      <x:c r="K23" s="471" t="n">
        <x:f>K$21*K$22/SUMPRODUCT($K$21:$Q$21,$K$22:$Q$22)</x:f>
        <x:v>0.15492957746478872</x:v>
      </x:c>
      <x:c r="L23" s="471" t="n">
        <x:f>L$21*L$22/SUMPRODUCT($K$21:$Q$21,$K$22:$Q$22)</x:f>
        <x:v>0.1408450704225352</x:v>
      </x:c>
      <x:c r="M23" s="471" t="n">
        <x:f>M$21*M$22/SUMPRODUCT($K$21:$Q$21,$K$22:$Q$22)</x:f>
        <x:v>0.1408450704225352</x:v>
      </x:c>
      <x:c r="N23" s="471" t="n">
        <x:f>N$21*N$22/SUMPRODUCT($K$21:$Q$21,$K$22:$Q$22)</x:f>
        <x:v>0.1408450704225352</x:v>
      </x:c>
      <x:c r="O23" s="471" t="n">
        <x:f>O$21*O$22/SUMPRODUCT($K$21:$Q$21,$K$22:$Q$22)</x:f>
        <x:v>0.1408450704225352</x:v>
      </x:c>
      <x:c r="P23" s="471" t="n">
        <x:f>P$21*P$22/SUMPRODUCT($K$21:$Q$21,$K$22:$Q$22)</x:f>
        <x:v>0.1408450704225352</x:v>
      </x:c>
      <x:c r="Q23" s="471" t="n">
        <x:f>Q$21*Q$22/SUMPRODUCT($K$21:$Q$21,$K$22:$Q$22)</x:f>
        <x:v>0.1408450704225352</x:v>
      </x:c>
    </x:row>
    <x:row r="24" s="455" customFormat="1" ht="14.25" customHeight="1">
      <x:c r="J24" s="471" t="inlineStr">
        <x:is>
          <x:t xml:space="preserve">Factors (SENS-02)</x:t>
        </x:is>
      </x:c>
      <x:c r="K24" s="471" t="n">
        <x:v>1</x:v>
      </x:c>
      <x:c r="L24" s="471" t="n">
        <x:v>1</x:v>
      </x:c>
      <x:c r="M24" s="471" t="n">
        <x:v>1</x:v>
      </x:c>
      <x:c r="N24" s="471" t="n">
        <x:v>1</x:v>
      </x:c>
      <x:c r="O24" s="471" t="n">
        <x:v>1</x:v>
      </x:c>
      <x:c r="P24" s="471" t="n">
        <x:v>1</x:v>
      </x:c>
      <x:c r="Q24" s="471" t="n">
        <x:v>1.1</x:v>
      </x:c>
    </x:row>
    <x:row r="25" s="455" customFormat="1" ht="14.25" customHeight="1">
      <x:c r="A25" s="471" t="inlineStr">
        <x:is>
          <x:t xml:space="preserve">Selection stability: computed in this exemplar via the SENS-01..SENS-04 perturbations below (see Summary).</x:t>
        </x:is>
      </x:c>
      <x:c r="J25" s="471" t="inlineStr">
        <x:is>
          <x:t xml:space="preserve">v_d* (SENS-02)</x:t>
        </x:is>
      </x:c>
      <x:c r="K25" s="471" t="n">
        <x:f>K$21*K$24/SUMPRODUCT($K$21:$Q$21,$K$24:$Q$24)</x:f>
        <x:v>0.1408450704225352</x:v>
      </x:c>
      <x:c r="L25" s="471" t="n">
        <x:f>L$21*L$24/SUMPRODUCT($K$21:$Q$21,$K$24:$Q$24)</x:f>
        <x:v>0.1408450704225352</x:v>
      </x:c>
      <x:c r="M25" s="471" t="n">
        <x:f>M$21*M$24/SUMPRODUCT($K$21:$Q$21,$K$24:$Q$24)</x:f>
        <x:v>0.1408450704225352</x:v>
      </x:c>
      <x:c r="N25" s="471" t="n">
        <x:f>N$21*N$24/SUMPRODUCT($K$21:$Q$21,$K$24:$Q$24)</x:f>
        <x:v>0.1408450704225352</x:v>
      </x:c>
      <x:c r="O25" s="471" t="n">
        <x:f>O$21*O$24/SUMPRODUCT($K$21:$Q$21,$K$24:$Q$24)</x:f>
        <x:v>0.1408450704225352</x:v>
      </x:c>
      <x:c r="P25" s="471" t="n">
        <x:f>P$21*P$24/SUMPRODUCT($K$21:$Q$21,$K$24:$Q$24)</x:f>
        <x:v>0.1408450704225352</x:v>
      </x:c>
      <x:c r="Q25" s="471" t="n">
        <x:f>Q$21*Q$24/SUMPRODUCT($K$21:$Q$21,$K$24:$Q$24)</x:f>
        <x:v>0.15492957746478872</x:v>
      </x:c>
    </x:row>
    <x:row r="26" s="455" customFormat="1" ht="13.5" customHeight="1">
      <x:c r="J26" s="471" t="inlineStr">
        <x:is>
          <x:t xml:space="preserve">Factors (SENS-03)</x:t>
        </x:is>
      </x:c>
      <x:c r="K26" s="471" t="n">
        <x:v>1</x:v>
      </x:c>
      <x:c r="L26" s="471" t="n">
        <x:v>1</x:v>
      </x:c>
      <x:c r="M26" s="471" t="n">
        <x:v>1.1</x:v>
      </x:c>
      <x:c r="N26" s="471" t="n">
        <x:v>1</x:v>
      </x:c>
      <x:c r="O26" s="471" t="n">
        <x:v>1.1</x:v>
      </x:c>
      <x:c r="P26" s="471" t="n">
        <x:v>1</x:v>
      </x:c>
      <x:c r="Q26" s="471" t="n">
        <x:v>1</x:v>
      </x:c>
    </x:row>
    <x:row r="27" s="455" customFormat="1" ht="14.25" customHeight="1">
      <x:c r="A27" s="512" t="inlineStr">
        <x:is>
          <x:t xml:space="preserve">4. IMPACT MAGNITUDE PERTURBATION (±20%)</x:t>
        </x:is>
      </x:c>
      <x:c r="J27" s="471" t="inlineStr">
        <x:is>
          <x:t xml:space="preserve">v_d* (SENS-03)</x:t>
        </x:is>
      </x:c>
      <x:c r="K27" s="471" t="n">
        <x:f>K$21*K$26/SUMPRODUCT($K$21:$Q$21,$K$26:$Q$26)</x:f>
        <x:v>0.13888888888888887</x:v>
      </x:c>
      <x:c r="L27" s="471" t="n">
        <x:f>L$21*L$26/SUMPRODUCT($K$21:$Q$21,$K$26:$Q$26)</x:f>
        <x:v>0.13888888888888887</x:v>
      </x:c>
      <x:c r="M27" s="471" t="n">
        <x:f>M$21*M$26/SUMPRODUCT($K$21:$Q$21,$K$26:$Q$26)</x:f>
        <x:v>0.1527777777777778</x:v>
      </x:c>
      <x:c r="N27" s="471" t="n">
        <x:f>N$21*N$26/SUMPRODUCT($K$21:$Q$21,$K$26:$Q$26)</x:f>
        <x:v>0.13888888888888887</x:v>
      </x:c>
      <x:c r="O27" s="471" t="n">
        <x:f>O$21*O$26/SUMPRODUCT($K$21:$Q$21,$K$26:$Q$26)</x:f>
        <x:v>0.1527777777777778</x:v>
      </x:c>
      <x:c r="P27" s="471" t="n">
        <x:f>P$21*P$26/SUMPRODUCT($K$21:$Q$21,$K$26:$Q$26)</x:f>
        <x:v>0.13888888888888887</x:v>
      </x:c>
      <x:c r="Q27" s="471" t="n">
        <x:f>Q$21*Q$26/SUMPRODUCT($K$21:$Q$21,$K$26:$Q$26)</x:f>
        <x:v>0.13888888888888887</x:v>
      </x:c>
    </x:row>
    <x:row r="28" s="455" customFormat="1" ht="14.25" customHeight="1">
      <x:c r="A28" s="471" t="inlineStr">
        <x:is>
          <x:t xml:space="preserve">Key instances: I03 (flexibility), I01 (isolation)</x:t>
        </x:is>
      </x:c>
    </x:row>
    <x:row r="29" s="455" customFormat="1" ht="14.25" customHeight="1">
      <x:c r="A29" s="471" t="inlineStr">
        <x:is>
          <x:t xml:space="preserve">Additional tests: Not performed for this run</x:t>
        </x:is>
      </x:c>
      <x:c r="J29" s="471" t="inlineStr">
        <x:is>
          <x:t xml:space="preserve">Union w_u</x:t>
        </x:is>
      </x:c>
    </x:row>
    <x:row r="30" s="455" customFormat="1" ht="14.25" customHeight="1">
      <x:c r="I30" s="471" t="inlineStr">
        <x:is>
          <x:t xml:space="preserve">U1</x:t>
        </x:is>
      </x:c>
      <x:c r="J30" s="514" t="n">
        <x:f>Parameters!$B$38</x:f>
        <x:v>0.75</x:v>
      </x:c>
      <x:c r="K30" s="471" t="n">
        <x:f>$J30*K$23</x:f>
        <x:v>0.11619718309859153</x:v>
      </x:c>
      <x:c r="L30" s="471" t="n">
        <x:f>$J30*L$23</x:f>
        <x:v>0.10563380281690139</x:v>
      </x:c>
      <x:c r="M30" s="471" t="n">
        <x:f>$J30*M$23</x:f>
        <x:v>0.10563380281690139</x:v>
      </x:c>
      <x:c r="N30" s="471" t="n">
        <x:f>$J30*N$23</x:f>
        <x:v>0.10563380281690139</x:v>
      </x:c>
      <x:c r="O30" s="471" t="n">
        <x:f>$J30*O$23</x:f>
        <x:v>0.10563380281690139</x:v>
      </x:c>
      <x:c r="P30" s="471" t="n">
        <x:f>$J30*P$23</x:f>
        <x:v>0.10563380281690139</x:v>
      </x:c>
      <x:c r="Q30" s="471" t="n">
        <x:f>$J30*Q$23</x:f>
        <x:v>0.10563380281690139</x:v>
      </x:c>
    </x:row>
    <x:row r="31" s="455" customFormat="1" ht="13.5" customHeight="1">
      <x:c r="I31" s="471" t="inlineStr">
        <x:is>
          <x:t xml:space="preserve">U2</x:t>
        </x:is>
      </x:c>
      <x:c r="J31" s="514" t="n">
        <x:f>Parameters!$B$39</x:f>
        <x:v>1.25</x:v>
      </x:c>
      <x:c r="K31" s="471" t="n">
        <x:f>$J31*K$23</x:f>
        <x:v>0.1936619718309859</x:v>
      </x:c>
      <x:c r="L31" s="471" t="n">
        <x:f>$J31*L$23</x:f>
        <x:v>0.176056338028169</x:v>
      </x:c>
      <x:c r="M31" s="471" t="n">
        <x:f>$J31*M$23</x:f>
        <x:v>0.176056338028169</x:v>
      </x:c>
      <x:c r="N31" s="471" t="n">
        <x:f>$J31*N$23</x:f>
        <x:v>0.176056338028169</x:v>
      </x:c>
      <x:c r="O31" s="471" t="n">
        <x:f>$J31*O$23</x:f>
        <x:v>0.176056338028169</x:v>
      </x:c>
      <x:c r="P31" s="471" t="n">
        <x:f>$J31*P$23</x:f>
        <x:v>0.176056338028169</x:v>
      </x:c>
      <x:c r="Q31" s="471" t="n">
        <x:f>$J31*Q$23</x:f>
        <x:v>0.176056338028169</x:v>
      </x:c>
    </x:row>
    <x:row r="32" s="455" customFormat="1" ht="14.25" customHeight="1">
      <x:c r="A32" s="512" t="inlineStr">
        <x:is>
          <x:t xml:space="preserve">5. ROBUSTNESS CLASSIFICATION</x:t>
        </x:is>
      </x:c>
      <x:c r="I32" s="471" t="inlineStr">
        <x:is>
          <x:t xml:space="preserve">U3</x:t>
        </x:is>
      </x:c>
      <x:c r="J32" s="514" t="n">
        <x:f>Parameters!$B$40</x:f>
        <x:v>0.083</x:v>
      </x:c>
      <x:c r="K32" s="471" t="n">
        <x:f>$J32*K$23</x:f>
        <x:v>0.012859154929577465</x:v>
      </x:c>
      <x:c r="L32" s="471" t="n">
        <x:f>$J32*L$23</x:f>
        <x:v>0.011690140845070422</x:v>
      </x:c>
      <x:c r="M32" s="471" t="n">
        <x:f>$J32*M$23</x:f>
        <x:v>0.011690140845070422</x:v>
      </x:c>
      <x:c r="N32" s="471" t="n">
        <x:f>$J32*N$23</x:f>
        <x:v>0.011690140845070422</x:v>
      </x:c>
      <x:c r="O32" s="471" t="n">
        <x:f>$J32*O$23</x:f>
        <x:v>0.011690140845070422</x:v>
      </x:c>
      <x:c r="P32" s="471" t="n">
        <x:f>$J32*P$23</x:f>
        <x:v>0.011690140845070422</x:v>
      </x:c>
      <x:c r="Q32" s="471" t="n">
        <x:f>$J32*Q$23</x:f>
        <x:v>0.011690140845070422</x:v>
      </x:c>
    </x:row>
    <x:row r="33" s="455" customFormat="1" ht="14.25" customHeight="1">
      <x:c r="A33" s="487" t="inlineStr">
        <x:is>
          <x:t xml:space="preserve">Weight sensitivity results</x:t>
        </x:is>
      </x:c>
      <x:c r="B33" s="487" t="n"/>
      <x:c r="C33" s="487" t="n"/>
      <x:c r="D33" s="487" t="n"/>
      <x:c r="E33" s="487" t="n"/>
      <x:c r="I33" s="471" t="inlineStr">
        <x:is>
          <x:t xml:space="preserve">U4</x:t>
        </x:is>
      </x:c>
      <x:c r="J33" s="514" t="n">
        <x:f>Parameters!$B$41</x:f>
        <x:v>0.11666666666666667</x:v>
      </x:c>
      <x:c r="K33" s="471" t="n">
        <x:f>$J33*K$23</x:f>
        <x:v>0.018075117370892017</x:v>
      </x:c>
      <x:c r="L33" s="471" t="n">
        <x:f>$J33*L$23</x:f>
        <x:v>0.016431924882629106</x:v>
      </x:c>
      <x:c r="M33" s="471" t="n">
        <x:f>$J33*M$23</x:f>
        <x:v>0.016431924882629106</x:v>
      </x:c>
      <x:c r="N33" s="471" t="n">
        <x:f>$J33*N$23</x:f>
        <x:v>0.016431924882629106</x:v>
      </x:c>
      <x:c r="O33" s="471" t="n">
        <x:f>$J33*O$23</x:f>
        <x:v>0.016431924882629106</x:v>
      </x:c>
      <x:c r="P33" s="471" t="n">
        <x:f>$J33*P$23</x:f>
        <x:v>0.016431924882629106</x:v>
      </x:c>
      <x:c r="Q33" s="471" t="n">
        <x:f>$J33*Q$23</x:f>
        <x:v>0.016431924882629106</x:v>
      </x:c>
    </x:row>
    <x:row r="34" s="455" customFormat="1" ht="14.25" customHeight="1">
      <x:c r="A34" s="471" t="inlineStr">
        <x:is>
          <x:t xml:space="preserve">SENS-01 Preferred</x:t>
        </x:is>
      </x:c>
      <x:c r="B34" s="471" t="n">
        <x:f>SUMPRODUCT(I_prop!$B$7:$H$13,$K$30:$Q$36)</x:f>
        <x:v>0.04785228381776438</x:v>
      </x:c>
      <x:c r="C34" s="471" t="n">
        <x:f>SUMPRODUCT(I_prop!$B$18:$H$24,$K$30:$Q$36)</x:f>
        <x:v>-0.007546141963502458</x:v>
      </x:c>
      <x:c r="D34" s="471" t="str">
        <x:f>IF(B34&gt;=C34,"A","B")</x:f>
        <x:v>A</x:v>
      </x:c>
      <x:c r="E34" s="471" t="n">
        <x:f>B34-C34</x:f>
        <x:v>0.05539842578126684</x:v>
      </x:c>
      <x:c r="I34" s="471" t="inlineStr">
        <x:is>
          <x:t xml:space="preserve">U5</x:t>
        </x:is>
      </x:c>
      <x:c r="J34" s="514" t="n">
        <x:f>Parameters!$B$42</x:f>
        <x:v>0.09133333333333334</x:v>
      </x:c>
      <x:c r="K34" s="471" t="n">
        <x:f>$J34*K$23</x:f>
        <x:v>0.014150234741784036</x:v>
      </x:c>
      <x:c r="L34" s="471" t="n">
        <x:f>$J34*L$23</x:f>
        <x:v>0.012863849765258215</x:v>
      </x:c>
      <x:c r="M34" s="471" t="n">
        <x:f>$J34*M$23</x:f>
        <x:v>0.012863849765258215</x:v>
      </x:c>
      <x:c r="N34" s="471" t="n">
        <x:f>$J34*N$23</x:f>
        <x:v>0.012863849765258215</x:v>
      </x:c>
      <x:c r="O34" s="471" t="n">
        <x:f>$J34*O$23</x:f>
        <x:v>0.012863849765258215</x:v>
      </x:c>
      <x:c r="P34" s="471" t="n">
        <x:f>$J34*P$23</x:f>
        <x:v>0.012863849765258215</x:v>
      </x:c>
      <x:c r="Q34" s="471" t="n">
        <x:f>$J34*Q$23</x:f>
        <x:v>0.012863849765258215</x:v>
      </x:c>
    </x:row>
    <x:row r="35" s="455" customFormat="1" ht="14.25" customHeight="1">
      <x:c r="A35" s="471" t="inlineStr">
        <x:is>
          <x:t xml:space="preserve">SENS-02 Preferred</x:t>
        </x:is>
      </x:c>
      <x:c r="B35" s="471" t="n">
        <x:f>SUMPRODUCT(I_prop!$B$7:$H$13,$K$40:$Q$46)</x:f>
        <x:v>0.0472253789954229</x:v>
      </x:c>
      <x:c r="C35" s="471" t="n">
        <x:f>SUMPRODUCT(I_prop!$B$18:$H$24,$K$40:$Q$46)</x:f>
        <x:v>-0.007267778167435364</x:v>
      </x:c>
      <x:c r="D35" s="471" t="str">
        <x:f>IF(B35&gt;=C35,"A","B")</x:f>
        <x:v>A</x:v>
      </x:c>
      <x:c r="E35" s="471" t="n">
        <x:f>B35-C35</x:f>
        <x:v>0.05449315716285827</x:v>
      </x:c>
      <x:c r="I35" s="471" t="inlineStr">
        <x:is>
          <x:t xml:space="preserve">U6</x:t>
        </x:is>
      </x:c>
      <x:c r="J35" s="514" t="n">
        <x:f>Parameters!$B$43</x:f>
        <x:v>0.1034</x:v>
      </x:c>
      <x:c r="K35" s="471" t="n">
        <x:f>$J35*K$23</x:f>
        <x:v>0.016019718309859154</x:v>
      </x:c>
      <x:c r="L35" s="471" t="n">
        <x:f>$J35*L$23</x:f>
        <x:v>0.014563380281690139</x:v>
      </x:c>
      <x:c r="M35" s="471" t="n">
        <x:f>$J35*M$23</x:f>
        <x:v>0.014563380281690139</x:v>
      </x:c>
      <x:c r="N35" s="471" t="n">
        <x:f>$J35*N$23</x:f>
        <x:v>0.014563380281690139</x:v>
      </x:c>
      <x:c r="O35" s="471" t="n">
        <x:f>$J35*O$23</x:f>
        <x:v>0.014563380281690139</x:v>
      </x:c>
      <x:c r="P35" s="471" t="n">
        <x:f>$J35*P$23</x:f>
        <x:v>0.014563380281690139</x:v>
      </x:c>
      <x:c r="Q35" s="471" t="n">
        <x:f>$J35*Q$23</x:f>
        <x:v>0.014563380281690139</x:v>
      </x:c>
    </x:row>
    <x:row r="36" s="455" customFormat="1" ht="13.5" customHeight="1">
      <x:c r="A36" s="471" t="inlineStr">
        <x:is>
          <x:t xml:space="preserve">SENS-03 Preferred</x:t>
        </x:is>
      </x:c>
      <x:c r="B36" s="471" t="n">
        <x:f>SUMPRODUCT(I_prop!$B$7:$H$13,$K$50:$Q$56)</x:f>
        <x:v>0.04904848917608978</x:v>
      </x:c>
      <x:c r="C36" s="471" t="n">
        <x:f>SUMPRODUCT(I_prop!$B$18:$H$24,$K$50:$Q$56)</x:f>
        <x:v>-0.0075640603002663535</x:v>
      </x:c>
      <x:c r="D36" s="471" t="str">
        <x:f>IF(B36&gt;=C36,"A","B")</x:f>
        <x:v>A</x:v>
      </x:c>
      <x:c r="E36" s="471" t="n">
        <x:f>B36-C36</x:f>
        <x:v>0.05661254947635613</x:v>
      </x:c>
      <x:c r="I36" s="471" t="inlineStr">
        <x:is>
          <x:t xml:space="preserve">U7</x:t>
        </x:is>
      </x:c>
      <x:c r="J36" s="514" t="n">
        <x:f>Parameters!$B$44</x:f>
        <x:v>0.10226666666666667</x:v>
      </x:c>
      <x:c r="K36" s="471" t="n">
        <x:f>$J36*K$23</x:f>
        <x:v>0.01584413145539906</x:v>
      </x:c>
      <x:c r="L36" s="471" t="n">
        <x:f>$J36*L$23</x:f>
        <x:v>0.0144037558685446</x:v>
      </x:c>
      <x:c r="M36" s="471" t="n">
        <x:f>$J36*M$23</x:f>
        <x:v>0.0144037558685446</x:v>
      </x:c>
      <x:c r="N36" s="471" t="n">
        <x:f>$J36*N$23</x:f>
        <x:v>0.0144037558685446</x:v>
      </x:c>
      <x:c r="O36" s="471" t="n">
        <x:f>$J36*O$23</x:f>
        <x:v>0.0144037558685446</x:v>
      </x:c>
      <x:c r="P36" s="471" t="n">
        <x:f>$J36*P$23</x:f>
        <x:v>0.0144037558685446</x:v>
      </x:c>
      <x:c r="Q36" s="471" t="n">
        <x:f>$J36*Q$23</x:f>
        <x:v>0.0144037558685446</x:v>
      </x:c>
    </x:row>
    <x:row r="37" s="455" customFormat="1" ht="14.25" customHeight="1">
      <x:c r="A37" s="541" t="inlineStr">
        <x:is>
          <x:t xml:space="preserve">Status note: PERFORMED for this Tier‑2 exemplar (weight sensitivity + CVaR stress checks). Tier‑3 deployments may expand the test set and increase rigor.</x:t>
        </x:is>
      </x:c>
    </x:row>
    <x:row r="38" s="455" customFormat="1" ht="13.5" customHeight="1"/>
    <x:row r="39" s="455" customFormat="1" ht="13.5" customHeight="1"/>
    <x:row r="40" s="455" customFormat="1" ht="13.5" customHeight="1">
      <x:c r="I40" s="471" t="inlineStr">
        <x:is>
          <x:t xml:space="preserve">U1</x:t>
        </x:is>
      </x:c>
      <x:c r="J40" s="514" t="n">
        <x:f>Parameters!$B$38</x:f>
        <x:v>0.75</x:v>
      </x:c>
      <x:c r="K40" s="471" t="n">
        <x:f>$J40*K$25</x:f>
        <x:v>0.10563380281690139</x:v>
      </x:c>
      <x:c r="L40" s="471" t="n">
        <x:f>$J40*L$25</x:f>
        <x:v>0.10563380281690139</x:v>
      </x:c>
      <x:c r="M40" s="471" t="n">
        <x:f>$J40*M$25</x:f>
        <x:v>0.10563380281690139</x:v>
      </x:c>
      <x:c r="N40" s="471" t="n">
        <x:f>$J40*N$25</x:f>
        <x:v>0.10563380281690139</x:v>
      </x:c>
      <x:c r="O40" s="471" t="n">
        <x:f>$J40*O$25</x:f>
        <x:v>0.10563380281690139</x:v>
      </x:c>
      <x:c r="P40" s="471" t="n">
        <x:f>$J40*P$25</x:f>
        <x:v>0.10563380281690139</x:v>
      </x:c>
      <x:c r="Q40" s="471" t="n">
        <x:f>$J40*Q$25</x:f>
        <x:v>0.11619718309859153</x:v>
      </x:c>
    </x:row>
    <x:row r="41" s="455" customFormat="1" ht="13.5" customHeight="1">
      <x:c r="I41" s="471" t="inlineStr">
        <x:is>
          <x:t xml:space="preserve">U2</x:t>
        </x:is>
      </x:c>
      <x:c r="J41" s="514" t="n">
        <x:f>Parameters!$B$39</x:f>
        <x:v>1.25</x:v>
      </x:c>
      <x:c r="K41" s="471" t="n">
        <x:f>$J41*K$25</x:f>
        <x:v>0.176056338028169</x:v>
      </x:c>
      <x:c r="L41" s="471" t="n">
        <x:f>$J41*L$25</x:f>
        <x:v>0.176056338028169</x:v>
      </x:c>
      <x:c r="M41" s="471" t="n">
        <x:f>$J41*M$25</x:f>
        <x:v>0.176056338028169</x:v>
      </x:c>
      <x:c r="N41" s="471" t="n">
        <x:f>$J41*N$25</x:f>
        <x:v>0.176056338028169</x:v>
      </x:c>
      <x:c r="O41" s="471" t="n">
        <x:f>$J41*O$25</x:f>
        <x:v>0.176056338028169</x:v>
      </x:c>
      <x:c r="P41" s="471" t="n">
        <x:f>$J41*P$25</x:f>
        <x:v>0.176056338028169</x:v>
      </x:c>
      <x:c r="Q41" s="471" t="n">
        <x:f>$J41*Q$25</x:f>
        <x:v>0.1936619718309859</x:v>
      </x:c>
    </x:row>
    <x:row r="42" s="455" customFormat="1" ht="13.5" customHeight="1">
      <x:c r="I42" s="471" t="inlineStr">
        <x:is>
          <x:t xml:space="preserve">U3</x:t>
        </x:is>
      </x:c>
      <x:c r="J42" s="514" t="n">
        <x:f>Parameters!$B$40</x:f>
        <x:v>0.083</x:v>
      </x:c>
      <x:c r="K42" s="471" t="n">
        <x:f>$J42*K$25</x:f>
        <x:v>0.011690140845070422</x:v>
      </x:c>
      <x:c r="L42" s="471" t="n">
        <x:f>$J42*L$25</x:f>
        <x:v>0.011690140845070422</x:v>
      </x:c>
      <x:c r="M42" s="471" t="n">
        <x:f>$J42*M$25</x:f>
        <x:v>0.011690140845070422</x:v>
      </x:c>
      <x:c r="N42" s="471" t="n">
        <x:f>$J42*N$25</x:f>
        <x:v>0.011690140845070422</x:v>
      </x:c>
      <x:c r="O42" s="471" t="n">
        <x:f>$J42*O$25</x:f>
        <x:v>0.011690140845070422</x:v>
      </x:c>
      <x:c r="P42" s="471" t="n">
        <x:f>$J42*P$25</x:f>
        <x:v>0.011690140845070422</x:v>
      </x:c>
      <x:c r="Q42" s="471" t="n">
        <x:f>$J42*Q$25</x:f>
        <x:v>0.012859154929577465</x:v>
      </x:c>
    </x:row>
    <x:row r="43" s="455" customFormat="1" ht="13.5" customHeight="1">
      <x:c r="I43" s="471" t="inlineStr">
        <x:is>
          <x:t xml:space="preserve">U4</x:t>
        </x:is>
      </x:c>
      <x:c r="J43" s="514" t="n">
        <x:f>Parameters!$B$41</x:f>
        <x:v>0.11666666666666667</x:v>
      </x:c>
      <x:c r="K43" s="471" t="n">
        <x:f>$J43*K$25</x:f>
        <x:v>0.016431924882629106</x:v>
      </x:c>
      <x:c r="L43" s="471" t="n">
        <x:f>$J43*L$25</x:f>
        <x:v>0.016431924882629106</x:v>
      </x:c>
      <x:c r="M43" s="471" t="n">
        <x:f>$J43*M$25</x:f>
        <x:v>0.016431924882629106</x:v>
      </x:c>
      <x:c r="N43" s="471" t="n">
        <x:f>$J43*N$25</x:f>
        <x:v>0.016431924882629106</x:v>
      </x:c>
      <x:c r="O43" s="471" t="n">
        <x:f>$J43*O$25</x:f>
        <x:v>0.016431924882629106</x:v>
      </x:c>
      <x:c r="P43" s="471" t="n">
        <x:f>$J43*P$25</x:f>
        <x:v>0.016431924882629106</x:v>
      </x:c>
      <x:c r="Q43" s="471" t="n">
        <x:f>$J43*Q$25</x:f>
        <x:v>0.018075117370892017</x:v>
      </x:c>
    </x:row>
    <x:row r="44" s="455" customFormat="1" ht="13.5" customHeight="1">
      <x:c r="I44" s="471" t="inlineStr">
        <x:is>
          <x:t xml:space="preserve">U5</x:t>
        </x:is>
      </x:c>
      <x:c r="J44" s="514" t="n">
        <x:f>Parameters!$B$42</x:f>
        <x:v>0.09133333333333334</x:v>
      </x:c>
      <x:c r="K44" s="471" t="n">
        <x:f>$J44*K$25</x:f>
        <x:v>0.012863849765258215</x:v>
      </x:c>
      <x:c r="L44" s="471" t="n">
        <x:f>$J44*L$25</x:f>
        <x:v>0.012863849765258215</x:v>
      </x:c>
      <x:c r="M44" s="471" t="n">
        <x:f>$J44*M$25</x:f>
        <x:v>0.012863849765258215</x:v>
      </x:c>
      <x:c r="N44" s="471" t="n">
        <x:f>$J44*N$25</x:f>
        <x:v>0.012863849765258215</x:v>
      </x:c>
      <x:c r="O44" s="471" t="n">
        <x:f>$J44*O$25</x:f>
        <x:v>0.012863849765258215</x:v>
      </x:c>
      <x:c r="P44" s="471" t="n">
        <x:f>$J44*P$25</x:f>
        <x:v>0.012863849765258215</x:v>
      </x:c>
      <x:c r="Q44" s="471" t="n">
        <x:f>$J44*Q$25</x:f>
        <x:v>0.014150234741784036</x:v>
      </x:c>
    </x:row>
    <x:row r="45" s="455" customFormat="1" ht="13.5" customHeight="1">
      <x:c r="I45" s="471" t="inlineStr">
        <x:is>
          <x:t xml:space="preserve">U6</x:t>
        </x:is>
      </x:c>
      <x:c r="J45" s="514" t="n">
        <x:f>Parameters!$B$43</x:f>
        <x:v>0.1034</x:v>
      </x:c>
      <x:c r="K45" s="471" t="n">
        <x:f>$J45*K$25</x:f>
        <x:v>0.014563380281690139</x:v>
      </x:c>
      <x:c r="L45" s="471" t="n">
        <x:f>$J45*L$25</x:f>
        <x:v>0.014563380281690139</x:v>
      </x:c>
      <x:c r="M45" s="471" t="n">
        <x:f>$J45*M$25</x:f>
        <x:v>0.014563380281690139</x:v>
      </x:c>
      <x:c r="N45" s="471" t="n">
        <x:f>$J45*N$25</x:f>
        <x:v>0.014563380281690139</x:v>
      </x:c>
      <x:c r="O45" s="471" t="n">
        <x:f>$J45*O$25</x:f>
        <x:v>0.014563380281690139</x:v>
      </x:c>
      <x:c r="P45" s="471" t="n">
        <x:f>$J45*P$25</x:f>
        <x:v>0.014563380281690139</x:v>
      </x:c>
      <x:c r="Q45" s="471" t="n">
        <x:f>$J45*Q$25</x:f>
        <x:v>0.016019718309859154</x:v>
      </x:c>
    </x:row>
    <x:row r="46" s="455" customFormat="1" ht="13.5" customHeight="1">
      <x:c r="I46" s="471" t="inlineStr">
        <x:is>
          <x:t xml:space="preserve">U7</x:t>
        </x:is>
      </x:c>
      <x:c r="J46" s="514" t="n">
        <x:f>Parameters!$B$44</x:f>
        <x:v>0.10226666666666667</x:v>
      </x:c>
      <x:c r="K46" s="471" t="n">
        <x:f>$J46*K$25</x:f>
        <x:v>0.0144037558685446</x:v>
      </x:c>
      <x:c r="L46" s="471" t="n">
        <x:f>$J46*L$25</x:f>
        <x:v>0.0144037558685446</x:v>
      </x:c>
      <x:c r="M46" s="471" t="n">
        <x:f>$J46*M$25</x:f>
        <x:v>0.0144037558685446</x:v>
      </x:c>
      <x:c r="N46" s="471" t="n">
        <x:f>$J46*N$25</x:f>
        <x:v>0.0144037558685446</x:v>
      </x:c>
      <x:c r="O46" s="471" t="n">
        <x:f>$J46*O$25</x:f>
        <x:v>0.0144037558685446</x:v>
      </x:c>
      <x:c r="P46" s="471" t="n">
        <x:f>$J46*P$25</x:f>
        <x:v>0.0144037558685446</x:v>
      </x:c>
      <x:c r="Q46" s="471" t="n">
        <x:f>$J46*Q$25</x:f>
        <x:v>0.01584413145539906</x:v>
      </x:c>
    </x:row>
    <x:row r="47" s="455" customFormat="1" ht="13.5" customHeight="1"/>
    <x:row r="48" s="455" customFormat="1" ht="13.5" customHeight="1"/>
    <x:row r="49" s="455" customFormat="1" ht="13.5" customHeight="1"/>
    <x:row r="50" s="455" customFormat="1" ht="13.5" customHeight="1">
      <x:c r="I50" s="471" t="inlineStr">
        <x:is>
          <x:t xml:space="preserve">U1</x:t>
        </x:is>
      </x:c>
      <x:c r="J50" s="514" t="n">
        <x:f>Parameters!$B$38</x:f>
        <x:v>0.75</x:v>
      </x:c>
      <x:c r="K50" s="471" t="n">
        <x:f>$J50*K$27</x:f>
        <x:v>0.10416666666666666</x:v>
      </x:c>
      <x:c r="L50" s="471" t="n">
        <x:f>$J50*L$27</x:f>
        <x:v>0.10416666666666666</x:v>
      </x:c>
      <x:c r="M50" s="471" t="n">
        <x:f>$J50*M$27</x:f>
        <x:v>0.11458333333333334</x:v>
      </x:c>
      <x:c r="N50" s="471" t="n">
        <x:f>$J50*N$27</x:f>
        <x:v>0.10416666666666666</x:v>
      </x:c>
      <x:c r="O50" s="471" t="n">
        <x:f>$J50*O$27</x:f>
        <x:v>0.11458333333333334</x:v>
      </x:c>
      <x:c r="P50" s="471" t="n">
        <x:f>$J50*P$27</x:f>
        <x:v>0.10416666666666666</x:v>
      </x:c>
      <x:c r="Q50" s="471" t="n">
        <x:f>$J50*Q$27</x:f>
        <x:v>0.10416666666666666</x:v>
      </x:c>
    </x:row>
    <x:row r="51" s="455" customFormat="1" ht="13.5" customHeight="1">
      <x:c r="I51" s="471" t="inlineStr">
        <x:is>
          <x:t xml:space="preserve">U2</x:t>
        </x:is>
      </x:c>
      <x:c r="J51" s="514" t="n">
        <x:f>Parameters!$B$39</x:f>
        <x:v>1.25</x:v>
      </x:c>
      <x:c r="K51" s="471" t="n">
        <x:f>$J51*K$27</x:f>
        <x:v>0.17361111111111108</x:v>
      </x:c>
      <x:c r="L51" s="471" t="n">
        <x:f>$J51*L$27</x:f>
        <x:v>0.17361111111111108</x:v>
      </x:c>
      <x:c r="M51" s="471" t="n">
        <x:f>$J51*M$27</x:f>
        <x:v>0.19097222222222224</x:v>
      </x:c>
      <x:c r="N51" s="471" t="n">
        <x:f>$J51*N$27</x:f>
        <x:v>0.17361111111111108</x:v>
      </x:c>
      <x:c r="O51" s="471" t="n">
        <x:f>$J51*O$27</x:f>
        <x:v>0.19097222222222224</x:v>
      </x:c>
      <x:c r="P51" s="471" t="n">
        <x:f>$J51*P$27</x:f>
        <x:v>0.17361111111111108</x:v>
      </x:c>
      <x:c r="Q51" s="471" t="n">
        <x:f>$J51*Q$27</x:f>
        <x:v>0.17361111111111108</x:v>
      </x:c>
    </x:row>
    <x:row r="52" s="455" customFormat="1" ht="13.5" customHeight="1">
      <x:c r="I52" s="471" t="inlineStr">
        <x:is>
          <x:t xml:space="preserve">U3</x:t>
        </x:is>
      </x:c>
      <x:c r="J52" s="514" t="n">
        <x:f>Parameters!$B$40</x:f>
        <x:v>0.083</x:v>
      </x:c>
      <x:c r="K52" s="471" t="n">
        <x:f>$J52*K$27</x:f>
        <x:v>0.011527777777777777</x:v>
      </x:c>
      <x:c r="L52" s="471" t="n">
        <x:f>$J52*L$27</x:f>
        <x:v>0.011527777777777777</x:v>
      </x:c>
      <x:c r="M52" s="471" t="n">
        <x:f>$J52*M$27</x:f>
        <x:v>0.012680555555555558</x:v>
      </x:c>
      <x:c r="N52" s="471" t="n">
        <x:f>$J52*N$27</x:f>
        <x:v>0.011527777777777777</x:v>
      </x:c>
      <x:c r="O52" s="471" t="n">
        <x:f>$J52*O$27</x:f>
        <x:v>0.012680555555555558</x:v>
      </x:c>
      <x:c r="P52" s="471" t="n">
        <x:f>$J52*P$27</x:f>
        <x:v>0.011527777777777777</x:v>
      </x:c>
      <x:c r="Q52" s="471" t="n">
        <x:f>$J52*Q$27</x:f>
        <x:v>0.011527777777777777</x:v>
      </x:c>
    </x:row>
    <x:row r="53" s="455" customFormat="1" ht="13.5" customHeight="1">
      <x:c r="I53" s="471" t="inlineStr">
        <x:is>
          <x:t xml:space="preserve">U4</x:t>
        </x:is>
      </x:c>
      <x:c r="J53" s="514" t="n">
        <x:f>Parameters!$B$41</x:f>
        <x:v>0.11666666666666667</x:v>
      </x:c>
      <x:c r="K53" s="471" t="n">
        <x:f>$J53*K$27</x:f>
        <x:v>0.016203703703703703</x:v>
      </x:c>
      <x:c r="L53" s="471" t="n">
        <x:f>$J53*L$27</x:f>
        <x:v>0.016203703703703703</x:v>
      </x:c>
      <x:c r="M53" s="471" t="n">
        <x:f>$J53*M$27</x:f>
        <x:v>0.017824074074074076</x:v>
      </x:c>
      <x:c r="N53" s="471" t="n">
        <x:f>$J53*N$27</x:f>
        <x:v>0.016203703703703703</x:v>
      </x:c>
      <x:c r="O53" s="471" t="n">
        <x:f>$J53*O$27</x:f>
        <x:v>0.017824074074074076</x:v>
      </x:c>
      <x:c r="P53" s="471" t="n">
        <x:f>$J53*P$27</x:f>
        <x:v>0.016203703703703703</x:v>
      </x:c>
      <x:c r="Q53" s="471" t="n">
        <x:f>$J53*Q$27</x:f>
        <x:v>0.016203703703703703</x:v>
      </x:c>
    </x:row>
    <x:row r="54" s="455" customFormat="1" ht="13.5" customHeight="1">
      <x:c r="I54" s="471" t="inlineStr">
        <x:is>
          <x:t xml:space="preserve">U5</x:t>
        </x:is>
      </x:c>
      <x:c r="J54" s="514" t="n">
        <x:f>Parameters!$B$42</x:f>
        <x:v>0.09133333333333334</x:v>
      </x:c>
      <x:c r="K54" s="471" t="n">
        <x:f>$J54*K$27</x:f>
        <x:v>0.012685185185185183</x:v>
      </x:c>
      <x:c r="L54" s="471" t="n">
        <x:f>$J54*L$27</x:f>
        <x:v>0.012685185185185183</x:v>
      </x:c>
      <x:c r="M54" s="471" t="n">
        <x:f>$J54*M$27</x:f>
        <x:v>0.013953703703703706</x:v>
      </x:c>
      <x:c r="N54" s="471" t="n">
        <x:f>$J54*N$27</x:f>
        <x:v>0.012685185185185183</x:v>
      </x:c>
      <x:c r="O54" s="471" t="n">
        <x:f>$J54*O$27</x:f>
        <x:v>0.013953703703703706</x:v>
      </x:c>
      <x:c r="P54" s="471" t="n">
        <x:f>$J54*P$27</x:f>
        <x:v>0.012685185185185183</x:v>
      </x:c>
      <x:c r="Q54" s="471" t="n">
        <x:f>$J54*Q$27</x:f>
        <x:v>0.012685185185185183</x:v>
      </x:c>
    </x:row>
    <x:row r="55" s="455" customFormat="1" ht="13.5" customHeight="1">
      <x:c r="I55" s="471" t="inlineStr">
        <x:is>
          <x:t xml:space="preserve">U6</x:t>
        </x:is>
      </x:c>
      <x:c r="J55" s="514" t="n">
        <x:f>Parameters!$B$43</x:f>
        <x:v>0.1034</x:v>
      </x:c>
      <x:c r="K55" s="471" t="n">
        <x:f>$J55*K$27</x:f>
        <x:v>0.01436111111111111</x:v>
      </x:c>
      <x:c r="L55" s="471" t="n">
        <x:f>$J55*L$27</x:f>
        <x:v>0.01436111111111111</x:v>
      </x:c>
      <x:c r="M55" s="471" t="n">
        <x:f>$J55*M$27</x:f>
        <x:v>0.015797222222222223</x:v>
      </x:c>
      <x:c r="N55" s="471" t="n">
        <x:f>$J55*N$27</x:f>
        <x:v>0.01436111111111111</x:v>
      </x:c>
      <x:c r="O55" s="471" t="n">
        <x:f>$J55*O$27</x:f>
        <x:v>0.015797222222222223</x:v>
      </x:c>
      <x:c r="P55" s="471" t="n">
        <x:f>$J55*P$27</x:f>
        <x:v>0.01436111111111111</x:v>
      </x:c>
      <x:c r="Q55" s="471" t="n">
        <x:f>$J55*Q$27</x:f>
        <x:v>0.01436111111111111</x:v>
      </x:c>
    </x:row>
    <x:row r="56" s="455" customFormat="1" ht="13.5" customHeight="1">
      <x:c r="I56" s="471" t="inlineStr">
        <x:is>
          <x:t xml:space="preserve">U7</x:t>
        </x:is>
      </x:c>
      <x:c r="J56" s="514" t="n">
        <x:f>Parameters!$B$44</x:f>
        <x:v>0.10226666666666667</x:v>
      </x:c>
      <x:c r="K56" s="471" t="n">
        <x:f>$J56*K$27</x:f>
        <x:v>0.014203703703703703</x:v>
      </x:c>
      <x:c r="L56" s="471" t="n">
        <x:f>$J56*L$27</x:f>
        <x:v>0.014203703703703703</x:v>
      </x:c>
      <x:c r="M56" s="471" t="n">
        <x:f>$J56*M$27</x:f>
        <x:v>0.015624074074074077</x:v>
      </x:c>
      <x:c r="N56" s="471" t="n">
        <x:f>$J56*N$27</x:f>
        <x:v>0.014203703703703703</x:v>
      </x:c>
      <x:c r="O56" s="471" t="n">
        <x:f>$J56*O$27</x:f>
        <x:v>0.015624074074074077</x:v>
      </x:c>
      <x:c r="P56" s="471" t="n">
        <x:f>$J56*P$27</x:f>
        <x:v>0.014203703703703703</x:v>
      </x:c>
      <x:c r="Q56" s="471" t="n">
        <x:f>$J56*Q$27</x:f>
        <x:v>0.014203703703703703</x:v>
      </x:c>
    </x:row>
    <x:row r="57" s="455" customFormat="1" ht="13.5" customHeight="1"/>
    <x:row r="58" s="455" customFormat="1" ht="13.5" customHeight="1"/>
    <x:row r="59" s="455" customFormat="1" ht="13.5" customHeight="1"/>
    <x:row r="60" s="455" customFormat="1" ht="13.5" customHeight="1"/>
    <x:row r="61" s="455" customFormat="1" ht="13.5" customHeight="1"/>
    <x:row r="62" s="455" customFormat="1" ht="13.5" customHeight="1"/>
    <x:row r="63" s="455" customFormat="1" ht="13.5" customHeight="1"/>
    <x:row r="64" s="455" customFormat="1" ht="13.5" customHeight="1"/>
    <x:row r="65" s="455" customFormat="1" ht="13.5" customHeight="1"/>
    <x:row r="66" s="455" customFormat="1" ht="13.5" customHeight="1"/>
    <x:row r="67" s="455" customFormat="1" ht="13.5" customHeight="1"/>
    <x:row r="68" s="455" customFormat="1" ht="13.5" customHeight="1"/>
    <x:row r="69" s="455" customFormat="1" ht="13.5" customHeight="1"/>
    <x:row r="70" s="455" customFormat="1" ht="13.5" customHeight="1"/>
    <x:row r="71" s="455" customFormat="1" ht="13.5" customHeight="1"/>
    <x:row r="72" s="455" customFormat="1" ht="13.5" customHeight="1"/>
    <x:row r="73" s="455" customFormat="1" ht="13.5" customHeight="1"/>
    <x:row r="74" s="455" customFormat="1" ht="13.5" customHeight="1"/>
    <x:row r="75" s="455" customFormat="1" ht="13.5" customHeight="1"/>
    <x:row r="76" s="455" customFormat="1" ht="13.5" customHeight="1"/>
    <x:row r="77" s="455" customFormat="1" ht="13.5" customHeight="1"/>
    <x:row r="78" s="455" customFormat="1" ht="13.5" customHeight="1"/>
    <x:row r="79" s="455" customFormat="1" ht="13.5" customHeight="1"/>
    <x:row r="80" s="455" customFormat="1" ht="13.5" customHeight="1"/>
    <x:row r="81" s="455" customFormat="1" ht="13.5" customHeight="1"/>
    <x:row r="82" s="455" customFormat="1" ht="13.5" customHeight="1"/>
    <x:row r="83" s="455" customFormat="1" ht="13.5" customHeight="1"/>
    <x:row r="84" s="455" customFormat="1" ht="13.5" customHeight="1"/>
    <x:row r="85" s="455" customFormat="1" ht="13.5" customHeight="1"/>
    <x:row r="86" s="455" customFormat="1" ht="13.5" customHeight="1"/>
    <x:row r="87" s="455" customFormat="1" ht="13.5" customHeight="1"/>
    <x:row r="88" s="455" customFormat="1" ht="13.5" customHeight="1"/>
    <x:row r="89" s="455" customFormat="1" ht="13.5" customHeight="1"/>
    <x:row r="90" s="455" customFormat="1" ht="13.5" customHeight="1"/>
    <x:row r="91" s="455" customFormat="1" ht="13.5" customHeight="1"/>
    <x:row r="92" s="455" customFormat="1" ht="13.5" customHeight="1"/>
    <x:row r="93" s="455" customFormat="1" ht="13.5" customHeight="1"/>
    <x:row r="94" s="455" customFormat="1" ht="13.5" customHeight="1"/>
    <x:row r="95" s="455" customFormat="1" ht="13.5" customHeight="1"/>
    <x:row r="96" s="455" customFormat="1" ht="13.5" customHeight="1"/>
    <x:row r="97" s="455" customFormat="1" ht="13.5" customHeight="1"/>
    <x:row r="98" s="455" customFormat="1" ht="13.5" customHeight="1"/>
    <x:row r="99" s="455" customFormat="1" ht="13.5" customHeight="1"/>
    <x:row r="100" s="455" customFormat="1" ht="13.5" customHeight="1">
      <x:c r="J100" s="471" t="inlineStr">
        <x:is>
          <x:t xml:space="preserve">Scenario</x:t>
        </x:is>
      </x:c>
      <x:c r="K100" s="471" t="inlineStr">
        <x:is>
          <x:t xml:space="preserve">p_base</x:t>
        </x:is>
      </x:c>
      <x:c r="L100" s="471" t="inlineStr">
        <x:is>
          <x:t xml:space="preserve">Factor_up</x:t>
        </x:is>
      </x:c>
      <x:c r="M100" s="471" t="inlineStr">
        <x:is>
          <x:t xml:space="preserve">p_stress_up</x:t>
        </x:is>
      </x:c>
      <x:c r="N100" s="471" t="inlineStr">
        <x:is>
          <x:t xml:space="preserve">Factor_down</x:t>
        </x:is>
      </x:c>
      <x:c r="O100" s="471" t="inlineStr">
        <x:is>
          <x:t xml:space="preserve">p_stress_down</x:t>
        </x:is>
      </x:c>
    </x:row>
    <x:row r="101" s="455" customFormat="1" ht="13.5" customHeight="1">
      <x:c r="J101" s="471" t="str">
        <x:f>TRC!B15</x:f>
        <x:v>S06</x:v>
      </x:c>
      <x:c r="K101" s="471" t="n">
        <x:f>TRC!D15</x:f>
        <x:v>0.03</x:v>
      </x:c>
      <x:c r="L101" s="471" t="n">
        <x:f>IF(OR(J101="S06",J101="S04",J101="S03"),1.2,1)</x:f>
        <x:v>1.2</x:v>
      </x:c>
      <x:c r="M101" s="471" t="n">
        <x:f>K101*L101/SUMPRODUCT($K$101:$K$107,$L$101:$L$107)</x:f>
        <x:v>0.03474903474903474</x:v>
      </x:c>
      <x:c r="N101" s="471" t="n">
        <x:f>IF(OR(J101="S06",J101="S04",J101="S03"),0.8,1)</x:f>
        <x:v>0.8</x:v>
      </x:c>
      <x:c r="O101" s="471" t="n">
        <x:f>K101*N101/SUMPRODUCT($K$101:$K$107,$N$101:$N$107)</x:f>
        <x:v>0.024896265560165977</x:v>
      </x:c>
    </x:row>
    <x:row r="102" s="455" customFormat="1" ht="13.5" customHeight="1">
      <x:c r="J102" s="471" t="str">
        <x:f>TRC!B16</x:f>
        <x:v>S04</x:v>
      </x:c>
      <x:c r="K102" s="471" t="n">
        <x:f>TRC!D16</x:f>
        <x:v>0.07</x:v>
      </x:c>
      <x:c r="L102" s="471" t="n">
        <x:f>IF(OR(J102="S06",J102="S04",J102="S03"),1.2,1)</x:f>
        <x:v>1.2</x:v>
      </x:c>
      <x:c r="M102" s="471" t="n">
        <x:f>K102*L102/SUMPRODUCT($K$101:$K$107,$L$101:$L$107)</x:f>
        <x:v>0.08108108108108109</x:v>
      </x:c>
      <x:c r="N102" s="471" t="n">
        <x:f>IF(OR(J102="S06",J102="S04",J102="S03"),0.8,1)</x:f>
        <x:v>0.8</x:v>
      </x:c>
      <x:c r="O102" s="471" t="n">
        <x:f>K102*N102/SUMPRODUCT($K$101:$K$107,$N$101:$N$107)</x:f>
        <x:v>0.05809128630705395</x:v>
      </x:c>
    </x:row>
    <x:row r="103" s="455" customFormat="1" ht="13.5" customHeight="1">
      <x:c r="J103" s="471" t="str">
        <x:f>TRC!B17</x:f>
        <x:v>S03</x:v>
      </x:c>
      <x:c r="K103" s="471" t="n">
        <x:f>TRC!D17</x:f>
        <x:v>0.08</x:v>
      </x:c>
      <x:c r="L103" s="471" t="n">
        <x:f>IF(OR(J103="S06",J103="S04",J103="S03"),1.2,1)</x:f>
        <x:v>1.2</x:v>
      </x:c>
      <x:c r="M103" s="471" t="n">
        <x:f>K103*L103/SUMPRODUCT($K$101:$K$107,$L$101:$L$107)</x:f>
        <x:v>0.09266409266409266</x:v>
      </x:c>
      <x:c r="N103" s="471" t="n">
        <x:f>IF(OR(J103="S06",J103="S04",J103="S03"),0.8,1)</x:f>
        <x:v>0.8</x:v>
      </x:c>
      <x:c r="O103" s="471" t="n">
        <x:f>K103*N103/SUMPRODUCT($K$101:$K$107,$N$101:$N$107)</x:f>
        <x:v>0.06639004149377593</x:v>
      </x:c>
    </x:row>
    <x:row r="104" s="455" customFormat="1" ht="13.5" customHeight="1">
      <x:c r="J104" s="471" t="str">
        <x:f>TRC!B18</x:f>
        <x:v>S05</x:v>
      </x:c>
      <x:c r="K104" s="471" t="n">
        <x:f>TRC!D18</x:f>
        <x:v>0.05</x:v>
      </x:c>
      <x:c r="L104" s="471" t="n">
        <x:f>IF(OR(J104="S06",J104="S04",J104="S03"),1.2,1)</x:f>
        <x:v>1</x:v>
      </x:c>
      <x:c r="M104" s="471" t="n">
        <x:f>K104*L104/SUMPRODUCT($K$101:$K$107,$L$101:$L$107)</x:f>
        <x:v>0.04826254826254826</x:v>
      </x:c>
      <x:c r="N104" s="471" t="n">
        <x:f>IF(OR(J104="S06",J104="S04",J104="S03"),0.8,1)</x:f>
        <x:v>1</x:v>
      </x:c>
      <x:c r="O104" s="471" t="n">
        <x:f>K104*N104/SUMPRODUCT($K$101:$K$107,$N$101:$N$107)</x:f>
        <x:v>0.05186721991701245</x:v>
      </x:c>
    </x:row>
    <x:row r="105" s="455" customFormat="1" ht="13.5" customHeight="1">
      <x:c r="J105" s="471" t="str">
        <x:f>TRC!B19</x:f>
        <x:v>S07</x:v>
      </x:c>
      <x:c r="K105" s="471" t="n">
        <x:f>TRC!D19</x:f>
        <x:v>0.02</x:v>
      </x:c>
      <x:c r="L105" s="471" t="n">
        <x:f>IF(OR(J105="S06",J105="S04",J105="S03"),1.2,1)</x:f>
        <x:v>1</x:v>
      </x:c>
      <x:c r="M105" s="471" t="n">
        <x:f>K105*L105/SUMPRODUCT($K$101:$K$107,$L$101:$L$107)</x:f>
        <x:v>0.019305019305019305</x:v>
      </x:c>
      <x:c r="N105" s="471" t="n">
        <x:f>IF(OR(J105="S06",J105="S04",J105="S03"),0.8,1)</x:f>
        <x:v>1</x:v>
      </x:c>
      <x:c r="O105" s="471" t="n">
        <x:f>K105*N105/SUMPRODUCT($K$101:$K$107,$N$101:$N$107)</x:f>
        <x:v>0.020746887966804982</x:v>
      </x:c>
    </x:row>
    <x:row r="106" s="455" customFormat="1" ht="13.5" customHeight="1">
      <x:c r="J106" s="471" t="str">
        <x:f>TRC!B20</x:f>
        <x:v>S02</x:v>
      </x:c>
      <x:c r="K106" s="471" t="n">
        <x:f>TRC!D20</x:f>
        <x:v>0.15</x:v>
      </x:c>
      <x:c r="L106" s="471" t="n">
        <x:f>IF(OR(J106="S06",J106="S04",J106="S03"),1.2,1)</x:f>
        <x:v>1</x:v>
      </x:c>
      <x:c r="M106" s="471" t="n">
        <x:f>K106*L106/SUMPRODUCT($K$101:$K$107,$L$101:$L$107)</x:f>
        <x:v>0.14478764478764478</x:v>
      </x:c>
      <x:c r="N106" s="471" t="n">
        <x:f>IF(OR(J106="S06",J106="S04",J106="S03"),0.8,1)</x:f>
        <x:v>1</x:v>
      </x:c>
      <x:c r="O106" s="471" t="n">
        <x:f>K106*N106/SUMPRODUCT($K$101:$K$107,$N$101:$N$107)</x:f>
        <x:v>0.15560165975103735</x:v>
      </x:c>
    </x:row>
    <x:row r="107" s="455" customFormat="1" ht="13.5" customHeight="1">
      <x:c r="J107" s="471" t="str">
        <x:f>TRC!B21</x:f>
        <x:v>S01</x:v>
      </x:c>
      <x:c r="K107" s="471" t="n">
        <x:f>TRC!D21</x:f>
        <x:v>0.6</x:v>
      </x:c>
      <x:c r="L107" s="471" t="n">
        <x:f>IF(OR(J107="S06",J107="S04",J107="S03"),1.2,1)</x:f>
        <x:v>1</x:v>
      </x:c>
      <x:c r="M107" s="471" t="n">
        <x:f>K107*L107/SUMPRODUCT($K$101:$K$107,$L$101:$L$107)</x:f>
        <x:v>0.5791505791505791</x:v>
      </x:c>
      <x:c r="N107" s="471" t="n">
        <x:f>IF(OR(J107="S06",J107="S04",J107="S03"),0.8,1)</x:f>
        <x:v>1</x:v>
      </x:c>
      <x:c r="O107" s="471" t="n">
        <x:f>K107*N107/SUMPRODUCT($K$101:$K$107,$N$101:$N$107)</x:f>
        <x:v>0.6224066390041494</x:v>
      </x:c>
    </x:row>
    <x:row r="108" s="455" customFormat="1" ht="13.5" customHeight="1"/>
    <x:row r="109" s="455" customFormat="1" ht="13.5" customHeight="1">
      <x:c r="J109" s="471" t="inlineStr">
        <x:is>
          <x:t xml:space="preserve">CVaR recompute (p stress UP)</x:t>
        </x:is>
      </x:c>
    </x:row>
    <x:row r="110" s="455" customFormat="1" ht="13.5" customHeight="1">
      <x:c r="J110" s="471" t="inlineStr">
        <x:is>
          <x:t xml:space="preserve">Rank</x:t>
        </x:is>
      </x:c>
      <x:c r="K110" s="471" t="inlineStr">
        <x:is>
          <x:t xml:space="preserve">Scenario</x:t>
        </x:is>
      </x:c>
      <x:c r="L110" s="471" t="inlineStr">
        <x:is>
          <x:t xml:space="preserve">Loss</x:t>
        </x:is>
      </x:c>
      <x:c r="M110" s="471" t="inlineStr">
        <x:is>
          <x:t xml:space="preserve">p_stress</x:t>
        </x:is>
      </x:c>
      <x:c r="N110" s="471" t="inlineStr">
        <x:is>
          <x:t xml:space="preserve">Cum_p</x:t>
        </x:is>
      </x:c>
      <x:c r="O110" s="471" t="inlineStr">
        <x:is>
          <x:t xml:space="preserve">Tail_w</x:t>
        </x:is>
      </x:c>
      <x:c r="P110" s="471" t="inlineStr">
        <x:is>
          <x:t xml:space="preserve">Contrib</x:t>
        </x:is>
      </x:c>
      <x:c r="R110" s="471" t="inlineStr">
        <x:is>
          <x:t xml:space="preserve">β</x:t>
        </x:is>
      </x:c>
      <x:c r="S110" s="471" t="n">
        <x:f>TRC!B8</x:f>
        <x:v>0.05</x:v>
      </x:c>
    </x:row>
    <x:row r="111" s="455" customFormat="1" ht="13.5" customHeight="1">
      <x:c r="J111" s="471" t="n">
        <x:v>1</x:v>
      </x:c>
      <x:c r="K111" s="471" t="str">
        <x:f>TRC!B15</x:f>
        <x:v>S06</x:v>
      </x:c>
      <x:c r="L111" s="471" t="n">
        <x:f>TRC!C15</x:f>
        <x:v>0.0235</x:v>
      </x:c>
      <x:c r="M111" s="471" t="n">
        <x:f>VLOOKUP(K111,$J$101:$M$107,4,FALSE())</x:f>
        <x:v>0.03474903474903474</x:v>
      </x:c>
      <x:c r="N111" s="471" t="n">
        <x:f>M111</x:f>
        <x:v>0.03474903474903474</x:v>
      </x:c>
      <x:c r="O111" s="471" t="n">
        <x:f>MIN(M111,$S$110)</x:f>
        <x:v>0.03474903474903474</x:v>
      </x:c>
      <x:c r="P111" s="471" t="n">
        <x:f>O111*L111</x:f>
        <x:v>0.0008166023166023165</x:v>
      </x:c>
      <x:c r="R111" s="471" t="inlineStr">
        <x:is>
          <x:t xml:space="preserve">τ_TRC</x:t>
        </x:is>
      </x:c>
      <x:c r="S111" s="471" t="n">
        <x:f>TRC!B9</x:f>
        <x:v>0.2</x:v>
      </x:c>
    </x:row>
    <x:row r="112" s="455" customFormat="1" ht="13.5" customHeight="1">
      <x:c r="J112" s="471" t="n">
        <x:v>2</x:v>
      </x:c>
      <x:c r="K112" s="471" t="str">
        <x:f>TRC!B16</x:f>
        <x:v>S04</x:v>
      </x:c>
      <x:c r="L112" s="471" t="n">
        <x:f>TRC!C16</x:f>
        <x:v>0.0195</x:v>
      </x:c>
      <x:c r="M112" s="471" t="n">
        <x:f>VLOOKUP(K112,$J$101:$M$107,4,FALSE())</x:f>
        <x:v>0.08108108108108109</x:v>
      </x:c>
      <x:c r="N112" s="471" t="n">
        <x:f>N111+M112</x:f>
        <x:v>0.11583011583011582</x:v>
      </x:c>
      <x:c r="O112" s="471" t="n">
        <x:f>MAX(0,MIN(M112,$S$110-N111))</x:f>
        <x:v>0.01525096525096526</x:v>
      </x:c>
      <x:c r="P112" s="471" t="n">
        <x:f>O112*L112</x:f>
        <x:v>0.0002973938223938226</x:v>
      </x:c>
    </x:row>
    <x:row r="113" s="455" customFormat="1" ht="13.5" customHeight="1">
      <x:c r="J113" s="471" t="n">
        <x:v>3</x:v>
      </x:c>
      <x:c r="K113" s="471" t="str">
        <x:f>TRC!B17</x:f>
        <x:v>S03</x:v>
      </x:c>
      <x:c r="L113" s="471" t="n">
        <x:f>TRC!C17</x:f>
        <x:v>0.0175</x:v>
      </x:c>
      <x:c r="M113" s="471" t="n">
        <x:f>VLOOKUP(K113,$J$101:$M$107,4,FALSE())</x:f>
        <x:v>0.09266409266409266</x:v>
      </x:c>
      <x:c r="N113" s="471" t="n">
        <x:f>N112+M113</x:f>
        <x:v>0.20849420849420847</x:v>
      </x:c>
      <x:c r="O113" s="471" t="n">
        <x:f>MAX(0,MIN(M113,$S$110-N112))</x:f>
        <x:v>0</x:v>
      </x:c>
      <x:c r="P113" s="471" t="n">
        <x:f>O113*L113</x:f>
        <x:v>0</x:v>
      </x:c>
    </x:row>
    <x:row r="114" s="455" customFormat="1" ht="13.5" customHeight="1">
      <x:c r="J114" s="471" t="n">
        <x:v>4</x:v>
      </x:c>
      <x:c r="K114" s="471" t="str">
        <x:f>TRC!B18</x:f>
        <x:v>S05</x:v>
      </x:c>
      <x:c r="L114" s="471" t="n">
        <x:f>TRC!C18</x:f>
        <x:v>0.0135</x:v>
      </x:c>
      <x:c r="M114" s="471" t="n">
        <x:f>VLOOKUP(K114,$J$101:$M$107,4,FALSE())</x:f>
        <x:v>0.04826254826254826</x:v>
      </x:c>
      <x:c r="N114" s="471" t="n">
        <x:f>N113+M114</x:f>
        <x:v>0.25675675675675674</x:v>
      </x:c>
      <x:c r="O114" s="471" t="n">
        <x:f>MAX(0,MIN(M114,$S$110-N113))</x:f>
        <x:v>0</x:v>
      </x:c>
      <x:c r="P114" s="471" t="n">
        <x:f>O114*L114</x:f>
        <x:v>0</x:v>
      </x:c>
    </x:row>
    <x:row r="115" s="455" customFormat="1" ht="13.5" customHeight="1">
      <x:c r="J115" s="471" t="n">
        <x:v>5</x:v>
      </x:c>
      <x:c r="K115" s="471" t="str">
        <x:f>TRC!B19</x:f>
        <x:v>S07</x:v>
      </x:c>
      <x:c r="L115" s="471" t="n">
        <x:f>TRC!C19</x:f>
        <x:v>0.01</x:v>
      </x:c>
      <x:c r="M115" s="471" t="n">
        <x:f>VLOOKUP(K115,$J$101:$M$107,4,FALSE())</x:f>
        <x:v>0.019305019305019305</x:v>
      </x:c>
      <x:c r="N115" s="471" t="n">
        <x:f>N114+M115</x:f>
        <x:v>0.27606177606177607</x:v>
      </x:c>
      <x:c r="O115" s="471" t="n">
        <x:f>MAX(0,MIN(M115,$S$110-N114))</x:f>
        <x:v>0</x:v>
      </x:c>
      <x:c r="P115" s="471" t="n">
        <x:f>O115*L115</x:f>
        <x:v>0</x:v>
      </x:c>
    </x:row>
    <x:row r="116" s="455" customFormat="1" ht="13.5" customHeight="1">
      <x:c r="J116" s="471" t="n">
        <x:v>6</x:v>
      </x:c>
      <x:c r="K116" s="471" t="str">
        <x:f>TRC!B20</x:f>
        <x:v>S02</x:v>
      </x:c>
      <x:c r="L116" s="471" t="n">
        <x:f>TRC!C20</x:f>
        <x:v>0.007</x:v>
      </x:c>
      <x:c r="M116" s="471" t="n">
        <x:f>VLOOKUP(K116,$J$101:$M$107,4,FALSE())</x:f>
        <x:v>0.14478764478764478</x:v>
      </x:c>
      <x:c r="N116" s="471" t="n">
        <x:f>N115+M116</x:f>
        <x:v>0.42084942084942084</x:v>
      </x:c>
      <x:c r="O116" s="471" t="n">
        <x:f>MAX(0,MIN(M116,$S$110-N115))</x:f>
        <x:v>0</x:v>
      </x:c>
      <x:c r="P116" s="471" t="n">
        <x:f>O116*L116</x:f>
        <x:v>0</x:v>
      </x:c>
    </x:row>
    <x:row r="117" s="455" customFormat="1" ht="13.5" customHeight="1">
      <x:c r="J117" s="471" t="n">
        <x:v>7</x:v>
      </x:c>
      <x:c r="K117" s="471" t="str">
        <x:f>TRC!B21</x:f>
        <x:v>S01</x:v>
      </x:c>
      <x:c r="L117" s="471" t="n">
        <x:f>TRC!C21</x:f>
        <x:v>0</x:v>
      </x:c>
      <x:c r="M117" s="471" t="n">
        <x:f>VLOOKUP(K117,$J$101:$M$107,4,FALSE())</x:f>
        <x:v>0.5791505791505791</x:v>
      </x:c>
      <x:c r="N117" s="471" t="n">
        <x:f>N116+M117</x:f>
        <x:v>1</x:v>
      </x:c>
      <x:c r="O117" s="471" t="n">
        <x:f>MAX(0,MIN(M117,$S$110-N116))</x:f>
        <x:v>0</x:v>
      </x:c>
      <x:c r="P117" s="471" t="n">
        <x:f>O117*L117</x:f>
        <x:v>0</x:v>
      </x:c>
    </x:row>
    <x:row r="118" s="455" customFormat="1" ht="13.5" customHeight="1"/>
    <x:row r="119" s="455" customFormat="1" ht="13.5" customHeight="1">
      <x:c r="R119" s="471" t="inlineStr">
        <x:is>
          <x:t xml:space="preserve">CVaR_A_up</x:t>
        </x:is>
      </x:c>
      <x:c r="S119" s="471" t="n">
        <x:f>SUM(P111:P117)/$S$110</x:f>
        <x:v>0.022279922779922783</x:v>
      </x:c>
    </x:row>
    <x:row r="120" s="455" customFormat="1" ht="13.5" customHeight="1">
      <x:c r="R120" s="471" t="inlineStr">
        <x:is>
          <x:t xml:space="preserve">Status_A_up</x:t>
        </x:is>
      </x:c>
      <x:c r="S120" s="471" t="str">
        <x:f>IF(S119&lt;=$S$111,"PASS","FAIL")</x:f>
        <x:v>PASS</x:v>
      </x:c>
    </x:row>
    <x:row r="121" s="455" customFormat="1" ht="13.5" customHeight="1">
      <x:c r="M121" s="471" t="inlineStr">
        <x:is>
          <x:t xml:space="preserve">TRC stress UP status</x:t>
        </x:is>
      </x:c>
      <x:c r="N121" s="471" t="inlineStr">
        <x:is>
          <x:t xml:space="preserve">A</x:t>
        </x:is>
      </x:c>
      <x:c r="O121" s="471" t="inlineStr">
        <x:is>
          <x:t xml:space="preserve">B</x:t>
        </x:is>
      </x:c>
    </x:row>
    <x:row r="122" s="455" customFormat="1" ht="13.5" customHeight="1">
      <x:c r="M122" s="471" t="inlineStr">
        <x:is>
          <x:t xml:space="preserve">TRC stress DOWN status</x:t>
        </x:is>
      </x:c>
      <x:c r="N122" s="471" t="str">
        <x:f>S120</x:f>
        <x:v>PASS</x:v>
      </x:c>
      <x:c r="O122" s="471" t="str">
        <x:f>S142</x:f>
        <x:v>PASS</x:v>
      </x:c>
    </x:row>
    <x:row r="123" s="455" customFormat="1" ht="13.5" customHeight="1">
      <x:c r="N123" s="471" t="str">
        <x:f>S162</x:f>
        <x:v>PASS</x:v>
      </x:c>
      <x:c r="O123" s="471" t="str">
        <x:f>S175</x:f>
        <x:v>PASS</x:v>
      </x:c>
    </x:row>
    <x:row r="124" s="455" customFormat="1" ht="13.5" customHeight="1"/>
    <x:row r="125" s="455" customFormat="1" ht="13.5" customHeight="1"/>
    <x:row r="126" s="455" customFormat="1" ht="13.5" customHeight="1"/>
    <x:row r="127" s="455" customFormat="1" ht="13.5" customHeight="1"/>
    <x:row r="128" s="455" customFormat="1" ht="13.5" customHeight="1"/>
    <x:row r="129" s="455" customFormat="1" ht="13.5" customHeight="1"/>
    <x:row r="130" s="455" customFormat="1" ht="13.5" customHeight="1"/>
    <x:row r="131" s="455" customFormat="1" ht="13.5" customHeight="1">
      <x:c r="J131" s="471" t="inlineStr">
        <x:is>
          <x:t xml:space="preserve">CVaR recompute for Option B (p stress UP)</x:t>
        </x:is>
      </x:c>
    </x:row>
    <x:row r="132" s="455" customFormat="1" ht="13.5" customHeight="1">
      <x:c r="J132" s="471" t="inlineStr">
        <x:is>
          <x:t xml:space="preserve">Rank</x:t>
        </x:is>
      </x:c>
      <x:c r="K132" s="471" t="inlineStr">
        <x:is>
          <x:t xml:space="preserve">Scenario</x:t>
        </x:is>
      </x:c>
      <x:c r="L132" s="471" t="inlineStr">
        <x:is>
          <x:t xml:space="preserve">Loss</x:t>
        </x:is>
      </x:c>
      <x:c r="M132" s="471" t="inlineStr">
        <x:is>
          <x:t xml:space="preserve">p_stress</x:t>
        </x:is>
      </x:c>
      <x:c r="N132" s="471" t="inlineStr">
        <x:is>
          <x:t xml:space="preserve">Cum_p</x:t>
        </x:is>
      </x:c>
      <x:c r="O132" s="471" t="inlineStr">
        <x:is>
          <x:t xml:space="preserve">Tail_w</x:t>
        </x:is>
      </x:c>
      <x:c r="P132" s="471" t="inlineStr">
        <x:is>
          <x:t xml:space="preserve">Contrib</x:t>
        </x:is>
      </x:c>
    </x:row>
    <x:row r="133" s="455" customFormat="1" ht="13.5" customHeight="1">
      <x:c r="J133" s="471" t="n">
        <x:v>1</x:v>
      </x:c>
      <x:c r="K133" s="471" t="str">
        <x:f>TRC!B31</x:f>
        <x:v>S03</x:v>
      </x:c>
      <x:c r="L133" s="471" t="n">
        <x:f>TRC!C31</x:f>
        <x:v>0.0315</x:v>
      </x:c>
      <x:c r="M133" s="471" t="n">
        <x:f>VLOOKUP(K133,$J$101:$M$107,4,FALSE())</x:f>
        <x:v>0.09266409266409266</x:v>
      </x:c>
      <x:c r="N133" s="471" t="n">
        <x:f>M133</x:f>
        <x:v>0.09266409266409266</x:v>
      </x:c>
      <x:c r="O133" s="471" t="n">
        <x:f>MIN(M133,$S$110)</x:f>
        <x:v>0.05</x:v>
      </x:c>
      <x:c r="P133" s="471" t="n">
        <x:f>O133*L133</x:f>
        <x:v>0.001575</x:v>
      </x:c>
    </x:row>
    <x:row r="134" s="455" customFormat="1" ht="13.5" customHeight="1">
      <x:c r="J134" s="471" t="n">
        <x:v>2</x:v>
      </x:c>
      <x:c r="K134" s="471" t="str">
        <x:f>TRC!B32</x:f>
        <x:v>S04</x:v>
      </x:c>
      <x:c r="L134" s="471" t="n">
        <x:f>TRC!C32</x:f>
        <x:v>0.0235</x:v>
      </x:c>
      <x:c r="M134" s="471" t="n">
        <x:f>VLOOKUP(K134,$J$101:$M$107,4,FALSE())</x:f>
        <x:v>0.08108108108108109</x:v>
      </x:c>
      <x:c r="N134" s="471" t="n">
        <x:f>N133+M134</x:f>
        <x:v>0.17374517374517373</x:v>
      </x:c>
      <x:c r="O134" s="471" t="n">
        <x:f>MAX(0,MIN(M134,$S$110-N133))</x:f>
        <x:v>0</x:v>
      </x:c>
      <x:c r="P134" s="471" t="n">
        <x:f>O134*L134</x:f>
        <x:v>0</x:v>
      </x:c>
    </x:row>
    <x:row r="135" s="455" customFormat="1" ht="13.5" customHeight="1">
      <x:c r="J135" s="471" t="n">
        <x:v>3</x:v>
      </x:c>
      <x:c r="K135" s="471" t="str">
        <x:f>TRC!B33</x:f>
        <x:v>S06</x:v>
      </x:c>
      <x:c r="L135" s="471" t="n">
        <x:f>TRC!C33</x:f>
        <x:v>0.02175</x:v>
      </x:c>
      <x:c r="M135" s="471" t="n">
        <x:f>VLOOKUP(K135,$J$101:$M$107,4,FALSE())</x:f>
        <x:v>0.03474903474903474</x:v>
      </x:c>
      <x:c r="N135" s="471" t="n">
        <x:f>N134+M135</x:f>
        <x:v>0.20849420849420847</x:v>
      </x:c>
      <x:c r="O135" s="471" t="n">
        <x:f>MAX(0,MIN(M135,$S$110-N134))</x:f>
        <x:v>0</x:v>
      </x:c>
      <x:c r="P135" s="471" t="n">
        <x:f>O135*L135</x:f>
        <x:v>0</x:v>
      </x:c>
    </x:row>
    <x:row r="136" s="455" customFormat="1" ht="13.5" customHeight="1">
      <x:c r="J136" s="471" t="n">
        <x:v>4</x:v>
      </x:c>
      <x:c r="K136" s="471" t="str">
        <x:f>TRC!B34</x:f>
        <x:v>S05</x:v>
      </x:c>
      <x:c r="L136" s="471" t="n">
        <x:f>TRC!C34</x:f>
        <x:v>0.0135</x:v>
      </x:c>
      <x:c r="M136" s="471" t="n">
        <x:f>VLOOKUP(K136,$J$101:$M$107,4,FALSE())</x:f>
        <x:v>0.04826254826254826</x:v>
      </x:c>
      <x:c r="N136" s="471" t="n">
        <x:f>N135+M136</x:f>
        <x:v>0.25675675675675674</x:v>
      </x:c>
      <x:c r="O136" s="471" t="n">
        <x:f>MAX(0,MIN(M136,$S$110-N135))</x:f>
        <x:v>0</x:v>
      </x:c>
      <x:c r="P136" s="471" t="n">
        <x:f>O136*L136</x:f>
        <x:v>0</x:v>
      </x:c>
    </x:row>
    <x:row r="137" s="455" customFormat="1" ht="13.5" customHeight="1">
      <x:c r="J137" s="471" t="n">
        <x:v>5</x:v>
      </x:c>
      <x:c r="K137" s="471" t="str">
        <x:f>TRC!B35</x:f>
        <x:v>S02</x:v>
      </x:c>
      <x:c r="L137" s="471" t="n">
        <x:f>TRC!C35</x:f>
        <x:v>0.0105</x:v>
      </x:c>
      <x:c r="M137" s="471" t="n">
        <x:f>VLOOKUP(K137,$J$101:$M$107,4,FALSE())</x:f>
        <x:v>0.14478764478764478</x:v>
      </x:c>
      <x:c r="N137" s="471" t="n">
        <x:f>N136+M137</x:f>
        <x:v>0.4015444015444015</x:v>
      </x:c>
      <x:c r="O137" s="471" t="n">
        <x:f>MAX(0,MIN(M137,$S$110-N136))</x:f>
        <x:v>0</x:v>
      </x:c>
      <x:c r="P137" s="471" t="n">
        <x:f>O137*L137</x:f>
        <x:v>0</x:v>
      </x:c>
    </x:row>
    <x:row r="138" s="455" customFormat="1" ht="13.5" customHeight="1">
      <x:c r="J138" s="471" t="n">
        <x:v>6</x:v>
      </x:c>
      <x:c r="K138" s="471" t="str">
        <x:f>TRC!B36</x:f>
        <x:v>S07</x:v>
      </x:c>
      <x:c r="L138" s="471" t="n">
        <x:f>TRC!C36</x:f>
        <x:v>0.007</x:v>
      </x:c>
      <x:c r="M138" s="471" t="n">
        <x:f>VLOOKUP(K138,$J$101:$M$107,4,FALSE())</x:f>
        <x:v>0.019305019305019305</x:v>
      </x:c>
      <x:c r="N138" s="471" t="n">
        <x:f>N137+M138</x:f>
        <x:v>0.42084942084942084</x:v>
      </x:c>
      <x:c r="O138" s="471" t="n">
        <x:f>MAX(0,MIN(M138,$S$110-N137))</x:f>
        <x:v>0</x:v>
      </x:c>
      <x:c r="P138" s="471" t="n">
        <x:f>O138*L138</x:f>
        <x:v>0</x:v>
      </x:c>
    </x:row>
    <x:row r="139" s="455" customFormat="1" ht="13.5" customHeight="1">
      <x:c r="J139" s="471" t="n">
        <x:v>7</x:v>
      </x:c>
      <x:c r="K139" s="471" t="str">
        <x:f>TRC!B37</x:f>
        <x:v>S01</x:v>
      </x:c>
      <x:c r="L139" s="471" t="n">
        <x:f>TRC!C37</x:f>
        <x:v>0.003574</x:v>
      </x:c>
      <x:c r="M139" s="471" t="n">
        <x:f>VLOOKUP(K139,$J$101:$M$107,4,FALSE())</x:f>
        <x:v>0.5791505791505791</x:v>
      </x:c>
      <x:c r="N139" s="471" t="n">
        <x:f>N138+M139</x:f>
        <x:v>1</x:v>
      </x:c>
      <x:c r="O139" s="471" t="n">
        <x:f>MAX(0,MIN(M139,$S$110-N138))</x:f>
        <x:v>0</x:v>
      </x:c>
      <x:c r="P139" s="471" t="n">
        <x:f>O139*L139</x:f>
        <x:v>0</x:v>
      </x:c>
    </x:row>
    <x:row r="140" s="455" customFormat="1" ht="13.5" customHeight="1"/>
    <x:row r="141" s="455" customFormat="1" ht="13.5" customHeight="1">
      <x:c r="R141" s="471" t="inlineStr">
        <x:is>
          <x:t xml:space="preserve">CVaR_B_up</x:t>
        </x:is>
      </x:c>
      <x:c r="S141" s="471" t="n">
        <x:f>SUM(P133:P139)/$S$110</x:f>
        <x:v>0.0315</x:v>
      </x:c>
    </x:row>
    <x:row r="142" s="455" customFormat="1" ht="13.5" customHeight="1">
      <x:c r="R142" s="471" t="inlineStr">
        <x:is>
          <x:t xml:space="preserve">Status_B_up</x:t>
        </x:is>
      </x:c>
      <x:c r="S142" s="471" t="str">
        <x:f>IF(S141&lt;=$S$111,"PASS","FAIL")</x:f>
        <x:v>PASS</x:v>
      </x:c>
    </x:row>
    <x:row r="143" s="455" customFormat="1" ht="13.5" customHeight="1"/>
    <x:row r="144" s="455" customFormat="1" ht="13.5" customHeight="1"/>
    <x:row r="145" s="455" customFormat="1" ht="13.5" customHeight="1"/>
    <x:row r="146" s="455" customFormat="1" ht="13.5" customHeight="1"/>
    <x:row r="147" s="455" customFormat="1" ht="13.5" customHeight="1"/>
    <x:row r="148" s="455" customFormat="1" ht="13.5" customHeight="1"/>
    <x:row r="149" s="455" customFormat="1" ht="13.5" customHeight="1"/>
    <x:row r="150" s="455" customFormat="1" ht="13.5" customHeight="1"/>
    <x:row r="151" s="455" customFormat="1" ht="13.5" customHeight="1">
      <x:c r="J151" s="471" t="inlineStr">
        <x:is>
          <x:t xml:space="preserve">CVaR recompute (p stress DOWN)</x:t>
        </x:is>
      </x:c>
    </x:row>
    <x:row r="152" s="455" customFormat="1" ht="13.5" customHeight="1">
      <x:c r="J152" s="471" t="inlineStr">
        <x:is>
          <x:t xml:space="preserve">Rank</x:t>
        </x:is>
      </x:c>
      <x:c r="K152" s="471" t="inlineStr">
        <x:is>
          <x:t xml:space="preserve">Scenario</x:t>
        </x:is>
      </x:c>
      <x:c r="L152" s="471" t="inlineStr">
        <x:is>
          <x:t xml:space="preserve">Loss</x:t>
        </x:is>
      </x:c>
      <x:c r="M152" s="471" t="inlineStr">
        <x:is>
          <x:t xml:space="preserve">p_stress</x:t>
        </x:is>
      </x:c>
      <x:c r="N152" s="471" t="inlineStr">
        <x:is>
          <x:t xml:space="preserve">Cum_p</x:t>
        </x:is>
      </x:c>
      <x:c r="O152" s="471" t="inlineStr">
        <x:is>
          <x:t xml:space="preserve">Tail_w</x:t>
        </x:is>
      </x:c>
      <x:c r="P152" s="471" t="inlineStr">
        <x:is>
          <x:t xml:space="preserve">Contrib</x:t>
        </x:is>
      </x:c>
    </x:row>
    <x:row r="153" s="455" customFormat="1" ht="13.5" customHeight="1">
      <x:c r="J153" s="471" t="n">
        <x:v>1</x:v>
      </x:c>
      <x:c r="K153" s="471" t="str">
        <x:f>TRC!B15</x:f>
        <x:v>S06</x:v>
      </x:c>
      <x:c r="L153" s="471" t="n">
        <x:f>TRC!C15</x:f>
        <x:v>0.0235</x:v>
      </x:c>
      <x:c r="M153" s="471" t="n">
        <x:f>VLOOKUP(K153,$J$101:$O$107,6,FALSE())</x:f>
        <x:v>0.024896265560165977</x:v>
      </x:c>
      <x:c r="N153" s="471" t="n">
        <x:f>M153</x:f>
        <x:v>0.024896265560165977</x:v>
      </x:c>
      <x:c r="O153" s="471" t="n">
        <x:f>MIN(M153,$S$110)</x:f>
        <x:v>0.024896265560165977</x:v>
      </x:c>
      <x:c r="P153" s="471" t="n">
        <x:f>O153*L153</x:f>
        <x:v>0.0005850622406639005</x:v>
      </x:c>
    </x:row>
    <x:row r="154" s="455" customFormat="1" ht="13.5" customHeight="1">
      <x:c r="J154" s="471" t="n">
        <x:v>2</x:v>
      </x:c>
      <x:c r="K154" s="471" t="str">
        <x:f>TRC!B16</x:f>
        <x:v>S04</x:v>
      </x:c>
      <x:c r="L154" s="471" t="n">
        <x:f>TRC!C16</x:f>
        <x:v>0.0195</x:v>
      </x:c>
      <x:c r="M154" s="471" t="n">
        <x:f>VLOOKUP(K154,$J$101:$O$107,6,FALSE())</x:f>
        <x:v>0.05809128630705395</x:v>
      </x:c>
      <x:c r="N154" s="471" t="n">
        <x:f>N153+M154</x:f>
        <x:v>0.08298755186721993</x:v>
      </x:c>
      <x:c r="O154" s="471" t="n">
        <x:f>MAX(0,MIN(M154,$S$110-N153))</x:f>
        <x:v>0.025103734439834026</x:v>
      </x:c>
      <x:c r="P154" s="471" t="n">
        <x:f>O154*L154</x:f>
        <x:v>0.0004895228215767635</x:v>
      </x:c>
    </x:row>
    <x:row r="155" s="455" customFormat="1" ht="13.5" customHeight="1">
      <x:c r="J155" s="471" t="n">
        <x:v>3</x:v>
      </x:c>
      <x:c r="K155" s="471" t="str">
        <x:f>TRC!B17</x:f>
        <x:v>S03</x:v>
      </x:c>
      <x:c r="L155" s="471" t="n">
        <x:f>TRC!C17</x:f>
        <x:v>0.0175</x:v>
      </x:c>
      <x:c r="M155" s="471" t="n">
        <x:f>VLOOKUP(K155,$J$101:$O$107,6,FALSE())</x:f>
        <x:v>0.06639004149377593</x:v>
      </x:c>
      <x:c r="N155" s="471" t="n">
        <x:f>N154+M155</x:f>
        <x:v>0.14937759336099588</x:v>
      </x:c>
      <x:c r="O155" s="471" t="n">
        <x:f>MAX(0,MIN(M155,$S$110-N154))</x:f>
        <x:v>0</x:v>
      </x:c>
      <x:c r="P155" s="471" t="n">
        <x:f>O155*L155</x:f>
        <x:v>0</x:v>
      </x:c>
    </x:row>
    <x:row r="156" s="455" customFormat="1" ht="13.5" customHeight="1">
      <x:c r="J156" s="471" t="n">
        <x:v>4</x:v>
      </x:c>
      <x:c r="K156" s="471" t="str">
        <x:f>TRC!B18</x:f>
        <x:v>S05</x:v>
      </x:c>
      <x:c r="L156" s="471" t="n">
        <x:f>TRC!C18</x:f>
        <x:v>0.0135</x:v>
      </x:c>
      <x:c r="M156" s="471" t="n">
        <x:f>VLOOKUP(K156,$J$101:$O$107,6,FALSE())</x:f>
        <x:v>0.05186721991701245</x:v>
      </x:c>
      <x:c r="N156" s="471" t="n">
        <x:f>N155+M156</x:f>
        <x:v>0.20124481327800833</x:v>
      </x:c>
      <x:c r="O156" s="471" t="n">
        <x:f>MAX(0,MIN(M156,$S$110-N155))</x:f>
        <x:v>0</x:v>
      </x:c>
      <x:c r="P156" s="471" t="n">
        <x:f>O156*L156</x:f>
        <x:v>0</x:v>
      </x:c>
    </x:row>
    <x:row r="157" s="455" customFormat="1" ht="13.5" customHeight="1">
      <x:c r="J157" s="471" t="n">
        <x:v>5</x:v>
      </x:c>
      <x:c r="K157" s="471" t="str">
        <x:f>TRC!B19</x:f>
        <x:v>S07</x:v>
      </x:c>
      <x:c r="L157" s="471" t="n">
        <x:f>TRC!C19</x:f>
        <x:v>0.01</x:v>
      </x:c>
      <x:c r="M157" s="471" t="n">
        <x:f>VLOOKUP(K157,$J$101:$O$107,6,FALSE())</x:f>
        <x:v>0.020746887966804982</x:v>
      </x:c>
      <x:c r="N157" s="471" t="n">
        <x:f>N156+M157</x:f>
        <x:v>0.22199170124481332</x:v>
      </x:c>
      <x:c r="O157" s="471" t="n">
        <x:f>MAX(0,MIN(M157,$S$110-N156))</x:f>
        <x:v>0</x:v>
      </x:c>
      <x:c r="P157" s="471" t="n">
        <x:f>O157*L157</x:f>
        <x:v>0</x:v>
      </x:c>
    </x:row>
    <x:row r="158" s="455" customFormat="1" ht="13.5" customHeight="1">
      <x:c r="J158" s="471" t="n">
        <x:v>6</x:v>
      </x:c>
      <x:c r="K158" s="471" t="str">
        <x:f>TRC!B20</x:f>
        <x:v>S02</x:v>
      </x:c>
      <x:c r="L158" s="471" t="n">
        <x:f>TRC!C20</x:f>
        <x:v>0.007</x:v>
      </x:c>
      <x:c r="M158" s="471" t="n">
        <x:f>VLOOKUP(K158,$J$101:$O$107,6,FALSE())</x:f>
        <x:v>0.15560165975103735</x:v>
      </x:c>
      <x:c r="N158" s="471" t="n">
        <x:f>N157+M158</x:f>
        <x:v>0.37759336099585067</x:v>
      </x:c>
      <x:c r="O158" s="471" t="n">
        <x:f>MAX(0,MIN(M158,$S$110-N157))</x:f>
        <x:v>0</x:v>
      </x:c>
      <x:c r="P158" s="471" t="n">
        <x:f>O158*L158</x:f>
        <x:v>0</x:v>
      </x:c>
    </x:row>
    <x:row r="159" s="455" customFormat="1" ht="13.5" customHeight="1">
      <x:c r="J159" s="471" t="n">
        <x:v>7</x:v>
      </x:c>
      <x:c r="K159" s="471" t="str">
        <x:f>TRC!B21</x:f>
        <x:v>S01</x:v>
      </x:c>
      <x:c r="L159" s="471" t="n">
        <x:f>TRC!C21</x:f>
        <x:v>0</x:v>
      </x:c>
      <x:c r="M159" s="471" t="n">
        <x:f>VLOOKUP(K159,$J$101:$O$107,6,FALSE())</x:f>
        <x:v>0.6224066390041494</x:v>
      </x:c>
      <x:c r="N159" s="471" t="n">
        <x:f>N158+M159</x:f>
        <x:v>1</x:v>
      </x:c>
      <x:c r="O159" s="471" t="n">
        <x:f>MAX(0,MIN(M159,$S$110-N158))</x:f>
        <x:v>0</x:v>
      </x:c>
      <x:c r="P159" s="471" t="n">
        <x:f>O159*L159</x:f>
        <x:v>0</x:v>
      </x:c>
    </x:row>
    <x:row r="160" s="455" customFormat="1" ht="13.5" customHeight="1"/>
    <x:row r="161" s="455" customFormat="1" ht="13.5" customHeight="1">
      <x:c r="R161" s="471" t="inlineStr">
        <x:is>
          <x:t xml:space="preserve">CVaR_A_down</x:t>
        </x:is>
      </x:c>
      <x:c r="S161" s="471" t="n">
        <x:f>SUM(P153:P159)/$S$110</x:f>
        <x:v>0.021491701244813276</x:v>
      </x:c>
    </x:row>
    <x:row r="162" s="455" customFormat="1" ht="13.5" customHeight="1">
      <x:c r="R162" s="471" t="inlineStr">
        <x:is>
          <x:t xml:space="preserve">Status_A_down</x:t>
        </x:is>
      </x:c>
      <x:c r="S162" s="471" t="str">
        <x:f>IF(S161&lt;=$S$111,"PASS","FAIL")</x:f>
        <x:v>PASS</x:v>
      </x:c>
    </x:row>
    <x:row r="163" s="455" customFormat="1" ht="13.5" customHeight="1"/>
    <x:row r="164" s="455" customFormat="1" ht="13.5" customHeight="1">
      <x:c r="J164" s="471" t="inlineStr">
        <x:is>
          <x:t xml:space="preserve">Option B (p stress DOWN)</x:t>
        </x:is>
      </x:c>
    </x:row>
    <x:row r="165" s="455" customFormat="1" ht="13.5" customHeight="1">
      <x:c r="J165" s="471" t="inlineStr">
        <x:is>
          <x:t xml:space="preserve">Rank</x:t>
        </x:is>
      </x:c>
      <x:c r="K165" s="471" t="inlineStr">
        <x:is>
          <x:t xml:space="preserve">Scenario</x:t>
        </x:is>
      </x:c>
      <x:c r="L165" s="471" t="inlineStr">
        <x:is>
          <x:t xml:space="preserve">Loss</x:t>
        </x:is>
      </x:c>
      <x:c r="M165" s="471" t="inlineStr">
        <x:is>
          <x:t xml:space="preserve">p_stress</x:t>
        </x:is>
      </x:c>
      <x:c r="N165" s="471" t="inlineStr">
        <x:is>
          <x:t xml:space="preserve">Cum_p</x:t>
        </x:is>
      </x:c>
      <x:c r="O165" s="471" t="inlineStr">
        <x:is>
          <x:t xml:space="preserve">Tail_w</x:t>
        </x:is>
      </x:c>
      <x:c r="P165" s="471" t="inlineStr">
        <x:is>
          <x:t xml:space="preserve">Contrib</x:t>
        </x:is>
      </x:c>
    </x:row>
    <x:row r="166" s="455" customFormat="1" ht="13.5" customHeight="1">
      <x:c r="J166" s="471" t="n">
        <x:v>1</x:v>
      </x:c>
      <x:c r="K166" s="471" t="str">
        <x:f>TRC!B31</x:f>
        <x:v>S03</x:v>
      </x:c>
      <x:c r="L166" s="471" t="n">
        <x:f>TRC!C31</x:f>
        <x:v>0.0315</x:v>
      </x:c>
      <x:c r="M166" s="471" t="n">
        <x:f>VLOOKUP(K166,$J$101:$O$107,6,FALSE())</x:f>
        <x:v>0.06639004149377593</x:v>
      </x:c>
      <x:c r="N166" s="471" t="n">
        <x:f>M166</x:f>
        <x:v>0.06639004149377593</x:v>
      </x:c>
      <x:c r="O166" s="471" t="n">
        <x:f>MIN(M166,$S$110)</x:f>
        <x:v>0.05</x:v>
      </x:c>
      <x:c r="P166" s="471" t="n">
        <x:f>O166*L166</x:f>
        <x:v>0.001575</x:v>
      </x:c>
    </x:row>
    <x:row r="167" s="455" customFormat="1" ht="13.5" customHeight="1">
      <x:c r="J167" s="471" t="n">
        <x:v>2</x:v>
      </x:c>
      <x:c r="K167" s="471" t="str">
        <x:f>TRC!B32</x:f>
        <x:v>S04</x:v>
      </x:c>
      <x:c r="L167" s="471" t="n">
        <x:f>TRC!C32</x:f>
        <x:v>0.0235</x:v>
      </x:c>
      <x:c r="M167" s="471" t="n">
        <x:f>VLOOKUP(K167,$J$101:$O$107,6,FALSE())</x:f>
        <x:v>0.05809128630705395</x:v>
      </x:c>
      <x:c r="N167" s="471" t="n">
        <x:f>N166+M167</x:f>
        <x:v>0.12448132780082988</x:v>
      </x:c>
      <x:c r="O167" s="471" t="n">
        <x:f>MAX(0,MIN(M167,$S$110-N166))</x:f>
        <x:v>0</x:v>
      </x:c>
      <x:c r="P167" s="471" t="n">
        <x:f>O167*L167</x:f>
        <x:v>0</x:v>
      </x:c>
    </x:row>
    <x:row r="168" s="455" customFormat="1" ht="13.5" customHeight="1">
      <x:c r="J168" s="471" t="n">
        <x:v>3</x:v>
      </x:c>
      <x:c r="K168" s="471" t="str">
        <x:f>TRC!B33</x:f>
        <x:v>S06</x:v>
      </x:c>
      <x:c r="L168" s="471" t="n">
        <x:f>TRC!C33</x:f>
        <x:v>0.02175</x:v>
      </x:c>
      <x:c r="M168" s="471" t="n">
        <x:f>VLOOKUP(K168,$J$101:$O$107,6,FALSE())</x:f>
        <x:v>0.024896265560165977</x:v>
      </x:c>
      <x:c r="N168" s="471" t="n">
        <x:f>N167+M168</x:f>
        <x:v>0.14937759336099585</x:v>
      </x:c>
      <x:c r="O168" s="471" t="n">
        <x:f>MAX(0,MIN(M168,$S$110-N167))</x:f>
        <x:v>0</x:v>
      </x:c>
      <x:c r="P168" s="471" t="n">
        <x:f>O168*L168</x:f>
        <x:v>0</x:v>
      </x:c>
    </x:row>
    <x:row r="169" s="455" customFormat="1" ht="13.5" customHeight="1">
      <x:c r="J169" s="471" t="n">
        <x:v>4</x:v>
      </x:c>
      <x:c r="K169" s="471" t="str">
        <x:f>TRC!B34</x:f>
        <x:v>S05</x:v>
      </x:c>
      <x:c r="L169" s="471" t="n">
        <x:f>TRC!C34</x:f>
        <x:v>0.0135</x:v>
      </x:c>
      <x:c r="M169" s="471" t="n">
        <x:f>VLOOKUP(K169,$J$101:$O$107,6,FALSE())</x:f>
        <x:v>0.05186721991701245</x:v>
      </x:c>
      <x:c r="N169" s="471" t="n">
        <x:f>N168+M169</x:f>
        <x:v>0.2012448132780083</x:v>
      </x:c>
      <x:c r="O169" s="471" t="n">
        <x:f>MAX(0,MIN(M169,$S$110-N168))</x:f>
        <x:v>0</x:v>
      </x:c>
      <x:c r="P169" s="471" t="n">
        <x:f>O169*L169</x:f>
        <x:v>0</x:v>
      </x:c>
    </x:row>
    <x:row r="170" s="455" customFormat="1" ht="13.5" customHeight="1">
      <x:c r="J170" s="471" t="n">
        <x:v>5</x:v>
      </x:c>
      <x:c r="K170" s="471" t="str">
        <x:f>TRC!B35</x:f>
        <x:v>S02</x:v>
      </x:c>
      <x:c r="L170" s="471" t="n">
        <x:f>TRC!C35</x:f>
        <x:v>0.0105</x:v>
      </x:c>
      <x:c r="M170" s="471" t="n">
        <x:f>VLOOKUP(K170,$J$101:$O$107,6,FALSE())</x:f>
        <x:v>0.15560165975103735</x:v>
      </x:c>
      <x:c r="N170" s="471" t="n">
        <x:f>N169+M170</x:f>
        <x:v>0.35684647302904565</x:v>
      </x:c>
      <x:c r="O170" s="471" t="n">
        <x:f>MAX(0,MIN(M170,$S$110-N169))</x:f>
        <x:v>0</x:v>
      </x:c>
      <x:c r="P170" s="471" t="n">
        <x:f>O170*L170</x:f>
        <x:v>0</x:v>
      </x:c>
    </x:row>
    <x:row r="171" s="455" customFormat="1" ht="13.5" customHeight="1">
      <x:c r="J171" s="471" t="n">
        <x:v>6</x:v>
      </x:c>
      <x:c r="K171" s="471" t="str">
        <x:f>TRC!B36</x:f>
        <x:v>S07</x:v>
      </x:c>
      <x:c r="L171" s="471" t="n">
        <x:f>TRC!C36</x:f>
        <x:v>0.007</x:v>
      </x:c>
      <x:c r="M171" s="471" t="n">
        <x:f>VLOOKUP(K171,$J$101:$O$107,6,FALSE())</x:f>
        <x:v>0.020746887966804982</x:v>
      </x:c>
      <x:c r="N171" s="471" t="n">
        <x:f>N170+M171</x:f>
        <x:v>0.3775933609958506</x:v>
      </x:c>
      <x:c r="O171" s="471" t="n">
        <x:f>MAX(0,MIN(M171,$S$110-N170))</x:f>
        <x:v>0</x:v>
      </x:c>
      <x:c r="P171" s="471" t="n">
        <x:f>O171*L171</x:f>
        <x:v>0</x:v>
      </x:c>
    </x:row>
    <x:row r="172" s="455" customFormat="1" ht="13.5" customHeight="1">
      <x:c r="J172" s="471" t="n">
        <x:v>7</x:v>
      </x:c>
      <x:c r="K172" s="471" t="str">
        <x:f>TRC!B37</x:f>
        <x:v>S01</x:v>
      </x:c>
      <x:c r="L172" s="471" t="n">
        <x:f>TRC!C37</x:f>
        <x:v>0.003574</x:v>
      </x:c>
      <x:c r="M172" s="471" t="n">
        <x:f>VLOOKUP(K172,$J$101:$O$107,6,FALSE())</x:f>
        <x:v>0.6224066390041494</x:v>
      </x:c>
      <x:c r="N172" s="471" t="n">
        <x:f>N171+M172</x:f>
        <x:v>1</x:v>
      </x:c>
      <x:c r="O172" s="471" t="n">
        <x:f>MAX(0,MIN(M172,$S$110-N171))</x:f>
        <x:v>0</x:v>
      </x:c>
      <x:c r="P172" s="471" t="n">
        <x:f>O172*L172</x:f>
        <x:v>0</x:v>
      </x:c>
    </x:row>
    <x:row r="173" s="455" customFormat="1" ht="13.5" customHeight="1"/>
    <x:row r="174" s="455" customFormat="1" ht="13.5" customHeight="1">
      <x:c r="R174" s="471" t="inlineStr">
        <x:is>
          <x:t xml:space="preserve">CVaR_B_down</x:t>
        </x:is>
      </x:c>
      <x:c r="S174" s="471" t="n">
        <x:f>SUM(P166:P172)/$S$110</x:f>
        <x:v>0.0315</x:v>
      </x:c>
    </x:row>
    <x:row r="175" s="455" customFormat="1" ht="13.5" customHeight="1">
      <x:c r="R175" s="471" t="inlineStr">
        <x:is>
          <x:t xml:space="preserve">Status_B_down</x:t>
        </x:is>
      </x:c>
      <x:c r="S175" s="471" t="str">
        <x:f>IF(S174&lt;=$S$111,"PASS","FAIL")</x:f>
        <x:v>PASS</x:v>
      </x:c>
    </x:row>
  </x:sheetData>
  <x:pageMargins left="0.7" right="0.7" top="0.75" bottom="0.75" header="0.3" footer="0.3"/>
</x:worksheet>
</file>

<file path=xl/worksheets/sheet23.xml><?xml version="1.0" encoding="utf-8"?>
<x:worksheet xmlns:x="http://schemas.openxmlformats.org/spreadsheetml/2006/main">
  <x:sheetViews>
    <x:sheetView showGridLines="1" workbookViewId="0"/>
  </x:sheetViews>
  <x:sheetFormatPr baseColWidth="8" defaultColWidth="8.66796875" defaultRowHeight="12.75"/>
  <x:cols>
    <x:col min="1" max="1" width="70" style="497" customWidth="1"/>
    <x:col min="2" max="2" width="12" style="497" customWidth="1"/>
    <x:col min="3" max="3" width="28" style="497" customWidth="1"/>
  </x:cols>
  <x:sheetData>
    <x:row r="1" s="455" customFormat="1" ht="14.25" customHeight="1">
      <x:c r="A1" s="511" t="inlineStr">
        <x:is>
          <x:t xml:space="preserve">SUBGROUP ANALYSIS - WORST-OFF DOCUMENTATION</x:t>
        </x:is>
      </x:c>
      <x:c r="B1" s="457" t="n"/>
      <x:c r="C1" s="457" t="n"/>
      <x:c r="D1" s="457" t="n"/>
      <x:c r="E1" s="457" t="n"/>
      <x:c r="F1" s="457" t="n"/>
      <x:c r="G1" s="457" t="n"/>
      <x:c r="H1" s="457" t="n"/>
      <x:c r="I1" s="457" t="n"/>
      <x:c r="J1" s="457" t="n"/>
    </x:row>
    <x:row r="2" s="455" customFormat="1" ht="36" customHeight="1">
      <x:c r="A2" s="515" t="inlineStr">
        <x:is>
          <x:t xml:space="preserve">Binding note: Any worst-off values documented in this sheet SHALL either (a) be entered into Subgroup_Overrides for computational use, or (b) be removed from this narrative sheet if the run relies only on the conservative fallback.</x:t>
        </x:is>
      </x:c>
    </x:row>
    <x:row r="3" s="455" customFormat="1" ht="14.25" customHeight="1">
      <x:c r="A3" s="471" t="inlineStr">
        <x:is>
          <x:t xml:space="preserve">Reference: RippleLogic v10.8 Section 7.3 - Tier 2 requires subgroup enumeration</x:t>
        </x:is>
      </x:c>
    </x:row>
    <x:row r="4" s="455" customFormat="1" ht="13.5" customHeight="1"/>
    <x:row r="5" s="455" customFormat="1" ht="14.25" customHeight="1">
      <x:c r="A5" s="512" t="inlineStr">
        <x:is>
          <x:t xml:space="preserve">OPTION A: NEGATIVE IMPACT CELLS</x:t>
        </x:is>
      </x:c>
    </x:row>
    <x:row r="6" s="455" customFormat="1" ht="13.5" customHeight="1"/>
    <x:row r="7" s="455" customFormat="1" ht="14.25" customHeight="1">
      <x:c r="A7" s="512" t="inlineStr">
        <x:is>
          <x:t xml:space="preserve">Cell: U3-D3 (Community-Social) | Agg I_prop: -0.069</x:t>
        </x:is>
      </x:c>
    </x:row>
    <x:row r="8" s="455" customFormat="1" ht="14.25" customHeight="1">
      <x:c r="A8" s="471" t="inlineStr">
        <x:is>
          <x:t xml:space="preserve">Rights: LBTY (-0.65), DIGN (-0.55)</x:t>
        </x:is>
      </x:c>
    </x:row>
    <x:row r="9" s="455" customFormat="1" ht="14.25" customHeight="1">
      <x:c r="A9" s="512" t="inlineStr">
        <x:is>
          <x:t xml:space="preserve">Subgroup</x:t>
        </x:is>
      </x:c>
      <x:c r="B9" s="512" t="inlineStr">
        <x:is>
          <x:t xml:space="preserve">I_prop</x:t>
        </x:is>
      </x:c>
      <x:c r="C9" s="512" t="inlineStr">
        <x:is>
          <x:t xml:space="preserve">Rationale</x:t>
        </x:is>
      </x:c>
    </x:row>
    <x:row r="10" s="455" customFormat="1" ht="14.25" customHeight="1">
      <x:c r="A10" s="471" t="inlineStr">
        <x:is>
          <x:t xml:space="preserve">General population</x:t>
        </x:is>
      </x:c>
      <x:c r="B10" s="471" t="n">
        <x:v>-0.06900000000000001</x:v>
      </x:c>
      <x:c r="C10" s="471" t="inlineStr">
        <x:is>
          <x:t xml:space="preserve">Baseline</x:t>
        </x:is>
      </x:c>
    </x:row>
    <x:row r="11" s="455" customFormat="1" ht="14.25" customHeight="1">
      <x:c r="A11" s="471" t="inlineStr">
        <x:is>
          <x:t xml:space="preserve">Elderly (65+)</x:t>
        </x:is>
      </x:c>
      <x:c r="B11" s="471" t="n">
        <x:v>-0.1</x:v>
      </x:c>
      <x:c r="C11" s="471" t="inlineStr">
        <x:is>
          <x:t xml:space="preserve">Higher isolation risk</x:t>
        </x:is>
      </x:c>
    </x:row>
    <x:row r="12" s="455" customFormat="1" ht="14.25" customHeight="1">
      <x:c r="A12" s="471" t="inlineStr">
        <x:is>
          <x:t xml:space="preserve">Single-person HH</x:t>
        </x:is>
      </x:c>
      <x:c r="B12" s="471" t="n">
        <x:v>-0.12</x:v>
      </x:c>
      <x:c r="C12" s="471" t="inlineStr">
        <x:is>
          <x:t xml:space="preserve">No household buffer</x:t>
        </x:is>
      </x:c>
    </x:row>
    <x:row r="13" s="455" customFormat="1" ht="14.25" customHeight="1">
      <x:c r="A13" s="471" t="inlineStr">
        <x:is>
          <x:t xml:space="preserve">New employees (&lt;1yr)</x:t>
        </x:is>
      </x:c>
      <x:c r="B13" s="471" t="n">
        <x:v>-0.15</x:v>
      </x:c>
      <x:c r="C13" s="471" t="inlineStr">
        <x:is>
          <x:t xml:space="preserve">Harder to integrate</x:t>
        </x:is>
      </x:c>
    </x:row>
    <x:row r="14" s="455" customFormat="1" ht="14.25" customHeight="1">
      <x:c r="A14" s="471" t="inlineStr">
        <x:is>
          <x:t xml:space="preserve">WORST-OFF</x:t>
        </x:is>
      </x:c>
      <x:c r="B14" s="471" t="n">
        <x:v>-0.15</x:v>
      </x:c>
      <x:c r="C14" s="471" t="inlineStr">
        <x:is>
          <x:t xml:space="preserve">New employees</x:t>
        </x:is>
      </x:c>
    </x:row>
    <x:row r="15" s="455" customFormat="1" ht="14.25" customHeight="1">
      <x:c r="A15" s="485" t="inlineStr">
        <x:is>
          <x:t xml:space="preserve">Threshold checks: LBTY -0.15 &gt; -0.65 ✓ | DIGN -0.15 &gt; -0.55 ✓</x:t>
        </x:is>
      </x:c>
    </x:row>
    <x:row r="16" s="455" customFormat="1" ht="13.5" customHeight="1"/>
    <x:row r="17" s="455" customFormat="1" ht="14.25" customHeight="1">
      <x:c r="A17" s="512" t="inlineStr">
        <x:is>
          <x:t xml:space="preserve">Cell: U4-D1 (Org-Material) | Agg I_prop: -0.176</x:t>
        </x:is>
      </x:c>
    </x:row>
    <x:row r="18" s="455" customFormat="1" ht="14.25" customHeight="1">
      <x:c r="A18" s="471" t="inlineStr">
        <x:is>
          <x:t xml:space="preserve">Rights: NEED (-0.50)</x:t>
        </x:is>
      </x:c>
    </x:row>
    <x:row r="19" s="455" customFormat="1" ht="14.25" customHeight="1">
      <x:c r="A19" s="471" t="inlineStr">
        <x:is>
          <x:t xml:space="preserve">Worst-off: Facilities dept at -0.30</x:t>
        </x:is>
      </x:c>
    </x:row>
    <x:row r="20" s="455" customFormat="1" ht="14.25" customHeight="1">
      <x:c r="A20" s="485" t="inlineStr">
        <x:is>
          <x:t xml:space="preserve">Threshold: -0.30 &gt; -0.50 ✓</x:t>
        </x:is>
      </x:c>
    </x:row>
    <x:row r="21" s="455" customFormat="1" ht="13.5" customHeight="1"/>
    <x:row r="22" s="455" customFormat="1" ht="14.25" customHeight="1">
      <x:c r="A22" s="512" t="inlineStr">
        <x:is>
          <x:t xml:space="preserve">Cell: U3-D1 (Community-Material) | Agg I_prop: -0.075</x:t>
        </x:is>
      </x:c>
    </x:row>
    <x:row r="23" s="455" customFormat="1" ht="14.25" customHeight="1">
      <x:c r="A23" s="471" t="inlineStr">
        <x:is>
          <x:t xml:space="preserve">Rights: NEED (-0.50)</x:t>
        </x:is>
      </x:c>
    </x:row>
    <x:row r="24" s="455" customFormat="1" ht="14.25" customHeight="1">
      <x:c r="A24" s="471" t="inlineStr">
        <x:is>
          <x:t xml:space="preserve">Worst-off: Local restaurants at -0.20</x:t>
        </x:is>
      </x:c>
    </x:row>
    <x:row r="25" s="455" customFormat="1" ht="14.25" customHeight="1">
      <x:c r="A25" s="485" t="inlineStr">
        <x:is>
          <x:t xml:space="preserve">Threshold: -0.20 &gt; -0.50 ✓</x:t>
        </x:is>
      </x:c>
    </x:row>
    <x:row r="26" s="455" customFormat="1" ht="13.5" customHeight="1"/>
    <x:row r="27" s="455" customFormat="1" ht="13.5" customHeight="1"/>
    <x:row r="28" s="455" customFormat="1" ht="14.25" customHeight="1">
      <x:c r="A28" s="512" t="inlineStr">
        <x:is>
          <x:t xml:space="preserve">OPTION B: NEGATIVE IMPACT CELLS</x:t>
        </x:is>
      </x:c>
    </x:row>
    <x:row r="29" s="455" customFormat="1" ht="13.5" customHeight="1"/>
    <x:row r="30" s="455" customFormat="1" ht="14.25" customHeight="1">
      <x:c r="A30" s="512" t="inlineStr">
        <x:is>
          <x:t xml:space="preserve">Cell: U1-D5 (Self-Agency) | Agg I_prop: -0.073</x:t>
        </x:is>
      </x:c>
    </x:row>
    <x:row r="31" s="455" customFormat="1" ht="14.25" customHeight="1">
      <x:c r="A31" s="471" t="inlineStr">
        <x:is>
          <x:t xml:space="preserve">Rights: LBTY, DIGN, INFO</x:t>
        </x:is>
      </x:c>
    </x:row>
    <x:row r="32" s="455" customFormat="1" ht="14.25" customHeight="1">
      <x:c r="A32" s="471" t="inlineStr">
        <x:is>
          <x:t xml:space="preserve">Worst-off: Parents w/ young children at -0.15</x:t>
        </x:is>
      </x:c>
    </x:row>
    <x:row r="33" s="455" customFormat="1" ht="14.25" customHeight="1">
      <x:c r="A33" s="485" t="inlineStr">
        <x:is>
          <x:t xml:space="preserve">All thresholds pass ✓</x:t>
        </x:is>
      </x:c>
    </x:row>
    <x:row r="34" s="455" customFormat="1" ht="13.5" customHeight="1"/>
    <x:row r="35" s="455" customFormat="1" ht="14.25" customHeight="1">
      <x:c r="A35" s="471" t="inlineStr">
        <x:is>
          <x:t xml:space="preserve">Cell: U2-D1 (Household-Material) | Agg: -0.063</x:t>
        </x:is>
      </x:c>
    </x:row>
    <x:row r="36" s="455" customFormat="1" ht="14.25" customHeight="1">
      <x:c r="A36" s="485" t="inlineStr">
        <x:is>
          <x:t xml:space="preserve">Worst-off: Long commuters at -0.12 | NEED ✓</x:t>
        </x:is>
      </x:c>
    </x:row>
    <x:row r="37" s="455" customFormat="1" ht="13.5" customHeight="1"/>
    <x:row r="38" s="455" customFormat="1" ht="14.25" customHeight="1">
      <x:c r="A38" s="471" t="inlineStr">
        <x:is>
          <x:t xml:space="preserve">Cell: U7-D7 (Biosphere-Environ) | Agg: -0.053</x:t>
        </x:is>
      </x:c>
    </x:row>
    <x:row r="39" s="455" customFormat="1" ht="14.25" customHeight="1">
      <x:c r="A39" s="485" t="inlineStr">
        <x:is>
          <x:t xml:space="preserve">Worst-off: Urban air quality at -0.08 | ECOL ✓</x:t>
        </x:is>
      </x:c>
    </x:row>
    <x:row r="40" s="455" customFormat="1" ht="13.5" customHeight="1"/>
    <x:row r="41" s="455" customFormat="1" ht="13.5" customHeight="1"/>
    <x:row r="42" s="455" customFormat="1" ht="14.25" customHeight="1">
      <x:c r="A42" s="512" t="inlineStr">
        <x:is>
          <x:t xml:space="preserve">SUMMARY</x:t>
        </x:is>
      </x:c>
    </x:row>
    <x:row r="43" s="455" customFormat="1" ht="14.25" customHeight="1">
      <x:c r="A43" s="471" t="inlineStr">
        <x:is>
          <x:t xml:space="preserve">All worst-off impacts well above thresholds</x:t>
        </x:is>
      </x:c>
    </x:row>
    <x:row r="44" s="455" customFormat="1" ht="14.25" customHeight="1">
      <x:c r="A44" s="471" t="inlineStr">
        <x:is>
          <x:t xml:space="preserve">No near-misses identified</x:t>
        </x:is>
      </x:c>
    </x:row>
    <x:row r="45" s="455" customFormat="1" ht="14.25" customHeight="1">
      <x:c r="A45" s="485" t="inlineStr">
        <x:is>
          <x:t xml:space="preserve">NCRC outcome ROBUST with subgroup analysis</x:t>
        </x:is>
      </x:c>
    </x:row>
    <x:row r="46" s="455" customFormat="1" ht="13.5" customHeight="1">
      <x:c r="A46" s="471" t="inlineStr">
        <x:is>
          <x:t xml:space="preserve">analysis_done (computed)</x:t>
        </x:is>
      </x:c>
      <x:c r="B46" s="471" t="n">
        <x:f>IF(COUNTIF($A$1:$A$200,"WORST-OFF")&gt;0,1,0)</x:f>
        <x:v>1</x:v>
      </x:c>
    </x:row>
  </x:sheetData>
  <x:mergeCells>
    <x:mergeCell ref="A1:J1"/>
  </x:mergeCells>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baseColWidth="8" defaultColWidth="8.66796875" defaultRowHeight="12.75"/>
  <x:cols>
    <x:col min="1" max="1" width="22" style="497" customWidth="1"/>
    <x:col min="2" max="2" width="10" style="497" customWidth="1"/>
    <x:col min="3" max="3" width="14" style="497" customWidth="1"/>
    <x:col min="4" max="4" width="10" style="497" customWidth="1"/>
    <x:col min="5" max="5" width="12" style="497" customWidth="1"/>
    <x:col min="6" max="6" width="16" style="497" customWidth="1"/>
    <x:col min="7" max="7" width="34" style="497" customWidth="1"/>
    <x:col min="8" max="8" width="18" style="497" customWidth="1"/>
  </x:cols>
  <x:sheetData>
    <x:row r="1" s="455" customFormat="1" ht="14.25" customHeight="1">
      <x:c r="A1" s="487" t="inlineStr">
        <x:is>
          <x:t xml:space="preserve">SUBGROUP OVERRIDES TABLE</x:t>
        </x:is>
      </x:c>
    </x:row>
    <x:row r="2"/>
    <x:row r="3" s="455" customFormat="1" ht="14.25" customHeight="1">
      <x:c r="A3" s="487" t="inlineStr">
        <x:is>
          <x:t xml:space="preserve">Policy: Conservative Bound (γ_subgroup = 1.5)</x:t>
        </x:is>
      </x:c>
    </x:row>
    <x:row r="4" s="455" customFormat="1" ht="14.25" customHeight="1">
      <x:c r="A4" s="471" t="inlineStr">
        <x:is>
          <x:t xml:space="preserve">I_rights = max(-1, γ × I_prop) when no override</x:t>
        </x:is>
      </x:c>
    </x:row>
    <x:row r="5" s="455" customFormat="1" ht="14.25" customHeight="1">
      <x:c r="A5" s="471" t="inlineStr">
        <x:is>
          <x:t xml:space="preserve">Applies only for NCRC, not RLS</x:t>
        </x:is>
      </x:c>
    </x:row>
    <x:row r="6" s="455" customFormat="1" ht="14.25" customHeight="1">
      <x:c r="A6" s="471" t="n"/>
    </x:row>
    <x:row r="7" s="455" customFormat="1" ht="14.25" customHeight="1">
      <x:c r="A7" s="471" t="inlineStr">
        <x:is>
          <x:t xml:space="preserve">γ_subgroup:</x:t>
        </x:is>
      </x:c>
      <x:c r="B7" s="471" t="n">
        <x:v>1.5</x:v>
      </x:c>
    </x:row>
    <x:row r="8" s="455" customFormat="1" ht="14.25" customHeight="1">
      <x:c r="A8" s="471" t="n"/>
    </x:row>
    <x:row r="9" s="455" customFormat="1" ht="14.25" customHeight="1">
      <x:c r="A9" s="487" t="inlineStr">
        <x:is>
          <x:t xml:space="preserve">OVERRIDE DATA TABLE</x:t>
        </x:is>
      </x:c>
    </x:row>
    <x:row r="10" s="455" customFormat="1" ht="14.25" customHeight="1">
      <x:c r="A10" s="487" t="inlineStr">
        <x:is>
          <x:t xml:space="preserve">Override_ID</x:t>
        </x:is>
      </x:c>
      <x:c r="B10" s="487" t="inlineStr">
        <x:is>
          <x:t xml:space="preserve">Option</x:t>
        </x:is>
      </x:c>
      <x:c r="C10" s="487" t="inlineStr">
        <x:is>
          <x:t xml:space="preserve">Rights_Cell</x:t>
        </x:is>
      </x:c>
      <x:c r="D10" s="487" t="inlineStr">
        <x:is>
          <x:t xml:space="preserve">Union Scope</x:t>
        </x:is>
      </x:c>
      <x:c r="E10" s="487" t="inlineStr">
        <x:is>
          <x:t xml:space="preserve">Dimension</x:t>
        </x:is>
      </x:c>
      <x:c r="F10" s="487" t="inlineStr">
        <x:is>
          <x:t xml:space="preserve">Worst_Off_Impact</x:t>
        </x:is>
      </x:c>
      <x:c r="G10" s="487" t="inlineStr">
        <x:is>
          <x:t xml:space="preserve">Source</x:t>
        </x:is>
      </x:c>
      <x:c r="H10" s="487" t="inlineStr">
        <x:is>
          <x:t xml:space="preserve">Override_Key</x:t>
        </x:is>
      </x:c>
    </x:row>
    <x:row r="11" s="455" customFormat="1" ht="14.25" customHeight="1">
      <x:c r="A11" s="471" t="n"/>
      <x:c r="H11" s="497" t="str">
        <x:f>IF(OR($B11="",$D11="",$E11=""),"",$B11&amp;"|"&amp;$D11&amp;"|"&amp;$E11)</x:f>
      </x:c>
    </x:row>
    <x:row r="12" s="455" customFormat="1" ht="14.25" customHeight="1">
      <x:c r="A12" s="487" t="n"/>
      <x:c r="H12" s="497" t="str">
        <x:f>IF(OR($B12="",$D12="",$E12=""),"",$B12&amp;"|"&amp;$D12&amp;"|"&amp;$E12)</x:f>
      </x:c>
    </x:row>
    <x:row r="13" s="455" customFormat="1" ht="14.25" customHeight="1">
      <x:c r="A13" s="487" t="n"/>
      <x:c r="B13" s="487" t="n"/>
      <x:c r="C13" s="487" t="n"/>
      <x:c r="D13" s="487" t="n"/>
      <x:c r="E13" s="487" t="n"/>
      <x:c r="F13" s="487" t="n"/>
      <x:c r="G13" s="487" t="n"/>
      <x:c r="H13" s="592" t="str">
        <x:f>IF(OR($B13="",$D13="",$E13=""),"",$B13&amp;"|"&amp;$D13&amp;"|"&amp;$E13)</x:f>
      </x:c>
    </x:row>
    <x:row r="14" s="455" customFormat="1" ht="14.25" customHeight="1">
      <x:c r="A14" s="487" t="inlineStr">
        <x:is>
          <x:t xml:space="preserve">COMPUTED STATUS</x:t>
        </x:is>
      </x:c>
      <x:c r="H14" s="497" t="str">
        <x:f>IF(OR($B14="",$D14="",$E14=""),"",$B14&amp;"|"&amp;$D14&amp;"|"&amp;$E14)</x:f>
      </x:c>
    </x:row>
    <x:row r="15" s="455" customFormat="1" ht="14.25" customHeight="1">
      <x:c r="A15" s="471" t="inlineStr">
        <x:is>
          <x:t xml:space="preserve">Data range:</x:t>
        </x:is>
      </x:c>
      <x:c r="B15" s="471" t="inlineStr">
        <x:is>
          <x:t xml:space="preserve">F11:F100</x:t>
        </x:is>
      </x:c>
      <x:c r="H15" s="497" t="str">
        <x:f>IF(OR($B15="",$D15="",$E15=""),"",$B15&amp;"|"&amp;$D15&amp;"|"&amp;$E15)</x:f>
      </x:c>
    </x:row>
    <x:row r="16" s="455" customFormat="1" ht="14.25" customHeight="1">
      <x:c r="A16" s="487" t="inlineStr">
        <x:is>
          <x:t xml:space="preserve">Entry formula:</x:t>
        </x:is>
      </x:c>
      <x:c r="B16" s="471" t="n">
        <x:f>COUNT(F11:F100)</x:f>
        <x:v>6</x:v>
      </x:c>
      <x:c r="H16" s="497" t="str">
        <x:f>IF(OR($B16="",$D16="",$E16=""),"",$B16&amp;"|"&amp;$D16&amp;"|"&amp;$E16)</x:f>
      </x:c>
    </x:row>
    <x:row r="17" s="455" customFormat="1" ht="14.25" customHeight="1">
      <x:c r="A17" s="471" t="inlineStr">
        <x:is>
          <x:t xml:space="preserve">Valid entries:</x:t>
        </x:is>
      </x:c>
      <x:c r="B17" s="488" t="n">
        <x:f>COUNT(F11:F100)</x:f>
        <x:v>6</x:v>
      </x:c>
      <x:c r="H17" s="497" t="str">
        <x:f>IF(OR($B17="",$D17="",$E17=""),"",$B17&amp;"|"&amp;$D17&amp;"|"&amp;$E17)</x:f>
      </x:c>
    </x:row>
    <x:row r="18" s="455" customFormat="1" ht="14.25" customHeight="1">
      <x:c r="A18" s="471" t="inlineStr">
        <x:is>
          <x:t xml:space="preserve">OVERRIDES_TABLE_EMPTY:</x:t>
        </x:is>
      </x:c>
      <x:c r="B18" s="488" t="str">
        <x:f>IF(B17=0,"YES","NO")</x:f>
        <x:v>NO</x:v>
      </x:c>
      <x:c r="H18" s="497" t="str">
        <x:f>IF(OR($B18="",$D18="",$E18=""),"",$B18&amp;"|"&amp;$D18&amp;"|"&amp;$E18)</x:f>
      </x:c>
    </x:row>
    <x:row r="19" s="455" customFormat="1" ht="14.25" customHeight="1">
      <x:c r="A19" s="471" t="inlineStr">
        <x:is>
          <x:t xml:space="preserve">SUBGROUP_LIMITATION (Audit_Flags):</x:t>
        </x:is>
      </x:c>
      <x:c r="B19" s="471" t="str">
        <x:f>Audit_Flags!B14</x:f>
        <x:v>NO</x:v>
      </x:c>
      <x:c r="H19" s="497" t="str">
        <x:f>IF(OR($B19="",$D19="",$E19=""),"",$B19&amp;"|"&amp;$D19&amp;"|"&amp;$E19)</x:f>
      </x:c>
    </x:row>
    <x:row r="20" s="455" customFormat="1" ht="21.75" customHeight="1">
      <x:c r="A20" s="593" t="inlineStr">
        <x:is>
          <x:t xml:space="preserve">MITIGATION (Tier 2)</x:t>
        </x:is>
      </x:c>
      <x:c r="H20" s="497" t="str">
        <x:f>IF(OR($B20="",$D20="",$E20=""),"",$B20&amp;"|"&amp;$D20&amp;"|"&amp;$E20)</x:f>
      </x:c>
    </x:row>
    <x:row r="21" s="455" customFormat="1" ht="21.75" customHeight="1">
      <x:c r="A21" s="593" t="inlineStr">
        <x:is>
          <x:t xml:space="preserve">• Conservative bound applied by default when no explicit override is recorded</x:t>
        </x:is>
      </x:c>
      <x:c r="H21" s="497" t="str">
        <x:f>IF(OR($B21="",$D21="",$E21=""),"",$B21&amp;"|"&amp;$D21&amp;"|"&amp;$E21)</x:f>
      </x:c>
    </x:row>
    <x:row r="22" s="455" customFormat="1" ht="21.75" customHeight="1">
      <x:c r="A22" s="593" t="inlineStr">
        <x:is>
          <x:t xml:space="preserve">• REVIEW flag clears when override entries or subgroup analysis are present</x:t>
        </x:is>
      </x:c>
      <x:c r="H22" s="497" t="str">
        <x:f>IF(OR($B22="",$D22="",$E22=""),"",$B22&amp;"|"&amp;$D22&amp;"|"&amp;$E22)</x:f>
      </x:c>
    </x:row>
    <x:row r="23" s="455" customFormat="1" ht="21.75" customHeight="1">
      <x:c r="A23" s="593" t="inlineStr">
        <x:is>
          <x:t xml:space="preserve">• Documented worst-off values in Subgroup_Analysis are bound through explicit override rows below</x:t>
        </x:is>
      </x:c>
      <x:c r="H23" s="497" t="str">
        <x:f>IF(OR($B23="",$D23="",$E23=""),"",$B23&amp;"|"&amp;$D23&amp;"|"&amp;$E23)</x:f>
      </x:c>
    </x:row>
    <x:row r="24" s="455" customFormat="1" ht="14.25" customHeight="1">
      <x:c r="A24" s="471" t="inlineStr">
        <x:is>
          <x:t xml:space="preserve">OVR-01</x:t>
        </x:is>
      </x:c>
      <x:c r="B24" s="497" t="inlineStr">
        <x:is>
          <x:t xml:space="preserve">A</x:t>
        </x:is>
      </x:c>
      <x:c r="C24" s="497" t="inlineStr">
        <x:is>
          <x:t xml:space="preserve">U3-D3</x:t>
        </x:is>
      </x:c>
      <x:c r="D24" s="497" t="inlineStr">
        <x:is>
          <x:t xml:space="preserve">U3</x:t>
        </x:is>
      </x:c>
      <x:c r="E24" s="497" t="inlineStr">
        <x:is>
          <x:t xml:space="preserve">D3</x:t>
        </x:is>
      </x:c>
      <x:c r="F24" s="497" t="n">
        <x:v>-0.15</x:v>
      </x:c>
      <x:c r="G24" s="530" t="inlineStr">
        <x:is>
          <x:t xml:space="preserve">Subgroup_Analysis: new employees</x:t>
        </x:is>
      </x:c>
      <x:c r="H24" s="497" t="str">
        <x:f>IF(OR($B24="",$D24="",$E24=""),"",$B24&amp;"|"&amp;$D24&amp;"|"&amp;$E24)</x:f>
        <x:v>A|U3|D3</x:v>
      </x:c>
    </x:row>
    <x:row r="25" s="455" customFormat="1" ht="14.25" customHeight="1">
      <x:c r="A25" s="471" t="inlineStr">
        <x:is>
          <x:t xml:space="preserve">OVR-02</x:t>
        </x:is>
      </x:c>
      <x:c r="B25" s="497" t="inlineStr">
        <x:is>
          <x:t xml:space="preserve">A</x:t>
        </x:is>
      </x:c>
      <x:c r="C25" s="497" t="inlineStr">
        <x:is>
          <x:t xml:space="preserve">U4-D1</x:t>
        </x:is>
      </x:c>
      <x:c r="D25" s="497" t="inlineStr">
        <x:is>
          <x:t xml:space="preserve">U4</x:t>
        </x:is>
      </x:c>
      <x:c r="E25" s="497" t="inlineStr">
        <x:is>
          <x:t xml:space="preserve">D1</x:t>
        </x:is>
      </x:c>
      <x:c r="F25" s="497" t="n">
        <x:v>-0.3</x:v>
      </x:c>
      <x:c r="G25" s="530" t="inlineStr">
        <x:is>
          <x:t xml:space="preserve">Subgroup_Analysis: facilities dept</x:t>
        </x:is>
      </x:c>
      <x:c r="H25" s="497" t="str">
        <x:f>IF(OR($B25="",$D25="",$E25=""),"",$B25&amp;"|"&amp;$D25&amp;"|"&amp;$E25)</x:f>
        <x:v>A|U4|D1</x:v>
      </x:c>
    </x:row>
    <x:row r="26" s="455" customFormat="1" ht="14.25" customHeight="1">
      <x:c r="A26" s="471" t="inlineStr">
        <x:is>
          <x:t xml:space="preserve">OVR-03</x:t>
        </x:is>
      </x:c>
      <x:c r="B26" s="497" t="inlineStr">
        <x:is>
          <x:t xml:space="preserve">A</x:t>
        </x:is>
      </x:c>
      <x:c r="C26" s="497" t="inlineStr">
        <x:is>
          <x:t xml:space="preserve">U3-D1</x:t>
        </x:is>
      </x:c>
      <x:c r="D26" s="497" t="inlineStr">
        <x:is>
          <x:t xml:space="preserve">U3</x:t>
        </x:is>
      </x:c>
      <x:c r="E26" s="497" t="inlineStr">
        <x:is>
          <x:t xml:space="preserve">D1</x:t>
        </x:is>
      </x:c>
      <x:c r="F26" s="497" t="n">
        <x:v>-0.2</x:v>
      </x:c>
      <x:c r="G26" s="530" t="inlineStr">
        <x:is>
          <x:t xml:space="preserve">Subgroup_Analysis: local restaurants</x:t>
        </x:is>
      </x:c>
      <x:c r="H26" s="497" t="str">
        <x:f>IF(OR($B26="",$D26="",$E26=""),"",$B26&amp;"|"&amp;$D26&amp;"|"&amp;$E26)</x:f>
        <x:v>A|U3|D1</x:v>
      </x:c>
    </x:row>
    <x:row r="27" s="455" customFormat="1" ht="14.25" customHeight="1">
      <x:c r="A27" s="471" t="inlineStr">
        <x:is>
          <x:t xml:space="preserve">OVR-04</x:t>
        </x:is>
      </x:c>
      <x:c r="B27" s="497" t="inlineStr">
        <x:is>
          <x:t xml:space="preserve">B</x:t>
        </x:is>
      </x:c>
      <x:c r="C27" s="497" t="inlineStr">
        <x:is>
          <x:t xml:space="preserve">U1-D5</x:t>
        </x:is>
      </x:c>
      <x:c r="D27" s="497" t="inlineStr">
        <x:is>
          <x:t xml:space="preserve">U1</x:t>
        </x:is>
      </x:c>
      <x:c r="E27" s="497" t="inlineStr">
        <x:is>
          <x:t xml:space="preserve">D5</x:t>
        </x:is>
      </x:c>
      <x:c r="F27" s="497" t="n">
        <x:v>-0.15</x:v>
      </x:c>
      <x:c r="G27" s="530" t="inlineStr">
        <x:is>
          <x:t xml:space="preserve">Subgroup_Analysis: parents w/ young children</x:t>
        </x:is>
      </x:c>
      <x:c r="H27" s="497" t="str">
        <x:f>IF(OR($B27="",$D27="",$E27=""),"",$B27&amp;"|"&amp;$D27&amp;"|"&amp;$E27)</x:f>
        <x:v>B|U1|D5</x:v>
      </x:c>
    </x:row>
    <x:row r="28" s="455" customFormat="1" ht="14.25" customHeight="1">
      <x:c r="A28" s="471" t="inlineStr">
        <x:is>
          <x:t xml:space="preserve">OVR-05</x:t>
        </x:is>
      </x:c>
      <x:c r="B28" s="497" t="inlineStr">
        <x:is>
          <x:t xml:space="preserve">B</x:t>
        </x:is>
      </x:c>
      <x:c r="C28" s="497" t="inlineStr">
        <x:is>
          <x:t xml:space="preserve">U2-D1</x:t>
        </x:is>
      </x:c>
      <x:c r="D28" s="497" t="inlineStr">
        <x:is>
          <x:t xml:space="preserve">U2</x:t>
        </x:is>
      </x:c>
      <x:c r="E28" s="497" t="inlineStr">
        <x:is>
          <x:t xml:space="preserve">D1</x:t>
        </x:is>
      </x:c>
      <x:c r="F28" s="497" t="n">
        <x:v>-0.12</x:v>
      </x:c>
      <x:c r="G28" s="530" t="inlineStr">
        <x:is>
          <x:t xml:space="preserve">Subgroup_Analysis: long commuters</x:t>
        </x:is>
      </x:c>
      <x:c r="H28" s="497" t="str">
        <x:f>IF(OR($B28="",$D28="",$E28=""),"",$B28&amp;"|"&amp;$D28&amp;"|"&amp;$E28)</x:f>
        <x:v>B|U2|D1</x:v>
      </x:c>
    </x:row>
    <x:row r="29" s="455" customFormat="1" ht="14.25" customHeight="1">
      <x:c r="A29" s="471" t="inlineStr">
        <x:is>
          <x:t xml:space="preserve">OVR-06</x:t>
        </x:is>
      </x:c>
      <x:c r="B29" s="497" t="inlineStr">
        <x:is>
          <x:t xml:space="preserve">B</x:t>
        </x:is>
      </x:c>
      <x:c r="C29" s="497" t="inlineStr">
        <x:is>
          <x:t xml:space="preserve">U7-D7</x:t>
        </x:is>
      </x:c>
      <x:c r="D29" s="497" t="inlineStr">
        <x:is>
          <x:t xml:space="preserve">U7</x:t>
        </x:is>
      </x:c>
      <x:c r="E29" s="497" t="inlineStr">
        <x:is>
          <x:t xml:space="preserve">D7</x:t>
        </x:is>
      </x:c>
      <x:c r="F29" s="497" t="n">
        <x:v>-0.08</x:v>
      </x:c>
      <x:c r="G29" s="530" t="inlineStr">
        <x:is>
          <x:t xml:space="preserve">Subgroup_Analysis: urban air quality</x:t>
        </x:is>
      </x:c>
      <x:c r="H29" s="497" t="str">
        <x:f>IF(OR($B29="",$D29="",$E29=""),"",$B29&amp;"|"&amp;$D29&amp;"|"&amp;$E29)</x:f>
        <x:v>B|U7|D7</x:v>
      </x:c>
    </x:row>
    <x:row r="30" s="455" customFormat="1" ht="14.25" customHeight="1">
      <x:c r="A30" s="471" t="n"/>
      <x:c r="H30" s="497" t="str">
        <x:f>IF(OR($B30="",$D30="",$E30=""),"",$B30&amp;"|"&amp;$D30&amp;"|"&amp;$E30)</x:f>
      </x:c>
    </x:row>
    <x:row r="31" s="455" customFormat="1" ht="14.25" customHeight="1">
      <x:c r="A31" s="471" t="n"/>
      <x:c r="H31" s="497" t="str">
        <x:f>IF(OR($B31="",$D31="",$E31=""),"",$B31&amp;"|"&amp;$D31&amp;"|"&amp;$E31)</x:f>
      </x:c>
    </x:row>
    <x:row r="32" s="455" customFormat="1" ht="14.25" customHeight="1">
      <x:c r="A32" s="471" t="n"/>
      <x:c r="H32" s="497" t="str">
        <x:f>IF(OR($B32="",$D32="",$E32=""),"",$B32&amp;"|"&amp;$D32&amp;"|"&amp;$E32)</x:f>
      </x:c>
    </x:row>
    <x:row r="33" s="455" customFormat="1" ht="14.25" customHeight="1">
      <x:c r="A33" s="471" t="n"/>
      <x:c r="H33" s="497" t="str">
        <x:f>IF(OR($B33="",$D33="",$E33=""),"",$B33&amp;"|"&amp;$D33&amp;"|"&amp;$E33)</x:f>
      </x:c>
    </x:row>
    <x:row r="34" s="455" customFormat="1" ht="14.25" customHeight="1">
      <x:c r="A34" s="471" t="n"/>
      <x:c r="H34" s="497" t="str">
        <x:f>IF(OR($B34="",$D34="",$E34=""),"",$B34&amp;"|"&amp;$D34&amp;"|"&amp;$E34)</x:f>
      </x:c>
    </x:row>
    <x:row r="35" s="455" customFormat="1" ht="14.25" customHeight="1">
      <x:c r="A35" s="471" t="n"/>
      <x:c r="H35" s="497" t="str">
        <x:f>IF(OR($B35="",$D35="",$E35=""),"",$B35&amp;"|"&amp;$D35&amp;"|"&amp;$E35)</x:f>
      </x:c>
    </x:row>
    <x:row r="36" s="455" customFormat="1" ht="14.25" customHeight="1">
      <x:c r="A36" s="471" t="n"/>
      <x:c r="H36" s="497" t="str">
        <x:f>IF(OR($B36="",$D36="",$E36=""),"",$B36&amp;"|"&amp;$D36&amp;"|"&amp;$E36)</x:f>
      </x:c>
    </x:row>
    <x:row r="37" s="455" customFormat="1" ht="14.25" customHeight="1">
      <x:c r="A37" s="471" t="n"/>
      <x:c r="H37" s="497" t="str">
        <x:f>IF(OR($B37="",$D37="",$E37=""),"",$B37&amp;"|"&amp;$D37&amp;"|"&amp;$E37)</x:f>
      </x:c>
    </x:row>
    <x:row r="38" s="455" customFormat="1" ht="14.25" customHeight="1">
      <x:c r="A38" s="471" t="n"/>
      <x:c r="H38" s="497" t="str">
        <x:f>IF(OR($B38="",$D38="",$E38=""),"",$B38&amp;"|"&amp;$D38&amp;"|"&amp;$E38)</x:f>
      </x:c>
    </x:row>
    <x:row r="39" s="455" customFormat="1" ht="14.25" customHeight="1">
      <x:c r="A39" s="471" t="n"/>
      <x:c r="H39" s="497" t="str">
        <x:f>IF(OR($B39="",$D39="",$E39=""),"",$B39&amp;"|"&amp;$D39&amp;"|"&amp;$E39)</x:f>
      </x:c>
    </x:row>
    <x:row r="40" s="455" customFormat="1" ht="14.25" customHeight="1">
      <x:c r="A40" s="471" t="n"/>
      <x:c r="H40" s="497" t="str">
        <x:f>IF(OR($B40="",$D40="",$E40=""),"",$B40&amp;"|"&amp;$D40&amp;"|"&amp;$E40)</x:f>
      </x:c>
    </x:row>
    <x:row r="41" s="455" customFormat="1" ht="14.25" customHeight="1">
      <x:c r="A41" s="471" t="n"/>
      <x:c r="H41" s="497" t="str">
        <x:f>IF(OR($B41="",$D41="",$E41=""),"",$B41&amp;"|"&amp;$D41&amp;"|"&amp;$E41)</x:f>
      </x:c>
    </x:row>
    <x:row r="42" s="455" customFormat="1" ht="14.25" customHeight="1">
      <x:c r="A42" s="471" t="n"/>
      <x:c r="H42" s="497" t="str">
        <x:f>IF(OR($B42="",$D42="",$E42=""),"",$B42&amp;"|"&amp;$D42&amp;"|"&amp;$E42)</x:f>
      </x:c>
    </x:row>
    <x:row r="43" s="455" customFormat="1" ht="14.25" customHeight="1">
      <x:c r="A43" s="471" t="n"/>
      <x:c r="H43" s="497" t="str">
        <x:f>IF(OR($B43="",$D43="",$E43=""),"",$B43&amp;"|"&amp;$D43&amp;"|"&amp;$E43)</x:f>
      </x:c>
    </x:row>
    <x:row r="44" s="455" customFormat="1" ht="14.25" customHeight="1">
      <x:c r="A44" s="471" t="n"/>
      <x:c r="H44" s="497" t="str">
        <x:f>IF(OR($B44="",$D44="",$E44=""),"",$B44&amp;"|"&amp;$D44&amp;"|"&amp;$E44)</x:f>
      </x:c>
    </x:row>
    <x:row r="45" s="455" customFormat="1" ht="14.25" customHeight="1">
      <x:c r="A45" s="471" t="n"/>
      <x:c r="H45" s="497" t="str">
        <x:f>IF(OR($B45="",$D45="",$E45=""),"",$B45&amp;"|"&amp;$D45&amp;"|"&amp;$E45)</x:f>
      </x:c>
    </x:row>
    <x:row r="46" s="455" customFormat="1" ht="14.25" customHeight="1">
      <x:c r="A46" s="471" t="n"/>
      <x:c r="H46" s="497" t="str">
        <x:f>IF(OR($B46="",$D46="",$E46=""),"",$B46&amp;"|"&amp;$D46&amp;"|"&amp;$E46)</x:f>
      </x:c>
    </x:row>
    <x:row r="47" s="455" customFormat="1" ht="14.25" customHeight="1">
      <x:c r="A47" s="471" t="n"/>
      <x:c r="H47" s="497" t="str">
        <x:f>IF(OR($B47="",$D47="",$E47=""),"",$B47&amp;"|"&amp;$D47&amp;"|"&amp;$E47)</x:f>
      </x:c>
    </x:row>
    <x:row r="48" s="455" customFormat="1" ht="14.25" customHeight="1">
      <x:c r="A48" s="471" t="n"/>
      <x:c r="H48" s="497" t="str">
        <x:f>IF(OR($B48="",$D48="",$E48=""),"",$B48&amp;"|"&amp;$D48&amp;"|"&amp;$E48)</x:f>
      </x:c>
    </x:row>
    <x:row r="49" s="455" customFormat="1" ht="14.25" customHeight="1">
      <x:c r="A49" s="471" t="n"/>
      <x:c r="H49" s="497" t="str">
        <x:f>IF(OR($B49="",$D49="",$E49=""),"",$B49&amp;"|"&amp;$D49&amp;"|"&amp;$E49)</x:f>
      </x:c>
    </x:row>
    <x:row r="50" s="455" customFormat="1" ht="14.25" customHeight="1">
      <x:c r="A50" s="471" t="n"/>
      <x:c r="H50" s="497" t="str">
        <x:f>IF(OR($B50="",$D50="",$E50=""),"",$B50&amp;"|"&amp;$D50&amp;"|"&amp;$E50)</x:f>
      </x:c>
    </x:row>
    <x:row r="51" s="455" customFormat="1" ht="14.25" customHeight="1">
      <x:c r="A51" s="471" t="n"/>
      <x:c r="H51" s="497" t="str">
        <x:f>IF(OR($B51="",$D51="",$E51=""),"",$B51&amp;"|"&amp;$D51&amp;"|"&amp;$E51)</x:f>
      </x:c>
    </x:row>
    <x:row r="52" s="455" customFormat="1" ht="14.25" customHeight="1">
      <x:c r="A52" s="471" t="n"/>
      <x:c r="H52" s="497" t="str">
        <x:f>IF(OR($B52="",$D52="",$E52=""),"",$B52&amp;"|"&amp;$D52&amp;"|"&amp;$E52)</x:f>
      </x:c>
    </x:row>
    <x:row r="53" s="455" customFormat="1" ht="14.25" customHeight="1">
      <x:c r="A53" s="471" t="n"/>
      <x:c r="H53" s="497" t="str">
        <x:f>IF(OR($B53="",$D53="",$E53=""),"",$B53&amp;"|"&amp;$D53&amp;"|"&amp;$E53)</x:f>
      </x:c>
    </x:row>
    <x:row r="54" s="455" customFormat="1" ht="14.25" customHeight="1">
      <x:c r="A54" s="471" t="n"/>
      <x:c r="H54" s="497" t="str">
        <x:f>IF(OR($B54="",$D54="",$E54=""),"",$B54&amp;"|"&amp;$D54&amp;"|"&amp;$E54)</x:f>
      </x:c>
    </x:row>
    <x:row r="55" s="455" customFormat="1" ht="14.25" customHeight="1">
      <x:c r="A55" s="471" t="n"/>
      <x:c r="H55" s="497" t="str">
        <x:f>IF(OR($B55="",$D55="",$E55=""),"",$B55&amp;"|"&amp;$D55&amp;"|"&amp;$E55)</x:f>
      </x:c>
    </x:row>
    <x:row r="56" s="455" customFormat="1" ht="14.25" customHeight="1">
      <x:c r="A56" s="471" t="n"/>
      <x:c r="H56" s="497" t="str">
        <x:f>IF(OR($B56="",$D56="",$E56=""),"",$B56&amp;"|"&amp;$D56&amp;"|"&amp;$E56)</x:f>
      </x:c>
    </x:row>
    <x:row r="57" s="455" customFormat="1" ht="14.25" customHeight="1">
      <x:c r="A57" s="471" t="n"/>
      <x:c r="H57" s="497" t="str">
        <x:f>IF(OR($B57="",$D57="",$E57=""),"",$B57&amp;"|"&amp;$D57&amp;"|"&amp;$E57)</x:f>
      </x:c>
    </x:row>
    <x:row r="58" s="455" customFormat="1" ht="14.25" customHeight="1">
      <x:c r="A58" s="471" t="n"/>
      <x:c r="H58" s="497" t="str">
        <x:f>IF(OR($B58="",$D58="",$E58=""),"",$B58&amp;"|"&amp;$D58&amp;"|"&amp;$E58)</x:f>
      </x:c>
    </x:row>
    <x:row r="59" s="455" customFormat="1" ht="14.25" customHeight="1">
      <x:c r="A59" s="471" t="n"/>
      <x:c r="H59" s="497" t="str">
        <x:f>IF(OR($B59="",$D59="",$E59=""),"",$B59&amp;"|"&amp;$D59&amp;"|"&amp;$E59)</x:f>
      </x:c>
    </x:row>
    <x:row r="60" s="455" customFormat="1" ht="14.25" customHeight="1">
      <x:c r="A60" s="471" t="n"/>
      <x:c r="H60" s="497" t="str">
        <x:f>IF(OR($B60="",$D60="",$E60=""),"",$B60&amp;"|"&amp;$D60&amp;"|"&amp;$E60)</x:f>
      </x:c>
    </x:row>
    <x:row r="61" s="455" customFormat="1" ht="14.25" customHeight="1">
      <x:c r="A61" s="471" t="n"/>
      <x:c r="H61" s="497" t="str">
        <x:f>IF(OR($B61="",$D61="",$E61=""),"",$B61&amp;"|"&amp;$D61&amp;"|"&amp;$E61)</x:f>
      </x:c>
    </x:row>
    <x:row r="62" s="455" customFormat="1" ht="14.25" customHeight="1">
      <x:c r="A62" s="471" t="n"/>
      <x:c r="H62" s="497" t="str">
        <x:f>IF(OR($B62="",$D62="",$E62=""),"",$B62&amp;"|"&amp;$D62&amp;"|"&amp;$E62)</x:f>
      </x:c>
    </x:row>
    <x:row r="63" s="455" customFormat="1" ht="14.25" customHeight="1">
      <x:c r="A63" s="471" t="n"/>
      <x:c r="H63" s="497" t="str">
        <x:f>IF(OR($B63="",$D63="",$E63=""),"",$B63&amp;"|"&amp;$D63&amp;"|"&amp;$E63)</x:f>
      </x:c>
    </x:row>
    <x:row r="64" s="455" customFormat="1" ht="14.25" customHeight="1">
      <x:c r="A64" s="471" t="n"/>
      <x:c r="H64" s="497" t="str">
        <x:f>IF(OR($B64="",$D64="",$E64=""),"",$B64&amp;"|"&amp;$D64&amp;"|"&amp;$E64)</x:f>
      </x:c>
    </x:row>
    <x:row r="65" s="455" customFormat="1" ht="14.25" customHeight="1">
      <x:c r="A65" s="471" t="n"/>
      <x:c r="H65" s="497" t="str">
        <x:f>IF(OR($B65="",$D65="",$E65=""),"",$B65&amp;"|"&amp;$D65&amp;"|"&amp;$E65)</x:f>
      </x:c>
    </x:row>
    <x:row r="66" s="455" customFormat="1" ht="14.25" customHeight="1">
      <x:c r="A66" s="471" t="n"/>
      <x:c r="H66" s="497" t="str">
        <x:f>IF(OR($B66="",$D66="",$E66=""),"",$B66&amp;"|"&amp;$D66&amp;"|"&amp;$E66)</x:f>
      </x:c>
    </x:row>
    <x:row r="67" s="455" customFormat="1" ht="14.25" customHeight="1">
      <x:c r="A67" s="471" t="n"/>
      <x:c r="H67" s="497" t="str">
        <x:f>IF(OR($B67="",$D67="",$E67=""),"",$B67&amp;"|"&amp;$D67&amp;"|"&amp;$E67)</x:f>
      </x:c>
    </x:row>
    <x:row r="68" s="455" customFormat="1" ht="14.25" customHeight="1">
      <x:c r="A68" s="471" t="n"/>
      <x:c r="H68" s="497" t="str">
        <x:f>IF(OR($B68="",$D68="",$E68=""),"",$B68&amp;"|"&amp;$D68&amp;"|"&amp;$E68)</x:f>
      </x:c>
    </x:row>
    <x:row r="69" s="455" customFormat="1" ht="14.25" customHeight="1">
      <x:c r="A69" s="471" t="n"/>
      <x:c r="H69" s="497" t="str">
        <x:f>IF(OR($B69="",$D69="",$E69=""),"",$B69&amp;"|"&amp;$D69&amp;"|"&amp;$E69)</x:f>
      </x:c>
    </x:row>
    <x:row r="70" s="455" customFormat="1" ht="14.25" customHeight="1">
      <x:c r="A70" s="471" t="n"/>
      <x:c r="H70" s="497" t="str">
        <x:f>IF(OR($B70="",$D70="",$E70=""),"",$B70&amp;"|"&amp;$D70&amp;"|"&amp;$E70)</x:f>
      </x:c>
    </x:row>
    <x:row r="71" s="455" customFormat="1" ht="14.25" customHeight="1">
      <x:c r="A71" s="471" t="n"/>
      <x:c r="H71" s="497" t="str">
        <x:f>IF(OR($B71="",$D71="",$E71=""),"",$B71&amp;"|"&amp;$D71&amp;"|"&amp;$E71)</x:f>
      </x:c>
    </x:row>
    <x:row r="72" s="455" customFormat="1" ht="14.25" customHeight="1">
      <x:c r="A72" s="471" t="n"/>
      <x:c r="H72" s="497" t="str">
        <x:f>IF(OR($B72="",$D72="",$E72=""),"",$B72&amp;"|"&amp;$D72&amp;"|"&amp;$E72)</x:f>
      </x:c>
    </x:row>
    <x:row r="73" s="455" customFormat="1" ht="14.25" customHeight="1">
      <x:c r="A73" s="471" t="n"/>
      <x:c r="H73" s="497" t="str">
        <x:f>IF(OR($B73="",$D73="",$E73=""),"",$B73&amp;"|"&amp;$D73&amp;"|"&amp;$E73)</x:f>
      </x:c>
    </x:row>
    <x:row r="74" s="455" customFormat="1" ht="14.25" customHeight="1">
      <x:c r="A74" s="471" t="n"/>
      <x:c r="H74" s="497" t="str">
        <x:f>IF(OR($B74="",$D74="",$E74=""),"",$B74&amp;"|"&amp;$D74&amp;"|"&amp;$E74)</x:f>
      </x:c>
    </x:row>
    <x:row r="75" s="455" customFormat="1" ht="14.25" customHeight="1">
      <x:c r="A75" s="471" t="n"/>
      <x:c r="H75" s="497" t="str">
        <x:f>IF(OR($B75="",$D75="",$E75=""),"",$B75&amp;"|"&amp;$D75&amp;"|"&amp;$E75)</x:f>
      </x:c>
    </x:row>
    <x:row r="76" s="455" customFormat="1" ht="14.25" customHeight="1">
      <x:c r="A76" s="471" t="n"/>
      <x:c r="H76" s="497" t="str">
        <x:f>IF(OR($B76="",$D76="",$E76=""),"",$B76&amp;"|"&amp;$D76&amp;"|"&amp;$E76)</x:f>
      </x:c>
    </x:row>
    <x:row r="77" s="455" customFormat="1" ht="14.25" customHeight="1">
      <x:c r="A77" s="471" t="n"/>
      <x:c r="H77" s="497" t="str">
        <x:f>IF(OR($B77="",$D77="",$E77=""),"",$B77&amp;"|"&amp;$D77&amp;"|"&amp;$E77)</x:f>
      </x:c>
    </x:row>
    <x:row r="78" s="455" customFormat="1" ht="14.25" customHeight="1">
      <x:c r="A78" s="471" t="n"/>
      <x:c r="H78" s="497" t="str">
        <x:f>IF(OR($B78="",$D78="",$E78=""),"",$B78&amp;"|"&amp;$D78&amp;"|"&amp;$E78)</x:f>
      </x:c>
    </x:row>
    <x:row r="79" s="455" customFormat="1" ht="14.25" customHeight="1">
      <x:c r="A79" s="471" t="n"/>
      <x:c r="H79" s="497" t="str">
        <x:f>IF(OR($B79="",$D79="",$E79=""),"",$B79&amp;"|"&amp;$D79&amp;"|"&amp;$E79)</x:f>
      </x:c>
    </x:row>
    <x:row r="80" s="455" customFormat="1" ht="14.25" customHeight="1">
      <x:c r="A80" s="471" t="n"/>
      <x:c r="H80" s="497" t="str">
        <x:f>IF(OR($B80="",$D80="",$E80=""),"",$B80&amp;"|"&amp;$D80&amp;"|"&amp;$E80)</x:f>
      </x:c>
    </x:row>
    <x:row r="81" s="455" customFormat="1" ht="14.25" customHeight="1">
      <x:c r="A81" s="471" t="n"/>
      <x:c r="H81" s="497" t="str">
        <x:f>IF(OR($B81="",$D81="",$E81=""),"",$B81&amp;"|"&amp;$D81&amp;"|"&amp;$E81)</x:f>
      </x:c>
    </x:row>
    <x:row r="82" s="455" customFormat="1" ht="14.25" customHeight="1">
      <x:c r="A82" s="471" t="n"/>
      <x:c r="H82" s="497" t="str">
        <x:f>IF(OR($B82="",$D82="",$E82=""),"",$B82&amp;"|"&amp;$D82&amp;"|"&amp;$E82)</x:f>
      </x:c>
    </x:row>
    <x:row r="83" s="455" customFormat="1" ht="14.25" customHeight="1">
      <x:c r="A83" s="471" t="n"/>
      <x:c r="H83" s="497" t="str">
        <x:f>IF(OR($B83="",$D83="",$E83=""),"",$B83&amp;"|"&amp;$D83&amp;"|"&amp;$E83)</x:f>
      </x:c>
    </x:row>
    <x:row r="84" s="455" customFormat="1" ht="14.25" customHeight="1">
      <x:c r="A84" s="471" t="n"/>
      <x:c r="H84" s="497" t="str">
        <x:f>IF(OR($B84="",$D84="",$E84=""),"",$B84&amp;"|"&amp;$D84&amp;"|"&amp;$E84)</x:f>
      </x:c>
    </x:row>
    <x:row r="85" s="455" customFormat="1" ht="14.25" customHeight="1">
      <x:c r="A85" s="471" t="n"/>
      <x:c r="H85" s="497" t="str">
        <x:f>IF(OR($B85="",$D85="",$E85=""),"",$B85&amp;"|"&amp;$D85&amp;"|"&amp;$E85)</x:f>
      </x:c>
    </x:row>
    <x:row r="86" s="455" customFormat="1" ht="14.25" customHeight="1">
      <x:c r="A86" s="471" t="n"/>
      <x:c r="H86" s="497" t="str">
        <x:f>IF(OR($B86="",$D86="",$E86=""),"",$B86&amp;"|"&amp;$D86&amp;"|"&amp;$E86)</x:f>
      </x:c>
    </x:row>
    <x:row r="87" s="455" customFormat="1" ht="14.25" customHeight="1">
      <x:c r="A87" s="471" t="n"/>
      <x:c r="H87" s="497" t="str">
        <x:f>IF(OR($B87="",$D87="",$E87=""),"",$B87&amp;"|"&amp;$D87&amp;"|"&amp;$E87)</x:f>
      </x:c>
    </x:row>
    <x:row r="88" s="455" customFormat="1" ht="14.25" customHeight="1">
      <x:c r="A88" s="471" t="n"/>
      <x:c r="H88" s="497" t="str">
        <x:f>IF(OR($B88="",$D88="",$E88=""),"",$B88&amp;"|"&amp;$D88&amp;"|"&amp;$E88)</x:f>
      </x:c>
    </x:row>
    <x:row r="89" s="455" customFormat="1" ht="14.25" customHeight="1">
      <x:c r="A89" s="471" t="n"/>
      <x:c r="H89" s="497" t="str">
        <x:f>IF(OR($B89="",$D89="",$E89=""),"",$B89&amp;"|"&amp;$D89&amp;"|"&amp;$E89)</x:f>
      </x:c>
    </x:row>
    <x:row r="90" s="455" customFormat="1" ht="14.25" customHeight="1">
      <x:c r="A90" s="471" t="n"/>
      <x:c r="H90" s="497" t="str">
        <x:f>IF(OR($B90="",$D90="",$E90=""),"",$B90&amp;"|"&amp;$D90&amp;"|"&amp;$E90)</x:f>
      </x:c>
    </x:row>
    <x:row r="91" s="455" customFormat="1" ht="14.25" customHeight="1">
      <x:c r="A91" s="471" t="n"/>
      <x:c r="H91" s="497" t="str">
        <x:f>IF(OR($B91="",$D91="",$E91=""),"",$B91&amp;"|"&amp;$D91&amp;"|"&amp;$E91)</x:f>
      </x:c>
    </x:row>
    <x:row r="92" s="455" customFormat="1" ht="14.25" customHeight="1">
      <x:c r="A92" s="471" t="n"/>
      <x:c r="H92" s="497" t="str">
        <x:f>IF(OR($B92="",$D92="",$E92=""),"",$B92&amp;"|"&amp;$D92&amp;"|"&amp;$E92)</x:f>
      </x:c>
    </x:row>
    <x:row r="93" s="455" customFormat="1" ht="14.25" customHeight="1">
      <x:c r="A93" s="471" t="n"/>
      <x:c r="H93" s="497" t="str">
        <x:f>IF(OR($B93="",$D93="",$E93=""),"",$B93&amp;"|"&amp;$D93&amp;"|"&amp;$E93)</x:f>
      </x:c>
    </x:row>
    <x:row r="94" s="455" customFormat="1" ht="14.25" customHeight="1">
      <x:c r="A94" s="471" t="n"/>
      <x:c r="H94" s="497" t="str">
        <x:f>IF(OR($B94="",$D94="",$E94=""),"",$B94&amp;"|"&amp;$D94&amp;"|"&amp;$E94)</x:f>
      </x:c>
    </x:row>
    <x:row r="95" s="455" customFormat="1" ht="14.25" customHeight="1">
      <x:c r="A95" s="471" t="n"/>
      <x:c r="H95" s="497" t="str">
        <x:f>IF(OR($B95="",$D95="",$E95=""),"",$B95&amp;"|"&amp;$D95&amp;"|"&amp;$E95)</x:f>
      </x:c>
    </x:row>
    <x:row r="96" s="455" customFormat="1" ht="14.25" customHeight="1">
      <x:c r="A96" s="471" t="n"/>
      <x:c r="H96" s="497" t="str">
        <x:f>IF(OR($B96="",$D96="",$E96=""),"",$B96&amp;"|"&amp;$D96&amp;"|"&amp;$E96)</x:f>
      </x:c>
    </x:row>
    <x:row r="97" s="455" customFormat="1" ht="14.25" customHeight="1">
      <x:c r="A97" s="471" t="n"/>
      <x:c r="H97" s="497" t="str">
        <x:f>IF(OR($B97="",$D97="",$E97=""),"",$B97&amp;"|"&amp;$D97&amp;"|"&amp;$E97)</x:f>
      </x:c>
    </x:row>
    <x:row r="98" s="455" customFormat="1" ht="14.25" customHeight="1">
      <x:c r="A98" s="471" t="n"/>
      <x:c r="H98" s="497" t="str">
        <x:f>IF(OR($B98="",$D98="",$E98=""),"",$B98&amp;"|"&amp;$D98&amp;"|"&amp;$E98)</x:f>
      </x:c>
    </x:row>
    <x:row r="99" s="455" customFormat="1" ht="14.25" customHeight="1">
      <x:c r="A99" s="471" t="n"/>
      <x:c r="H99" s="497" t="str">
        <x:f>IF(OR($B99="",$D99="",$E99=""),"",$B99&amp;"|"&amp;$D99&amp;"|"&amp;$E99)</x:f>
      </x:c>
    </x:row>
    <x:row r="100" s="455" customFormat="1" ht="14.25" customHeight="1">
      <x:c r="A100" s="471" t="n"/>
      <x:c r="H100" s="497" t="str">
        <x:f>IF(OR($B100="",$D100="",$E100=""),"",$B100&amp;"|"&amp;$D100&amp;"|"&amp;$E100)</x:f>
      </x:c>
    </x:row>
    <x:row r="101" s="455" customFormat="1" ht="14.25" customHeight="1">
      <x:c r="A101" s="471" t="n"/>
    </x:row>
    <x:row r="102" s="455" customFormat="1" ht="14.25" customHeight="1">
      <x:c r="A102" s="471" t="n"/>
    </x:row>
    <x:row r="103" s="455" customFormat="1" ht="14.25" customHeight="1">
      <x:c r="A103" s="471" t="n"/>
    </x:row>
    <x:row r="104" s="455" customFormat="1" ht="14.25" customHeight="1">
      <x:c r="A104" s="471" t="n"/>
    </x:row>
    <x:row r="105" s="455" customFormat="1" ht="14.25" customHeight="1">
      <x:c r="A105" s="471" t="n"/>
    </x:row>
    <x:row r="106" s="455" customFormat="1" ht="14.25" customHeight="1">
      <x:c r="A106" s="471" t="n"/>
    </x:row>
    <x:row r="107" s="455" customFormat="1" ht="14.25" customHeight="1">
      <x:c r="A107" s="471" t="n"/>
    </x:row>
    <x:row r="108" s="455" customFormat="1" ht="14.25" customHeight="1">
      <x:c r="A108" s="471" t="n"/>
    </x:row>
    <x:row r="109" s="455" customFormat="1" ht="14.25" customHeight="1">
      <x:c r="A109" s="471" t="n"/>
    </x:row>
    <x:row r="110" s="455" customFormat="1" ht="14.25" customHeight="1">
      <x:c r="A110" s="471" t="n"/>
    </x:row>
    <x:row r="111" s="455" customFormat="1" ht="14.25" customHeight="1">
      <x:c r="A111" s="471" t="n"/>
    </x:row>
    <x:row r="112" s="455" customFormat="1" ht="14.25" customHeight="1">
      <x:c r="A112" s="471" t="n"/>
    </x:row>
    <x:row r="113" s="455" customFormat="1" ht="14.25" customHeight="1">
      <x:c r="A113" s="471" t="n"/>
    </x:row>
    <x:row r="114" s="455" customFormat="1" ht="14.25" customHeight="1">
      <x:c r="A114" s="471" t="n"/>
    </x:row>
    <x:row r="115" s="455" customFormat="1" ht="14.25" customHeight="1">
      <x:c r="A115" s="471" t="n"/>
    </x:row>
    <x:row r="116" s="455" customFormat="1" ht="14.25" customHeight="1">
      <x:c r="A116" s="471" t="n"/>
    </x:row>
    <x:row r="117" s="455" customFormat="1" ht="14.25" customHeight="1">
      <x:c r="A117" s="471" t="n"/>
    </x:row>
    <x:row r="118" s="455" customFormat="1" ht="14.25" customHeight="1">
      <x:c r="A118" s="471" t="n"/>
    </x:row>
    <x:row r="119" s="455" customFormat="1" ht="14.25" customHeight="1">
      <x:c r="A119" s="471" t="n"/>
    </x:row>
    <x:row r="120" s="455" customFormat="1" ht="14.25" customHeight="1">
      <x:c r="A120" s="471" t="n"/>
    </x:row>
    <x:row r="121" s="455" customFormat="1" ht="14.25" customHeight="1">
      <x:c r="A121" s="471" t="n"/>
    </x:row>
    <x:row r="122" s="455" customFormat="1" ht="14.25" customHeight="1">
      <x:c r="A122" s="471" t="n"/>
    </x:row>
    <x:row r="123" s="455" customFormat="1" ht="14.25" customHeight="1">
      <x:c r="A123" s="471" t="n"/>
    </x:row>
    <x:row r="124" s="455" customFormat="1" ht="14.25" customHeight="1">
      <x:c r="A124" s="471" t="n"/>
    </x:row>
    <x:row r="125" s="455" customFormat="1" ht="14.25" customHeight="1">
      <x:c r="A125" s="471" t="n"/>
    </x:row>
    <x:row r="126" s="455" customFormat="1" ht="14.25" customHeight="1">
      <x:c r="A126" s="471" t="n"/>
    </x:row>
    <x:row r="127" s="455" customFormat="1" ht="14.25" customHeight="1">
      <x:c r="A127" s="471" t="n"/>
    </x:row>
    <x:row r="128" s="455" customFormat="1" ht="14.25" customHeight="1">
      <x:c r="A128" s="471" t="n"/>
    </x:row>
    <x:row r="129" s="455" customFormat="1" ht="14.25" customHeight="1">
      <x:c r="A129" s="471" t="n"/>
    </x:row>
    <x:row r="130" s="455" customFormat="1" ht="14.25" customHeight="1">
      <x:c r="A130" s="471" t="n"/>
    </x:row>
    <x:row r="131" s="455" customFormat="1" ht="14.25" customHeight="1">
      <x:c r="A131" s="471" t="n"/>
    </x:row>
    <x:row r="132" s="455" customFormat="1" ht="14.25" customHeight="1">
      <x:c r="A132" s="471" t="n"/>
    </x:row>
    <x:row r="133" s="455" customFormat="1" ht="14.25" customHeight="1">
      <x:c r="A133" s="471" t="n"/>
    </x:row>
    <x:row r="134" s="455" customFormat="1" ht="14.25" customHeight="1">
      <x:c r="A134" s="471" t="n"/>
    </x:row>
    <x:row r="135" s="455" customFormat="1" ht="14.25" customHeight="1">
      <x:c r="A135" s="471" t="n"/>
    </x:row>
    <x:row r="136" s="455" customFormat="1" ht="14.25" customHeight="1">
      <x:c r="A136" s="471" t="n"/>
    </x:row>
    <x:row r="137" s="455" customFormat="1" ht="14.25" customHeight="1">
      <x:c r="A137" s="471" t="n"/>
    </x:row>
    <x:row r="138" s="455" customFormat="1" ht="14.25" customHeight="1">
      <x:c r="A138" s="471" t="n"/>
    </x:row>
    <x:row r="139" s="455" customFormat="1" ht="14.25" customHeight="1">
      <x:c r="A139" s="471" t="n"/>
    </x:row>
    <x:row r="140" s="455" customFormat="1" ht="14.25" customHeight="1">
      <x:c r="A140" s="471" t="n"/>
    </x:row>
    <x:row r="141" s="455" customFormat="1" ht="14.25" customHeight="1">
      <x:c r="A141" s="471" t="n"/>
    </x:row>
    <x:row r="142" s="455" customFormat="1" ht="14.25" customHeight="1">
      <x:c r="A142" s="471" t="n"/>
    </x:row>
    <x:row r="143" s="455" customFormat="1" ht="14.25" customHeight="1">
      <x:c r="A143" s="471" t="n"/>
    </x:row>
    <x:row r="144" s="455" customFormat="1" ht="14.25" customHeight="1">
      <x:c r="A144" s="471" t="n"/>
    </x:row>
    <x:row r="145" s="455" customFormat="1" ht="14.25" customHeight="1">
      <x:c r="A145" s="471" t="n"/>
    </x:row>
    <x:row r="146" s="455" customFormat="1" ht="14.25" customHeight="1">
      <x:c r="A146" s="471" t="n"/>
    </x:row>
    <x:row r="147" s="455" customFormat="1" ht="14.25" customHeight="1">
      <x:c r="A147" s="471" t="n"/>
    </x:row>
    <x:row r="148" s="455" customFormat="1" ht="14.25" customHeight="1">
      <x:c r="A148" s="471" t="n"/>
    </x:row>
    <x:row r="149" s="455" customFormat="1" ht="14.25" customHeight="1">
      <x:c r="A149" s="471" t="n"/>
    </x:row>
    <x:row r="150" s="455" customFormat="1" ht="14.25" customHeight="1">
      <x:c r="A150" s="471" t="n"/>
    </x:row>
    <x:row r="151" s="455" customFormat="1" ht="14.25" customHeight="1">
      <x:c r="A151" s="471" t="n"/>
    </x:row>
    <x:row r="152" s="455" customFormat="1" ht="14.25" customHeight="1">
      <x:c r="A152" s="471" t="n"/>
    </x:row>
    <x:row r="153" s="455" customFormat="1" ht="14.25" customHeight="1">
      <x:c r="A153" s="471" t="n"/>
    </x:row>
    <x:row r="154" s="455" customFormat="1" ht="14.25" customHeight="1">
      <x:c r="A154" s="471" t="n"/>
    </x:row>
    <x:row r="155" s="455" customFormat="1" ht="14.25" customHeight="1">
      <x:c r="A155" s="471" t="n"/>
    </x:row>
    <x:row r="156" s="455" customFormat="1" ht="14.25" customHeight="1">
      <x:c r="A156" s="471" t="n"/>
    </x:row>
    <x:row r="157" s="455" customFormat="1" ht="14.25" customHeight="1">
      <x:c r="A157" s="471" t="n"/>
    </x:row>
    <x:row r="158" s="455" customFormat="1" ht="14.25" customHeight="1">
      <x:c r="A158" s="471" t="n"/>
    </x:row>
    <x:row r="159" s="455" customFormat="1" ht="14.25" customHeight="1">
      <x:c r="A159" s="471" t="n"/>
    </x:row>
    <x:row r="160" s="455" customFormat="1" ht="14.25" customHeight="1">
      <x:c r="A160" s="471" t="n"/>
    </x:row>
    <x:row r="161" s="455" customFormat="1" ht="14.25" customHeight="1">
      <x:c r="A161" s="471" t="n"/>
    </x:row>
    <x:row r="162" s="455" customFormat="1" ht="14.25" customHeight="1">
      <x:c r="A162" s="471" t="n"/>
    </x:row>
    <x:row r="163" s="455" customFormat="1" ht="14.25" customHeight="1">
      <x:c r="A163" s="471" t="n"/>
    </x:row>
    <x:row r="164" s="455" customFormat="1" ht="14.25" customHeight="1">
      <x:c r="A164" s="471" t="n"/>
    </x:row>
    <x:row r="165" s="455" customFormat="1" ht="14.25" customHeight="1">
      <x:c r="A165" s="471" t="n"/>
    </x:row>
    <x:row r="166" s="455" customFormat="1" ht="14.25" customHeight="1">
      <x:c r="A166" s="471" t="n"/>
    </x:row>
    <x:row r="167" s="455" customFormat="1" ht="14.25" customHeight="1">
      <x:c r="A167" s="471" t="n"/>
    </x:row>
    <x:row r="168" s="455" customFormat="1" ht="14.25" customHeight="1">
      <x:c r="A168" s="471" t="n"/>
    </x:row>
    <x:row r="169" s="455" customFormat="1" ht="14.25" customHeight="1">
      <x:c r="A169" s="471" t="n"/>
    </x:row>
    <x:row r="170" s="455" customFormat="1" ht="14.25" customHeight="1">
      <x:c r="A170" s="471" t="n"/>
    </x:row>
    <x:row r="171" s="455" customFormat="1" ht="14.25" customHeight="1">
      <x:c r="A171" s="471" t="n"/>
    </x:row>
    <x:row r="172" s="455" customFormat="1" ht="14.25" customHeight="1">
      <x:c r="A172" s="471" t="n"/>
    </x:row>
    <x:row r="173" s="455" customFormat="1" ht="14.25" customHeight="1">
      <x:c r="A173" s="471" t="n"/>
    </x:row>
    <x:row r="174" s="455" customFormat="1" ht="14.25" customHeight="1">
      <x:c r="A174" s="471" t="n"/>
    </x:row>
    <x:row r="175" s="455" customFormat="1" ht="14.25" customHeight="1">
      <x:c r="A175" s="471" t="n"/>
    </x:row>
    <x:row r="176" s="455" customFormat="1" ht="14.25" customHeight="1">
      <x:c r="A176" s="471" t="n"/>
    </x:row>
    <x:row r="177" s="455" customFormat="1" ht="14.25" customHeight="1">
      <x:c r="A177" s="471" t="n"/>
    </x:row>
    <x:row r="178" s="455" customFormat="1" ht="14.25" customHeight="1">
      <x:c r="A178" s="471" t="n"/>
    </x:row>
    <x:row r="179" s="455" customFormat="1" ht="14.25" customHeight="1">
      <x:c r="A179" s="471" t="n"/>
    </x:row>
    <x:row r="180" s="455" customFormat="1" ht="14.25" customHeight="1">
      <x:c r="A180" s="471" t="n"/>
    </x:row>
    <x:row r="181" s="455" customFormat="1" ht="14.25" customHeight="1">
      <x:c r="A181" s="471" t="n"/>
    </x:row>
    <x:row r="182" s="455" customFormat="1" ht="14.25" customHeight="1">
      <x:c r="A182" s="471" t="n"/>
    </x:row>
    <x:row r="183" s="455" customFormat="1" ht="14.25" customHeight="1">
      <x:c r="A183" s="471" t="n"/>
    </x:row>
    <x:row r="184" s="455" customFormat="1" ht="14.25" customHeight="1">
      <x:c r="A184" s="471" t="n"/>
    </x:row>
    <x:row r="185" s="455" customFormat="1" ht="14.25" customHeight="1">
      <x:c r="A185" s="471" t="n"/>
    </x:row>
    <x:row r="186" s="455" customFormat="1" ht="14.25" customHeight="1">
      <x:c r="A186" s="471" t="n"/>
    </x:row>
    <x:row r="187" s="455" customFormat="1" ht="14.25" customHeight="1">
      <x:c r="A187" s="471" t="n"/>
    </x:row>
    <x:row r="188" s="455" customFormat="1" ht="14.25" customHeight="1">
      <x:c r="A188" s="471" t="n"/>
    </x:row>
    <x:row r="189" s="455" customFormat="1" ht="14.25" customHeight="1">
      <x:c r="A189" s="471" t="n"/>
    </x:row>
    <x:row r="190" s="455" customFormat="1" ht="14.25" customHeight="1">
      <x:c r="A190" s="471" t="n"/>
    </x:row>
    <x:row r="191" s="455" customFormat="1" ht="14.25" customHeight="1">
      <x:c r="A191" s="471" t="n"/>
    </x:row>
    <x:row r="192" s="455" customFormat="1" ht="14.25" customHeight="1">
      <x:c r="A192" s="471" t="n"/>
    </x:row>
    <x:row r="193" s="455" customFormat="1" ht="14.25" customHeight="1">
      <x:c r="A193" s="471" t="n"/>
    </x:row>
    <x:row r="194" s="455" customFormat="1" ht="14.25" customHeight="1">
      <x:c r="A194" s="471" t="n"/>
    </x:row>
    <x:row r="195" s="455" customFormat="1" ht="14.25" customHeight="1">
      <x:c r="A195" s="471" t="n"/>
    </x:row>
    <x:row r="196" s="455" customFormat="1" ht="14.25" customHeight="1">
      <x:c r="A196" s="471" t="n"/>
    </x:row>
    <x:row r="197" s="455" customFormat="1" ht="14.25" customHeight="1">
      <x:c r="A197" s="471" t="n"/>
    </x:row>
    <x:row r="198" s="455" customFormat="1" ht="14.25" customHeight="1">
      <x:c r="A198" s="471" t="n"/>
    </x:row>
    <x:row r="199" s="455" customFormat="1" ht="14.25" customHeight="1">
      <x:c r="A199" s="471" t="n"/>
    </x:row>
    <x:row r="200" s="455" customFormat="1" ht="14.25" customHeight="1">
      <x:c r="A200" s="471" t="n"/>
    </x:row>
  </x:sheetData>
  <x:dataValidations count="3">
    <x:dataValidation type="list" errorStyle="stop" operator="equal" allowBlank="1" showDropDown="0" showInputMessage="0" showErrorMessage="0" sqref="A5:A200">
      <x:formula1>"A,B,C,D,E"</x:formula1>
      <x:formula2>0</x:formula2>
    </x:dataValidation>
    <x:dataValidation type="list" errorStyle="stop" operator="equal" allowBlank="1" showDropDown="0" showInputMessage="0" showErrorMessage="0" sqref="B5:B200">
      <x:formula1>"U1,U2,U3,U4,U5,U6,U7"</x:formula1>
      <x:formula2>0</x:formula2>
    </x:dataValidation>
    <x:dataValidation type="list" errorStyle="stop" operator="equal" allowBlank="1" showDropDown="0" showInputMessage="0" showErrorMessage="0" sqref="C5:C200">
      <x:formula1>"D1,D2,D3,D4,D5,D6,D7"</x:formula1>
      <x:formula2>0</x:formula2>
    </x:dataValidation>
  </x:dataValidations>
  <x:pageMargins left="0.7" right="0.7" top="0.75" bottom="0.75" header="0.3" footer="0.3"/>
</x:worksheet>
</file>

<file path=xl/worksheets/sheet25.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11" t="inlineStr">
        <x:is>
          <x:t xml:space="preserve">SGP INPUT INTERFACE</x:t>
        </x:is>
      </x:c>
      <x:c r="B1" s="457" t="n"/>
      <x:c r="C1" s="457" t="n"/>
      <x:c r="D1" s="457" t="n"/>
      <x:c r="E1" s="457" t="n"/>
      <x:c r="F1" s="457" t="n"/>
      <x:c r="G1" s="457" t="n"/>
      <x:c r="H1" s="457" t="n"/>
    </x:row>
    <x:row r="2" s="455" customFormat="1" ht="13.5" customHeight="1"/>
    <x:row r="3" s="455" customFormat="1" ht="14.25" customHeight="1">
      <x:c r="A3" s="471" t="inlineStr">
        <x:is>
          <x:t xml:space="preserve">Reference: RippleLogic v10.8 Appendix G - Sentience Gradient Protocol Interface</x:t>
        </x:is>
      </x:c>
    </x:row>
    <x:row r="4" s="455" customFormat="1" ht="14.25" customHeight="1">
      <x:c r="A4" s="471" t="inlineStr">
        <x:is>
          <x:t xml:space="preserve">SGP Version: v5.5</x:t>
        </x:is>
      </x:c>
    </x:row>
    <x:row r="5" s="455" customFormat="1" ht="13.5" customHeight="1"/>
    <x:row r="6" s="455" customFormat="1" ht="14.25" customHeight="1">
      <x:c r="A6" s="512" t="inlineStr">
        <x:is>
          <x:t xml:space="preserve">HUMAN PLATEAU RULE (Non-Overridable)</x:t>
        </x:is>
      </x:c>
    </x:row>
    <x:row r="7" s="455" customFormat="1" ht="14.25" customHeight="1">
      <x:c r="A7" s="471" t="inlineStr">
        <x:is>
          <x:t xml:space="preserve">For any human person H: SG_norm(H) := 1.0</x:t>
        </x:is>
      </x:c>
    </x:row>
    <x:row r="8" s="455" customFormat="1" ht="14.25" customHeight="1">
      <x:c r="A8" s="471" t="inlineStr">
        <x:is>
          <x:t xml:space="preserve">This is independent of measurement, disability, observability</x:t>
        </x:is>
      </x:c>
    </x:row>
    <x:row r="9" s="455" customFormat="1" ht="14.25" customHeight="1">
      <x:c r="A9" s="471" t="inlineStr">
        <x:is>
          <x:t xml:space="preserve">MUST NOT be weakened by any weighting scheme</x:t>
        </x:is>
      </x:c>
    </x:row>
    <x:row r="10" s="455" customFormat="1" ht="13.5" customHeight="1"/>
    <x:row r="11" s="455" customFormat="1" ht="14.25" customHeight="1">
      <x:c r="A11" s="512" t="inlineStr">
        <x:is>
          <x:t xml:space="preserve">STAKEHOLDER SG_norm / SG_patient_norm VALUES</x:t>
        </x:is>
      </x:c>
    </x:row>
    <x:row r="12" s="455" customFormat="1" ht="14.25" customHeight="1">
      <x:c r="A12" s="512" t="inlineStr">
        <x:is>
          <x:t xml:space="preserve">ID</x:t>
        </x:is>
      </x:c>
      <x:c r="B12" s="512" t="inlineStr">
        <x:is>
          <x:t xml:space="preserve">Stakeholder</x:t>
        </x:is>
      </x:c>
      <x:c r="C12" s="512" t="inlineStr">
        <x:is>
          <x:t xml:space="preserve">Substrate</x:t>
        </x:is>
      </x:c>
      <x:c r="D12" s="512" t="inlineStr">
        <x:is>
          <x:t xml:space="preserve">SG_norm / SG_patient_norm</x:t>
        </x:is>
      </x:c>
      <x:c r="E12" s="512" t="inlineStr">
        <x:is>
          <x:t xml:space="preserve">Basis</x:t>
        </x:is>
      </x:c>
    </x:row>
    <x:row r="13" s="455" customFormat="1" ht="14.25" customHeight="1">
      <x:c r="A13" s="471" t="inlineStr">
        <x:is>
          <x:t xml:space="preserve">SK01</x:t>
        </x:is>
      </x:c>
      <x:c r="B13" s="471" t="inlineStr">
        <x:is>
          <x:t xml:space="preserve">Employees (all)</x:t>
        </x:is>
      </x:c>
      <x:c r="C13" s="471" t="inlineStr">
        <x:is>
          <x:t xml:space="preserve">Human</x:t>
        </x:is>
      </x:c>
      <x:c r="D13" s="471" t="n">
        <x:v>1</x:v>
      </x:c>
      <x:c r="E13" s="471" t="inlineStr">
        <x:is>
          <x:t xml:space="preserve">Plateau Rule</x:t>
        </x:is>
      </x:c>
    </x:row>
    <x:row r="14" s="455" customFormat="1" ht="14.25" customHeight="1">
      <x:c r="A14" s="471" t="inlineStr">
        <x:is>
          <x:t xml:space="preserve">SK02</x:t>
        </x:is>
      </x:c>
      <x:c r="B14" s="471" t="inlineStr">
        <x:is>
          <x:t xml:space="preserve">Household members</x:t>
        </x:is>
      </x:c>
      <x:c r="C14" s="471" t="inlineStr">
        <x:is>
          <x:t xml:space="preserve">Human</x:t>
        </x:is>
      </x:c>
      <x:c r="D14" s="471" t="n">
        <x:v>1</x:v>
      </x:c>
      <x:c r="E14" s="471" t="inlineStr">
        <x:is>
          <x:t xml:space="preserve">Plateau Rule</x:t>
        </x:is>
      </x:c>
    </x:row>
    <x:row r="15" s="455" customFormat="1" ht="14.25" customHeight="1">
      <x:c r="A15" s="471" t="inlineStr">
        <x:is>
          <x:t xml:space="preserve">SK03</x:t>
        </x:is>
      </x:c>
      <x:c r="B15" s="471" t="inlineStr">
        <x:is>
          <x:t xml:space="preserve">Community members</x:t>
        </x:is>
      </x:c>
      <x:c r="C15" s="471" t="inlineStr">
        <x:is>
          <x:t xml:space="preserve">Human</x:t>
        </x:is>
      </x:c>
      <x:c r="D15" s="471" t="n">
        <x:v>1</x:v>
      </x:c>
      <x:c r="E15" s="471" t="inlineStr">
        <x:is>
          <x:t xml:space="preserve">Plateau Rule</x:t>
        </x:is>
      </x:c>
    </x:row>
    <x:row r="16" s="455" customFormat="1" ht="14.25" customHeight="1">
      <x:c r="A16" s="471" t="inlineStr">
        <x:is>
          <x:t xml:space="preserve">SK04</x:t>
        </x:is>
      </x:c>
      <x:c r="B16" s="471" t="inlineStr">
        <x:is>
          <x:t xml:space="preserve">Organization staff</x:t>
        </x:is>
      </x:c>
      <x:c r="C16" s="471" t="inlineStr">
        <x:is>
          <x:t xml:space="preserve">Human</x:t>
        </x:is>
      </x:c>
      <x:c r="D16" s="471" t="n">
        <x:v>1</x:v>
      </x:c>
      <x:c r="E16" s="471" t="inlineStr">
        <x:is>
          <x:t xml:space="preserve">Plateau Rule</x:t>
        </x:is>
      </x:c>
    </x:row>
    <x:row r="17" s="455" customFormat="1" ht="14.25" customHeight="1">
      <x:c r="A17" s="471" t="inlineStr">
        <x:is>
          <x:t xml:space="preserve">SK05</x:t>
        </x:is>
      </x:c>
      <x:c r="B17" s="471" t="inlineStr">
        <x:is>
          <x:t xml:space="preserve">Policy stakeholders</x:t>
        </x:is>
      </x:c>
      <x:c r="C17" s="471" t="inlineStr">
        <x:is>
          <x:t xml:space="preserve">Human</x:t>
        </x:is>
      </x:c>
      <x:c r="D17" s="471" t="n">
        <x:v>1</x:v>
      </x:c>
      <x:c r="E17" s="471" t="inlineStr">
        <x:is>
          <x:t xml:space="preserve">Plateau Rule</x:t>
        </x:is>
      </x:c>
    </x:row>
    <x:row r="18" s="455" customFormat="1" ht="14.25" customHeight="1">
      <x:c r="A18" s="471" t="inlineStr">
        <x:is>
          <x:t xml:space="preserve">SK06</x:t>
        </x:is>
      </x:c>
      <x:c r="B18" s="471" t="inlineStr">
        <x:is>
          <x:t xml:space="preserve">Humanity (aggregate)</x:t>
        </x:is>
      </x:c>
      <x:c r="C18" s="471" t="inlineStr">
        <x:is>
          <x:t xml:space="preserve">Human</x:t>
        </x:is>
      </x:c>
      <x:c r="D18" s="471" t="n">
        <x:v>1</x:v>
      </x:c>
      <x:c r="E18" s="471" t="inlineStr">
        <x:is>
          <x:t xml:space="preserve">Plateau Rule</x:t>
        </x:is>
      </x:c>
    </x:row>
    <x:row r="19" s="455" customFormat="1" ht="13.5" customHeight="1"/>
    <x:row r="20" s="455" customFormat="1" ht="13.5" customHeight="1"/>
    <x:row r="21" s="455" customFormat="1" ht="14.25" customHeight="1">
      <x:c r="A21" s="512" t="inlineStr">
        <x:is>
          <x:t xml:space="preserve">BIOSPHERE NOTE</x:t>
        </x:is>
      </x:c>
    </x:row>
    <x:row r="22" s="455" customFormat="1" ht="14.25" customHeight="1">
      <x:c r="A22" s="471" t="inlineStr">
        <x:is>
          <x:t xml:space="preserve">U7 impacts = environmental integrity, not direct animal welfare</x:t>
        </x:is>
      </x:c>
    </x:row>
    <x:row r="23" s="455" customFormat="1" ht="14.25" customHeight="1">
      <x:c r="A23" s="471" t="inlineStr">
        <x:is>
          <x:t xml:space="preserve">If direct animal welfare at stake, apply SGP evidence tiers</x:t>
        </x:is>
      </x:c>
    </x:row>
  </x:sheetData>
  <x:mergeCells>
    <x:mergeCell ref="A1:H1"/>
  </x:mergeCells>
  <x:pageMargins left="0.7" right="0.7" top="0.75" bottom="0.75" header="0.3" footer="0.3"/>
</x:worksheet>
</file>

<file path=xl/worksheets/sheet26.xml><?xml version="1.0" encoding="utf-8"?>
<x:worksheet xmlns:x="http://schemas.openxmlformats.org/spreadsheetml/2006/main">
  <x:sheetViews>
    <x:sheetView showGridLines="1" workbookViewId="0"/>
  </x:sheetViews>
  <x:sheetFormatPr baseColWidth="8" defaultColWidth="8.66796875" defaultRowHeight="12.75"/>
  <x:sheetData>
    <x:row r="1" s="455" customFormat="1" ht="14.25" customHeight="1">
      <x:c r="A1" s="511" t="inlineStr">
        <x:is>
          <x:t xml:space="preserve">SGP INTEGRATION DOCUMENTATION</x:t>
        </x:is>
      </x:c>
      <x:c r="B1" s="457" t="n"/>
      <x:c r="C1" s="457" t="n"/>
      <x:c r="D1" s="457" t="n"/>
      <x:c r="E1" s="457" t="n"/>
      <x:c r="F1" s="457" t="n"/>
      <x:c r="G1" s="457" t="n"/>
      <x:c r="H1" s="457" t="n"/>
      <x:c r="I1" s="457" t="n"/>
      <x:c r="J1" s="457" t="n"/>
    </x:row>
    <x:row r="2" s="455" customFormat="1" ht="13.5" customHeight="1"/>
    <x:row r="3" s="455" customFormat="1" ht="14.25" customHeight="1">
      <x:c r="A3" s="471" t="inlineStr">
        <x:is>
          <x:t xml:space="preserve">Reference: RippleLogic v10.8 Appendix G</x:t>
        </x:is>
      </x:c>
    </x:row>
    <x:row r="4" s="455" customFormat="1" ht="14.25" customHeight="1">
      <x:c r="A4" s="471" t="inlineStr">
        <x:is>
          <x:t xml:space="preserve">Reference: SGP v5.5</x:t>
        </x:is>
      </x:c>
    </x:row>
    <x:row r="5" s="455" customFormat="1" ht="13.5" customHeight="1"/>
    <x:row r="6" s="455" customFormat="1" ht="14.25" customHeight="1">
      <x:c r="A6" s="512" t="inlineStr">
        <x:is>
          <x:t xml:space="preserve">HUMAN PLATEAU RULE CONFIRMATION</x:t>
        </x:is>
      </x:c>
    </x:row>
    <x:row r="7" s="455" customFormat="1" ht="14.25" customHeight="1">
      <x:c r="A7" s="471" t="inlineStr">
        <x:is>
          <x:t xml:space="preserve">┌────────────────────────────────────────────────────────┐</x:t>
        </x:is>
      </x:c>
    </x:row>
    <x:row r="8" s="455" customFormat="1" ht="14.25" customHeight="1">
      <x:c r="A8" s="471" t="inlineStr">
        <x:is>
          <x:t xml:space="preserve">│ All stakeholders in this decision are human persons.  │</x:t>
        </x:is>
      </x:c>
    </x:row>
    <x:row r="9" s="455" customFormat="1" ht="14.25" customHeight="1">
      <x:c r="A9" s="471" t="inlineStr">
        <x:is>
          <x:t xml:space="preserve">│ Therefore: SG_norm(H) = SG_patient_norm(H) = 1.0. │</x:t>
        </x:is>
      </x:c>
    </x:row>
    <x:row r="10" s="455" customFormat="1" ht="14.25" customHeight="1">
      <x:c r="A10" s="471" t="inlineStr">
        <x:is>
          <x:t xml:space="preserve">│ The Human Plateau Rule has been applied without       │</x:t>
        </x:is>
      </x:c>
    </x:row>
    <x:row r="11" s="455" customFormat="1" ht="14.25" customHeight="1">
      <x:c r="A11" s="471" t="inlineStr">
        <x:is>
          <x:t xml:space="preserve">│ exception. No sentience multiplier has reduced any    │</x:t>
        </x:is>
      </x:c>
    </x:row>
    <x:row r="12" s="455" customFormat="1" ht="14.25" customHeight="1">
      <x:c r="A12" s="471" t="inlineStr">
        <x:is>
          <x:t xml:space="preserve">│ human stakeholder's impact weight.                    │</x:t>
        </x:is>
      </x:c>
    </x:row>
    <x:row r="13" s="455" customFormat="1" ht="14.25" customHeight="1">
      <x:c r="A13" s="471" t="inlineStr">
        <x:is>
          <x:t xml:space="preserve">└────────────────────────────────────────────────────────┘</x:t>
        </x:is>
      </x:c>
    </x:row>
    <x:row r="14" s="455" customFormat="1" ht="13.5" customHeight="1"/>
    <x:row r="15" s="455" customFormat="1" ht="14.25" customHeight="1">
      <x:c r="A15" s="512" t="inlineStr">
        <x:is>
          <x:t xml:space="preserve">SGP MISINTERPRETATION GUARD COMPLIANCE</x:t>
        </x:is>
      </x:c>
    </x:row>
    <x:row r="16" s="455" customFormat="1" ht="14.25" customHeight="1">
      <x:c r="A16" s="512" t="inlineStr">
        <x:is>
          <x:t xml:space="preserve">Prohibited Inference</x:t>
        </x:is>
      </x:c>
      <x:c r="B16" s="512" t="inlineStr">
        <x:is>
          <x:t xml:space="preserve">Status</x:t>
        </x:is>
      </x:c>
    </x:row>
    <x:row r="17" s="455" customFormat="1" ht="14.25" customHeight="1">
      <x:c r="A17" s="471" t="inlineStr">
        <x:is>
          <x:t xml:space="preserve">Linguistic fluency → sentience</x:t>
        </x:is>
      </x:c>
      <x:c r="B17" s="485" t="inlineStr">
        <x:is>
          <x:t xml:space="preserve">NOT APPLIED ✓</x:t>
        </x:is>
      </x:c>
    </x:row>
    <x:row r="18" s="455" customFormat="1" ht="14.25" customHeight="1">
      <x:c r="A18" s="471" t="inlineStr">
        <x:is>
          <x:t xml:space="preserve">Self-report → sufficient evidence</x:t>
        </x:is>
      </x:c>
      <x:c r="B18" s="485" t="inlineStr">
        <x:is>
          <x:t xml:space="preserve">NOT APPLIED ✓</x:t>
        </x:is>
      </x:c>
    </x:row>
    <x:row r="19" s="455" customFormat="1" ht="14.25" customHeight="1">
      <x:c r="A19" s="471" t="inlineStr">
        <x:is>
          <x:t xml:space="preserve">Intelligence → moral status</x:t>
        </x:is>
      </x:c>
      <x:c r="B19" s="485" t="inlineStr">
        <x:is>
          <x:t xml:space="preserve">NOT APPLIED ✓</x:t>
        </x:is>
      </x:c>
    </x:row>
    <x:row r="20" s="455" customFormat="1" ht="14.25" customHeight="1">
      <x:c r="A20" s="471" t="inlineStr">
        <x:is>
          <x:t xml:space="preserve">Sentience → governance authority</x:t>
        </x:is>
      </x:c>
      <x:c r="B20" s="485" t="inlineStr">
        <x:is>
          <x:t xml:space="preserve">NOT APPLIED ✓</x:t>
        </x:is>
      </x:c>
    </x:row>
    <x:row r="21" s="455" customFormat="1" ht="14.25" customHeight="1">
      <x:c r="A21" s="471" t="inlineStr">
        <x:is>
          <x:t xml:space="preserve">Precaution → attribution</x:t>
        </x:is>
      </x:c>
      <x:c r="B21" s="485" t="inlineStr">
        <x:is>
          <x:t xml:space="preserve">NOT APPLIED ✓</x:t>
        </x:is>
      </x:c>
    </x:row>
    <x:row r="22" s="455" customFormat="1" ht="14.25" customHeight="1">
      <x:c r="A22" s="471" t="inlineStr">
        <x:is>
          <x:t xml:space="preserve">Low SGP → reduced human protections</x:t>
        </x:is>
      </x:c>
      <x:c r="B22" s="485" t="inlineStr">
        <x:is>
          <x:t xml:space="preserve">PROHIBITED &amp; CONFIRMED ✓</x:t>
        </x:is>
      </x:c>
    </x:row>
    <x:row r="23" s="455" customFormat="1" ht="13.5" customHeight="1">
      <x:c r="A23" s="497" t="inlineStr">
        <x:is>
          <x:t xml:space="preserve">STREAM-SEPARATION GUARDRAIL</x:t>
        </x:is>
      </x:c>
    </x:row>
    <x:row r="24" s="455" customFormat="1" ht="13.5" customHeight="1">
      <x:c r="A24" s="497" t="inlineStr">
        <x:is>
          <x:t xml:space="preserve">SGP outputs may inform welfare-stream weighting only where Canon v10.8 permits; they MUST NOT alter NCRC, TRC, Containment, lawful authority, or governance-role requirements.</x:t>
        </x:is>
      </x:c>
    </x:row>
    <x:row r="25" s="455" customFormat="1" ht="14.25" customHeight="1">
      <x:c r="A25" s="512" t="inlineStr">
        <x:is>
          <x:t xml:space="preserve">IMPACT INSTANCE VERIFICATION</x:t>
        </x:is>
      </x:c>
    </x:row>
    <x:row r="26" s="455" customFormat="1" ht="14.25" customHeight="1">
      <x:c r="A26" s="485" t="inlineStr">
        <x:is>
          <x:t xml:space="preserve">All 14 impact instances (I01-I14) use SG_norm/SG_patient_norm = 1.0 ✓</x:t>
        </x:is>
      </x:c>
    </x:row>
    <x:row r="27" s="455" customFormat="1" ht="13.5" customHeight="1"/>
    <x:row r="28" s="455" customFormat="1" ht="14.25" customHeight="1">
      <x:c r="A28" s="512" t="inlineStr">
        <x:is>
          <x:t xml:space="preserve">ATTESTATION</x:t>
        </x:is>
      </x:c>
    </x:row>
    <x:row r="29" s="455" customFormat="1" ht="14.25" customHeight="1">
      <x:c r="A29" s="471" t="inlineStr">
        <x:is>
          <x:t xml:space="preserve">☑ Human Plateau Rule applied to all human stakeholders</x:t>
        </x:is>
      </x:c>
    </x:row>
    <x:row r="30" s="455" customFormat="1" ht="14.25" customHeight="1">
      <x:c r="A30" s="471" t="inlineStr">
        <x:is>
          <x:t xml:space="preserve">☑ No SGP output weakened NCRC protections</x:t>
        </x:is>
      </x:c>
    </x:row>
    <x:row r="31" s="455" customFormat="1" ht="14.25" customHeight="1">
      <x:c r="A31" s="471" t="inlineStr">
        <x:is>
          <x:t xml:space="preserve">☑ No sentience multiplier reduced human welfare weight</x:t>
        </x:is>
      </x:c>
    </x:row>
    <x:row r="32" s="455" customFormat="1" ht="14.25" customHeight="1">
      <x:c r="A32" s="471" t="inlineStr">
        <x:is>
          <x:t xml:space="preserve">☑ SGP Misinterpretation Guard principles followed</x:t>
        </x:is>
      </x:c>
    </x:row>
    <x:row r="33" s="455" customFormat="1" ht="13.5" customHeight="1"/>
    <x:row r="34" s="455" customFormat="1" ht="14.25" customHeight="1">
      <x:c r="A34" s="471" t="inlineStr">
        <x:is>
          <x:t xml:space="preserve">Evaluator: ___________________________ Date: ___________</x:t>
        </x:is>
      </x:c>
    </x:row>
  </x:sheetData>
  <x:mergeCells>
    <x:mergeCell ref="A1:J1"/>
  </x:mergeCells>
  <x:pageMargins left="0.7" right="0.7" top="0.75" bottom="0.75" header="0.3" footer="0.3"/>
</x:worksheet>
</file>

<file path=xl/worksheets/sheet27.xml><?xml version="1.0" encoding="utf-8"?>
<x:worksheet xmlns:x="http://schemas.openxmlformats.org/spreadsheetml/2006/main">
  <x:sheetViews>
    <x:sheetView showGridLines="1" workbookViewId="0"/>
  </x:sheetViews>
  <x:sheetFormatPr baseColWidth="8" defaultColWidth="8.66796875" defaultRowHeight="12.75"/>
  <x:cols>
    <x:col min="1" max="1" width="18" style="454" customWidth="1"/>
    <x:col min="2" max="2" width="28" style="454" customWidth="1"/>
    <x:col min="3" max="3" width="54" style="454" customWidth="1"/>
  </x:cols>
  <x:sheetData>
    <x:row r="1" s="455" customFormat="1" ht="14.25" customHeight="1">
      <x:c r="A1" s="594" t="inlineStr">
        <x:is>
          <x:t xml:space="preserve">RIPPLE ALIGNERS SHEET - USER GUIDE (v3.6)</x:t>
        </x:is>
      </x:c>
      <x:c r="B1" s="457" t="n"/>
      <x:c r="C1" s="457" t="n"/>
      <x:c r="D1" s="457" t="n"/>
      <x:c r="E1" s="457" t="n"/>
      <x:c r="F1" s="457" t="n"/>
      <x:c r="G1" s="457" t="n"/>
      <x:c r="H1" s="457" t="n"/>
      <x:c r="I1" s="457" t="n"/>
      <x:c r="J1" s="457" t="n"/>
    </x:row>
    <x:row r="2" s="455" customFormat="1" ht="13.5" customHeight="1">
      <x:c r="A2" s="461" t="n"/>
      <x:c r="B2" s="461" t="n"/>
      <x:c r="C2" s="461" t="n"/>
    </x:row>
    <x:row r="3" s="455" customFormat="1" ht="14.25" customHeight="1">
      <x:c r="A3" s="595" t="inlineStr">
        <x:is>
          <x:t xml:space="preserve">IMPORTANT DISCLOSURE</x:t>
        </x:is>
      </x:c>
      <x:c r="B3" s="461" t="n"/>
      <x:c r="C3" s="461" t="n"/>
    </x:row>
    <x:row r="4" s="455" customFormat="1" ht="14.25" customHeight="1">
      <x:c r="A4" s="478" t="inlineStr">
        <x:is>
          <x:t xml:space="preserve">Current workbook selection logic compares Option A vs Option B only. For three or more substantive options, extend the workbook logic or run sequential pairwise/fresh evaluations with documented rationale.</x:t>
        </x:is>
      </x:c>
      <x:c r="B4" s="461" t="n"/>
      <x:c r="C4" s="461" t="n"/>
    </x:row>
    <x:row r="5" s="455" customFormat="1" ht="14.25" customHeight="1">
      <x:c r="A5" s="480" t="inlineStr">
        <x:is>
          <x:t xml:space="preserve">QUICK START</x:t>
        </x:is>
      </x:c>
      <x:c r="B5" s="461" t="n"/>
      <x:c r="C5" s="461" t="n"/>
    </x:row>
    <x:row r="6" s="455" customFormat="1" ht="14.25" customHeight="1">
      <x:c r="A6" s="478" t="inlineStr">
        <x:is>
          <x:t xml:space="preserve">1. Config: Set tier level, context type, and Weight Profile</x:t>
        </x:is>
      </x:c>
      <x:c r="B6" s="461" t="n"/>
      <x:c r="C6" s="461" t="n"/>
    </x:row>
    <x:row r="7" s="455" customFormat="1" ht="14.25" customHeight="1">
      <x:c r="A7" s="478" t="inlineStr">
        <x:is>
          <x:t xml:space="preserve">2. PLSS_Local_Scope: If using local-scope mode, enter q_u values and review floor-preserving weights</x:t>
        </x:is>
      </x:c>
      <x:c r="B7" s="461" t="n"/>
      <x:c r="C7" s="461" t="n"/>
    </x:row>
    <x:row r="8" s="455" customFormat="1" ht="14.25" customHeight="1">
      <x:c r="A8" s="478" t="inlineStr">
        <x:is>
          <x:t xml:space="preserve">3. Impact_Input: Enter all causal pathways (μ, r, ℓ, c, t, e, s)</x:t>
        </x:is>
      </x:c>
      <x:c r="B8" s="461" t="n"/>
      <x:c r="C8" s="461" t="n"/>
    </x:row>
    <x:row r="9" s="455" customFormat="1" ht="14.25" customHeight="1">
      <x:c r="A9" s="478" t="inlineStr">
        <x:is>
          <x:t xml:space="preserve">4. Review I_prop: Verify computed impact matrix</x:t>
        </x:is>
      </x:c>
      <x:c r="B9" s="461" t="n"/>
      <x:c r="C9" s="461" t="n"/>
    </x:row>
    <x:row r="10" s="455" customFormat="1" ht="14.25" customHeight="1">
      <x:c r="A10" s="478" t="inlineStr">
        <x:is>
          <x:t xml:space="preserve">5. Check NCRC: All rights must pass (v_r = 0)</x:t>
        </x:is>
      </x:c>
      <x:c r="B10" s="461" t="n"/>
      <x:c r="C10" s="461" t="n"/>
    </x:row>
    <x:row r="11" s="455" customFormat="1" ht="14.25" customHeight="1">
      <x:c r="A11" s="478" t="inlineStr">
        <x:is>
          <x:t xml:space="preserve">6. Check TRC: CVaR must be ≤ τ_TRC for context</x:t>
        </x:is>
      </x:c>
      <x:c r="B11" s="461" t="n"/>
      <x:c r="C11" s="461" t="n"/>
    </x:row>
    <x:row r="12" s="455" customFormat="1" ht="13.5" customHeight="1">
      <x:c r="A12" s="478" t="inlineStr">
        <x:is>
          <x:t xml:space="preserve">7. If TRC fails: Follow fallback procedure (Section 8.8)</x:t>
        </x:is>
      </x:c>
      <x:c r="B12" s="461" t="n"/>
      <x:c r="C12" s="461" t="n"/>
    </x:row>
    <x:row r="13" s="455" customFormat="1" ht="14.25" customHeight="1">
      <x:c r="A13" s="478" t="inlineStr">
        <x:is>
          <x:t xml:space="preserve">8. Dashboard: Review final recommendation</x:t>
        </x:is>
      </x:c>
      <x:c r="B13" s="461" t="n"/>
      <x:c r="C13" s="461" t="n"/>
    </x:row>
    <x:row r="14" s="455" customFormat="1" ht="14.25" customHeight="1">
      <x:c r="A14" s="478" t="inlineStr">
        <x:is>
          <x:t xml:space="preserve">9. PCC: Complete all sections for audit trail, including PLSS fields, scenario-probability provenance, uncertainty method disclosure, maturity fields, and any non-default e_k reason codes</x:t>
        </x:is>
      </x:c>
      <x:c r="B14" s="461" t="n"/>
      <x:c r="C14" s="461" t="n"/>
    </x:row>
    <x:row r="15" s="455" customFormat="1" ht="14.25" customHeight="1">
      <x:c r="A15" s="480" t="inlineStr">
        <x:is>
          <x:t xml:space="preserve">10. v10_Sanity_Checklist: Confirm v10.8 maturity sheets, claim boundaries, and companion pins are populated and PASS</x:t>
        </x:is>
      </x:c>
      <x:c r="B15" s="461" t="n"/>
      <x:c r="C15" s="461" t="n"/>
    </x:row>
    <x:row r="16" s="455" customFormat="1" ht="14.25" customHeight="1">
      <x:c r="A16" s="478" t="inlineStr">
        <x:is>
          <x:t xml:space="preserve">SHEET INDEX</x:t>
        </x:is>
      </x:c>
      <x:c r="B16" s="478" t="n"/>
      <x:c r="C16" s="478" t="n"/>
    </x:row>
    <x:row r="17" s="455" customFormat="1" ht="14.25" customHeight="1">
      <x:c r="A17" s="478" t="n">
        <x:v>1</x:v>
      </x:c>
      <x:c r="B17" s="478" t="inlineStr">
        <x:is>
          <x:t xml:space="preserve">Release_Notes</x:t>
        </x:is>
      </x:c>
      <x:c r="C17" s="478" t="inlineStr">
        <x:is>
          <x:t xml:space="preserve">Release posture and workbook status</x:t>
        </x:is>
      </x:c>
    </x:row>
    <x:row r="18" s="455" customFormat="1" ht="14.25" customHeight="1">
      <x:c r="A18" s="478" t="n">
        <x:v>2</x:v>
      </x:c>
      <x:c r="B18" s="478" t="inlineStr">
        <x:is>
          <x:t xml:space="preserve">CANON</x:t>
        </x:is>
      </x:c>
      <x:c r="C18" s="478" t="inlineStr">
        <x:is>
          <x:t xml:space="preserve">Version pins, constants, and canonical thresholds</x:t>
        </x:is>
      </x:c>
    </x:row>
    <x:row r="19" s="455" customFormat="1" ht="14.25" customHeight="1">
      <x:c r="A19" s="478" t="n">
        <x:v>3</x:v>
      </x:c>
      <x:c r="B19" s="478" t="inlineStr">
        <x:is>
          <x:t xml:space="preserve">Sanity_Checklist</x:t>
        </x:is>
      </x:c>
      <x:c r="C19" s="478" t="inlineStr">
        <x:is>
          <x:t xml:space="preserve">Core workbook gate checks</x:t>
        </x:is>
      </x:c>
    </x:row>
    <x:row r="20" s="455" customFormat="1" ht="14.25" customHeight="1">
      <x:c r="A20" s="478" t="n">
        <x:v>4</x:v>
      </x:c>
      <x:c r="B20" s="478" t="inlineStr">
        <x:is>
          <x:t xml:space="preserve">Config</x:t>
        </x:is>
      </x:c>
      <x:c r="C20" s="478" t="inlineStr">
        <x:is>
          <x:t xml:space="preserve">Global settings</x:t>
        </x:is>
      </x:c>
    </x:row>
    <x:row r="21" s="455" customFormat="1" ht="14.25" customHeight="1">
      <x:c r="A21" s="478" t="n">
        <x:v>5</x:v>
      </x:c>
      <x:c r="B21" s="478" t="inlineStr">
        <x:is>
          <x:t xml:space="preserve">Parameters</x:t>
        </x:is>
      </x:c>
      <x:c r="C21" s="478" t="inlineStr">
        <x:is>
          <x:t xml:space="preserve">Core parameters and notes</x:t>
        </x:is>
      </x:c>
    </x:row>
    <x:row r="22" s="455" customFormat="1" ht="14.25" customHeight="1">
      <x:c r="A22" s="478" t="n">
        <x:v>6</x:v>
      </x:c>
      <x:c r="B22" s="478" t="inlineStr">
        <x:is>
          <x:t xml:space="preserve">PLSS_Local_Scope</x:t>
        </x:is>
      </x:c>
      <x:c r="C22" s="478" t="inlineStr">
        <x:is>
          <x:t xml:space="preserve">Local-scope weighting helper</x:t>
        </x:is>
      </x:c>
    </x:row>
    <x:row r="23" s="455" customFormat="1" ht="14.25" customHeight="1">
      <x:c r="A23" s="478" t="n">
        <x:v>7</x:v>
      </x:c>
      <x:c r="B23" s="478" t="inlineStr">
        <x:is>
          <x:t xml:space="preserve">Rights_Coverage</x:t>
        </x:is>
      </x:c>
      <x:c r="C23" s="478" t="inlineStr">
        <x:is>
          <x:t xml:space="preserve">Canonical rights coverage</x:t>
        </x:is>
      </x:c>
    </x:row>
    <x:row r="24" s="455" customFormat="1" ht="14.25" customHeight="1">
      <x:c r="A24" s="478" t="n">
        <x:v>8</x:v>
      </x:c>
      <x:c r="B24" s="478" t="inlineStr">
        <x:is>
          <x:t xml:space="preserve">Rights_Coverage_View</x:t>
        </x:is>
      </x:c>
      <x:c r="C24" s="478" t="inlineStr">
        <x:is>
          <x:t xml:space="preserve">Rights coverage view</x:t>
        </x:is>
      </x:c>
    </x:row>
    <x:row r="25" s="455" customFormat="1" ht="14.25" customHeight="1">
      <x:c r="A25" s="478" t="n">
        <x:v>9</x:v>
      </x:c>
      <x:c r="B25" s="478" t="inlineStr">
        <x:is>
          <x:t xml:space="preserve">C_cat</x:t>
        </x:is>
      </x:c>
      <x:c r="C25" s="478" t="inlineStr">
        <x:is>
          <x:t xml:space="preserve">Catastrophe cells for TRC</x:t>
        </x:is>
      </x:c>
    </x:row>
    <x:row r="26" s="455" customFormat="1" ht="14.25" customHeight="1">
      <x:c r="A26" s="478" t="n">
        <x:v>10</x:v>
      </x:c>
      <x:c r="B26" s="478" t="inlineStr">
        <x:is>
          <x:t xml:space="preserve">WTSL_Categories</x:t>
        </x:is>
      </x:c>
      <x:c r="C26" s="478" t="inlineStr">
        <x:is>
          <x:t xml:space="preserve">Tail category definitions</x:t>
        </x:is>
      </x:c>
    </x:row>
    <x:row r="27" s="455" customFormat="1" ht="14.25" customHeight="1">
      <x:c r="A27" s="478" t="n">
        <x:v>11</x:v>
      </x:c>
      <x:c r="B27" s="478" t="inlineStr">
        <x:is>
          <x:t xml:space="preserve">Impact_Input</x:t>
        </x:is>
      </x:c>
      <x:c r="C27" s="478" t="inlineStr">
        <x:is>
          <x:t xml:space="preserve">Impact entry surface</x:t>
        </x:is>
      </x:c>
    </x:row>
    <x:row r="28" s="455" customFormat="1" ht="14.25" customHeight="1">
      <x:c r="A28" s="478" t="n">
        <x:v>12</x:v>
      </x:c>
      <x:c r="B28" s="478" t="inlineStr">
        <x:is>
          <x:t xml:space="preserve">Scenario_Impacts</x:t>
        </x:is>
      </x:c>
      <x:c r="C28" s="478" t="inlineStr">
        <x:is>
          <x:t xml:space="preserve">Scenario-conditioned losses</x:t>
        </x:is>
      </x:c>
    </x:row>
    <x:row r="29" s="455" customFormat="1" ht="14.25" customHeight="1">
      <x:c r="A29" s="478" t="n">
        <x:v>13</x:v>
      </x:c>
      <x:c r="B29" s="478" t="inlineStr">
        <x:is>
          <x:t xml:space="preserve">I_prop</x:t>
        </x:is>
      </x:c>
      <x:c r="C29" s="478" t="inlineStr">
        <x:is>
          <x:t xml:space="preserve">Computed impact matrix</x:t>
        </x:is>
      </x:c>
    </x:row>
    <x:row r="30" s="455" customFormat="1" ht="14.25" customHeight="1">
      <x:c r="A30" s="478" t="n">
        <x:v>14</x:v>
      </x:c>
      <x:c r="B30" s="478" t="inlineStr">
        <x:is>
          <x:t xml:space="preserve">NCRC</x:t>
        </x:is>
      </x:c>
      <x:c r="C30" s="478" t="inlineStr">
        <x:is>
          <x:t xml:space="preserve">Level 1 rights check</x:t>
        </x:is>
      </x:c>
    </x:row>
    <x:row r="31" s="455" customFormat="1" ht="14.25" customHeight="1">
      <x:c r="A31" s="478" t="n">
        <x:v>15</x:v>
      </x:c>
      <x:c r="B31" s="478" t="inlineStr">
        <x:is>
          <x:t xml:space="preserve">TRC</x:t>
        </x:is>
      </x:c>
      <x:c r="C31" s="478" t="inlineStr">
        <x:is>
          <x:t xml:space="preserve">Level 2 tail-risk check</x:t>
        </x:is>
      </x:c>
    </x:row>
    <x:row r="32" s="455" customFormat="1" ht="14.25" customHeight="1">
      <x:c r="A32" s="478" t="n">
        <x:v>16</x:v>
      </x:c>
      <x:c r="B32" s="478" t="inlineStr">
        <x:is>
          <x:t xml:space="preserve">Containment</x:t>
        </x:is>
      </x:c>
      <x:c r="C32" s="478" t="inlineStr">
        <x:is>
          <x:t xml:space="preserve">Level 3 structural check</x:t>
        </x:is>
      </x:c>
    </x:row>
    <x:row r="33" s="455" customFormat="1" ht="14.25" customHeight="1">
      <x:c r="A33" s="478" t="n">
        <x:v>17</x:v>
      </x:c>
      <x:c r="B33" s="478" t="inlineStr">
        <x:is>
          <x:t xml:space="preserve">RLS</x:t>
        </x:is>
      </x:c>
      <x:c r="C33" s="478" t="inlineStr">
        <x:is>
          <x:t xml:space="preserve">Level 4 welfare score</x:t>
        </x:is>
      </x:c>
    </x:row>
    <x:row r="34" s="455" customFormat="1" ht="14.25" customHeight="1">
      <x:c r="A34" s="478" t="n">
        <x:v>18</x:v>
      </x:c>
      <x:c r="B34" s="478" t="inlineStr">
        <x:is>
          <x:t xml:space="preserve">UCI_HOI</x:t>
        </x:is>
      </x:c>
      <x:c r="C34" s="478" t="inlineStr">
        <x:is>
          <x:t xml:space="preserve">Special-case tie-break / monitoring diagnostics</x:t>
        </x:is>
      </x:c>
    </x:row>
    <x:row r="35" s="455" customFormat="1" ht="13.5" customHeight="1">
      <x:c r="A35" s="478" t="n">
        <x:v>19</x:v>
      </x:c>
      <x:c r="B35" s="478" t="inlineStr">
        <x:is>
          <x:t xml:space="preserve">Dashboard</x:t>
        </x:is>
      </x:c>
      <x:c r="C35" s="478" t="inlineStr">
        <x:is>
          <x:t xml:space="preserve">Final recommendation and gates</x:t>
        </x:is>
      </x:c>
    </x:row>
    <x:row r="36" s="455" customFormat="1" ht="13.5" customHeight="1">
      <x:c r="A36" s="478" t="n">
        <x:v>20</x:v>
      </x:c>
      <x:c r="B36" s="478" t="inlineStr">
        <x:is>
          <x:t xml:space="preserve">Audit_Flags</x:t>
        </x:is>
      </x:c>
      <x:c r="C36" s="478" t="inlineStr">
        <x:is>
          <x:t xml:space="preserve">Audit flags and review conditions</x:t>
        </x:is>
      </x:c>
    </x:row>
    <x:row r="37" s="455" customFormat="1" ht="12.75" customHeight="1">
      <x:c r="A37" s="461" t="n">
        <x:v>21</x:v>
      </x:c>
      <x:c r="B37" s="461" t="inlineStr">
        <x:is>
          <x:t xml:space="preserve">PCC</x:t>
        </x:is>
      </x:c>
      <x:c r="C37" s="461" t="inlineStr">
        <x:is>
          <x:t xml:space="preserve">Provenance and Compliance Certificate</x:t>
        </x:is>
      </x:c>
    </x:row>
    <x:row r="38" s="455" customFormat="1" ht="12.75" customHeight="1">
      <x:c r="A38" s="461" t="n">
        <x:v>22</x:v>
      </x:c>
      <x:c r="B38" s="461" t="inlineStr">
        <x:is>
          <x:t xml:space="preserve">Sensitivity_Analysis</x:t>
        </x:is>
      </x:c>
      <x:c r="C38" s="461" t="inlineStr">
        <x:is>
          <x:t xml:space="preserve">Robustness testing</x:t>
        </x:is>
      </x:c>
    </x:row>
    <x:row r="39" s="455" customFormat="1" ht="14.25" customHeight="1">
      <x:c r="A39" s="480" t="n">
        <x:v>23</x:v>
      </x:c>
      <x:c r="B39" s="461" t="inlineStr">
        <x:is>
          <x:t xml:space="preserve">Subgroup_Analysis</x:t>
        </x:is>
      </x:c>
      <x:c r="C39" s="461" t="inlineStr">
        <x:is>
          <x:t xml:space="preserve">Worst-off subgroup documentation</x:t>
        </x:is>
      </x:c>
    </x:row>
    <x:row r="40" s="455" customFormat="1" ht="14.25" customHeight="1">
      <x:c r="A40" s="478" t="n">
        <x:v>24</x:v>
      </x:c>
      <x:c r="B40" s="461" t="inlineStr">
        <x:is>
          <x:t xml:space="preserve">Subgroup_Overrides</x:t>
        </x:is>
      </x:c>
      <x:c r="C40" s="461" t="inlineStr">
        <x:is>
          <x:t xml:space="preserve">Subgroup override inputs</x:t>
        </x:is>
      </x:c>
    </x:row>
    <x:row r="41" s="455" customFormat="1" ht="14.25" customHeight="1">
      <x:c r="A41" s="478" t="n">
        <x:v>25</x:v>
      </x:c>
      <x:c r="B41" s="461" t="inlineStr">
        <x:is>
          <x:t xml:space="preserve">SGP_Input</x:t>
        </x:is>
      </x:c>
      <x:c r="C41" s="461" t="inlineStr">
        <x:is>
          <x:t xml:space="preserve">Sentience interface inputs</x:t>
        </x:is>
      </x:c>
    </x:row>
    <x:row r="42" s="455" customFormat="1" ht="14.25" customHeight="1">
      <x:c r="A42" s="478" t="n">
        <x:v>26</x:v>
      </x:c>
      <x:c r="B42" s="461" t="inlineStr">
        <x:is>
          <x:t xml:space="preserve">SGP_Integration</x:t>
        </x:is>
      </x:c>
      <x:c r="C42" s="461" t="inlineStr">
        <x:is>
          <x:t xml:space="preserve">SGP v5.5 compliance notes</x:t>
        </x:is>
      </x:c>
    </x:row>
    <x:row r="43" s="455" customFormat="1" ht="14.25" customHeight="1">
      <x:c r="A43" s="478" t="n">
        <x:v>27</x:v>
      </x:c>
      <x:c r="B43" s="461" t="inlineStr">
        <x:is>
          <x:t xml:space="preserve">User_Guide</x:t>
        </x:is>
      </x:c>
      <x:c r="C43" s="461" t="inlineStr">
        <x:is>
          <x:t xml:space="preserve">This sheet</x:t>
        </x:is>
      </x:c>
    </x:row>
    <x:row r="44" s="455" customFormat="1" ht="14.25" customHeight="1">
      <x:c r="A44" s="478" t="n">
        <x:v>28</x:v>
      </x:c>
      <x:c r="B44" s="461" t="inlineStr">
        <x:is>
          <x:t xml:space="preserve">Version_Control</x:t>
        </x:is>
      </x:c>
      <x:c r="C44" s="461" t="inlineStr">
        <x:is>
          <x:t xml:space="preserve">Version tracking</x:t>
        </x:is>
      </x:c>
    </x:row>
    <x:row r="45" s="455" customFormat="1" ht="15" customHeight="1">
      <x:c r="A45" s="478" t="n">
        <x:v>29</x:v>
      </x:c>
      <x:c r="B45" s="461" t="inlineStr">
        <x:is>
          <x:t xml:space="preserve">ProjectionPreRegistration</x:t>
        </x:is>
      </x:c>
      <x:c r="C45" s="461" t="inlineStr">
        <x:is>
          <x:t xml:space="preserve">Pre-run projection lock</x:t>
        </x:is>
      </x:c>
    </x:row>
    <x:row r="46" s="455" customFormat="1" ht="13.5" customHeight="1">
      <x:c r="A46" s="461" t="n">
        <x:v>30</x:v>
      </x:c>
      <x:c r="B46" s="461" t="inlineStr">
        <x:is>
          <x:t xml:space="preserve">ExecutionStability</x:t>
        </x:is>
      </x:c>
      <x:c r="C46" s="461" t="inlineStr">
        <x:is>
          <x:t xml:space="preserve">Execution-stability record and indicators</x:t>
        </x:is>
      </x:c>
    </x:row>
    <x:row r="47" s="455" customFormat="1" ht="13.5" customHeight="1">
      <x:c r="A47" s="596" t="n">
        <x:v>31</x:v>
      </x:c>
      <x:c r="B47" s="461" t="inlineStr">
        <x:is>
          <x:t xml:space="preserve">PrimitiveTrace</x:t>
        </x:is>
      </x:c>
      <x:c r="C47" s="461" t="inlineStr">
        <x:is>
          <x:t xml:space="preserve">Primitive-to-observable trace</x:t>
        </x:is>
      </x:c>
    </x:row>
    <x:row r="48" s="455" customFormat="1" ht="13.5" customHeight="1">
      <x:c r="A48" s="597" t="n">
        <x:v>32</x:v>
      </x:c>
      <x:c r="B48" s="461" t="inlineStr">
        <x:is>
          <x:t xml:space="preserve">ObservableConsequences</x:t>
        </x:is>
      </x:c>
      <x:c r="C48" s="461" t="inlineStr">
        <x:is>
          <x:t xml:space="preserve">Observable consequence register</x:t>
        </x:is>
      </x:c>
    </x:row>
    <x:row r="49" s="455" customFormat="1" ht="13.5" customHeight="1">
      <x:c r="A49" s="597" t="n">
        <x:v>33</x:v>
      </x:c>
      <x:c r="B49" s="461" t="inlineStr">
        <x:is>
          <x:t xml:space="preserve">FalsificationPlan</x:t>
        </x:is>
      </x:c>
      <x:c r="C49" s="461" t="inlineStr">
        <x:is>
          <x:t xml:space="preserve">Falsification and downgrade plan</x:t>
        </x:is>
      </x:c>
    </x:row>
    <x:row r="50" s="455" customFormat="1" ht="13.5" customHeight="1">
      <x:c r="A50" s="597" t="n">
        <x:v>34</x:v>
      </x:c>
      <x:c r="B50" s="461" t="inlineStr">
        <x:is>
          <x:t xml:space="preserve">MethodologyMaturity</x:t>
        </x:is>
      </x:c>
      <x:c r="C50" s="461" t="inlineStr">
        <x:is>
          <x:t xml:space="preserve">Claim maturity ladder</x:t>
        </x:is>
      </x:c>
    </x:row>
    <x:row r="51" s="455" customFormat="1" ht="13.5" customHeight="1">
      <x:c r="A51" s="597" t="n">
        <x:v>35</x:v>
      </x:c>
      <x:c r="B51" s="461" t="inlineStr">
        <x:is>
          <x:t xml:space="preserve">v10_Sanity_Checklist</x:t>
        </x:is>
      </x:c>
      <x:c r="C51" s="461" t="inlineStr">
        <x:is>
          <x:t xml:space="preserve">v10.8 maturity-hardening sanity checks</x:t>
        </x:is>
      </x:c>
    </x:row>
    <x:row r="52" s="455" customFormat="1" ht="13.5" customHeight="1">
      <x:c r="A52" s="597" t="n">
        <x:v>36</x:v>
      </x:c>
      <x:c r="B52" s="461" t="inlineStr">
        <x:is>
          <x:t xml:space="preserve">TransitionAdmissibility</x:t>
        </x:is>
      </x:c>
      <x:c r="C52" s="461" t="inlineStr">
        <x:is>
          <x:t xml:space="preserve">Transition admissibility card</x:t>
        </x:is>
      </x:c>
    </x:row>
    <x:row r="53" s="455" customFormat="1" ht="14.25" customHeight="1">
      <x:c r="A53" s="597" t="n">
        <x:v>37</x:v>
      </x:c>
      <x:c r="B53" s="461" t="inlineStr">
        <x:is>
          <x:t xml:space="preserve">UCI_Maturity</x:t>
        </x:is>
      </x:c>
      <x:c r="C53" s="461" t="inlineStr">
        <x:is>
          <x:t xml:space="preserve">UCI measurement readiness</x:t>
        </x:is>
      </x:c>
    </x:row>
    <x:row r="54" s="455" customFormat="1" ht="14.25" customHeight="1">
      <x:c r="A54" s="597" t="n">
        <x:v>38</x:v>
      </x:c>
      <x:c r="B54" s="461" t="inlineStr">
        <x:is>
          <x:t xml:space="preserve">Kernel_Posture</x:t>
        </x:is>
      </x:c>
      <x:c r="C54" s="461" t="inlineStr">
        <x:is>
          <x:t xml:space="preserve">Kernel use posture</x:t>
        </x:is>
      </x:c>
    </x:row>
    <x:row r="55" s="455" customFormat="1" ht="281.25" customHeight="1">
      <x:c r="A55" s="461" t="n">
        <x:v>39</x:v>
      </x:c>
      <x:c r="B55" s="461" t="inlineStr">
        <x:is>
          <x:t xml:space="preserve">HDW_Capture_Audit</x:t>
        </x:is>
      </x:c>
      <x:c r="C55" s="461" t="inlineStr">
        <x:is>
          <x:t xml:space="preserve">Hybrid Democratic Weighting capture audit</x:t>
        </x:is>
      </x:c>
    </x:row>
    <x:row r="56" s="455" customFormat="1" ht="12.75" customHeight="1">
      <x:c r="A56" s="461" t="n">
        <x:v>40</x:v>
      </x:c>
      <x:c r="B56" s="461" t="inlineStr">
        <x:is>
          <x:t xml:space="preserve">PLSS_Escalation</x:t>
        </x:is>
      </x:c>
      <x:c r="C56" s="461" t="inlineStr">
        <x:is>
          <x:t xml:space="preserve">PLSS escalation trigger register</x:t>
        </x:is>
      </x:c>
    </x:row>
    <x:row r="57" s="455" customFormat="1" ht="12.75" customHeight="1">
      <x:c r="A57" s="461" t="n">
        <x:v>41</x:v>
      </x:c>
      <x:c r="B57" s="461" t="inlineStr">
        <x:is>
          <x:t xml:space="preserve">BioSGP_Maturity</x:t>
        </x:is>
      </x:c>
      <x:c r="C57" s="461" t="inlineStr">
        <x:is>
          <x:t xml:space="preserve">Biological SGP maturity boundary</x:t>
        </x:is>
      </x:c>
    </x:row>
    <x:row r="58" s="455" customFormat="1" ht="12.75" customHeight="1">
      <x:c r="A58" s="461" t="n">
        <x:v>42</x:v>
      </x:c>
      <x:c r="B58" s="461" t="inlineStr">
        <x:is>
          <x:t xml:space="preserve">Deployment_Context</x:t>
        </x:is>
      </x:c>
      <x:c r="C58" s="461" t="inlineStr">
        <x:is>
          <x:t xml:space="preserve">Deployment context profile</x:t>
        </x:is>
      </x:c>
    </x:row>
    <x:row r="59" s="455" customFormat="1" ht="12.75" customHeight="1">
      <x:c r="A59" s="461" t="n">
        <x:v>43</x:v>
      </x:c>
      <x:c r="B59" s="461" t="inlineStr">
        <x:is>
          <x:t xml:space="preserve">Machine_Readiness</x:t>
        </x:is>
      </x:c>
      <x:c r="C59" s="461" t="inlineStr">
        <x:is>
          <x:t xml:space="preserve">ProofPack-prep scaffold presence and machine-surface status</x:t>
        </x:is>
      </x:c>
    </x:row>
    <x:row r="60" s="455" customFormat="1" ht="12.75" customHeight="1">
      <x:c r="A60" s="461" t="inlineStr">
        <x:is>
          <x:t xml:space="preserve">KEY FORMULAS</x:t>
        </x:is>
      </x:c>
      <x:c r="B60" s="461" t="n"/>
      <x:c r="C60" s="461" t="n"/>
    </x:row>
    <x:row r="61" s="455" customFormat="1" ht="66" customHeight="1">
      <x:c r="A61" s="461" t="inlineStr">
        <x:is>
          <x:t xml:space="preserve">τ(t) = MIN(1, LN(1+MAX(t, t_min)) / LN(1+T_ref))   [RippleLogic v10.8 Appendix B.1]</x:t>
        </x:is>
      </x:c>
      <x:c r="B61" s="461" t="n"/>
      <x:c r="C61" s="461" t="n"/>
    </x:row>
    <x:row r="62" s="455" customFormat="1" ht="26.25" customHeight="1">
      <x:c r="A62" s="461" t="inlineStr">
        <x:is>
          <x:t xml:space="preserve">Contribution = μ × r × ℓ × c × e × s × τ(t)</x:t>
        </x:is>
      </x:c>
      <x:c r="B62" s="461" t="n"/>
      <x:c r="C62" s="461" t="n"/>
    </x:row>
    <x:row r="63" s="455" customFormat="1" ht="39" customHeight="1">
      <x:c r="A63" s="461" t="inlineStr">
        <x:is>
          <x:t xml:space="preserve">v_r(a) = max(0, θ_r - min I_rights over R_r)</x:t>
        </x:is>
      </x:c>
      <x:c r="B63" s="461" t="n"/>
      <x:c r="C63" s="461" t="n"/>
    </x:row>
    <x:row r="64" s="455" customFormat="1" ht="39" customHeight="1">
      <x:c r="A64" s="461" t="inlineStr">
        <x:is>
          <x:t xml:space="preserve">L(a,s) = Σ_{c∈C_cat} ω_c × max(0, -I_prop_c)</x:t>
        </x:is>
      </x:c>
      <x:c r="B64" s="461" t="n"/>
      <x:c r="C64" s="461" t="n"/>
    </x:row>
    <x:row r="65" s="455" customFormat="1" ht="26.25" customHeight="1">
      <x:c r="A65" s="461" t="inlineStr">
        <x:is>
          <x:t xml:space="preserve">CVaR_α = E[L | L ≥ VaR_α]</x:t>
        </x:is>
      </x:c>
      <x:c r="B65" s="461" t="n"/>
      <x:c r="C65" s="461" t="n"/>
    </x:row>
    <x:row r="66" s="455" customFormat="1" ht="12.75" customHeight="1">
      <x:c r="A66" s="461" t="n"/>
      <x:c r="B66" s="461" t="n"/>
      <x:c r="C66" s="461" t="n"/>
    </x:row>
    <x:row r="67" s="455" customFormat="1" ht="12.75" customHeight="1">
      <x:c r="A67" s="461" t="inlineStr">
        <x:is>
          <x:t xml:space="preserve">v10.8 SYNC NOTES</x:t>
        </x:is>
      </x:c>
      <x:c r="B67" s="461" t="n"/>
      <x:c r="C67" s="461" t="n"/>
    </x:row>
    <x:row r="68" s="455" customFormat="1" ht="92.25" customHeight="1">
      <x:c r="A68" s="461" t="inlineStr">
        <x:is>
          <x:t xml:space="preserve">The workbook is a worked-run companion, not a ProofPack, semantic validator, or reference calculator.</x:t>
        </x:is>
      </x:c>
      <x:c r="B68" s="461" t="n"/>
      <x:c r="C68" s="461" t="n"/>
    </x:row>
    <x:row r="69" s="455" customFormat="1" ht="144.75" customHeight="1">
      <x:c r="A69" s="461" t="inlineStr">
        <x:is>
          <x:t xml:space="preserve">Maturity sheets disclose claim support posture: UCI_Maturity, Kernel_Posture, HDW_Capture_Audit, PLSS_Escalation, BioSGP_Maturity, and Deployment_Context.</x:t>
        </x:is>
      </x:c>
      <x:c r="B69" s="461" t="n"/>
      <x:c r="C69" s="461" t="n"/>
    </x:row>
    <x:row r="70" s="455" customFormat="1" ht="52.5" customHeight="1">
      <x:c r="A70" s="461" t="inlineStr">
        <x:is>
          <x:t xml:space="preserve">Tier 2+ uncertainty method (A/B/C) is REQUIRED per v10.8.</x:t>
        </x:is>
      </x:c>
      <x:c r="B70" s="461" t="n"/>
      <x:c r="C70" s="461" t="n"/>
    </x:row>
    <x:row r="71" s="455" customFormat="1" ht="78.75" customHeight="1">
      <x:c r="A71" s="461" t="inlineStr">
        <x:is>
          <x:t xml:space="preserve">Union Scopes (short: Scopes) is canonical; Union(s) remains a valid legacy alias in prose/UI.</x:t>
        </x:is>
      </x:c>
      <x:c r="B71" s="461" t="n"/>
      <x:c r="C71" s="461" t="n"/>
    </x:row>
  </x:sheetData>
  <x:mergeCells>
    <x:mergeCell ref="A1:J1"/>
  </x:mergeCells>
  <x:pageMargins left="0.7" right="0.7" top="0.75" bottom="0.75" header="0.3" footer="0.3"/>
</x:worksheet>
</file>

<file path=xl/worksheets/sheet28.xml><?xml version="1.0" encoding="utf-8"?>
<x:worksheet xmlns:x="http://schemas.openxmlformats.org/spreadsheetml/2006/main">
  <x:sheetViews>
    <x:sheetView showGridLines="1" workbookViewId="0"/>
  </x:sheetViews>
  <x:sheetFormatPr baseColWidth="8" defaultColWidth="8.66796875" defaultRowHeight="12.75"/>
  <x:cols>
    <x:col min="1" max="1" width="24" style="497" customWidth="1"/>
    <x:col min="2" max="2" width="38" style="455" customWidth="1"/>
    <x:col min="3" max="3" width="80" style="497" hidden="0" customWidth="1"/>
    <x:col min="4" max="4" width="38" style="497" customWidth="1"/>
  </x:cols>
  <x:sheetData>
    <x:row r="1" s="455" customFormat="1" ht="14.25" customHeight="1">
      <x:c r="A1" s="598" t="inlineStr">
        <x:is>
          <x:t xml:space="preserve">RippleLogic Aligners Sheet v3.6 Version Control</x:t>
        </x:is>
      </x:c>
      <x:c r="B1" s="457" t="n"/>
      <x:c r="C1" s="457" t="n"/>
      <x:c r="D1" s="457" t="n"/>
      <x:c r="E1" s="457" t="n"/>
      <x:c r="F1" s="457" t="n"/>
      <x:c r="G1" s="457" t="n"/>
      <x:c r="H1" s="457" t="n"/>
      <x:c r="I1" s="457" t="n"/>
      <x:c r="J1" s="457" t="n"/>
    </x:row>
    <x:row r="2" s="455" customFormat="1" ht="14.25" customHeight="1">
      <x:c r="A2" s="475" t="inlineStr">
        <x:is>
          <x:t xml:space="preserve">v3.6</x:t>
        </x:is>
      </x:c>
      <x:c r="B2" s="591" t="n"/>
      <x:c r="C2" s="591" t="n"/>
      <x:c r="D2" s="591" t="n"/>
    </x:row>
    <x:row r="3" s="455" customFormat="1" ht="14.25" customHeight="1">
      <x:c r="A3" s="477" t="inlineStr">
        <x:is>
          <x:t xml:space="preserve">Sheet Version: v3.6</x:t>
        </x:is>
      </x:c>
      <x:c r="B3" s="591" t="n"/>
      <x:c r="C3" s="591" t="n"/>
      <x:c r="D3" s="591" t="n"/>
    </x:row>
    <x:row r="4" s="455" customFormat="1" ht="14.25" customHeight="1">
      <x:c r="A4" s="475" t="inlineStr">
        <x:is>
          <x:t xml:space="preserve">Framework</x:t>
        </x:is>
      </x:c>
      <x:c r="B4" s="476" t="inlineStr">
        <x:is>
          <x:t xml:space="preserve">RippleLogic v10.8</x:t>
        </x:is>
      </x:c>
      <x:c r="C4" s="591" t="n"/>
      <x:c r="D4" s="591" t="n"/>
    </x:row>
    <x:row r="5" s="455" customFormat="1" ht="14.25" customHeight="1">
      <x:c r="A5" s="475" t="inlineStr">
        <x:is>
          <x:t xml:space="preserve">SGP</x:t>
        </x:is>
      </x:c>
      <x:c r="B5" s="476" t="inlineStr">
        <x:is>
          <x:t xml:space="preserve">SGP v5.5</x:t>
        </x:is>
      </x:c>
      <x:c r="C5" s="591" t="n"/>
      <x:c r="D5" s="591" t="n"/>
    </x:row>
    <x:row r="6" s="455" customFormat="1" ht="14.25" customHeight="1">
      <x:c r="A6" s="475" t="inlineStr">
        <x:is>
          <x:t xml:space="preserve">Modified</x:t>
        </x:is>
      </x:c>
      <x:c r="B6" s="476" t="inlineStr">
        <x:is>
          <x:t xml:space="preserve">2026-06-18</x:t>
        </x:is>
      </x:c>
      <x:c r="C6" s="591" t="n"/>
      <x:c r="D6" s="591" t="n"/>
    </x:row>
    <x:row r="7" s="455" customFormat="1" ht="14.25" customHeight="1">
      <x:c r="A7" s="471" t="inlineStr">
        <x:is>
          <x:t xml:space="preserve">Hash authority</x:t>
        </x:is>
      </x:c>
      <x:c r="B7" s="497" t="str">
        <x:v>External release manifest controls shipped bytes; workbook does not embed its own final SHA-256.</x:v>
      </x:c>
      <x:c r="C7" s="591" t="n"/>
      <x:c r="D7" s="591" t="n"/>
    </x:row>
    <x:row r="8" s="455" customFormat="1" ht="14.25" customHeight="1">
      <x:c r="A8" s="475" t="inlineStr">
        <x:is>
          <x:t xml:space="preserve">v1.7.0</x:t>
        </x:is>
      </x:c>
      <x:c r="B8" s="475" t="inlineStr">
        <x:is>
          <x:t xml:space="preserve">2026-02-03</x:t>
        </x:is>
      </x:c>
      <x:c r="C8" s="475" t="str">
        <x:v>LINEAGE (historical): Schema validation computed, SC-06 fixed, legacy publishability gate included PLACEHOLDER_COUNT. Current v3.6 surfaces use scoped worked-run publishability language.</x:v>
      </x:c>
    </x:row>
    <x:row r="9" s="455" customFormat="1" ht="14.25" customHeight="1">
      <x:c r="A9" s="477" t="inlineStr">
        <x:is>
          <x:t xml:space="preserve">VERSION HISTORY</x:t>
        </x:is>
      </x:c>
    </x:row>
    <x:row r="10" s="455" customFormat="1" ht="14.25" customHeight="1">
      <x:c r="A10" s="508" t="inlineStr">
        <x:is>
          <x:t xml:space="preserve">Version</x:t>
        </x:is>
      </x:c>
      <x:c r="B10" s="508" t="inlineStr">
        <x:is>
          <x:t xml:space="preserve">Date</x:t>
        </x:is>
      </x:c>
      <x:c r="C10" s="508" t="inlineStr">
        <x:is>
          <x:t xml:space="preserve">Changes</x:t>
        </x:is>
      </x:c>
      <x:c r="D10" s="460" t="inlineStr">
        <x:is>
          <x:t xml:space="preserve">Assistance</x:t>
        </x:is>
      </x:c>
    </x:row>
    <x:row r="11" s="455" customFormat="1" ht="42" customHeight="1">
      <x:c r="A11" s="463" t="inlineStr">
        <x:is>
          <x:t xml:space="preserve">v3.6</x:t>
        </x:is>
      </x:c>
      <x:c r="B11" s="463" t="inlineStr">
        <x:is>
          <x:t xml:space="preserve">2026-06-18</x:t>
        </x:is>
      </x:c>
      <x:c r="C11" s="628" t="str">
        <x:v>Reality Grounding and Lean Cascade Patch: public method updated to Reality Grounding -&gt; Rights Floor -&gt; Tail-Risk Bound -&gt; Containment -&gt; Ripple Score; formal method updated to RSG -&gt; NCRC -&gt; TRC -&gt; Containment -&gt; RLS; Category Grounding and Primitive Audit added inside Reality Grounding when material; UCI/HOI demoted from headline cascade stage to structural diagnostics used inside Containment when material and residual tie-break/monitoring only when RLS is tied, close, uncertainty-overlapped, or non-decisive; PLSS structural-diagnostic omission added as a risk surface.</x:v>
      </x:c>
      <x:c r="D11" s="460" t="inlineStr">
        <x:is>
          <x:t xml:space="preserve">GPT-assisted</x:t>
        </x:is>
      </x:c>
    </x:row>
    <x:row r="12" s="455" customFormat="1" ht="42" customHeight="1">
      <x:c r="A12" s="475" t="inlineStr">
        <x:is>
          <x:t xml:space="preserve">v2.6</x:t>
        </x:is>
      </x:c>
      <x:c r="B12" s="475" t="inlineStr">
        <x:is>
          <x:t xml:space="preserve">2026-03-19</x:t>
        </x:is>
      </x:c>
      <x:c r="C12" s="475" t="inlineStr">
        <x:is>
          <x:t xml:space="preserve">Release-hardening sync for GitHub publication: standardized RippleLogic naming, corrected propagation/weight-profile metadata so Config and PCC distinguish Propagation = NONE from Weight Profile = PLSS_LOCAL, bound dashboard NCRC resolution and 5SPR review-flag text to live workbook logic, removed stale RLS display surfaces in favor of canonical live values, added ReachBasisType / Denominator / Estimator disclosure fields on Impact_Input, added a PLSS disclosure block to PCC, and prepared clean release-integrity packaging. Review-pass hardening added: fixed tier-reference bugs in RLS/Audit_Flags, corrected non-decisive flag logic, added scenario-probability provenance fields, PLSS q_u reason-code/source fields, per-instance e_k governance fields, and PCC provenance-hardening section.</x:t>
        </x:is>
      </x:c>
    </x:row>
    <x:row r="13" s="455" customFormat="1" ht="72" customHeight="1">
      <x:c r="A13" s="475" t="inlineStr">
        <x:is>
          <x:t xml:space="preserve">v2.0</x:t>
        </x:is>
      </x:c>
      <x:c r="B13" s="475" t="inlineStr">
        <x:is>
          <x:t xml:space="preserve">2026-03-14</x:t>
        </x:is>
      </x:c>
      <x:c r="C13" s="475" t="inlineStr">
        <x:is>
          <x:t xml:space="preserve">RippleLogic v9.6.4 + SGP v4.7.1 synchronization. Updated live release-line pins, companion-facing notes, and workbook references so the aligned worked-run exemplar reflects the current canonical pair while preserving the existing v2.6 workbook architecture.</x:t>
        </x:is>
      </x:c>
      <x:c r="D13" s="475" t="inlineStr">
        <x:is>
          <x:t xml:space="preserve">OpenAI-assisted</x:t>
        </x:is>
      </x:c>
    </x:row>
    <x:row r="14" s="455" customFormat="1" ht="14.25" customHeight="1">
      <x:c r="A14" s="475" t="inlineStr">
        <x:is>
          <x:t xml:space="preserve">v2.1</x:t>
        </x:is>
      </x:c>
      <x:c r="B14" s="475" t="inlineStr">
        <x:is>
          <x:t xml:space="preserve">2026-03-15</x:t>
        </x:is>
      </x:c>
      <x:c r="C14" s="475" t="inlineStr">
        <x:is>
          <x:t xml:space="preserve">BUG FIXES + VERSION SYNC (v2.6): (1) Replaced legacy _xludf-prefixed MINIFS, AGGREGATE, and TEXTJOIN formulas with cross-platform formulas that evaluate on current Excel and LibreOffice, including SUMPRODUCT(MIN(...)) rights-floor formulas, MATCH/INDEX worst-cell locators, and MID/IF concatenation for active flag lists. (2) Sanity_Checklist SC-01..04 Expected values changed from stale hardcoded strings to dynamic CANON/Config cross-references; SC-33 repurposed as SGP version check (SC-34); SC-IDs SC-30..33 in rows 42-45 corrected; PASS/FAIL counts extended to all 34 checks. (3) All live descriptive refs updated to v9.6.4 across the workbook surface. (4) SGP version refs updated to v4.7.1. (5) Release_Notes B8 corrected from Audit_Flags!B26 to Audit_Flags!J19 (active flag list). (6) Version_Control A2 fixed from stored text to formula; B2 stale value cleared.</x:t>
        </x:is>
      </x:c>
      <x:c r="D14" s="475" t="inlineStr">
        <x:is>
          <x:t xml:space="preserve">Claude-assisted</x:t>
        </x:is>
      </x:c>
    </x:row>
    <x:row r="15" s="455" customFormat="1" ht="14.25" customHeight="1">
      <x:c r="A15" s="599" t="inlineStr">
        <x:is>
          <x:t xml:space="preserve">v1.8.3</x:t>
        </x:is>
      </x:c>
      <x:c r="B15" s="475" t="inlineStr">
        <x:is>
          <x:t xml:space="preserve">2026-02-16</x:t>
        </x:is>
      </x:c>
      <x:c r="C15" s="475" t="inlineStr">
        <x:is>
          <x:t xml:space="preserve">v8.5.4 PATCHED RE-PIN: Framework→RippleLogic v8.5.4 PATCHED. Added SCI (Section 5.0.1), ScopeCoverage (Section 2.2A), InstanceMap (Appendix H), active cell definition (Section 10.3). New audit flags: SCOPE_COVERAGE_REDUCED (REVIEW), SCI_BELOW_MINIMUM (ESCALATE), SCI_AT_MINIMUM_NO_UPGRADE (REVIEW), UNCERTAINTY_NOT_DECLARED (INVALID). Tier 2 uncertainty REQUIRED. PCC Sections 12-15 added. All 27 sheet section refs updated to v8.5.4 PATCHED. Terminology: "Union Scopes" adopted per v8.5.4 PATCHED.</x:t>
        </x:is>
      </x:c>
      <x:c r="D15" s="475" t="inlineStr">
        <x:is>
          <x:t xml:space="preserve">Claude-assisted</x:t>
        </x:is>
      </x:c>
    </x:row>
    <x:row r="16" s="455" customFormat="1" ht="14.25" customHeight="1">
      <x:c r="A16" s="600" t="inlineStr">
        <x:is>
          <x:t xml:space="preserve">v3.4</x:t>
        </x:is>
      </x:c>
      <x:c r="B16" s="477" t="inlineStr">
        <x:is>
          <x:t xml:space="preserve">2026-05-24</x:t>
        </x:is>
      </x:c>
      <x:c r="C16" s="477" t="inlineStr">
        <x:is>
          <x:t xml:space="preserve">Measurement-maturity hardening and final v3.4 synchronization: added maturity/context surfaces, corrected release-boundary language, and preserved worked-run exemplar posture without ProofPack, Tier 4, empirical-validation, or machine-verifiable-ecosystem-complete claims.</x:t>
        </x:is>
      </x:c>
      <x:c r="D16" s="497" t="inlineStr">
        <x:is>
          <x:t xml:space="preserve">OpenAI-assisted triple-pass release cleanup</x:t>
        </x:is>
      </x:c>
    </x:row>
    <x:row r="17" s="455" customFormat="1" ht="14.25" customHeight="1">
      <x:c r="A17" s="475" t="n"/>
      <x:c r="B17" s="475" t="n"/>
      <x:c r="C17" s="475" t="n"/>
      <x:c r="D17" s="475" t="n"/>
    </x:row>
    <x:row r="18" s="455" customFormat="1" ht="14.25" customHeight="1">
      <x:c r="A18" s="475" t="n"/>
      <x:c r="B18" s="475" t="n"/>
      <x:c r="C18" s="475" t="n"/>
      <x:c r="D18" s="475" t="n"/>
    </x:row>
    <x:row r="19" s="455" customFormat="1" ht="14.25" customHeight="1">
      <x:c r="A19" s="475" t="inlineStr">
        <x:is>
          <x:t xml:space="preserve">1.6.4</x:t>
        </x:is>
      </x:c>
      <x:c r="B19" s="475" t="inlineStr">
        <x:is>
          <x:t xml:space="preserve">2026-02-02</x:t>
        </x:is>
      </x:c>
      <x:c r="C19" s="475" t="inlineStr">
        <x:is>
          <x:t xml:space="preserve">FINAL: Boolean→numeric, hardened schema, audit consistency, placeholders removed, publish-ready gate</x:t>
        </x:is>
      </x:c>
      <x:c r="D19" s="475" t="inlineStr">
        <x:is>
          <x:t xml:space="preserve">Claude-assisted</x:t>
        </x:is>
      </x:c>
    </x:row>
    <x:row r="20" s="455" customFormat="1" ht="14.25" customHeight="1">
      <x:c r="A20" s="475" t="inlineStr">
        <x:is>
          <x:t xml:space="preserve">1.6.5</x:t>
        </x:is>
      </x:c>
      <x:c r="B20" s="475" t="inlineStr">
        <x:is>
          <x:t xml:space="preserve">2026-02-02</x:t>
        </x:is>
      </x:c>
      <x:c r="C20" s="475" t="inlineStr">
        <x:is>
          <x:t xml:space="preserve">SSOT enforcement: computed flags, no hardcoded triggers, placeholder removal, TRC audit format, NCRC cleanup, conservative subgroup bound</x:t>
        </x:is>
      </x:c>
      <x:c r="D20" s="475" t="inlineStr">
        <x:is>
          <x:t xml:space="preserve">Claude-assisted</x:t>
        </x:is>
      </x:c>
    </x:row>
    <x:row r="21" s="455" customFormat="1" ht="14.25" customHeight="1">
      <x:c r="A21" s="475" t="inlineStr">
        <x:is>
          <x:t xml:space="preserve">1.6.6</x:t>
        </x:is>
      </x:c>
      <x:c r="B21" s="475" t="inlineStr">
        <x:is>
          <x:t xml:space="preserve">2026-02-02</x:t>
        </x:is>
      </x:c>
      <x:c r="C21" s="475" t="inlineStr">
        <x:is>
          <x:t xml:space="preserve">FINAL: Formula-based triggers, computed PASS/FAIL sanity, SSOT enforcement, placeholder eradication, τ_TRC linked, TEXTJOIN flags</x:t>
        </x:is>
      </x:c>
      <x:c r="D21" s="475" t="inlineStr">
        <x:is>
          <x:t xml:space="preserve">Claude-assisted</x:t>
        </x:is>
      </x:c>
    </x:row>
    <x:row r="22" s="455" customFormat="1" ht="14.25" customHeight="1">
      <x:c r="A22" s="475" t="inlineStr">
        <x:is>
          <x:t xml:space="preserve">1.6.7</x:t>
        </x:is>
      </x:c>
      <x:c r="B22" s="475" t="inlineStr">
        <x:is>
          <x:t xml:space="preserve">2026-02-02</x:t>
        </x:is>
      </x:c>
      <x:c r="C22" s="475" t="inlineStr">
        <x:is>
          <x:t xml:space="preserve">DEFINITIVE: All triggers/counts/gates are formulas, SSOT enforced, no typed values, manual override sentinel, Release Integrity Panel</x:t>
        </x:is>
      </x:c>
      <x:c r="D22" s="475" t="inlineStr">
        <x:is>
          <x:t xml:space="preserve">Claude-assisted</x:t>
        </x:is>
      </x:c>
    </x:row>
    <x:row r="23" s="455" customFormat="1" ht="14.25" customHeight="1">
      <x:c r="A23" s="477" t="inlineStr">
        <x:is>
          <x:t xml:space="preserve">1.6.1</x:t>
        </x:is>
      </x:c>
      <x:c r="B23" s="504" t="inlineStr">
        <x:is>
          <x:t xml:space="preserve">2026-02-01</x:t>
        </x:is>
      </x:c>
      <x:c r="C23" s="475" t="inlineStr">
        <x:is>
          <x:t xml:space="preserve">CLAIM-READY: C_cat filled; CVaR computed; type fixes; full SSOT</x:t>
        </x:is>
      </x:c>
    </x:row>
    <x:row r="24" s="455" customFormat="1" ht="14.25" customHeight="1">
      <x:c r="A24" s="477" t="inlineStr">
        <x:is>
          <x:t xml:space="preserve">1.5.5</x:t>
        </x:is>
      </x:c>
      <x:c r="B24" s="601" t="inlineStr">
        <x:is>
          <x:t xml:space="preserve">2026-01-31</x:t>
        </x:is>
      </x:c>
      <x:c r="C24" s="475" t="inlineStr">
        <x:is>
          <x:t xml:space="preserve">Computed Dashboard; TRC sorted scenarios</x:t>
        </x:is>
      </x:c>
    </x:row>
    <x:row r="25" s="455" customFormat="1" ht="14.25" customHeight="1">
      <x:c r="A25" s="475" t="inlineStr">
        <x:is>
          <x:t xml:space="preserve">1.5.6</x:t>
        </x:is>
      </x:c>
      <x:c r="B25" s="504" t="inlineStr">
        <x:is>
          <x:t xml:space="preserve">2026-01-31</x:t>
        </x:is>
      </x:c>
      <x:c r="C25" s="475" t="inlineStr">
        <x:is>
          <x:t xml:space="preserve">Audit_Flags computed formulas</x:t>
        </x:is>
      </x:c>
    </x:row>
    <x:row r="26" s="455" customFormat="1" ht="14.25" customHeight="1">
      <x:c r="A26" s="475" t="inlineStr">
        <x:is>
          <x:t xml:space="preserve">1.5.7</x:t>
        </x:is>
      </x:c>
      <x:c r="B26" s="504" t="inlineStr">
        <x:is>
          <x:t xml:space="preserve">2026-02-01</x:t>
        </x:is>
      </x:c>
      <x:c r="C26" s="475" t="inlineStr">
        <x:is>
          <x:t xml:space="preserve">Fixed Containment/RANK formulas; full computed Audit_Flags; error-free</x:t>
        </x:is>
      </x:c>
    </x:row>
    <x:row r="27" s="455" customFormat="1" ht="14.25" customHeight="1">
      <x:c r="A27" s="475" t="inlineStr">
        <x:is>
          <x:t xml:space="preserve">1.5.8</x:t>
        </x:is>
      </x:c>
      <x:c r="B27" s="504" t="inlineStr">
        <x:is>
          <x:t xml:space="preserve">2026-02-01</x:t>
        </x:is>
      </x:c>
      <x:c r="C27" s="475" t="inlineStr">
        <x:is>
          <x:t xml:space="preserve">Claim-ready: +PROC right; fixed Containment refs; σ_est toggle; Sanity Checklist; blank=INVALID</x:t>
        </x:is>
      </x:c>
    </x:row>
    <x:row r="28" s="455" customFormat="1" ht="14.25" customHeight="1">
      <x:c r="A28" s="475" t="inlineStr">
        <x:is>
          <x:t xml:space="preserve">Mandatory Tails</x:t>
        </x:is>
      </x:c>
      <x:c r="B28" s="504" t="str">
        <x:f>"✓ PASS ("&amp;CANON!B41&amp;"/"&amp;CANON!B41&amp;")"</x:f>
        <x:v>✓ PASS (5/5)</x:v>
      </x:c>
    </x:row>
    <x:row r="29" s="455" customFormat="1" ht="14.25" customHeight="1">
      <x:c r="A29" s="475" t="inlineStr">
        <x:is>
          <x:t xml:space="preserve">p_floor (≥0.02)</x:t>
        </x:is>
      </x:c>
      <x:c r="B29" s="504" t="inlineStr">
        <x:is>
          <x:t xml:space="preserve">✓ PASS</x:t>
        </x:is>
      </x:c>
    </x:row>
    <x:row r="30" s="455" customFormat="1" ht="13.5" customHeight="1">
      <x:c r="A30" s="475" t="inlineStr">
        <x:is>
          <x:t xml:space="preserve">Containment</x:t>
        </x:is>
      </x:c>
      <x:c r="B30" s="504" t="inlineStr">
        <x:is>
          <x:t xml:space="preserve">✓ PASS (vacuous)</x:t>
        </x:is>
      </x:c>
    </x:row>
    <x:row r="31" s="455" customFormat="1" ht="14.25" customHeight="1">
      <x:c r="A31" s="475" t="inlineStr">
        <x:is>
          <x:t xml:space="preserve">RLS</x:t>
        </x:is>
      </x:c>
      <x:c r="B31" s="504" t="inlineStr">
        <x:is>
          <x:t xml:space="preserve">✓ PASS (computed)</x:t>
        </x:is>
      </x:c>
    </x:row>
    <x:row r="32" s="455" customFormat="1" ht="14.25" customHeight="1">
      <x:c r="A32" s="475" t="inlineStr">
        <x:is>
          <x:t xml:space="preserve">PCC</x:t>
        </x:is>
      </x:c>
      <x:c r="B32" s="504" t="inlineStr">
        <x:is>
          <x:t xml:space="preserve">✓ PASS (with 5SPR)</x:t>
        </x:is>
      </x:c>
    </x:row>
    <x:row r="33" s="455" customFormat="1" ht="14.25" customHeight="1">
      <x:c r="A33" s="475" t="inlineStr">
        <x:is>
          <x:t xml:space="preserve">Audit Flags</x:t>
        </x:is>
      </x:c>
      <x:c r="B33" s="475" t="inlineStr">
        <x:is>
          <x:t xml:space="preserve">✓ PASS (NONDECISIVE_GAP_REVIEW active)</x:t>
        </x:is>
      </x:c>
    </x:row>
    <x:row r="34" s="455" customFormat="1" ht="14.25" customHeight="1">
      <x:c r="A34" s="477" t="inlineStr">
        <x:is>
          <x:t xml:space="preserve">OVERALL</x:t>
        </x:is>
      </x:c>
      <x:c r="B34" s="477" t="inlineStr">
        <x:is>
          <x:t xml:space="preserve">✓ TIER 2 CONFORMANT</x:t>
        </x:is>
      </x:c>
    </x:row>
    <x:row r="35" s="455" customFormat="1" ht="14.25" customHeight="1">
      <x:c r="A35" s="475" t="inlineStr">
        <x:is>
          <x:t xml:space="preserve">v1.7.3</x:t>
        </x:is>
      </x:c>
      <x:c r="B35" s="475" t="inlineStr">
        <x:is>
          <x:t xml:space="preserve">2026-02-03</x:t>
        </x:is>
      </x:c>
      <x:c r="C35" s="475" t="inlineStr">
        <x:is>
          <x:t xml:space="preserve">PUBLISH_FINAL: Fixed MINIFS compatibility (140), wrapped TRC IFERROR, unified version labels, bracket policy clarified</x:t>
        </x:is>
      </x:c>
    </x:row>
    <x:row r="36" s="455" customFormat="1" ht="14.25" customHeight="1">
      <x:c r="A36" s="475" t="inlineStr">
        <x:is>
          <x:t xml:space="preserve">v1.7.3</x:t>
        </x:is>
      </x:c>
      <x:c r="B36" s="475" t="inlineStr">
        <x:is>
          <x:t xml:space="preserve">2026-02-03</x:t>
        </x:is>
      </x:c>
      <x:c r="C36" s="475" t="inlineStr">
        <x:is>
          <x:t xml:space="preserve">RC_POLISH: reconciled version ids; clarified containment as Tier-2 proxy; improved SUBGROUP_LIMITATION trigger (analysis-aware); updated σ_est policy note</x:t>
        </x:is>
      </x:c>
      <x:c r="D36" s="475" t="inlineStr">
        <x:is>
          <x:t xml:space="preserve">Claude+GPT-assisted</x:t>
        </x:is>
      </x:c>
    </x:row>
    <x:row r="37" s="455" customFormat="1" ht="14.25" customHeight="1">
      <x:c r="A37" s="475" t="inlineStr">
        <x:is>
          <x:t xml:space="preserve">v1.7.5</x:t>
        </x:is>
      </x:c>
      <x:c r="B37" s="475" t="inlineStr">
        <x:is>
          <x:t xml:space="preserve">2026-02-04</x:t>
        </x:is>
      </x:c>
      <x:c r="C37" s="475" t="inlineStr">
        <x:is>
          <x:t xml:space="preserve">PUBLISH_HARDEN: Fixed NCRC Min_I_rights calc (AGGREGATE), PCC Section 7 + 5SPR auto-pulls Audit_Flags, removed header version drift, clarified overrides vs audit flag, mandatory tails display links to CANON.</x:t>
        </x:is>
      </x:c>
      <x:c r="D37" s="475" t="inlineStr">
        <x:is>
          <x:t xml:space="preserve">GPT-assisted</x:t>
        </x:is>
      </x:c>
    </x:row>
    <x:row r="38" s="455" customFormat="1" ht="14.25" customHeight="1">
      <x:c r="A38" s="475" t="inlineStr">
        <x:is>
          <x:t xml:space="preserve">v1.7.9</x:t>
        </x:is>
      </x:c>
      <x:c r="B38" s="475" t="inlineStr">
        <x:is>
          <x:t xml:space="preserve">2026-02-04</x:t>
        </x:is>
      </x:c>
      <x:c r="C38" s="475" t="inlineStr">
        <x:is>
          <x:t xml:space="preserve">FINAL_HARDEN: aligned RLS decisiveness display with Gap/√(2σ²+ε); PCC mitigation reframed as qualitative + headroom; added TRC outputs populated sanity check; fixed placeholder check reference.</x:t>
        </x:is>
      </x:c>
      <x:c r="D38" s="475" t="inlineStr">
        <x:is>
          <x:t xml:space="preserve">GPT-assisted</x:t>
        </x:is>
      </x:c>
    </x:row>
    <x:row r="39" s="455" customFormat="1" ht="13.5" customHeight="1">
      <x:c r="A39" s="477" t="inlineStr">
        <x:is>
          <x:t xml:space="preserve">v1.8.0</x:t>
        </x:is>
      </x:c>
      <x:c r="B39" s="475" t="inlineStr">
        <x:is>
          <x:t xml:space="preserve">2026-02-13</x:t>
        </x:is>
      </x:c>
      <x:c r="C39" s="475" t="inlineStr">
        <x:is>
          <x:t xml:space="preserve">CANON RE-PIN: Framework→RippleLogic v8.5.4 PATCHED, SGP→v4.2.3. τ(t) corrected to MIN(1,LN(1+MAX(t,t_min))/LN(1+T_ref)) with t_min=0.083 per v8.5.4 PATCHED Appendix B.1. All 27 sheet section refs updated. Stewardship block added to PCC. UCI E₁=1 verified. Config date updated.</x:t>
        </x:is>
      </x:c>
      <x:c r="D39" s="475" t="inlineStr">
        <x:is>
          <x:t xml:space="preserve">Claude-assisted</x:t>
        </x:is>
      </x:c>
    </x:row>
    <x:row r="40" s="455" customFormat="1" ht="14.25" customHeight="1"/>
    <x:row r="41" s="455" customFormat="1" ht="14.25" customHeight="1">
      <x:c r="A41" s="475" t="inlineStr">
        <x:is>
          <x:t xml:space="preserve">TIER 3 READINESS CHECKLIST</x:t>
        </x:is>
      </x:c>
    </x:row>
    <x:row r="42" s="455" customFormat="1" ht="14.25" customHeight="1">
      <x:c r="A42" s="475" t="inlineStr">
        <x:is>
          <x:t xml:space="preserve">☐ Expand scenarios to ≥20 (currently 7)</x:t>
        </x:is>
      </x:c>
    </x:row>
    <x:row r="43" s="455" customFormat="1" ht="14.25" customHeight="1">
      <x:c r="A43" s="475" t="inlineStr">
        <x:is>
          <x:t xml:space="preserve">☐ Complete sensitivity analysis</x:t>
        </x:is>
      </x:c>
    </x:row>
    <x:row r="44" s="455" customFormat="1" ht="14.25" customHeight="1">
      <x:c r="A44" s="475" t="inlineStr">
        <x:is>
          <x:t xml:space="preserve">☐ Independent reviewer sign-off</x:t>
        </x:is>
      </x:c>
    </x:row>
    <x:row r="45" s="455" customFormat="1" ht="14.25" customHeight="1">
      <x:c r="A45" s="475" t="inlineStr">
        <x:is>
          <x:t xml:space="preserve">☐ Full subgroup enumeration</x:t>
        </x:is>
      </x:c>
    </x:row>
    <x:row r="46" s="455" customFormat="1" ht="13.5" customHeight="1">
      <x:c r="A46" s="475" t="inlineStr">
        <x:is>
          <x:t xml:space="preserve">☐ Add kernel with KQS (if QUICK mode)</x:t>
        </x:is>
      </x:c>
    </x:row>
    <x:row r="47" s="455" customFormat="1" ht="13.5" customHeight="1">
      <x:c r="A47" s="475" t="inlineStr">
        <x:is>
          <x:t xml:space="preserve">☐ UCI from structural indicators</x:t>
        </x:is>
      </x:c>
    </x:row>
    <x:row r="48" s="455" customFormat="1" ht="13.5" customHeight="1">
      <x:c r="A48" s="477" t="inlineStr">
        <x:is>
          <x:t xml:space="preserve">☐ Uncertainty quantification (σ values)</x:t>
        </x:is>
      </x:c>
    </x:row>
    <x:row r="49" s="455" customFormat="1" ht="13.5" customHeight="1"/>
    <x:row r="50" s="455" customFormat="1" ht="13.5" customHeight="1">
      <x:c r="A50" s="475" t="inlineStr">
        <x:is>
          <x:t xml:space="preserve">KNOWN LIMITATIONS (v3.4)</x:t>
        </x:is>
      </x:c>
    </x:row>
    <x:row r="51" s="455" customFormat="1" ht="13.5" customHeight="1">
      <x:c r="A51" s="475" t="inlineStr">
        <x:is>
          <x:t xml:space="preserve">Cascade evaluation complete; RLS non-decisive requires documented authority judgment call</x:t>
        </x:is>
      </x:c>
    </x:row>
    <x:row r="52" s="455" customFormat="1" ht="14.25" customHeight="1">
      <x:c r="A52" s="475" t="inlineStr">
        <x:is>
          <x:t xml:space="preserve">2. Scenario count (7) above Tier 2 min but below Tier 3</x:t>
        </x:is>
      </x:c>
    </x:row>
    <x:row r="53" s="455" customFormat="1" ht="14.25" customHeight="1">
      <x:c r="A53" s="475" t="inlineStr">
        <x:is>
          <x:t xml:space="preserve">3. UCI values = evaluator assessment, not structural indicators</x:t>
        </x:is>
      </x:c>
    </x:row>
    <x:row r="54" s="455" customFormat="1" ht="14.25" customHeight="1">
      <x:c r="A54" s="475" t="inlineStr">
        <x:is>
          <x:t xml:space="preserve">4. Sensitivity template ready but not fully populated</x:t>
        </x:is>
      </x:c>
    </x:row>
    <x:row r="55" s="455" customFormat="1" ht="14.25" customHeight="1">
      <x:c r="A55" s="475" t="inlineStr">
        <x:is>
          <x:t xml:space="preserve">5. Kernel not used (NONE mode) - appropriate for Tier 2</x:t>
        </x:is>
      </x:c>
    </x:row>
    <x:row r="56" s="455" customFormat="1" ht="14.25" customHeight="1">
      <x:c r="A56" s="475" t="inlineStr">
        <x:is>
          <x:t xml:space="preserve">PATCH_NOTE</x:t>
        </x:is>
      </x:c>
      <x:c r="B56" s="475" t="inlineStr">
        <x:is>
          <x:t xml:space="preserve">Added explicit PCC BaselineType_Welfare = STATUS_QUO and reference lines (restoring v1.8.4 clarity).</x:t>
        </x:is>
      </x:c>
    </x:row>
    <x:row r="57" s="455" customFormat="1" ht="27.75" customHeight="1">
      <x:c r="A57" s="475" t="inlineStr">
        <x:is>
          <x:t xml:space="preserve">PATCH_TIMESTAMP_UTC</x:t>
        </x:is>
      </x:c>
      <x:c r="B57" s="475" t="inlineStr">
        <x:is>
          <x:t xml:space="preserve">2026-02-20T13:28:45Z</x:t>
        </x:is>
      </x:c>
    </x:row>
    <x:row r="58" s="455" customFormat="1" ht="12.75" customHeight="1">
      <x:c r="A58" s="497" t="inlineStr">
        <x:is>
          <x:t xml:space="preserve">v3.4</x:t>
        </x:is>
      </x:c>
      <x:c r="B58" s="497" t="inlineStr">
        <x:is>
          <x:t xml:space="preserve">2026-05-13</x:t>
        </x:is>
      </x:c>
      <x:c r="C58" s="497" t="inlineStr">
        <x:is>
          <x:t xml:space="preserve">Release-integrity hardening: pins synchronized, claim-boundary clarified, ProofPack distinction added.</x:t>
        </x:is>
      </x:c>
      <x:c r="D58" s="497" t="inlineStr">
        <x:is>
          <x:t xml:space="preserve">Prior v10.3 GitHub release; superseded by v10.6 reader-first release line.</x:t>
        </x:is>
      </x:c>
    </x:row>
    <x:row r="59" s="455" customFormat="1" ht="12.75" customHeight="1">
      <x:c r="A59" s="497" t="inlineStr">
        <x:is>
          <x:t xml:space="preserve">v3.6</x:t>
        </x:is>
      </x:c>
      <x:c r="B59" s="497" t="inlineStr">
        <x:is>
          <x:t xml:space="preserve">2026-06-12</x:t>
        </x:is>
      </x:c>
      <x:c r="C59" s="497" t="inlineStr">
        <x:is>
          <x:t xml:space="preserve">v10.8 / SGP v5.5 layer-discipline and reality-grounding update: preserves computable-but-inadmissible, layer-specific falsification, reference/preference/number claim discipline, Adaptive Reserve diagnostics, and RCR status-vs-trace discipline.</x:t>
        </x:is>
      </x:c>
      <x:c r="D59" s="497" t="inlineStr">
        <x:is>
          <x:t xml:space="preserve">OpenAI-assisted</x:t>
        </x:is>
      </x:c>
    </x:row>
  </x:sheetData>
  <x:mergeCells>
    <x:mergeCell ref="A1:J1"/>
  </x:mergeCells>
  <x:pageMargins left="0.7" right="0.7" top="0.75" bottom="0.75" header="0.3" footer="0.3"/>
</x:worksheet>
</file>

<file path=xl/worksheets/sheet29.xml><?xml version="1.0" encoding="utf-8"?>
<x:worksheet xmlns:x="http://schemas.openxmlformats.org/spreadsheetml/2006/main">
  <x:sheetViews>
    <x:sheetView showGridLines="1" workbookViewId="0"/>
  </x:sheetViews>
  <x:sheetFormatPr baseColWidth="8" defaultColWidth="8.6796875" defaultRowHeight="12.75"/>
  <x:cols>
    <x:col min="1" max="1" width="30" style="454" customWidth="1"/>
    <x:col min="2" max="2" width="45" style="454" customWidth="1"/>
    <x:col min="3" max="3" width="28" style="454" customWidth="1"/>
    <x:col min="4" max="4" width="18" style="454" customWidth="1"/>
    <x:col min="5" max="5" width="45" style="454" customWidth="1"/>
    <x:col min="6" max="6" width="14" style="454" customWidth="1"/>
    <x:col min="7" max="7" width="30" style="454" customWidth="1"/>
  </x:cols>
  <x:sheetData>
    <x:row r="1" s="455" customFormat="1" ht="39" customHeight="1">
      <x:c r="A1" s="499" t="inlineStr">
        <x:is>
          <x:t xml:space="preserve">ProjectionPreRegistration - RippleLogic Aligners Sheet v3.6</x:t>
        </x:is>
      </x:c>
      <x:c r="B1" s="499" t="n"/>
      <x:c r="C1" s="499" t="n"/>
      <x:c r="D1" s="499" t="n"/>
      <x:c r="E1" s="499" t="n"/>
      <x:c r="F1" s="499" t="n"/>
      <x:c r="G1" s="499" t="n"/>
    </x:row>
    <x:row r="2" s="455" customFormat="1" ht="92.25" customHeight="1">
      <x:c r="A2" s="476" t="inlineStr">
        <x:is>
          <x:t xml:space="preserve">This sheet locks decision-critical projection values before a run. Any material post-registration mismatch triggers REFUSAL_UNDERDETERMINED unless the run is restarted with a new pre-registration record.</x:t>
        </x:is>
      </x:c>
      <x:c r="B2" s="476" t="n"/>
      <x:c r="C2" s="476" t="n"/>
      <x:c r="D2" s="476" t="n"/>
      <x:c r="E2" s="476" t="n"/>
      <x:c r="F2" s="476" t="n"/>
      <x:c r="G2" s="476" t="n"/>
    </x:row>
    <x:row r="3" s="455" customFormat="1" ht="12.75" customHeight="1">
      <x:c r="A3" s="476" t="n"/>
      <x:c r="B3" s="476" t="n"/>
      <x:c r="C3" s="476" t="n"/>
      <x:c r="D3" s="476" t="n"/>
      <x:c r="E3" s="476" t="n"/>
      <x:c r="F3" s="476" t="n"/>
      <x:c r="G3" s="476" t="n"/>
    </x:row>
    <x:row r="4" s="455" customFormat="1" ht="26.25" customHeight="1">
      <x:c r="A4" s="602" t="inlineStr">
        <x:is>
          <x:t xml:space="preserve">Field</x:t>
        </x:is>
      </x:c>
      <x:c r="B4" s="602" t="inlineStr">
        <x:is>
          <x:t xml:space="preserve">Declared Value</x:t>
        </x:is>
      </x:c>
      <x:c r="C4" s="602" t="inlineStr">
        <x:is>
          <x:t xml:space="preserve">Source Sheet/Cell</x:t>
        </x:is>
      </x:c>
      <x:c r="D4" s="602" t="inlineStr">
        <x:is>
          <x:t xml:space="preserve">Locked Before Run?</x:t>
        </x:is>
      </x:c>
      <x:c r="E4" s="602" t="inlineStr">
        <x:is>
          <x:t xml:space="preserve">Current Value</x:t>
        </x:is>
      </x:c>
      <x:c r="F4" s="602" t="inlineStr">
        <x:is>
          <x:t xml:space="preserve">Match?</x:t>
        </x:is>
      </x:c>
      <x:c r="G4" s="602" t="inlineStr">
        <x:is>
          <x:t xml:space="preserve">Notes</x:t>
        </x:is>
      </x:c>
    </x:row>
    <x:row r="5" s="455" customFormat="1" ht="12.75" customHeight="1">
      <x:c r="A5" s="476" t="inlineStr">
        <x:is>
          <x:t xml:space="preserve">FRAMEWORK_VERSION</x:t>
        </x:is>
      </x:c>
      <x:c r="B5" s="476" t="inlineStr">
        <x:is>
          <x:t xml:space="preserve">RippleLogic Canon v10.8</x:t>
        </x:is>
      </x:c>
      <x:c r="C5" s="476" t="inlineStr">
        <x:is>
          <x:t xml:space="preserve">CANON!B5</x:t>
        </x:is>
      </x:c>
      <x:c r="D5" s="476" t="inlineStr">
        <x:is>
          <x:t xml:space="preserve">YES</x:t>
        </x:is>
      </x:c>
      <x:c r="E5" s="476" t="inlineStr">
        <x:is>
          <x:t xml:space="preserve">RippleLogic Canon v10.8</x:t>
        </x:is>
      </x:c>
      <x:c r="F5" s="476" t="inlineStr">
        <x:is>
          <x:t xml:space="preserve">MATCH</x:t>
        </x:is>
      </x:c>
      <x:c r="G5" s="476" t="n"/>
    </x:row>
    <x:row r="6" s="455" customFormat="1" ht="12.75" customHeight="1">
      <x:c r="A6" s="476" t="inlineStr">
        <x:is>
          <x:t xml:space="preserve">SGP_VERSION</x:t>
        </x:is>
      </x:c>
      <x:c r="B6" s="476" t="inlineStr">
        <x:is>
          <x:t xml:space="preserve">SGP v5.5</x:t>
        </x:is>
      </x:c>
      <x:c r="C6" s="476" t="inlineStr">
        <x:is>
          <x:t xml:space="preserve">CANON!B6</x:t>
        </x:is>
      </x:c>
      <x:c r="D6" s="476" t="inlineStr">
        <x:is>
          <x:t xml:space="preserve">YES</x:t>
        </x:is>
      </x:c>
      <x:c r="E6" s="476" t="inlineStr">
        <x:is>
          <x:t xml:space="preserve">SGP v5.5</x:t>
        </x:is>
      </x:c>
      <x:c r="F6" s="476" t="inlineStr">
        <x:is>
          <x:t xml:space="preserve">MATCH</x:t>
        </x:is>
      </x:c>
      <x:c r="G6" s="476" t="n"/>
    </x:row>
    <x:row r="7" s="455" customFormat="1" ht="12.75" customHeight="1">
      <x:c r="A7" s="476" t="inlineStr">
        <x:is>
          <x:t xml:space="preserve">RIPPLE_MD_VERSION</x:t>
        </x:is>
      </x:c>
      <x:c r="B7" s="476" t="inlineStr">
        <x:is>
          <x:t xml:space="preserve">ripple.md v3.6</x:t>
        </x:is>
      </x:c>
      <x:c r="C7" s="476" t="inlineStr">
        <x:is>
          <x:t xml:space="preserve">CANON!B139</x:t>
        </x:is>
      </x:c>
      <x:c r="D7" s="476" t="inlineStr">
        <x:is>
          <x:t xml:space="preserve">YES</x:t>
        </x:is>
      </x:c>
      <x:c r="E7" s="476" t="inlineStr">
        <x:is>
          <x:t xml:space="preserve">ripple.md v3.6</x:t>
        </x:is>
      </x:c>
      <x:c r="F7" s="476" t="inlineStr">
        <x:is>
          <x:t xml:space="preserve">MATCH</x:t>
        </x:is>
      </x:c>
      <x:c r="G7" s="476" t="n"/>
    </x:row>
    <x:row r="8" s="455" customFormat="1" ht="12.75" customHeight="1">
      <x:c r="A8" s="476" t="inlineStr">
        <x:is>
          <x:t xml:space="preserve">AGENT_SYSTEM_VERSION</x:t>
        </x:is>
      </x:c>
      <x:c r="B8" s="476" t="inlineStr">
        <x:is>
          <x:t xml:space="preserve">RippleLogic Agent System v10.8</x:t>
        </x:is>
      </x:c>
      <x:c r="C8" s="476" t="inlineStr">
        <x:is>
          <x:t xml:space="preserve">CANON!B140</x:t>
        </x:is>
      </x:c>
      <x:c r="D8" s="476" t="inlineStr">
        <x:is>
          <x:t xml:space="preserve">YES</x:t>
        </x:is>
      </x:c>
      <x:c r="E8" s="476" t="inlineStr">
        <x:is>
          <x:t xml:space="preserve">RippleLogic Agent System v10.8</x:t>
        </x:is>
      </x:c>
      <x:c r="F8" s="476" t="inlineStr">
        <x:is>
          <x:t xml:space="preserve">MATCH</x:t>
        </x:is>
      </x:c>
      <x:c r="G8" s="476" t="n"/>
    </x:row>
    <x:row r="9" s="455" customFormat="1" ht="12.75" customHeight="1">
      <x:c r="A9" s="476" t="inlineStr">
        <x:is>
          <x:t xml:space="preserve">SHEET_VERSION</x:t>
        </x:is>
      </x:c>
      <x:c r="B9" s="476" t="inlineStr">
        <x:is>
          <x:t xml:space="preserve">v3.6</x:t>
        </x:is>
      </x:c>
      <x:c r="C9" s="476" t="inlineStr">
        <x:is>
          <x:t xml:space="preserve">CANON!B7</x:t>
        </x:is>
      </x:c>
      <x:c r="D9" s="476" t="inlineStr">
        <x:is>
          <x:t xml:space="preserve">YES</x:t>
        </x:is>
      </x:c>
      <x:c r="E9" s="476" t="inlineStr">
        <x:is>
          <x:t xml:space="preserve">v3.6</x:t>
        </x:is>
      </x:c>
      <x:c r="F9" s="476" t="inlineStr">
        <x:is>
          <x:t xml:space="preserve">MATCH</x:t>
        </x:is>
      </x:c>
      <x:c r="G9" s="476" t="n"/>
    </x:row>
    <x:row r="10" s="455" customFormat="1" ht="12.75" customHeight="1">
      <x:c r="A10" s="476" t="inlineStr">
        <x:is>
          <x:t xml:space="preserve">RIGHTS_COVERAGE_SET</x:t>
        </x:is>
      </x:c>
      <x:c r="B10" s="476" t="inlineStr">
        <x:is>
          <x:t xml:space="preserve">Canonical Appendix C / Rights_Coverage sheet</x:t>
        </x:is>
      </x:c>
      <x:c r="C10" s="476" t="inlineStr">
        <x:is>
          <x:t xml:space="preserve">Rights_Coverage</x:t>
        </x:is>
      </x:c>
      <x:c r="D10" s="476" t="inlineStr">
        <x:is>
          <x:t xml:space="preserve">YES</x:t>
        </x:is>
      </x:c>
      <x:c r="E10" s="476" t="inlineStr">
        <x:is>
          <x:t xml:space="preserve">Canonical Appendix C / Rights_Coverage sheet</x:t>
        </x:is>
      </x:c>
      <x:c r="F10" s="476" t="inlineStr">
        <x:is>
          <x:t xml:space="preserve">MATCH</x:t>
        </x:is>
      </x:c>
      <x:c r="G10" s="476" t="n"/>
    </x:row>
    <x:row r="11" s="455" customFormat="1" ht="12.75" customHeight="1">
      <x:c r="A11" s="476" t="inlineStr">
        <x:is>
          <x:t xml:space="preserve">RIGHTS_THRESHOLDS</x:t>
        </x:is>
      </x:c>
      <x:c r="B11" s="476" t="inlineStr">
        <x:is>
          <x:t xml:space="preserve">CANON θ_r values</x:t>
        </x:is>
      </x:c>
      <x:c r="C11" s="476" t="inlineStr">
        <x:is>
          <x:t xml:space="preserve">CANON!A29:C36</x:t>
        </x:is>
      </x:c>
      <x:c r="D11" s="476" t="inlineStr">
        <x:is>
          <x:t xml:space="preserve">YES</x:t>
        </x:is>
      </x:c>
      <x:c r="E11" s="476" t="inlineStr">
        <x:is>
          <x:t xml:space="preserve">CANON θ_r values</x:t>
        </x:is>
      </x:c>
      <x:c r="F11" s="476" t="inlineStr">
        <x:is>
          <x:t xml:space="preserve">MATCH</x:t>
        </x:is>
      </x:c>
      <x:c r="G11" s="476" t="n"/>
    </x:row>
    <x:row r="12" s="455" customFormat="1" ht="12.75" customHeight="1">
      <x:c r="A12" s="476" t="inlineStr">
        <x:is>
          <x:t xml:space="preserve">C_CAT_SET</x:t>
        </x:is>
      </x:c>
      <x:c r="B12" s="476" t="inlineStr">
        <x:is>
          <x:t xml:space="preserve">Canonical catastrophe cells</x:t>
        </x:is>
      </x:c>
      <x:c r="C12" s="476" t="inlineStr">
        <x:is>
          <x:t xml:space="preserve">C_cat</x:t>
        </x:is>
      </x:c>
      <x:c r="D12" s="476" t="inlineStr">
        <x:is>
          <x:t xml:space="preserve">YES</x:t>
        </x:is>
      </x:c>
      <x:c r="E12" s="476" t="inlineStr">
        <x:is>
          <x:t xml:space="preserve">Canonical catastrophe cells</x:t>
        </x:is>
      </x:c>
      <x:c r="F12" s="476" t="inlineStr">
        <x:is>
          <x:t xml:space="preserve">MATCH</x:t>
        </x:is>
      </x:c>
      <x:c r="G12" s="476" t="n"/>
    </x:row>
    <x:row r="13" s="455" customFormat="1" ht="12.75" customHeight="1">
      <x:c r="A13" s="476" t="inlineStr">
        <x:is>
          <x:t xml:space="preserve">SCENARIO_SET</x:t>
        </x:is>
      </x:c>
      <x:c r="B13" s="476" t="inlineStr">
        <x:is>
          <x:t xml:space="preserve">Declared governed scenario set</x:t>
        </x:is>
      </x:c>
      <x:c r="C13" s="476" t="inlineStr">
        <x:is>
          <x:t xml:space="preserve">Scenario_Impacts</x:t>
        </x:is>
      </x:c>
      <x:c r="D13" s="476" t="inlineStr">
        <x:is>
          <x:t xml:space="preserve">YES</x:t>
        </x:is>
      </x:c>
      <x:c r="E13" s="476" t="inlineStr">
        <x:is>
          <x:t xml:space="preserve">Declared governed scenario set</x:t>
        </x:is>
      </x:c>
      <x:c r="F13" s="476" t="inlineStr">
        <x:is>
          <x:t xml:space="preserve">MATCH</x:t>
        </x:is>
      </x:c>
      <x:c r="G13" s="476" t="n"/>
    </x:row>
    <x:row r="14" s="455" customFormat="1" ht="12.75" customHeight="1">
      <x:c r="A14" s="476" t="inlineStr">
        <x:is>
          <x:t xml:space="preserve">SCENARIO_PROBABILITIES</x:t>
        </x:is>
      </x:c>
      <x:c r="B14" s="476" t="inlineStr">
        <x:is>
          <x:t xml:space="preserve">Declared p_s</x:t>
        </x:is>
      </x:c>
      <x:c r="C14" s="476" t="inlineStr">
        <x:is>
          <x:t xml:space="preserve">Scenario_Impacts</x:t>
        </x:is>
      </x:c>
      <x:c r="D14" s="476" t="inlineStr">
        <x:is>
          <x:t xml:space="preserve">YES</x:t>
        </x:is>
      </x:c>
      <x:c r="E14" s="476" t="inlineStr">
        <x:is>
          <x:t xml:space="preserve">Declared p_s</x:t>
        </x:is>
      </x:c>
      <x:c r="F14" s="476" t="inlineStr">
        <x:is>
          <x:t xml:space="preserve">MATCH</x:t>
        </x:is>
      </x:c>
      <x:c r="G14" s="476" t="n"/>
    </x:row>
    <x:row r="15" s="455" customFormat="1" ht="12.75" customHeight="1">
      <x:c r="A15" s="476" t="inlineStr">
        <x:is>
          <x:t xml:space="preserve">CVaR_ALPHA</x:t>
        </x:is>
      </x:c>
      <x:c r="B15" s="476" t="n">
        <x:v>0.95</x:v>
      </x:c>
      <x:c r="C15" s="476" t="inlineStr">
        <x:is>
          <x:t xml:space="preserve">CANON!B18</x:t>
        </x:is>
      </x:c>
      <x:c r="D15" s="476" t="inlineStr">
        <x:is>
          <x:t xml:space="preserve">YES</x:t>
        </x:is>
      </x:c>
      <x:c r="E15" s="476" t="n">
        <x:v>0.95</x:v>
      </x:c>
      <x:c r="F15" s="476" t="inlineStr">
        <x:is>
          <x:t xml:space="preserve">MATCH</x:t>
        </x:is>
      </x:c>
      <x:c r="G15" s="476" t="n"/>
    </x:row>
    <x:row r="16" s="455" customFormat="1" ht="12.75" customHeight="1">
      <x:c r="A16" s="476" t="inlineStr">
        <x:is>
          <x:t xml:space="preserve">TAU_TRC</x:t>
        </x:is>
      </x:c>
      <x:c r="B16" s="476" t="inlineStr">
        <x:is>
          <x:t xml:space="preserve">Declared corridor threshold</x:t>
        </x:is>
      </x:c>
      <x:c r="C16" s="476" t="inlineStr">
        <x:is>
          <x:t xml:space="preserve">TRC</x:t>
        </x:is>
      </x:c>
      <x:c r="D16" s="476" t="inlineStr">
        <x:is>
          <x:t xml:space="preserve">YES</x:t>
        </x:is>
      </x:c>
      <x:c r="E16" s="476" t="inlineStr">
        <x:is>
          <x:t xml:space="preserve">Declared corridor threshold</x:t>
        </x:is>
      </x:c>
      <x:c r="F16" s="476" t="inlineStr">
        <x:is>
          <x:t xml:space="preserve">MATCH</x:t>
        </x:is>
      </x:c>
      <x:c r="G16" s="476" t="n"/>
    </x:row>
    <x:row r="17" s="455" customFormat="1" ht="12.75" customHeight="1">
      <x:c r="A17" s="476" t="inlineStr">
        <x:is>
          <x:t xml:space="preserve">CONTAINMENT_THRESHOLDS</x:t>
        </x:is>
      </x:c>
      <x:c r="B17" s="476" t="inlineStr">
        <x:is>
          <x:t xml:space="preserve">theta_pos / tau_c</x:t>
        </x:is>
      </x:c>
      <x:c r="C17" s="476" t="inlineStr">
        <x:is>
          <x:t xml:space="preserve">CANON!B22:B23</x:t>
        </x:is>
      </x:c>
      <x:c r="D17" s="476" t="inlineStr">
        <x:is>
          <x:t xml:space="preserve">YES</x:t>
        </x:is>
      </x:c>
      <x:c r="E17" s="476" t="inlineStr">
        <x:is>
          <x:t xml:space="preserve">theta_pos / tau_c</x:t>
        </x:is>
      </x:c>
      <x:c r="F17" s="476" t="inlineStr">
        <x:is>
          <x:t xml:space="preserve">MATCH</x:t>
        </x:is>
      </x:c>
      <x:c r="G17" s="476" t="n"/>
    </x:row>
    <x:row r="18" s="455" customFormat="1" ht="12.75" customHeight="1">
      <x:c r="A18" s="476" t="inlineStr">
        <x:is>
          <x:t xml:space="preserve">UNION_WEIGHT_FLOORS</x:t>
        </x:is>
      </x:c>
      <x:c r="B18" s="476" t="inlineStr">
        <x:is>
          <x:t xml:space="preserve">Section 13.1 floor vector</x:t>
        </x:is>
      </x:c>
      <x:c r="C18" s="476" t="inlineStr">
        <x:is>
          <x:t xml:space="preserve">Parameters</x:t>
        </x:is>
      </x:c>
      <x:c r="D18" s="476" t="inlineStr">
        <x:is>
          <x:t xml:space="preserve">YES</x:t>
        </x:is>
      </x:c>
      <x:c r="E18" s="476" t="inlineStr">
        <x:is>
          <x:t xml:space="preserve">Section 13.1 floor vector</x:t>
        </x:is>
      </x:c>
      <x:c r="F18" s="476" t="inlineStr">
        <x:is>
          <x:t xml:space="preserve">MATCH</x:t>
        </x:is>
      </x:c>
      <x:c r="G18" s="476" t="n"/>
    </x:row>
    <x:row r="19" s="455" customFormat="1" ht="12.75" customHeight="1">
      <x:c r="A19" s="476" t="inlineStr">
        <x:is>
          <x:t xml:space="preserve">DIMENSION_WEIGHT_FLOORS</x:t>
        </x:is>
      </x:c>
      <x:c r="B19" s="476" t="inlineStr">
        <x:is>
          <x:t xml:space="preserve">Section 13.1 floor vector</x:t>
        </x:is>
      </x:c>
      <x:c r="C19" s="476" t="inlineStr">
        <x:is>
          <x:t xml:space="preserve">Parameters</x:t>
        </x:is>
      </x:c>
      <x:c r="D19" s="476" t="inlineStr">
        <x:is>
          <x:t xml:space="preserve">YES</x:t>
        </x:is>
      </x:c>
      <x:c r="E19" s="476" t="inlineStr">
        <x:is>
          <x:t xml:space="preserve">Section 13.1 floor vector</x:t>
        </x:is>
      </x:c>
      <x:c r="F19" s="476" t="inlineStr">
        <x:is>
          <x:t xml:space="preserve">MATCH</x:t>
        </x:is>
      </x:c>
      <x:c r="G19" s="476" t="n"/>
    </x:row>
    <x:row r="20" s="455" customFormat="1" ht="26.25" customHeight="1">
      <x:c r="A20" s="476" t="inlineStr">
        <x:is>
          <x:t xml:space="preserve">SGP_SCALAR_BINDING</x:t>
        </x:is>
      </x:c>
      <x:c r="B20" s="476" t="inlineStr">
        <x:is>
          <x:t xml:space="preserve">SG_patient_norm where available, otherwise SG_norm</x:t>
        </x:is>
      </x:c>
      <x:c r="C20" s="476" t="inlineStr">
        <x:is>
          <x:t xml:space="preserve">SGP_Integration</x:t>
        </x:is>
      </x:c>
      <x:c r="D20" s="476" t="inlineStr">
        <x:is>
          <x:t xml:space="preserve">YES</x:t>
        </x:is>
      </x:c>
      <x:c r="E20" s="476" t="inlineStr">
        <x:is>
          <x:t xml:space="preserve">SG_patient_norm where available, otherwise SG_norm</x:t>
        </x:is>
      </x:c>
      <x:c r="F20" s="476" t="inlineStr">
        <x:is>
          <x:t xml:space="preserve">MATCH</x:t>
        </x:is>
      </x:c>
      <x:c r="G20" s="476" t="n"/>
    </x:row>
    <x:row r="21" s="455" customFormat="1" ht="12.75" customHeight="1">
      <x:c r="A21" s="476" t="inlineStr">
        <x:is>
          <x:t xml:space="preserve">SUBGROUP_UPLIFT</x:t>
        </x:is>
      </x:c>
      <x:c r="B21" s="476" t="inlineStr">
        <x:is>
          <x:t xml:space="preserve">gamma_subgroup</x:t>
        </x:is>
      </x:c>
      <x:c r="C21" s="476" t="inlineStr">
        <x:is>
          <x:t xml:space="preserve">Subgroup_Analysis</x:t>
        </x:is>
      </x:c>
      <x:c r="D21" s="476" t="inlineStr">
        <x:is>
          <x:t xml:space="preserve">YES</x:t>
        </x:is>
      </x:c>
      <x:c r="E21" s="476" t="inlineStr">
        <x:is>
          <x:t xml:space="preserve">gamma_subgroup</x:t>
        </x:is>
      </x:c>
      <x:c r="F21" s="476" t="inlineStr">
        <x:is>
          <x:t xml:space="preserve">MATCH</x:t>
        </x:is>
      </x:c>
      <x:c r="G21" s="476" t="n"/>
    </x:row>
    <x:row r="22" s="455" customFormat="1" ht="12.75" customHeight="1">
      <x:c r="A22" s="476" t="inlineStr">
        <x:is>
          <x:t xml:space="preserve">KERNEL_MODE</x:t>
        </x:is>
      </x:c>
      <x:c r="B22" s="476" t="inlineStr">
        <x:is>
          <x:t xml:space="preserve">NONE</x:t>
        </x:is>
      </x:c>
      <x:c r="C22" s="476" t="inlineStr">
        <x:is>
          <x:t xml:space="preserve">CANON / I_prop</x:t>
        </x:is>
      </x:c>
      <x:c r="D22" s="476" t="inlineStr">
        <x:is>
          <x:t xml:space="preserve">YES</x:t>
        </x:is>
      </x:c>
      <x:c r="E22" s="476" t="inlineStr">
        <x:is>
          <x:t xml:space="preserve">NONE</x:t>
        </x:is>
      </x:c>
      <x:c r="F22" s="476" t="inlineStr">
        <x:is>
          <x:t xml:space="preserve">MATCH</x:t>
        </x:is>
      </x:c>
      <x:c r="G22" s="476" t="n"/>
    </x:row>
    <x:row r="23" s="455" customFormat="1" ht="12.75" customHeight="1">
      <x:c r="A23" s="476" t="inlineStr">
        <x:is>
          <x:t xml:space="preserve">SENSITIVITY_SWEEP_SPEC</x:t>
        </x:is>
      </x:c>
      <x:c r="B23" s="476" t="inlineStr">
        <x:is>
          <x:t xml:space="preserve">Declared before run</x:t>
        </x:is>
      </x:c>
      <x:c r="C23" s="476" t="inlineStr">
        <x:is>
          <x:t xml:space="preserve">Sensitivity_Analysis</x:t>
        </x:is>
      </x:c>
      <x:c r="D23" s="476" t="inlineStr">
        <x:is>
          <x:t xml:space="preserve">YES</x:t>
        </x:is>
      </x:c>
      <x:c r="E23" s="476" t="inlineStr">
        <x:is>
          <x:t xml:space="preserve">Declared before run</x:t>
        </x:is>
      </x:c>
      <x:c r="F23" s="476" t="inlineStr">
        <x:is>
          <x:t xml:space="preserve">MATCH</x:t>
        </x:is>
      </x:c>
      <x:c r="G23" s="476" t="n"/>
    </x:row>
    <x:row r="24" s="455" customFormat="1" ht="12.75" customHeight="1">
      <x:c r="A24" s="476" t="inlineStr">
        <x:is>
          <x:t xml:space="preserve">CLAIM_BOUNDARY</x:t>
        </x:is>
      </x:c>
      <x:c r="B24" s="476" t="inlineStr">
        <x:is>
          <x:t xml:space="preserve">Declared claim boundary</x:t>
        </x:is>
      </x:c>
      <x:c r="C24" s="476" t="inlineStr">
        <x:is>
          <x:t xml:space="preserve">PCC / CANON</x:t>
        </x:is>
      </x:c>
      <x:c r="D24" s="476" t="inlineStr">
        <x:is>
          <x:t xml:space="preserve">YES</x:t>
        </x:is>
      </x:c>
      <x:c r="E24" s="476" t="inlineStr">
        <x:is>
          <x:t xml:space="preserve">Declared claim boundary</x:t>
        </x:is>
      </x:c>
      <x:c r="F24" s="476" t="inlineStr">
        <x:is>
          <x:t xml:space="preserve">MATCH</x:t>
        </x:is>
      </x:c>
      <x:c r="G24" s="476" t="n"/>
    </x:row>
    <x:row r="25" s="455" customFormat="1" ht="26.25" customHeight="1">
      <x:c r="A25" s="476" t="inlineStr">
        <x:is>
          <x:t xml:space="preserve">EXECUTION_STABILITY_SPEC</x:t>
        </x:is>
      </x:c>
      <x:c r="B25" s="476" t="inlineStr">
        <x:is>
          <x:t xml:space="preserve">ESD v1.0 regime-token set required for consequence-bearing execution claims</x:t>
        </x:is>
      </x:c>
      <x:c r="C25" s="476" t="inlineStr">
        <x:is>
          <x:t xml:space="preserve">ExecutionStability</x:t>
        </x:is>
      </x:c>
      <x:c r="D25" s="476" t="inlineStr">
        <x:is>
          <x:t xml:space="preserve">YES</x:t>
        </x:is>
      </x:c>
      <x:c r="E25" s="476" t="inlineStr">
        <x:is>
          <x:t xml:space="preserve">ESD v1.0 regime-token set required for consequence-bearing execution claims</x:t>
        </x:is>
      </x:c>
      <x:c r="F25" s="476" t="inlineStr">
        <x:is>
          <x:t xml:space="preserve">MATCH</x:t>
        </x:is>
      </x:c>
      <x:c r="G25" s="476" t="n"/>
    </x:row>
    <x:row r="26" s="455" customFormat="1" ht="12.75" customHeight="1">
      <x:c r="A26" s="476" t="inlineStr">
        <x:is>
          <x:t xml:space="preserve">Status Vocabulary</x:t>
        </x:is>
      </x:c>
      <x:c r="B26" s="476" t="n"/>
      <x:c r="C26" s="476" t="n"/>
      <x:c r="D26" s="476" t="n"/>
      <x:c r="E26" s="476" t="n"/>
      <x:c r="F26" s="476" t="n"/>
      <x:c r="G26" s="476" t="n"/>
    </x:row>
    <x:row r="27" s="455" customFormat="1" ht="39" customHeight="1">
      <x:c r="A27" s="476" t="inlineStr">
        <x:is>
          <x:t xml:space="preserve">Run status</x:t>
        </x:is>
      </x:c>
      <x:c r="B27" s="476" t="inlineStr">
        <x:is>
          <x:t xml:space="preserve">READY | RUNNING | REFUSAL_UNDERDETERMINED | INVALID | COMPLETE</x:t>
        </x:is>
      </x:c>
      <x:c r="C27" s="476" t="n"/>
      <x:c r="D27" s="476" t="n"/>
      <x:c r="E27" s="476" t="n"/>
      <x:c r="F27" s="476" t="n"/>
      <x:c r="G27" s="476" t="n"/>
    </x:row>
    <x:row r="28" s="455" customFormat="1" ht="12.75" customHeight="1">
      <x:c r="A28" s="476" t="inlineStr">
        <x:is>
          <x:t xml:space="preserve">Projection match field</x:t>
        </x:is>
      </x:c>
      <x:c r="B28" s="476" t="inlineStr">
        <x:is>
          <x:t xml:space="preserve">MATCH | MISMATCH | NOT_EVALUATED</x:t>
        </x:is>
      </x:c>
      <x:c r="C28" s="476" t="n"/>
      <x:c r="D28" s="476" t="n"/>
      <x:c r="E28" s="476" t="n"/>
      <x:c r="F28" s="476" t="n"/>
      <x:c r="G28" s="476" t="n"/>
    </x:row>
    <x:row r="29" s="455" customFormat="1" ht="12.75" customHeight="1">
      <x:c r="A29" s="476" t="inlineStr">
        <x:is>
          <x:t xml:space="preserve">Sensitivity module status</x:t>
        </x:is>
      </x:c>
      <x:c r="B29" s="476" t="inlineStr">
        <x:is>
          <x:t xml:space="preserve">NOT_RUN | PERFORMED | INVALID</x:t>
        </x:is>
      </x:c>
      <x:c r="C29" s="476" t="n"/>
      <x:c r="D29" s="476" t="n"/>
      <x:c r="E29" s="476" t="n"/>
      <x:c r="F29" s="476" t="n"/>
      <x:c r="G29" s="476" t="n"/>
    </x:row>
    <x:row r="30" s="455" customFormat="1" ht="12.75" customHeight="1">
      <x:c r="A30" s="476" t="inlineStr">
        <x:is>
          <x:t xml:space="preserve">Sanity checklist status</x:t>
        </x:is>
      </x:c>
      <x:c r="B30" s="476" t="inlineStr">
        <x:is>
          <x:t xml:space="preserve">PASS | FAIL | NA</x:t>
        </x:is>
      </x:c>
      <x:c r="C30" s="476" t="n"/>
      <x:c r="D30" s="476" t="n"/>
      <x:c r="E30" s="476" t="n"/>
      <x:c r="F30" s="476" t="n"/>
      <x:c r="G30" s="476" t="n"/>
    </x:row>
    <x:row r="31" s="455" customFormat="1" ht="12.75" customHeight="1">
      <x:c r="A31" s="476" t="n"/>
      <x:c r="B31" s="476" t="n"/>
      <x:c r="C31" s="476" t="n"/>
      <x:c r="D31" s="476" t="n"/>
      <x:c r="E31" s="476" t="n"/>
      <x:c r="F31" s="476" t="n"/>
      <x:c r="G31" s="476" t="n"/>
    </x:row>
    <x:row r="32" s="455" customFormat="1" ht="92.25" customHeight="1">
      <x:c r="A32" s="476" t="inlineStr">
        <x:is>
          <x:t xml:space="preserve">Material Difference Rule</x:t>
        </x:is>
      </x:c>
      <x:c r="B32" s="476" t="inlineStr">
        <x:is>
          <x:t xml:space="preserve">Materially differs means: (i) any categorical value differs; (ii) any version, hash, pin, or set-membership value differs; (iii) any numeric threshold or probability differs by any amount unless an explicit rounding tolerance is declared; or (iv) any scenario-set, rights-set, catastrophe-set, or sensitivity-sweep specification changes.</x:t>
        </x:is>
      </x:c>
      <x:c r="C32" s="476" t="n"/>
      <x:c r="D32" s="476" t="n"/>
      <x:c r="E32" s="476" t="n"/>
      <x:c r="F32" s="476" t="n"/>
      <x:c r="G32" s="476" t="n"/>
    </x:row>
    <x:row r="33" s="455" customFormat="1" ht="39" customHeight="1">
      <x:c r="A33" s="476" t="inlineStr">
        <x:is>
          <x:t xml:space="preserve">Audit Flag</x:t>
        </x:is>
      </x:c>
      <x:c r="B33" s="476" t="inlineStr">
        <x:is>
          <x:t xml:space="preserve">PROJECTION_MODIFIED_POST_REGISTRATION</x:t>
        </x:is>
      </x:c>
      <x:c r="C33" s="476" t="inlineStr">
        <x:is>
          <x:t xml:space="preserve">Set if any Current Value materially differs from Declared Value after run begins</x:t>
        </x:is>
      </x:c>
      <x:c r="D33" s="476" t="n"/>
      <x:c r="E33" s="476" t="n"/>
      <x:c r="F33" s="476" t="n"/>
      <x:c r="G33" s="476" t="n"/>
    </x:row>
    <x:row r="34" s="455" customFormat="1" ht="12.75" customHeight="1">
      <x:c r="A34" s="476" t="n"/>
      <x:c r="B34" s="476" t="n"/>
      <x:c r="C34" s="476" t="n"/>
      <x:c r="D34" s="476" t="n"/>
      <x:c r="E34" s="476" t="n"/>
      <x:c r="F34" s="476" t="n"/>
      <x:c r="G34" s="476" t="n"/>
    </x:row>
    <x:row r="35" s="455" customFormat="1" ht="12.75" customHeight="1">
      <x:c r="A35" s="476" t="n"/>
      <x:c r="B35" s="476" t="n"/>
      <x:c r="C35" s="476" t="n"/>
      <x:c r="D35" s="476" t="n"/>
      <x:c r="E35" s="476" t="n"/>
      <x:c r="F35" s="476" t="n"/>
      <x:c r="G35" s="476" t="n"/>
    </x:row>
    <x:row r="36" s="455" customFormat="1" ht="26.25" customHeight="1">
      <x:c r="A36" s="476" t="inlineStr">
        <x:is>
          <x:t xml:space="preserve">Execution Stability Rule</x:t>
        </x:is>
      </x:c>
      <x:c r="B36" s="476" t="inlineStr">
        <x:is>
          <x:t xml:space="preserve">ESD missing for required run invalidates execution-stability-classified claim</x:t>
        </x:is>
      </x:c>
      <x:c r="C36" s="476" t="n"/>
      <x:c r="D36" s="476" t="n"/>
      <x:c r="E36" s="476" t="n"/>
      <x:c r="F36" s="476" t="n"/>
      <x:c r="G36" s="476" t="n"/>
    </x:row>
    <x:row r="37" s="455" customFormat="1" ht="39" customHeight="1">
      <x:c r="A37" s="476" t="inlineStr">
        <x:is>
          <x:t xml:space="preserve">ESD block tokens</x:t>
        </x:is>
      </x:c>
      <x:c r="B37" s="476" t="inlineStr">
        <x:is>
          <x:t xml:space="preserve">ESC_UNDERDETERMINED | ESC_ENDPOINT_REFUSED | ESC_CONTAINMENT_FAIL</x:t>
        </x:is>
      </x:c>
      <x:c r="C37" s="476" t="n"/>
      <x:c r="D37" s="476" t="n"/>
      <x:c r="E37" s="476" t="n"/>
      <x:c r="F37" s="476" t="n"/>
      <x:c r="G37" s="476" t="n"/>
    </x:row>
    <x:row r="38" s="455" customFormat="1" ht="26.25" customHeight="1">
      <x:c r="A38" s="476" t="inlineStr">
        <x:is>
          <x:t xml:space="preserve">ESD monitor token</x:t>
        </x:is>
      </x:c>
      <x:c r="B38" s="476" t="inlineStr">
        <x:is>
          <x:t xml:space="preserve">ESC_STABLE_MONITOR requires monitoring/staging plan</x:t>
        </x:is>
      </x:c>
      <x:c r="C38" s="476" t="n"/>
      <x:c r="D38" s="476" t="n"/>
      <x:c r="E38" s="476" t="n"/>
      <x:c r="F38" s="476" t="n"/>
      <x:c r="G38" s="476" t="n"/>
    </x:row>
    <x:row r="39" s="455" customFormat="1" ht="26.25" customHeight="1">
      <x:c r="A39" s="476" t="inlineStr">
        <x:is>
          <x:t xml:space="preserve">ESD bounded token</x:t>
        </x:is>
      </x:c>
      <x:c r="B39" s="476" t="inlineStr">
        <x:is>
          <x:t xml:space="preserve">ESC_DESTABILIZING_BOUNDED requires explicit operator/reviewer approval and rollback path</x:t>
        </x:is>
      </x:c>
      <x:c r="C39" s="476" t="n"/>
      <x:c r="D39" s="476" t="n"/>
      <x:c r="E39" s="476" t="n"/>
      <x:c r="F39" s="476" t="n"/>
      <x:c r="G39" s="476" t="n"/>
    </x:row>
    <x:row r="40" s="455" customFormat="1" ht="12.75" customHeight="1">
      <x:c r="A40" s="476" t="n"/>
      <x:c r="B40" s="476" t="n"/>
      <x:c r="C40" s="476" t="n"/>
      <x:c r="D40" s="476" t="n"/>
      <x:c r="E40" s="476" t="n"/>
      <x:c r="F40" s="476" t="n"/>
      <x:c r="G40" s="476" t="n"/>
    </x:row>
    <x:row r="41" s="455" customFormat="1" ht="12.75" customHeight="1">
      <x:c r="A41" s="476" t="n"/>
      <x:c r="B41" s="476" t="n"/>
      <x:c r="C41" s="476" t="n"/>
      <x:c r="D41" s="476" t="n"/>
      <x:c r="E41" s="476" t="n"/>
      <x:c r="F41" s="476" t="n"/>
      <x:c r="G41" s="476" t="n"/>
    </x:row>
    <x:row r="42" s="455" customFormat="1" ht="12.75" customHeight="1">
      <x:c r="A42" s="476" t="n"/>
      <x:c r="B42" s="476" t="n"/>
      <x:c r="C42" s="476" t="n"/>
      <x:c r="D42" s="476" t="n"/>
      <x:c r="E42" s="476" t="n"/>
      <x:c r="F42" s="476" t="n"/>
      <x:c r="G42" s="476" t="n"/>
    </x:row>
    <x:row r="43" s="455" customFormat="1" ht="12.75" customHeight="1">
      <x:c r="A43" s="476" t="n"/>
      <x:c r="B43" s="476" t="n"/>
      <x:c r="C43" s="476" t="n"/>
      <x:c r="D43" s="476" t="n"/>
      <x:c r="E43" s="476" t="n"/>
      <x:c r="F43" s="476" t="n"/>
      <x:c r="G43" s="476" t="n"/>
    </x:row>
    <x:row r="44" s="455" customFormat="1" ht="12.75" customHeight="1">
      <x:c r="A44" s="476" t="n"/>
      <x:c r="B44" s="476" t="n"/>
      <x:c r="C44" s="476" t="n"/>
      <x:c r="D44" s="476" t="n"/>
      <x:c r="E44" s="476" t="n"/>
      <x:c r="F44" s="476" t="n"/>
      <x:c r="G44" s="476" t="n"/>
    </x:row>
    <x:row r="45" s="455" customFormat="1" ht="12.75" customHeight="1">
      <x:c r="A45" s="476" t="n"/>
      <x:c r="B45" s="476" t="n"/>
      <x:c r="C45" s="476" t="n"/>
      <x:c r="D45" s="476" t="n"/>
      <x:c r="E45" s="476" t="n"/>
      <x:c r="F45" s="476" t="n"/>
      <x:c r="G45" s="476" t="n"/>
    </x:row>
    <x:row r="46" s="455" customFormat="1" ht="12.75" customHeight="1">
      <x:c r="A46" s="476" t="n"/>
      <x:c r="B46" s="476" t="n"/>
      <x:c r="C46" s="476" t="n"/>
      <x:c r="D46" s="476" t="n"/>
      <x:c r="E46" s="476" t="n"/>
      <x:c r="F46" s="476" t="n"/>
      <x:c r="G46" s="476" t="n"/>
    </x:row>
    <x:row r="47" s="455" customFormat="1" ht="12.75" customHeight="1">
      <x:c r="A47" s="476" t="n"/>
      <x:c r="B47" s="476" t="n"/>
      <x:c r="C47" s="476" t="n"/>
      <x:c r="D47" s="476" t="n"/>
      <x:c r="E47" s="476" t="n"/>
      <x:c r="F47" s="476" t="n"/>
      <x:c r="G47" s="476" t="n"/>
    </x:row>
    <x:row r="48" s="455" customFormat="1" ht="12.75" customHeight="1">
      <x:c r="A48" s="476" t="n"/>
      <x:c r="B48" s="476" t="n"/>
      <x:c r="C48" s="476" t="n"/>
      <x:c r="D48" s="476" t="n"/>
      <x:c r="E48" s="476" t="n"/>
      <x:c r="F48" s="476" t="n"/>
      <x:c r="G48" s="476" t="n"/>
    </x:row>
    <x:row r="49" s="455" customFormat="1" ht="12.75" customHeight="1">
      <x:c r="A49" s="476" t="n"/>
      <x:c r="B49" s="476" t="n"/>
      <x:c r="C49" s="476" t="n"/>
      <x:c r="D49" s="476" t="n"/>
      <x:c r="E49" s="476" t="n"/>
      <x:c r="F49" s="476" t="n"/>
      <x:c r="G49" s="476" t="n"/>
    </x:row>
    <x:row r="50" s="455" customFormat="1" ht="12.75" customHeight="1">
      <x:c r="A50" s="476" t="n"/>
      <x:c r="B50" s="476" t="n"/>
      <x:c r="C50" s="476" t="n"/>
      <x:c r="D50" s="476" t="n"/>
      <x:c r="E50" s="476" t="n"/>
      <x:c r="F50" s="476" t="n"/>
      <x:c r="G50" s="476" t="n"/>
    </x:row>
    <x:row r="51" s="455" customFormat="1" ht="12.75" customHeight="1">
      <x:c r="A51" s="476" t="n"/>
      <x:c r="B51" s="476" t="n"/>
      <x:c r="C51" s="476" t="n"/>
      <x:c r="D51" s="476" t="n"/>
      <x:c r="E51" s="476" t="n"/>
      <x:c r="F51" s="476" t="n"/>
      <x:c r="G51" s="476" t="n"/>
    </x:row>
    <x:row r="52" s="455" customFormat="1" ht="12.75" customHeight="1">
      <x:c r="A52" s="476" t="n"/>
      <x:c r="B52" s="476" t="n"/>
      <x:c r="C52" s="476" t="n"/>
      <x:c r="D52" s="476" t="n"/>
      <x:c r="E52" s="476" t="n"/>
      <x:c r="F52" s="476" t="n"/>
      <x:c r="G52" s="476" t="n"/>
    </x:row>
    <x:row r="53" s="455" customFormat="1" ht="12.75" customHeight="1">
      <x:c r="A53" s="476" t="n"/>
      <x:c r="B53" s="476" t="n"/>
      <x:c r="C53" s="476" t="n"/>
      <x:c r="D53" s="476" t="n"/>
      <x:c r="E53" s="476" t="n"/>
      <x:c r="F53" s="476" t="n"/>
      <x:c r="G53" s="476" t="n"/>
    </x:row>
    <x:row r="54" s="455" customFormat="1" ht="12.75" customHeight="1">
      <x:c r="A54" s="476" t="n"/>
      <x:c r="B54" s="476" t="n"/>
      <x:c r="C54" s="476" t="n"/>
      <x:c r="D54" s="476" t="n"/>
      <x:c r="E54" s="476" t="n"/>
      <x:c r="F54" s="476" t="n"/>
      <x:c r="G54" s="476" t="n"/>
    </x:row>
    <x:row r="55" s="455" customFormat="1" ht="12.75" customHeight="1">
      <x:c r="A55" s="476" t="n"/>
      <x:c r="B55" s="476" t="n"/>
      <x:c r="C55" s="476" t="n"/>
      <x:c r="D55" s="476" t="n"/>
      <x:c r="E55" s="476" t="n"/>
      <x:c r="F55" s="476" t="n"/>
      <x:c r="G55" s="476" t="n"/>
    </x:row>
    <x:row r="56" s="455" customFormat="1" ht="12.75" customHeight="1">
      <x:c r="A56" s="476" t="n"/>
      <x:c r="B56" s="476" t="n"/>
      <x:c r="C56" s="476" t="n"/>
      <x:c r="D56" s="476" t="n"/>
      <x:c r="E56" s="476" t="n"/>
      <x:c r="F56" s="476" t="n"/>
      <x:c r="G56" s="476" t="n"/>
    </x:row>
    <x:row r="57" s="455" customFormat="1" ht="12.75" customHeight="1">
      <x:c r="A57" s="476" t="n"/>
      <x:c r="B57" s="476" t="n"/>
      <x:c r="C57" s="476" t="n"/>
      <x:c r="D57" s="476" t="n"/>
      <x:c r="E57" s="476" t="n"/>
      <x:c r="F57" s="476" t="n"/>
      <x:c r="G57" s="476" t="n"/>
    </x:row>
    <x:row r="58" s="455" customFormat="1" ht="12.75" customHeight="1">
      <x:c r="A58" s="476" t="n"/>
      <x:c r="B58" s="476" t="n"/>
      <x:c r="C58" s="476" t="n"/>
      <x:c r="D58" s="476" t="n"/>
      <x:c r="E58" s="476" t="n"/>
      <x:c r="F58" s="476" t="n"/>
      <x:c r="G58" s="476" t="n"/>
    </x:row>
    <x:row r="59" s="455" customFormat="1" ht="12.75" customHeight="1">
      <x:c r="A59" s="476" t="n"/>
      <x:c r="B59" s="476" t="n"/>
      <x:c r="C59" s="476" t="n"/>
      <x:c r="D59" s="476" t="n"/>
      <x:c r="E59" s="476" t="n"/>
      <x:c r="F59" s="476" t="n"/>
      <x:c r="G59" s="476" t="n"/>
    </x:row>
    <x:row r="60" s="455" customFormat="1" ht="12.75" customHeight="1">
      <x:c r="A60" s="476" t="n"/>
      <x:c r="B60" s="476" t="n"/>
      <x:c r="C60" s="476" t="n"/>
      <x:c r="D60" s="476" t="n"/>
      <x:c r="E60" s="476" t="n"/>
      <x:c r="F60" s="476" t="n"/>
      <x:c r="G60" s="476" t="n"/>
    </x:row>
  </x:sheetData>
  <x:pageMargins left="0.7" right="0.7" top="0.75" bottom="0.75" header="0.3" footer="0.3"/>
</x:worksheet>
</file>

<file path=xl/worksheets/sheet30.xml><?xml version="1.0" encoding="utf-8"?>
<x:worksheet xmlns:x="http://schemas.openxmlformats.org/spreadsheetml/2006/main">
  <x:sheetViews>
    <x:sheetView showGridLines="1" workbookViewId="0"/>
  </x:sheetViews>
  <x:sheetFormatPr baseColWidth="8" defaultColWidth="8.6796875" defaultRowHeight="12.75"/>
  <x:cols>
    <x:col min="1" max="1" width="24" style="454" customWidth="1"/>
    <x:col min="2" max="2" width="38" style="454" customWidth="1"/>
    <x:col min="3" max="3" width="30" style="454" customWidth="1"/>
    <x:col min="4" max="4" width="14" style="454" customWidth="1"/>
    <x:col min="5" max="5" width="24" style="454" customWidth="1"/>
    <x:col min="6" max="6" width="34" style="454" customWidth="1"/>
    <x:col min="7" max="7" width="28" style="454" customWidth="1"/>
  </x:cols>
  <x:sheetData>
    <x:row r="1" s="455" customFormat="1" ht="39" customHeight="1">
      <x:c r="A1" s="499" t="inlineStr">
        <x:is>
          <x:t xml:space="preserve">ExecutionStability - PCC.ExecutionStabilityRecord v1.1</x:t>
        </x:is>
      </x:c>
      <x:c r="B1" s="499" t="n"/>
      <x:c r="C1" s="499" t="n"/>
      <x:c r="D1" s="499" t="n"/>
      <x:c r="E1" s="499" t="n"/>
      <x:c r="F1" s="499" t="n"/>
      <x:c r="G1" s="499" t="n"/>
    </x:row>
    <x:row r="2" s="455" customFormat="1" ht="92.25" customHeight="1">
      <x:c r="A2" s="476" t="inlineStr">
        <x:is>
          <x:t xml:space="preserve">Pre-execution regime classification for consequence-bearing transitions. Does not override NCRC, TRC, Containment, Refusal, or lawful authority.</x:t>
        </x:is>
      </x:c>
      <x:c r="B2" s="476" t="n"/>
      <x:c r="C2" s="476" t="n"/>
      <x:c r="D2" s="476" t="n"/>
      <x:c r="E2" s="476" t="n"/>
      <x:c r="F2" s="476" t="n"/>
      <x:c r="G2" s="476" t="n"/>
    </x:row>
    <x:row r="3" s="455" customFormat="1" ht="12.75" customHeight="1">
      <x:c r="A3" s="476" t="n"/>
      <x:c r="B3" s="476" t="n"/>
      <x:c r="C3" s="476" t="n"/>
      <x:c r="D3" s="476" t="n"/>
      <x:c r="E3" s="476" t="n"/>
      <x:c r="F3" s="476" t="n"/>
      <x:c r="G3" s="476" t="n"/>
    </x:row>
    <x:row r="4" s="455" customFormat="1" ht="12.75" customHeight="1">
      <x:c r="A4" s="499" t="inlineStr">
        <x:is>
          <x:t xml:space="preserve">Field</x:t>
        </x:is>
      </x:c>
      <x:c r="B4" s="499" t="inlineStr">
        <x:is>
          <x:t xml:space="preserve">Declared Value</x:t>
        </x:is>
      </x:c>
      <x:c r="C4" s="499" t="inlineStr">
        <x:is>
          <x:t xml:space="preserve">Source Sheet/Cell</x:t>
        </x:is>
      </x:c>
      <x:c r="D4" s="499" t="inlineStr">
        <x:is>
          <x:t xml:space="preserve">Required?</x:t>
        </x:is>
      </x:c>
      <x:c r="E4" s="499" t="inlineStr">
        <x:is>
          <x:t xml:space="preserve">Current Value</x:t>
        </x:is>
      </x:c>
      <x:c r="F4" s="499" t="inlineStr">
        <x:is>
          <x:t xml:space="preserve">Status</x:t>
        </x:is>
      </x:c>
      <x:c r="G4" s="499" t="inlineStr">
        <x:is>
          <x:t xml:space="preserve">Notes</x:t>
        </x:is>
      </x:c>
    </x:row>
    <x:row r="5" s="455" customFormat="1" ht="12.75" customHeight="1">
      <x:c r="A5" s="476" t="inlineStr">
        <x:is>
          <x:t xml:space="preserve">ESD_RECORD_ID</x:t>
        </x:is>
      </x:c>
      <x:c r="B5" s="476" t="inlineStr">
        <x:is>
          <x:t xml:space="preserve">ESD-ORG-2026-001-A</x:t>
        </x:is>
      </x:c>
      <x:c r="C5" s="476" t="inlineStr">
        <x:is>
          <x:t xml:space="preserve">PCC!B189</x:t>
        </x:is>
      </x:c>
      <x:c r="D5" s="476" t="inlineStr">
        <x:is>
          <x:t xml:space="preserve">YES</x:t>
        </x:is>
      </x:c>
      <x:c r="E5" s="476" t="inlineStr">
        <x:is>
          <x:t xml:space="preserve">ESD-ORG-2026-001-A</x:t>
        </x:is>
      </x:c>
      <x:c r="F5" s="476" t="inlineStr">
        <x:is>
          <x:t xml:space="preserve">MATCH</x:t>
        </x:is>
      </x:c>
      <x:c r="G5" s="476" t="n"/>
    </x:row>
    <x:row r="6" s="455" customFormat="1" ht="12.75" customHeight="1">
      <x:c r="A6" s="476" t="inlineStr">
        <x:is>
          <x:t xml:space="preserve">OPTION_ID</x:t>
        </x:is>
      </x:c>
      <x:c r="B6" s="476" t="inlineStr">
        <x:is>
          <x:t xml:space="preserve">A</x:t>
        </x:is>
      </x:c>
      <x:c r="C6" s="476" t="inlineStr">
        <x:is>
          <x:t xml:space="preserve">Dashboard/PCC</x:t>
        </x:is>
      </x:c>
      <x:c r="D6" s="476" t="inlineStr">
        <x:is>
          <x:t xml:space="preserve">YES</x:t>
        </x:is>
      </x:c>
      <x:c r="E6" s="476" t="inlineStr">
        <x:is>
          <x:t xml:space="preserve">A</x:t>
        </x:is>
      </x:c>
      <x:c r="F6" s="476" t="inlineStr">
        <x:is>
          <x:t xml:space="preserve">MATCH</x:t>
        </x:is>
      </x:c>
      <x:c r="G6" s="476" t="n"/>
    </x:row>
    <x:row r="7" s="455" customFormat="1" ht="26.25" customHeight="1">
      <x:c r="A7" s="476" t="inlineStr">
        <x:is>
          <x:t xml:space="preserve">DOMAIN_DECLARED</x:t>
        </x:is>
      </x:c>
      <x:c r="B7" s="476" t="inlineStr">
        <x:is>
          <x:t xml:space="preserve">Organization policy transition</x:t>
        </x:is>
      </x:c>
      <x:c r="C7" s="476" t="inlineStr">
        <x:is>
          <x:t xml:space="preserve">PCC</x:t>
        </x:is>
      </x:c>
      <x:c r="D7" s="476" t="inlineStr">
        <x:is>
          <x:t xml:space="preserve">YES</x:t>
        </x:is>
      </x:c>
      <x:c r="E7" s="476" t="inlineStr">
        <x:is>
          <x:t xml:space="preserve">Organization policy transition</x:t>
        </x:is>
      </x:c>
      <x:c r="F7" s="476" t="inlineStr">
        <x:is>
          <x:t xml:space="preserve">MATCH</x:t>
        </x:is>
      </x:c>
      <x:c r="G7" s="476" t="n"/>
    </x:row>
    <x:row r="8" s="455" customFormat="1" ht="39" customHeight="1">
      <x:c r="A8" s="476" t="inlineStr">
        <x:is>
          <x:t xml:space="preserve">CURRENT_STATE_SUMMARY</x:t>
        </x:is>
      </x:c>
      <x:c r="B8" s="476" t="inlineStr">
        <x:is>
          <x:t xml:space="preserve">Pre-deployment / pre-execution worked-run exemplar</x:t>
        </x:is>
      </x:c>
      <x:c r="C8" s="476" t="inlineStr">
        <x:is>
          <x:t xml:space="preserve">PCC</x:t>
        </x:is>
      </x:c>
      <x:c r="D8" s="476" t="inlineStr">
        <x:is>
          <x:t xml:space="preserve">YES</x:t>
        </x:is>
      </x:c>
      <x:c r="E8" s="476" t="inlineStr">
        <x:is>
          <x:t xml:space="preserve">Pre-deployment / pre-execution worked-run exemplar</x:t>
        </x:is>
      </x:c>
      <x:c r="F8" s="476" t="inlineStr">
        <x:is>
          <x:t xml:space="preserve">MATCH</x:t>
        </x:is>
      </x:c>
      <x:c r="G8" s="476" t="n"/>
    </x:row>
    <x:row r="9" s="455" customFormat="1" ht="39" customHeight="1">
      <x:c r="A9" s="476" t="inlineStr">
        <x:is>
          <x:t xml:space="preserve">PROPOSED_TRANSITION</x:t>
        </x:is>
      </x:c>
      <x:c r="B9" s="476" t="inlineStr">
        <x:is>
          <x:t xml:space="preserve">Implement authority-selected option under declared scope and monitoring</x:t>
        </x:is>
      </x:c>
      <x:c r="C9" s="476" t="inlineStr">
        <x:is>
          <x:t xml:space="preserve">PCC</x:t>
        </x:is>
      </x:c>
      <x:c r="D9" s="476" t="inlineStr">
        <x:is>
          <x:t xml:space="preserve">YES</x:t>
        </x:is>
      </x:c>
      <x:c r="E9" s="476" t="inlineStr">
        <x:is>
          <x:t xml:space="preserve">Implement authority-selected option under declared scope and monitoring</x:t>
        </x:is>
      </x:c>
      <x:c r="F9" s="476" t="inlineStr">
        <x:is>
          <x:t xml:space="preserve">MATCH</x:t>
        </x:is>
      </x:c>
      <x:c r="G9" s="476" t="n"/>
    </x:row>
    <x:row r="10" s="455" customFormat="1" ht="26.25" customHeight="1">
      <x:c r="A10" s="476" t="inlineStr">
        <x:is>
          <x:t xml:space="preserve">CONTINUATION_REQUIREMENT</x:t>
        </x:is>
      </x:c>
      <x:c r="B10" s="476" t="inlineStr">
        <x:is>
          <x:t xml:space="preserve">Continuity required for affected scopes</x:t>
        </x:is>
      </x:c>
      <x:c r="C10" s="476" t="inlineStr">
        <x:is>
          <x:t xml:space="preserve">PCC</x:t>
        </x:is>
      </x:c>
      <x:c r="D10" s="476" t="inlineStr">
        <x:is>
          <x:t xml:space="preserve">YES</x:t>
        </x:is>
      </x:c>
      <x:c r="E10" s="476" t="inlineStr">
        <x:is>
          <x:t xml:space="preserve">Continuity required for affected scopes</x:t>
        </x:is>
      </x:c>
      <x:c r="F10" s="476" t="inlineStr">
        <x:is>
          <x:t xml:space="preserve">MATCH</x:t>
        </x:is>
      </x:c>
      <x:c r="G10" s="476" t="n"/>
    </x:row>
    <x:row r="11" s="455" customFormat="1" ht="26.25" customHeight="1">
      <x:c r="A11" s="476" t="inlineStr">
        <x:is>
          <x:t xml:space="preserve">AFFECTED_SCOPES</x:t>
        </x:is>
      </x:c>
      <x:c r="B11" s="476" t="inlineStr">
        <x:is>
          <x:t xml:space="preserve">U1-U7 as declared in PCC/closure</x:t>
        </x:is>
      </x:c>
      <x:c r="C11" s="476" t="inlineStr">
        <x:is>
          <x:t xml:space="preserve">PCC.ComputationalClosure</x:t>
        </x:is>
      </x:c>
      <x:c r="D11" s="476" t="inlineStr">
        <x:is>
          <x:t xml:space="preserve">YES</x:t>
        </x:is>
      </x:c>
      <x:c r="E11" s="476" t="inlineStr">
        <x:is>
          <x:t xml:space="preserve">U1-U7 as declared in PCC/closure</x:t>
        </x:is>
      </x:c>
      <x:c r="F11" s="476" t="inlineStr">
        <x:is>
          <x:t xml:space="preserve">MATCH</x:t>
        </x:is>
      </x:c>
      <x:c r="G11" s="476" t="n"/>
    </x:row>
    <x:row r="12" s="455" customFormat="1" ht="26.25" customHeight="1">
      <x:c r="A12" s="476" t="inlineStr">
        <x:is>
          <x:t xml:space="preserve">REVERSIBILITY_STATUS</x:t>
        </x:is>
      </x:c>
      <x:c r="B12" s="476" t="inlineStr">
        <x:is>
          <x:t xml:space="preserve">Staged / reversible in policy cycle</x:t>
        </x:is>
      </x:c>
      <x:c r="C12" s="476" t="inlineStr">
        <x:is>
          <x:t xml:space="preserve">PCC</x:t>
        </x:is>
      </x:c>
      <x:c r="D12" s="476" t="inlineStr">
        <x:is>
          <x:t xml:space="preserve">YES</x:t>
        </x:is>
      </x:c>
      <x:c r="E12" s="476" t="inlineStr">
        <x:is>
          <x:t xml:space="preserve">Staged / reversible in policy cycle</x:t>
        </x:is>
      </x:c>
      <x:c r="F12" s="476" t="inlineStr">
        <x:is>
          <x:t xml:space="preserve">MATCH</x:t>
        </x:is>
      </x:c>
      <x:c r="G12" s="476" t="n"/>
    </x:row>
    <x:row r="13" s="455" customFormat="1" ht="26.25" customHeight="1">
      <x:c r="A13" s="476" t="inlineStr">
        <x:is>
          <x:t xml:space="preserve">ENDPOINT_RISK</x:t>
        </x:is>
      </x:c>
      <x:c r="B13" s="476" t="inlineStr">
        <x:is>
          <x:t xml:space="preserve">No endpoint-like closure declared in worked example</x:t>
        </x:is>
      </x:c>
      <x:c r="C13" s="476" t="inlineStr">
        <x:is>
          <x:t xml:space="preserve">PCC</x:t>
        </x:is>
      </x:c>
      <x:c r="D13" s="476" t="inlineStr">
        <x:is>
          <x:t xml:space="preserve">YES</x:t>
        </x:is>
      </x:c>
      <x:c r="E13" s="476" t="inlineStr">
        <x:is>
          <x:t xml:space="preserve">No endpoint-like closure declared in worked example</x:t>
        </x:is>
      </x:c>
      <x:c r="F13" s="476" t="inlineStr">
        <x:is>
          <x:t xml:space="preserve">MATCH</x:t>
        </x:is>
      </x:c>
      <x:c r="G13" s="476" t="n"/>
    </x:row>
    <x:row r="14" s="455" customFormat="1" ht="52.5" customHeight="1">
      <x:c r="A14" s="476" t="inlineStr">
        <x:is>
          <x:t xml:space="preserve">DESTABILIZATION_INDICATORS</x:t>
        </x:is>
      </x:c>
      <x:c r="B14" s="476" t="inlineStr">
        <x:is>
          <x:t xml:space="preserve">Monitor productivity, burnout, cohesion, due process, information integrity</x:t>
        </x:is>
      </x:c>
      <x:c r="C14" s="476" t="inlineStr">
        <x:is>
          <x:t xml:space="preserve">PCC</x:t>
        </x:is>
      </x:c>
      <x:c r="D14" s="476" t="inlineStr">
        <x:is>
          <x:t xml:space="preserve">YES</x:t>
        </x:is>
      </x:c>
      <x:c r="E14" s="476" t="inlineStr">
        <x:is>
          <x:t xml:space="preserve">Monitor productivity, burnout, cohesion, due process, information integrity</x:t>
        </x:is>
      </x:c>
      <x:c r="F14" s="476" t="inlineStr">
        <x:is>
          <x:t xml:space="preserve">MATCH</x:t>
        </x:is>
      </x:c>
      <x:c r="G14" s="476" t="n"/>
    </x:row>
    <x:row r="15" s="455" customFormat="1" ht="26.25" customHeight="1">
      <x:c r="A15" s="476" t="inlineStr">
        <x:is>
          <x:t xml:space="preserve">CONTAINMENT_DISPOSITION</x:t>
        </x:is>
      </x:c>
      <x:c r="B15" s="476" t="inlineStr">
        <x:is>
          <x:t xml:space="preserve">See Containment sheet</x:t>
        </x:is>
      </x:c>
      <x:c r="C15" s="476" t="inlineStr">
        <x:is>
          <x:t xml:space="preserve">Containment</x:t>
        </x:is>
      </x:c>
      <x:c r="D15" s="476" t="inlineStr">
        <x:is>
          <x:t xml:space="preserve">YES</x:t>
        </x:is>
      </x:c>
      <x:c r="E15" s="476" t="inlineStr">
        <x:is>
          <x:t xml:space="preserve">See Containment sheet</x:t>
        </x:is>
      </x:c>
      <x:c r="F15" s="476" t="inlineStr">
        <x:is>
          <x:t xml:space="preserve">MATCH</x:t>
        </x:is>
      </x:c>
      <x:c r="G15" s="476" t="n"/>
    </x:row>
    <x:row r="16" s="455" customFormat="1" ht="39" customHeight="1">
      <x:c r="A16" s="476" t="inlineStr">
        <x:is>
          <x:t xml:space="preserve">ADMISSIBILITY_STATE_BEFORE_ESD</x:t>
        </x:is>
      </x:c>
      <x:c r="B16" s="476" t="inlineStr">
        <x:is>
          <x:t xml:space="preserve">Selectable only if NCRC/TRC/Containment pass</x:t>
        </x:is>
      </x:c>
      <x:c r="C16" s="476" t="inlineStr">
        <x:is>
          <x:t xml:space="preserve">Dashboard/PCC</x:t>
        </x:is>
      </x:c>
      <x:c r="D16" s="476" t="inlineStr">
        <x:is>
          <x:t xml:space="preserve">YES</x:t>
        </x:is>
      </x:c>
      <x:c r="E16" s="476" t="inlineStr">
        <x:is>
          <x:t xml:space="preserve">Selectable only if NCRC/TRC/Containment pass</x:t>
        </x:is>
      </x:c>
      <x:c r="F16" s="476" t="inlineStr">
        <x:is>
          <x:t xml:space="preserve">MATCH</x:t>
        </x:is>
      </x:c>
      <x:c r="G16" s="476" t="n"/>
    </x:row>
    <x:row r="17" s="455" customFormat="1" ht="39" customHeight="1">
      <x:c r="A17" s="476" t="inlineStr">
        <x:is>
          <x:t xml:space="preserve">EVIDENCE_BASIS</x:t>
        </x:is>
      </x:c>
      <x:c r="B17" s="476" t="inlineStr">
        <x:is>
          <x:t xml:space="preserve">Worked-run exemplar evidence, not production validation</x:t>
        </x:is>
      </x:c>
      <x:c r="C17" s="476" t="inlineStr">
        <x:is>
          <x:t xml:space="preserve">PCC</x:t>
        </x:is>
      </x:c>
      <x:c r="D17" s="476" t="inlineStr">
        <x:is>
          <x:t xml:space="preserve">YES</x:t>
        </x:is>
      </x:c>
      <x:c r="E17" s="476" t="inlineStr">
        <x:is>
          <x:t xml:space="preserve">Worked-run exemplar evidence, not production validation</x:t>
        </x:is>
      </x:c>
      <x:c r="F17" s="476" t="inlineStr">
        <x:is>
          <x:t xml:space="preserve">MATCH</x:t>
        </x:is>
      </x:c>
      <x:c r="G17" s="476" t="n"/>
    </x:row>
    <x:row r="18" s="455" customFormat="1" ht="105" customHeight="1">
      <x:c r="A18" s="476" t="inlineStr">
        <x:is>
          <x:t xml:space="preserve">REGIME_TOKEN</x:t>
        </x:is>
      </x:c>
      <x:c r="B18" s="476" t="inlineStr">
        <x:is>
          <x:t xml:space="preserve">ESC_STABLE_MONITOR</x:t>
        </x:is>
      </x:c>
      <x:c r="C18" s="476" t="inlineStr">
        <x:is>
          <x:t xml:space="preserve">ExecutionStability</x:t>
        </x:is>
      </x:c>
      <x:c r="D18" s="476" t="inlineStr">
        <x:is>
          <x:t xml:space="preserve">YES</x:t>
        </x:is>
      </x:c>
      <x:c r="E18" s="476" t="inlineStr">
        <x:is>
          <x:t xml:space="preserve">ESC_STABLE_MONITOR</x:t>
        </x:is>
      </x:c>
      <x:c r="F18" s="476" t="inlineStr">
        <x:is>
          <x:t xml:space="preserve">MATCH</x:t>
        </x:is>
      </x:c>
      <x:c r="G18" s="476" t="inlineStr">
        <x:is>
          <x:t xml:space="preserve">Allowed: ESC_STABLE, ESC_STABLE_MONITOR, ESC_DESTABILIZING_BOUNDED, ESC_ENDPOINT_AUTHORIZED, ESC_ENDPOINT_REFUSED, ESC_CONTAINMENT_FAIL, ESC_UNDERDETERMINED</x:t>
        </x:is>
      </x:c>
    </x:row>
    <x:row r="19" s="455" customFormat="1" ht="26.25" customHeight="1">
      <x:c r="A19" s="476" t="inlineStr">
        <x:is>
          <x:t xml:space="preserve">MONITORING_OR_STAGING_PLAN</x:t>
        </x:is>
      </x:c>
      <x:c r="B19" s="476" t="inlineStr">
        <x:is>
          <x:t xml:space="preserve">Required for execution-stability claim</x:t>
        </x:is>
      </x:c>
      <x:c r="C19" s="476" t="inlineStr">
        <x:is>
          <x:t xml:space="preserve">PCC</x:t>
        </x:is>
      </x:c>
      <x:c r="D19" s="476" t="inlineStr">
        <x:is>
          <x:t xml:space="preserve">YES</x:t>
        </x:is>
      </x:c>
      <x:c r="E19" s="476" t="inlineStr">
        <x:is>
          <x:t xml:space="preserve">Required for execution-stability claim</x:t>
        </x:is>
      </x:c>
      <x:c r="F19" s="476" t="inlineStr">
        <x:is>
          <x:t xml:space="preserve">MATCH</x:t>
        </x:is>
      </x:c>
      <x:c r="G19" s="476" t="n"/>
    </x:row>
    <x:row r="20" s="455" customFormat="1" ht="26.25" customHeight="1">
      <x:c r="A20" s="476" t="inlineStr">
        <x:is>
          <x:t xml:space="preserve">ROLLBACK_OR_REPAIR_PATH</x:t>
        </x:is>
      </x:c>
      <x:c r="B20" s="476" t="inlineStr">
        <x:is>
          <x:t xml:space="preserve">Policy rollback / revision / review cycle</x:t>
        </x:is>
      </x:c>
      <x:c r="C20" s="476" t="inlineStr">
        <x:is>
          <x:t xml:space="preserve">PCC</x:t>
        </x:is>
      </x:c>
      <x:c r="D20" s="476" t="inlineStr">
        <x:is>
          <x:t xml:space="preserve">YES</x:t>
        </x:is>
      </x:c>
      <x:c r="E20" s="476" t="inlineStr">
        <x:is>
          <x:t xml:space="preserve">Policy rollback / revision / review cycle</x:t>
        </x:is>
      </x:c>
      <x:c r="F20" s="476" t="inlineStr">
        <x:is>
          <x:t xml:space="preserve">MATCH</x:t>
        </x:is>
      </x:c>
      <x:c r="G20" s="476" t="n"/>
    </x:row>
    <x:row r="21" s="455" customFormat="1" ht="26.25" customHeight="1">
      <x:c r="A21" s="476" t="inlineStr">
        <x:is>
          <x:t xml:space="preserve">ESCALATION_ROUTE</x:t>
        </x:is>
      </x:c>
      <x:c r="B21" s="476" t="inlineStr">
        <x:is>
          <x:t xml:space="preserve">Operator / governance reviewer</x:t>
        </x:is>
      </x:c>
      <x:c r="C21" s="476" t="inlineStr">
        <x:is>
          <x:t xml:space="preserve">PCC</x:t>
        </x:is>
      </x:c>
      <x:c r="D21" s="476" t="inlineStr">
        <x:is>
          <x:t xml:space="preserve">YES</x:t>
        </x:is>
      </x:c>
      <x:c r="E21" s="476" t="inlineStr">
        <x:is>
          <x:t xml:space="preserve">Operator / governance reviewer</x:t>
        </x:is>
      </x:c>
      <x:c r="F21" s="476" t="inlineStr">
        <x:is>
          <x:t xml:space="preserve">MATCH</x:t>
        </x:is>
      </x:c>
      <x:c r="G21" s="476" t="n"/>
    </x:row>
    <x:row r="22" s="455" customFormat="1" ht="39" customHeight="1">
      <x:c r="A22" s="476" t="inlineStr">
        <x:is>
          <x:t xml:space="preserve">EXECUTION_DISPOSITION</x:t>
        </x:is>
      </x:c>
      <x:c r="B22" s="476" t="inlineStr">
        <x:is>
          <x:t xml:space="preserve">Execution-stability-classified only as worked exemplar</x:t>
        </x:is>
      </x:c>
      <x:c r="C22" s="476" t="inlineStr">
        <x:is>
          <x:t xml:space="preserve">PCC</x:t>
        </x:is>
      </x:c>
      <x:c r="D22" s="476" t="inlineStr">
        <x:is>
          <x:t xml:space="preserve">YES</x:t>
        </x:is>
      </x:c>
      <x:c r="E22" s="476" t="inlineStr">
        <x:is>
          <x:t xml:space="preserve">Execution-stability-classified only as worked exemplar</x:t>
        </x:is>
      </x:c>
      <x:c r="F22" s="476" t="inlineStr">
        <x:is>
          <x:t xml:space="preserve">MATCH</x:t>
        </x:is>
      </x:c>
      <x:c r="G22" s="476" t="n"/>
    </x:row>
    <x:row r="23" s="455" customFormat="1" ht="39" customHeight="1">
      <x:c r="A23" s="476" t="inlineStr">
        <x:is>
          <x:t xml:space="preserve">CLAIM_BOUNDARY</x:t>
        </x:is>
      </x:c>
      <x:c r="B23" s="476" t="inlineStr">
        <x:is>
          <x:t xml:space="preserve">Demonstrates sheet surface, not empirical operational readiness</x:t>
        </x:is>
      </x:c>
      <x:c r="C23" s="476" t="inlineStr">
        <x:is>
          <x:t xml:space="preserve">PCC</x:t>
        </x:is>
      </x:c>
      <x:c r="D23" s="476" t="inlineStr">
        <x:is>
          <x:t xml:space="preserve">YES</x:t>
        </x:is>
      </x:c>
      <x:c r="E23" s="476" t="inlineStr">
        <x:is>
          <x:t xml:space="preserve">Demonstrates sheet surface, not empirical operational readiness</x:t>
        </x:is>
      </x:c>
      <x:c r="F23" s="476" t="inlineStr">
        <x:is>
          <x:t xml:space="preserve">MATCH</x:t>
        </x:is>
      </x:c>
      <x:c r="G23" s="476" t="n"/>
    </x:row>
    <x:row r="24" s="455" customFormat="1" ht="26.25" customHeight="1">
      <x:c r="A24" s="476" t="inlineStr">
        <x:is>
          <x:t xml:space="preserve">REVIEWER_SIGNATURE_OR_ROLE</x:t>
        </x:is>
      </x:c>
      <x:c r="B24" s="476" t="inlineStr">
        <x:is>
          <x:t xml:space="preserve">Reviewer role required for production use</x:t>
        </x:is>
      </x:c>
      <x:c r="C24" s="476" t="inlineStr">
        <x:is>
          <x:t xml:space="preserve">PCC</x:t>
        </x:is>
      </x:c>
      <x:c r="D24" s="476" t="inlineStr">
        <x:is>
          <x:t xml:space="preserve">YES</x:t>
        </x:is>
      </x:c>
      <x:c r="E24" s="476" t="inlineStr">
        <x:is>
          <x:t xml:space="preserve">Reviewer role required for production use</x:t>
        </x:is>
      </x:c>
      <x:c r="F24" s="476" t="inlineStr">
        <x:is>
          <x:t xml:space="preserve">MATCH</x:t>
        </x:is>
      </x:c>
      <x:c r="G24" s="476" t="n"/>
    </x:row>
    <x:row r="25" s="455" customFormat="1" ht="12.75" customHeight="1">
      <x:c r="A25" s="476" t="inlineStr">
        <x:is>
          <x:t xml:space="preserve">TIMESTAMP</x:t>
        </x:is>
      </x:c>
      <x:c r="B25" s="476" t="inlineStr">
        <x:is>
          <x:t xml:space="preserve">2026-05-11</x:t>
        </x:is>
      </x:c>
      <x:c r="C25" s="476" t="inlineStr">
        <x:is>
          <x:t xml:space="preserve">PCC</x:t>
        </x:is>
      </x:c>
      <x:c r="D25" s="476" t="inlineStr">
        <x:is>
          <x:t xml:space="preserve">YES</x:t>
        </x:is>
      </x:c>
      <x:c r="E25" s="476" t="inlineStr">
        <x:is>
          <x:t xml:space="preserve">2026-05-19</x:t>
        </x:is>
      </x:c>
      <x:c r="F25" s="476" t="inlineStr">
        <x:is>
          <x:t xml:space="preserve">MATCH</x:t>
        </x:is>
      </x:c>
      <x:c r="G25" s="476" t="n"/>
    </x:row>
    <x:row r="26" s="455" customFormat="1" ht="12.75" customHeight="1">
      <x:c r="A26" s="476" t="n"/>
      <x:c r="B26" s="476" t="n"/>
      <x:c r="C26" s="476" t="n"/>
      <x:c r="D26" s="476" t="n"/>
      <x:c r="E26" s="476" t="n"/>
      <x:c r="F26" s="476" t="n"/>
      <x:c r="G26" s="476" t="n"/>
    </x:row>
    <x:row r="27" s="455" customFormat="1" ht="105" customHeight="1">
      <x:c r="A27" s="476" t="inlineStr">
        <x:is>
          <x:t xml:space="preserve">Blocking rule</x:t>
        </x:is>
      </x:c>
      <x:c r="B27" s="476" t="inlineStr">
        <x:is>
          <x:t xml:space="preserve">If REGIME_TOKEN is ESC_UNDERDETERMINED, ESC_ENDPOINT_REFUSED, or ESC_CONTAINMENT_FAIL, do not execute and route to Refusal / review.</x:t>
        </x:is>
      </x:c>
      <x:c r="C27" s="476" t="n"/>
      <x:c r="D27" s="476" t="inlineStr">
        <x:is>
          <x:t xml:space="preserve">YES</x:t>
        </x:is>
      </x:c>
      <x:c r="E27" s="476" t="inlineStr">
        <x:is>
          <x:t xml:space="preserve">If REGIME_TOKEN is ESC_UNDERDETERMINED, ESC_ENDPOINT_REFUSED, or ESC_CONTAINMENT_FAIL, do not execute and route to Refusal / review.</x:t>
        </x:is>
      </x:c>
      <x:c r="F27" s="476" t="inlineStr">
        <x:is>
          <x:t xml:space="preserve">MATCH</x:t>
        </x:is>
      </x:c>
      <x:c r="G27" s="476" t="n"/>
    </x:row>
    <x:row r="28" s="455" customFormat="1" ht="52.5" customHeight="1">
      <x:c r="A28" s="476" t="inlineStr">
        <x:is>
          <x:t xml:space="preserve">Non-override rule</x:t>
        </x:is>
      </x:c>
      <x:c r="B28" s="476" t="inlineStr">
        <x:is>
          <x:t xml:space="preserve">ESD cannot rescue failures at NCRC, TRC, Containment, Refusal, or lawful authority.</x:t>
        </x:is>
      </x:c>
      <x:c r="C28" s="476" t="n"/>
      <x:c r="D28" s="476" t="inlineStr">
        <x:is>
          <x:t xml:space="preserve">YES</x:t>
        </x:is>
      </x:c>
      <x:c r="E28" s="476" t="inlineStr">
        <x:is>
          <x:t xml:space="preserve">ESD cannot rescue failures at NCRC, TRC, Containment, Refusal, or lawful authority.</x:t>
        </x:is>
      </x:c>
      <x:c r="F28" s="476" t="inlineStr">
        <x:is>
          <x:t xml:space="preserve">MATCH</x:t>
        </x:is>
      </x:c>
      <x:c r="G28" s="476" t="n"/>
    </x:row>
    <x:row r="29" s="455" customFormat="1" ht="12.75" customHeight="1">
      <x:c r="A29" s="476" t="n"/>
      <x:c r="B29" s="476" t="n"/>
      <x:c r="C29" s="476" t="n"/>
      <x:c r="D29" s="476" t="n"/>
      <x:c r="E29" s="476" t="n"/>
      <x:c r="F29" s="476" t="n"/>
      <x:c r="G29" s="476" t="n"/>
    </x:row>
    <x:row r="30" s="455" customFormat="1" ht="26.25" customHeight="1">
      <x:c r="A30" s="476" t="inlineStr">
        <x:is>
          <x:t xml:space="preserve">INDICATORS BLOCK (Appendix T.4.1)</x:t>
        </x:is>
      </x:c>
      <x:c r="B30" s="476" t="n"/>
      <x:c r="C30" s="476" t="n"/>
      <x:c r="D30" s="476" t="n"/>
      <x:c r="E30" s="476" t="n"/>
      <x:c r="F30" s="476" t="n"/>
      <x:c r="G30" s="476" t="n"/>
    </x:row>
    <x:row r="31" s="455" customFormat="1" ht="12.75" customHeight="1">
      <x:c r="A31" s="476" t="inlineStr">
        <x:is>
          <x:t xml:space="preserve">indicator_id</x:t>
        </x:is>
      </x:c>
      <x:c r="B31" s="476" t="inlineStr">
        <x:is>
          <x:t xml:space="preserve">indicator_name</x:t>
        </x:is>
      </x:c>
      <x:c r="C31" s="476" t="inlineStr">
        <x:is>
          <x:t xml:space="preserve">measurement_method</x:t>
        </x:is>
      </x:c>
      <x:c r="D31" s="476" t="inlineStr">
        <x:is>
          <x:t xml:space="preserve">data_source</x:t>
        </x:is>
      </x:c>
      <x:c r="E31" s="476" t="inlineStr">
        <x:is>
          <x:t xml:space="preserve">signal_threshold</x:t>
        </x:is>
      </x:c>
      <x:c r="F31" s="476" t="inlineStr">
        <x:is>
          <x:t xml:space="preserve">decision_rule_for_token_assignment</x:t>
        </x:is>
      </x:c>
      <x:c r="G31" s="476" t="inlineStr">
        <x:is>
          <x:t xml:space="preserve">Status</x:t>
        </x:is>
      </x:c>
    </x:row>
    <x:row r="32" s="455" customFormat="1" ht="66" customHeight="1">
      <x:c r="A32" s="476" t="inlineStr">
        <x:is>
          <x:t xml:space="preserve">IND-001</x:t>
        </x:is>
      </x:c>
      <x:c r="B32" s="476" t="inlineStr">
        <x:is>
          <x:t xml:space="preserve">productivity_decline</x:t>
        </x:is>
      </x:c>
      <x:c r="C32" s="476" t="inlineStr">
        <x:is>
          <x:t xml:space="preserve">Rolling 13-week mean of OKR / task completion rate compared with 52-week baseline</x:t>
        </x:is>
      </x:c>
      <x:c r="D32" s="476" t="inlineStr">
        <x:is>
          <x:t xml:space="preserve">Declared organizational analytics or manual evidence log</x:t>
        </x:is>
      </x:c>
      <x:c r="E32" s="476" t="inlineStr">
        <x:is>
          <x:t xml:space="preserve">&lt;-10% relative to baseline</x:t>
        </x:is>
      </x:c>
      <x:c r="F32" s="476" t="inlineStr">
        <x:is>
          <x:t xml:space="preserve">Active indicator contributes to ESC_STABLE_MONITOR; if 3+ active for 4+ weeks, route to ESC_DESTABILIZING_BOUNDED or review</x:t>
        </x:is>
      </x:c>
      <x:c r="G32" s="476" t="inlineStr">
        <x:is>
          <x:t xml:space="preserve">DECLARED</x:t>
        </x:is>
      </x:c>
    </x:row>
    <x:row r="33" s="455" customFormat="1" ht="52.5" customHeight="1">
      <x:c r="A33" s="476" t="inlineStr">
        <x:is>
          <x:t xml:space="preserve">IND-002</x:t>
        </x:is>
      </x:c>
      <x:c r="B33" s="476" t="inlineStr">
        <x:is>
          <x:t xml:space="preserve">burnout_signal</x:t>
        </x:is>
      </x:c>
      <x:c r="C33" s="476" t="inlineStr">
        <x:is>
          <x:t xml:space="preserve">Rolling pulse-survey or workload proxy trend</x:t>
        </x:is>
      </x:c>
      <x:c r="D33" s="476" t="inlineStr">
        <x:is>
          <x:t xml:space="preserve">HR / reviewer evidence log</x:t>
        </x:is>
      </x:c>
      <x:c r="E33" s="476" t="inlineStr">
        <x:is>
          <x:t xml:space="preserve">&gt;15% adverse shift or two consecutive high-risk readings</x:t>
        </x:is>
      </x:c>
      <x:c r="F33" s="476" t="inlineStr">
        <x:is>
          <x:t xml:space="preserve">Active indicator requires monitoring plan; severe or persistent signal escalates to ESC_DESTABILIZING_BOUNDED</x:t>
        </x:is>
      </x:c>
      <x:c r="G33" s="476" t="inlineStr">
        <x:is>
          <x:t xml:space="preserve">DECLARED</x:t>
        </x:is>
      </x:c>
    </x:row>
    <x:row r="34" s="455" customFormat="1" ht="66" customHeight="1">
      <x:c r="A34" s="476" t="inlineStr">
        <x:is>
          <x:t xml:space="preserve">IND-003</x:t>
        </x:is>
      </x:c>
      <x:c r="B34" s="476" t="inlineStr">
        <x:is>
          <x:t xml:space="preserve">cohesion_decline</x:t>
        </x:is>
      </x:c>
      <x:c r="C34" s="476" t="inlineStr">
        <x:is>
          <x:t xml:space="preserve">Stakeholder trust / conflict / retention proxy</x:t>
        </x:is>
      </x:c>
      <x:c r="D34" s="476" t="inlineStr">
        <x:is>
          <x:t xml:space="preserve">Stakeholder survey, meeting log, or governance review</x:t>
        </x:is>
      </x:c>
      <x:c r="E34" s="476" t="inlineStr">
        <x:is>
          <x:t xml:space="preserve">Material negative trend over declared monitoring horizon</x:t>
        </x:is>
      </x:c>
      <x:c r="F34" s="476" t="inlineStr">
        <x:is>
          <x:t xml:space="preserve">If active with due-process or information-integrity indicators, require reviewer escalation</x:t>
        </x:is>
      </x:c>
      <x:c r="G34" s="476" t="inlineStr">
        <x:is>
          <x:t xml:space="preserve">DECLARED</x:t>
        </x:is>
      </x:c>
    </x:row>
    <x:row r="35" s="455" customFormat="1" ht="39" customHeight="1">
      <x:c r="A35" s="476" t="inlineStr">
        <x:is>
          <x:t xml:space="preserve">IND-004</x:t>
        </x:is>
      </x:c>
      <x:c r="B35" s="476" t="inlineStr">
        <x:is>
          <x:t xml:space="preserve">due_process_complaint_rate</x:t>
        </x:is>
      </x:c>
      <x:c r="C35" s="476" t="inlineStr">
        <x:is>
          <x:t xml:space="preserve">Count and severity of due-process complaints per declared period</x:t>
        </x:is>
      </x:c>
      <x:c r="D35" s="476" t="inlineStr">
        <x:is>
          <x:t xml:space="preserve">Governance reviewer log</x:t>
        </x:is>
      </x:c>
      <x:c r="E35" s="476" t="inlineStr">
        <x:is>
          <x:t xml:space="preserve">Any severe unresolved complaint or &gt;2 moderate complaints per cycle</x:t>
        </x:is>
      </x:c>
      <x:c r="F35" s="476" t="inlineStr">
        <x:is>
          <x:t xml:space="preserve">Severe active signal blocks ESC_STABLE and requires review</x:t>
        </x:is>
      </x:c>
      <x:c r="G35" s="476" t="inlineStr">
        <x:is>
          <x:t xml:space="preserve">DECLARED</x:t>
        </x:is>
      </x:c>
    </x:row>
    <x:row r="36" s="455" customFormat="1" ht="39" customHeight="1">
      <x:c r="A36" s="476" t="inlineStr">
        <x:is>
          <x:t xml:space="preserve">IND-005</x:t>
        </x:is>
      </x:c>
      <x:c r="B36" s="476" t="inlineStr">
        <x:is>
          <x:t xml:space="preserve">information_integrity_incident_rate</x:t>
        </x:is>
      </x:c>
      <x:c r="C36" s="476" t="inlineStr">
        <x:is>
          <x:t xml:space="preserve">Verified misinformation, missing disclosure, or evidence-integrity incidents</x:t>
        </x:is>
      </x:c>
      <x:c r="D36" s="476" t="inlineStr">
        <x:is>
          <x:t xml:space="preserve">Audit log / evidence register</x:t>
        </x:is>
      </x:c>
      <x:c r="E36" s="476" t="inlineStr">
        <x:is>
          <x:t xml:space="preserve">&gt;0 severe incident or repeated moderate incidents</x:t>
        </x:is>
      </x:c>
      <x:c r="F36" s="476" t="inlineStr">
        <x:is>
          <x:t xml:space="preserve">Active severe signal routes to review; unresolved gate-critical evidence triggers ESC_UNDERDETERMINED</x:t>
        </x:is>
      </x:c>
      <x:c r="G36" s="476" t="inlineStr">
        <x:is>
          <x:t xml:space="preserve">DECLARED</x:t>
        </x:is>
      </x:c>
    </x:row>
    <x:row r="37" s="455" customFormat="1" ht="12.75" customHeight="1">
      <x:c r="A37" s="476" t="n"/>
      <x:c r="B37" s="476" t="n"/>
      <x:c r="C37" s="476" t="n"/>
      <x:c r="D37" s="476" t="n"/>
      <x:c r="E37" s="476" t="n"/>
      <x:c r="F37" s="476" t="n"/>
      <x:c r="G37" s="476" t="n"/>
    </x:row>
    <x:row r="38" s="455" customFormat="1" ht="12.75" customHeight="1">
      <x:c r="A38" s="476" t="n"/>
      <x:c r="B38" s="476" t="n"/>
      <x:c r="C38" s="476" t="n"/>
      <x:c r="D38" s="476" t="n"/>
      <x:c r="E38" s="476" t="n"/>
      <x:c r="F38" s="476" t="n"/>
      <x:c r="G38" s="476" t="n"/>
    </x:row>
    <x:row r="39" s="455" customFormat="1" ht="12.75" customHeight="1">
      <x:c r="A39" s="476" t="n"/>
      <x:c r="B39" s="476" t="n"/>
      <x:c r="C39" s="476" t="n"/>
      <x:c r="D39" s="476" t="n"/>
      <x:c r="E39" s="476" t="n"/>
      <x:c r="F39" s="476" t="n"/>
      <x:c r="G39" s="476" t="n"/>
    </x:row>
    <x:row r="40" s="455" customFormat="1" ht="12.75" customHeight="1">
      <x:c r="A40" s="476" t="n"/>
      <x:c r="B40" s="476" t="n"/>
      <x:c r="C40" s="476" t="n"/>
      <x:c r="D40" s="476" t="n"/>
      <x:c r="E40" s="476" t="n"/>
      <x:c r="F40" s="476" t="n"/>
      <x:c r="G40" s="476" t="n"/>
    </x:row>
    <x:row r="41" s="455" customFormat="1" ht="12.75" customHeight="1">
      <x:c r="A41" s="476" t="n"/>
      <x:c r="B41" s="476" t="n"/>
      <x:c r="C41" s="476" t="n"/>
      <x:c r="D41" s="476" t="n"/>
      <x:c r="E41" s="476" t="n"/>
      <x:c r="F41" s="476" t="n"/>
      <x:c r="G41" s="476" t="n"/>
    </x:row>
    <x:row r="42" s="455" customFormat="1" ht="12.75" customHeight="1">
      <x:c r="A42" s="476" t="n"/>
      <x:c r="B42" s="476" t="n"/>
      <x:c r="C42" s="476" t="n"/>
      <x:c r="D42" s="476" t="n"/>
      <x:c r="E42" s="476" t="n"/>
      <x:c r="F42" s="476" t="n"/>
      <x:c r="G42" s="476" t="n"/>
    </x:row>
    <x:row r="43" s="455" customFormat="1" ht="12.75" customHeight="1">
      <x:c r="A43" s="476" t="n"/>
      <x:c r="B43" s="476" t="n"/>
      <x:c r="C43" s="476" t="n"/>
      <x:c r="D43" s="476" t="n"/>
      <x:c r="E43" s="476" t="n"/>
      <x:c r="F43" s="476" t="n"/>
      <x:c r="G43" s="476" t="n"/>
    </x:row>
    <x:row r="44" s="455" customFormat="1" ht="12.75" customHeight="1">
      <x:c r="A44" s="476" t="n"/>
      <x:c r="B44" s="476" t="n"/>
      <x:c r="C44" s="476" t="n"/>
      <x:c r="D44" s="476" t="n"/>
      <x:c r="E44" s="476" t="n"/>
      <x:c r="F44" s="476" t="n"/>
      <x:c r="G44" s="476" t="n"/>
    </x:row>
    <x:row r="45" s="455" customFormat="1" ht="12.75" customHeight="1">
      <x:c r="A45" s="476" t="n"/>
      <x:c r="B45" s="476" t="n"/>
      <x:c r="C45" s="476" t="n"/>
      <x:c r="D45" s="476" t="n"/>
      <x:c r="E45" s="476" t="n"/>
      <x:c r="F45" s="476" t="n"/>
      <x:c r="G45" s="476" t="n"/>
    </x:row>
    <x:row r="46" s="455" customFormat="1" ht="12.75" customHeight="1">
      <x:c r="A46" s="476" t="n"/>
      <x:c r="B46" s="476" t="n"/>
      <x:c r="C46" s="476" t="n"/>
      <x:c r="D46" s="476" t="n"/>
      <x:c r="E46" s="476" t="n"/>
      <x:c r="F46" s="476" t="n"/>
      <x:c r="G46" s="476" t="n"/>
    </x:row>
    <x:row r="47" s="455" customFormat="1" ht="12.75" customHeight="1">
      <x:c r="A47" s="476" t="n"/>
      <x:c r="B47" s="476" t="n"/>
      <x:c r="C47" s="476" t="n"/>
      <x:c r="D47" s="476" t="n"/>
      <x:c r="E47" s="476" t="n"/>
      <x:c r="F47" s="476" t="n"/>
      <x:c r="G47" s="476" t="n"/>
    </x:row>
    <x:row r="48" s="455" customFormat="1" ht="12.75" customHeight="1">
      <x:c r="A48" s="476" t="n"/>
      <x:c r="B48" s="476" t="n"/>
      <x:c r="C48" s="476" t="n"/>
      <x:c r="D48" s="476" t="n"/>
      <x:c r="E48" s="476" t="n"/>
      <x:c r="F48" s="476" t="n"/>
      <x:c r="G48" s="476" t="n"/>
    </x:row>
    <x:row r="49" s="455" customFormat="1" ht="12.75" customHeight="1">
      <x:c r="A49" s="476" t="n"/>
      <x:c r="B49" s="476" t="n"/>
      <x:c r="C49" s="476" t="n"/>
      <x:c r="D49" s="476" t="n"/>
      <x:c r="E49" s="476" t="n"/>
      <x:c r="F49" s="476" t="n"/>
      <x:c r="G49" s="476" t="n"/>
    </x:row>
    <x:row r="50" s="455" customFormat="1" ht="12.75" customHeight="1">
      <x:c r="A50" s="476" t="n"/>
      <x:c r="B50" s="476" t="n"/>
      <x:c r="C50" s="476" t="n"/>
      <x:c r="D50" s="476" t="n"/>
      <x:c r="E50" s="476" t="n"/>
      <x:c r="F50" s="476" t="n"/>
      <x:c r="G50" s="476" t="n"/>
    </x:row>
    <x:row r="51" s="455" customFormat="1" ht="12.75" customHeight="1">
      <x:c r="A51" s="476" t="n"/>
      <x:c r="B51" s="476" t="n"/>
      <x:c r="C51" s="476" t="n"/>
      <x:c r="D51" s="476" t="n"/>
      <x:c r="E51" s="476" t="n"/>
      <x:c r="F51" s="476" t="n"/>
      <x:c r="G51" s="476" t="n"/>
    </x:row>
    <x:row r="52" s="455" customFormat="1" ht="12.75" customHeight="1">
      <x:c r="A52" s="476" t="n"/>
      <x:c r="B52" s="476" t="n"/>
      <x:c r="C52" s="476" t="n"/>
      <x:c r="D52" s="476" t="n"/>
      <x:c r="E52" s="476" t="n"/>
      <x:c r="F52" s="476" t="n"/>
      <x:c r="G52" s="476" t="n"/>
    </x:row>
    <x:row r="53" s="455" customFormat="1" ht="12.75" customHeight="1">
      <x:c r="A53" s="476" t="n"/>
      <x:c r="B53" s="476" t="n"/>
      <x:c r="C53" s="476" t="n"/>
      <x:c r="D53" s="476" t="n"/>
      <x:c r="E53" s="476" t="n"/>
      <x:c r="F53" s="476" t="n"/>
      <x:c r="G53" s="476" t="n"/>
    </x:row>
    <x:row r="54" s="455" customFormat="1" ht="12.75" customHeight="1">
      <x:c r="A54" s="476" t="n"/>
      <x:c r="B54" s="476" t="n"/>
      <x:c r="C54" s="476" t="n"/>
      <x:c r="D54" s="476" t="n"/>
      <x:c r="E54" s="476" t="n"/>
      <x:c r="F54" s="476" t="n"/>
      <x:c r="G54" s="476" t="n"/>
    </x:row>
    <x:row r="55" s="455" customFormat="1" ht="12.75" customHeight="1">
      <x:c r="A55" s="476" t="n"/>
      <x:c r="B55" s="476" t="n"/>
      <x:c r="C55" s="476" t="n"/>
      <x:c r="D55" s="476" t="n"/>
      <x:c r="E55" s="476" t="n"/>
      <x:c r="F55" s="476" t="n"/>
      <x:c r="G55" s="476" t="n"/>
    </x:row>
    <x:row r="56" s="455" customFormat="1" ht="12.75" customHeight="1">
      <x:c r="A56" s="476" t="n"/>
      <x:c r="B56" s="476" t="n"/>
      <x:c r="C56" s="476" t="n"/>
      <x:c r="D56" s="476" t="n"/>
      <x:c r="E56" s="476" t="n"/>
      <x:c r="F56" s="476" t="n"/>
      <x:c r="G56" s="476" t="n"/>
    </x:row>
    <x:row r="57" s="455" customFormat="1" ht="12.75" customHeight="1">
      <x:c r="A57" s="476" t="n"/>
      <x:c r="B57" s="476" t="n"/>
      <x:c r="C57" s="476" t="n"/>
      <x:c r="D57" s="476" t="n"/>
      <x:c r="E57" s="476" t="n"/>
      <x:c r="F57" s="476" t="n"/>
      <x:c r="G57" s="476" t="n"/>
    </x:row>
    <x:row r="58" s="455" customFormat="1" ht="12.75" customHeight="1">
      <x:c r="A58" s="476" t="n"/>
      <x:c r="B58" s="476" t="n"/>
      <x:c r="C58" s="476" t="n"/>
      <x:c r="D58" s="476" t="n"/>
      <x:c r="E58" s="476" t="n"/>
      <x:c r="F58" s="476" t="n"/>
      <x:c r="G58" s="476" t="n"/>
    </x:row>
    <x:row r="59" s="455" customFormat="1" ht="12.75" customHeight="1">
      <x:c r="A59" s="476" t="n"/>
      <x:c r="B59" s="476" t="n"/>
      <x:c r="C59" s="476" t="n"/>
      <x:c r="D59" s="476" t="n"/>
      <x:c r="E59" s="476" t="n"/>
      <x:c r="F59" s="476" t="n"/>
      <x:c r="G59" s="476" t="n"/>
    </x:row>
    <x:row r="60" s="455" customFormat="1" ht="12.75" customHeight="1">
      <x:c r="A60" s="476" t="n"/>
      <x:c r="B60" s="476" t="n"/>
      <x:c r="C60" s="476" t="n"/>
      <x:c r="D60" s="476" t="n"/>
      <x:c r="E60" s="476" t="n"/>
      <x:c r="F60" s="476" t="n"/>
      <x:c r="G60" s="476" t="n"/>
    </x:row>
  </x:sheetData>
  <x:pageMargins left="0.7" right="0.7" top="0.75" bottom="0.75" header="0.3" footer="0.3"/>
</x:worksheet>
</file>

<file path=xl/worksheets/sheet31.xml><?xml version="1.0" encoding="utf-8"?>
<x:worksheet xmlns:x="http://schemas.openxmlformats.org/spreadsheetml/2006/main">
  <x:sheetViews>
    <x:sheetView showGridLines="1" workbookViewId="0"/>
  </x:sheetViews>
  <x:sheetFormatPr baseColWidth="8" defaultColWidth="8.6796875" defaultRowHeight="12.75"/>
  <x:cols>
    <x:col min="1" max="1" width="9.880000114440918" style="454" customWidth="1"/>
    <x:col min="2" max="2" width="44.33000183105469" style="454" customWidth="1"/>
    <x:col min="3" max="3" width="18.8799991607666" style="454" customWidth="1"/>
    <x:col min="4" max="4" width="20.440000534057617" style="454" customWidth="1"/>
    <x:col min="5" max="5" width="25.329999923706055" style="454" customWidth="1"/>
    <x:col min="6" max="6" width="33.209999084472656" style="454" customWidth="1"/>
    <x:col min="7" max="7" width="18.8799991607666" style="454" customWidth="1"/>
    <x:col min="8" max="8" width="10.329999923706055" style="454" customWidth="1"/>
    <x:col min="9" max="9" width="26.440000534057617" style="454" customWidth="1"/>
    <x:col min="10" max="10" width="48.33000183105469" style="454" customWidth="1"/>
    <x:col min="11" max="11" width="37.220001220703125" style="454" customWidth="1"/>
    <x:col min="12" max="12" width="35.11000061035156" style="454" customWidth="1"/>
    <x:col min="13" max="13" width="17.110000610351562" style="454" customWidth="1"/>
    <x:col min="14" max="14" width="45.560001373291016" style="454" customWidth="1"/>
    <x:col min="15" max="15" width="48.33000183105469" style="454" customWidth="1"/>
    <x:col min="16" max="16" width="14.880000114440918" style="454" customWidth="1"/>
    <x:col min="17" max="17" width="9.210000038146973" style="454" customWidth="1"/>
    <x:col min="18" max="18" width="7.110000133514404" style="454" customWidth="1"/>
  </x:cols>
  <x:sheetData>
    <x:row r="1" s="455" customFormat="1" ht="26.25" customHeight="1">
      <x:c r="A1" s="603" t="inlineStr">
        <x:is>
          <x:t xml:space="preserve">primitive_id</x:t>
        </x:is>
      </x:c>
      <x:c r="B1" s="603" t="inlineStr">
        <x:is>
          <x:t xml:space="preserve">primitive_statement</x:t>
        </x:is>
      </x:c>
      <x:c r="C1" s="603" t="inlineStr">
        <x:is>
          <x:t xml:space="preserve">layer_type</x:t>
        </x:is>
      </x:c>
      <x:c r="D1" s="603" t="inlineStr">
        <x:is>
          <x:t xml:space="preserve">dependency_status</x:t>
        </x:is>
      </x:c>
      <x:c r="E1" s="603" t="inlineStr">
        <x:is>
          <x:t xml:space="preserve">reducibility_test</x:t>
        </x:is>
      </x:c>
      <x:c r="F1" s="603" t="inlineStr">
        <x:is>
          <x:t xml:space="preserve">circularity_test</x:t>
        </x:is>
      </x:c>
      <x:c r="G1" s="603" t="inlineStr">
        <x:is>
          <x:t xml:space="preserve">domain_boundary</x:t>
        </x:is>
      </x:c>
      <x:c r="H1" s="603" t="inlineStr">
        <x:is>
          <x:t xml:space="preserve">operator_ref</x:t>
        </x:is>
      </x:c>
      <x:c r="I1" s="603" t="inlineStr">
        <x:is>
          <x:t xml:space="preserve">regime_conditions</x:t>
        </x:is>
      </x:c>
      <x:c r="J1" s="603" t="inlineStr">
        <x:is>
          <x:t xml:space="preserve">projection_ref</x:t>
        </x:is>
      </x:c>
      <x:c r="K1" s="603" t="inlineStr">
        <x:is>
          <x:t xml:space="preserve">observable_consequence</x:t>
        </x:is>
      </x:c>
      <x:c r="L1" s="603" t="inlineStr">
        <x:is>
          <x:t xml:space="preserve">tolerance_rule</x:t>
        </x:is>
      </x:c>
      <x:c r="M1" s="603" t="inlineStr">
        <x:is>
          <x:t xml:space="preserve">evidence_source</x:t>
        </x:is>
      </x:c>
      <x:c r="N1" s="603" t="inlineStr">
        <x:is>
          <x:t xml:space="preserve">falsification_condition</x:t>
        </x:is>
      </x:c>
      <x:c r="O1" s="603" t="inlineStr">
        <x:is>
          <x:t xml:space="preserve">refusal_condition</x:t>
        </x:is>
      </x:c>
      <x:c r="P1" s="603" t="inlineStr">
        <x:is>
          <x:t xml:space="preserve">reviewer_role</x:t>
        </x:is>
      </x:c>
      <x:c r="Q1" s="603" t="inlineStr">
        <x:is>
          <x:t xml:space="preserve">timestamp</x:t>
        </x:is>
      </x:c>
      <x:c r="R1" s="603" t="inlineStr">
        <x:is>
          <x:t xml:space="preserve">hash_ref</x:t>
        </x:is>
      </x:c>
    </x:row>
    <x:row r="2" s="455" customFormat="1" ht="92.25" customHeight="1">
      <x:c r="A2" s="461" t="inlineStr">
        <x:is>
          <x:t xml:space="preserve">PTRACE-001</x:t>
        </x:is>
      </x:c>
      <x:c r="B2" s="461" t="inlineStr">
        <x:is>
          <x:t xml:space="preserve">Example: rights floors are non-compensatory in this run</x:t>
        </x:is>
      </x:c>
      <x:c r="C2" s="461" t="inlineStr">
        <x:is>
          <x:t xml:space="preserve">normative commitment</x:t>
        </x:is>
      </x:c>
      <x:c r="D2" s="461" t="inlineStr">
        <x:is>
          <x:t xml:space="preserve">declared primitive for run</x:t>
        </x:is>
      </x:c>
      <x:c r="E2" s="461" t="inlineStr">
        <x:is>
          <x:t xml:space="preserve">not reducible inside current run</x:t>
        </x:is>
      </x:c>
      <x:c r="F2" s="461" t="inlineStr">
        <x:is>
          <x:t xml:space="preserve">passes if not defined using its own output</x:t>
        </x:is>
      </x:c>
      <x:c r="G2" s="461" t="inlineStr">
        <x:is>
          <x:t xml:space="preserve">declared decision scope</x:t>
        </x:is>
      </x:c>
      <x:c r="H2" s="461" t="inlineStr">
        <x:is>
          <x:t xml:space="preserve">NCRC</x:t>
        </x:is>
      </x:c>
      <x:c r="I2" s="461" t="inlineStr">
        <x:is>
          <x:t xml:space="preserve">Tier and rights coverage declared</x:t>
        </x:is>
      </x:c>
      <x:c r="J2" s="461" t="inlineStr">
        <x:is>
          <x:t xml:space="preserve">If any protected subgroup falls below floor, option fails NCRC</x:t>
        </x:is>
      </x:c>
      <x:c r="K2" s="461" t="inlineStr">
        <x:is>
          <x:t xml:space="preserve">NCRC gate verdict and subgroup impact record</x:t>
        </x:is>
      </x:c>
      <x:c r="L2" s="461" t="inlineStr">
        <x:is>
          <x:t xml:space="preserve">theta_r thresholds and conservative bounds</x:t>
        </x:is>
      </x:c>
      <x:c r="M2" s="461" t="inlineStr">
        <x:is>
          <x:t xml:space="preserve">PCC evidence register</x:t>
        </x:is>
      </x:c>
      <x:c r="N2" s="461" t="inlineStr">
        <x:is>
          <x:t xml:space="preserve">Protected subgroup below floor under declared evidence</x:t>
        </x:is>
      </x:c>
      <x:c r="O2" s="461" t="inlineStr">
        <x:is>
          <x:t xml:space="preserve">Unknown gate-critical rights cell without conservative bound</x:t>
        </x:is>
      </x:c>
      <x:c r="P2" s="461" t="inlineStr">
        <x:is>
          <x:t xml:space="preserve">reviewer / steward</x:t>
        </x:is>
      </x:c>
      <x:c r="Q2" s="461" t="inlineStr">
        <x:is>
          <x:t xml:space="preserve">2026-05-13</x:t>
        </x:is>
      </x:c>
      <x:c r="R2" s="461" t="inlineStr">
        <x:is>
          <x:t xml:space="preserve">NOT_APPLICABLE_WORKED_RUN_EXEMPLAR</x:t>
        </x:is>
      </x:c>
    </x:row>
    <x:row r="3" s="455" customFormat="1" ht="12.75" customHeight="1">
      <x:c r="A3" s="461" t="n"/>
      <x:c r="B3" s="461" t="n"/>
      <x:c r="C3" s="461" t="n"/>
      <x:c r="D3" s="461" t="n"/>
      <x:c r="E3" s="461" t="n"/>
      <x:c r="F3" s="461" t="n"/>
      <x:c r="G3" s="461" t="n"/>
      <x:c r="H3" s="461" t="n"/>
      <x:c r="I3" s="461" t="n"/>
      <x:c r="J3" s="461" t="n"/>
      <x:c r="K3" s="461" t="n"/>
      <x:c r="L3" s="461" t="n"/>
      <x:c r="M3" s="461" t="n"/>
      <x:c r="N3" s="461" t="n"/>
      <x:c r="O3" s="461" t="n"/>
      <x:c r="P3" s="461" t="n"/>
      <x:c r="Q3" s="461" t="n"/>
      <x:c r="R3" s="461" t="n"/>
    </x:row>
    <x:row r="4" s="455" customFormat="1" ht="12.75" customHeight="1">
      <x:c r="A4" s="461" t="n"/>
      <x:c r="B4" s="461" t="n"/>
      <x:c r="C4" s="461" t="n"/>
      <x:c r="D4" s="461" t="n"/>
      <x:c r="E4" s="461" t="n"/>
      <x:c r="F4" s="461" t="n"/>
      <x:c r="G4" s="461" t="n"/>
      <x:c r="H4" s="461" t="n"/>
      <x:c r="I4" s="461" t="n"/>
      <x:c r="J4" s="461" t="n"/>
      <x:c r="K4" s="461" t="n"/>
      <x:c r="L4" s="461" t="n"/>
      <x:c r="M4" s="461" t="n"/>
      <x:c r="N4" s="461" t="n"/>
      <x:c r="O4" s="461" t="n"/>
      <x:c r="P4" s="461" t="n"/>
      <x:c r="Q4" s="461" t="n"/>
      <x:c r="R4" s="461" t="n"/>
    </x:row>
    <x:row r="5" s="455" customFormat="1" ht="12.75" customHeight="1">
      <x:c r="A5" s="461" t="n"/>
      <x:c r="B5" s="461" t="n"/>
      <x:c r="C5" s="461" t="n"/>
      <x:c r="D5" s="461" t="n"/>
      <x:c r="E5" s="461" t="n"/>
      <x:c r="F5" s="461" t="n"/>
      <x:c r="G5" s="461" t="n"/>
      <x:c r="H5" s="461" t="n"/>
      <x:c r="I5" s="461" t="n"/>
      <x:c r="J5" s="461" t="n"/>
      <x:c r="K5" s="461" t="n"/>
      <x:c r="L5" s="461" t="n"/>
      <x:c r="M5" s="461" t="n"/>
      <x:c r="N5" s="461" t="n"/>
      <x:c r="O5" s="461" t="n"/>
      <x:c r="P5" s="461" t="n"/>
      <x:c r="Q5" s="461" t="n"/>
      <x:c r="R5" s="461" t="n"/>
    </x:row>
    <x:row r="6" s="455" customFormat="1" ht="12.75" customHeight="1">
      <x:c r="A6" s="461" t="n"/>
      <x:c r="B6" s="461" t="n"/>
      <x:c r="C6" s="461" t="n"/>
      <x:c r="D6" s="461" t="n"/>
      <x:c r="E6" s="461" t="n"/>
      <x:c r="F6" s="461" t="n"/>
      <x:c r="G6" s="461" t="n"/>
      <x:c r="H6" s="461" t="n"/>
      <x:c r="I6" s="461" t="n"/>
      <x:c r="J6" s="461" t="n"/>
      <x:c r="K6" s="461" t="n"/>
      <x:c r="L6" s="461" t="n"/>
      <x:c r="M6" s="461" t="n"/>
      <x:c r="N6" s="461" t="n"/>
      <x:c r="O6" s="461" t="n"/>
      <x:c r="P6" s="461" t="n"/>
      <x:c r="Q6" s="461" t="n"/>
      <x:c r="R6" s="461" t="n"/>
    </x:row>
    <x:row r="7" s="455" customFormat="1" ht="12.75" customHeight="1">
      <x:c r="A7" s="461" t="n"/>
      <x:c r="B7" s="461" t="n"/>
      <x:c r="C7" s="461" t="n"/>
      <x:c r="D7" s="461" t="n"/>
      <x:c r="E7" s="461" t="n"/>
      <x:c r="F7" s="461" t="n"/>
      <x:c r="G7" s="461" t="n"/>
      <x:c r="H7" s="461" t="n"/>
      <x:c r="I7" s="461" t="n"/>
      <x:c r="J7" s="461" t="n"/>
      <x:c r="K7" s="461" t="n"/>
      <x:c r="L7" s="461" t="n"/>
      <x:c r="M7" s="461" t="n"/>
      <x:c r="N7" s="461" t="n"/>
      <x:c r="O7" s="461" t="n"/>
      <x:c r="P7" s="461" t="n"/>
      <x:c r="Q7" s="461" t="n"/>
      <x:c r="R7" s="461" t="n"/>
    </x:row>
    <x:row r="8" s="455" customFormat="1" ht="12.75" customHeight="1">
      <x:c r="A8" s="461" t="n"/>
      <x:c r="B8" s="461" t="n"/>
      <x:c r="C8" s="461" t="n"/>
      <x:c r="D8" s="461" t="n"/>
      <x:c r="E8" s="461" t="n"/>
      <x:c r="F8" s="461" t="n"/>
      <x:c r="G8" s="461" t="n"/>
      <x:c r="H8" s="461" t="n"/>
      <x:c r="I8" s="461" t="n"/>
      <x:c r="J8" s="461" t="n"/>
      <x:c r="K8" s="461" t="n"/>
      <x:c r="L8" s="461" t="n"/>
      <x:c r="M8" s="461" t="n"/>
      <x:c r="N8" s="461" t="n"/>
      <x:c r="O8" s="461" t="n"/>
      <x:c r="P8" s="461" t="n"/>
      <x:c r="Q8" s="461" t="n"/>
      <x:c r="R8" s="461" t="n"/>
    </x:row>
    <x:row r="9" s="455" customFormat="1" ht="12.75" customHeight="1">
      <x:c r="A9" s="461" t="n"/>
      <x:c r="B9" s="461" t="n"/>
      <x:c r="C9" s="461" t="n"/>
      <x:c r="D9" s="461" t="n"/>
      <x:c r="E9" s="461" t="n"/>
      <x:c r="F9" s="461" t="n"/>
      <x:c r="G9" s="461" t="n"/>
      <x:c r="H9" s="461" t="n"/>
      <x:c r="I9" s="461" t="n"/>
      <x:c r="J9" s="461" t="n"/>
      <x:c r="K9" s="461" t="n"/>
      <x:c r="L9" s="461" t="n"/>
      <x:c r="M9" s="461" t="n"/>
      <x:c r="N9" s="461" t="n"/>
      <x:c r="O9" s="461" t="n"/>
      <x:c r="P9" s="461" t="n"/>
      <x:c r="Q9" s="461" t="n"/>
      <x:c r="R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row>
  </x:sheetData>
  <x:pageMargins left="0.7" right="0.7" top="0.75" bottom="0.75" header="0.3" footer="0.3"/>
</x:worksheet>
</file>

<file path=xl/worksheets/sheet32.xml><?xml version="1.0" encoding="utf-8"?>
<x:worksheet xmlns:x="http://schemas.openxmlformats.org/spreadsheetml/2006/main">
  <x:sheetViews>
    <x:sheetView showGridLines="1" workbookViewId="0"/>
  </x:sheetViews>
  <x:sheetFormatPr baseColWidth="8" defaultColWidth="8.6796875" defaultRowHeight="12.75"/>
  <x:cols>
    <x:col min="1" max="1" width="13.220000267028809" style="454" customWidth="1"/>
    <x:col min="2" max="2" width="14.670000076293945" style="454" customWidth="1"/>
    <x:col min="3" max="3" width="24" style="454" customWidth="1"/>
    <x:col min="4" max="4" width="28.110000610351562" style="454" customWidth="1"/>
    <x:col min="5" max="5" width="11.670000076293945" style="454" customWidth="1"/>
    <x:col min="6" max="6" width="30" style="454" customWidth="1"/>
    <x:col min="7" max="7" width="22.219999313354492" style="454" customWidth="1"/>
    <x:col min="8" max="8" width="12.880000114440918" style="454" customWidth="1"/>
    <x:col min="9" max="9" width="13.5600004196167" style="454" customWidth="1"/>
    <x:col min="10" max="10" width="28.670000076293945" style="454" customWidth="1"/>
  </x:cols>
  <x:sheetData>
    <x:row r="1" s="455" customFormat="1" ht="26.25" customHeight="1">
      <x:c r="A1" s="603" t="inlineStr">
        <x:is>
          <x:t xml:space="preserve">consequence_id</x:t>
        </x:is>
      </x:c>
      <x:c r="B1" s="603" t="inlineStr">
        <x:is>
          <x:t xml:space="preserve">linked_projection</x:t>
        </x:is>
      </x:c>
      <x:c r="C1" s="603" t="inlineStr">
        <x:is>
          <x:t xml:space="preserve">measurement_method</x:t>
        </x:is>
      </x:c>
      <x:c r="D1" s="603" t="inlineStr">
        <x:is>
          <x:t xml:space="preserve">data_source</x:t>
        </x:is>
      </x:c>
      <x:c r="E1" s="603" t="inlineStr">
        <x:is>
          <x:t xml:space="preserve">expected_sign</x:t>
        </x:is>
      </x:c>
      <x:c r="F1" s="603" t="inlineStr">
        <x:is>
          <x:t xml:space="preserve">expected_range</x:t>
        </x:is>
      </x:c>
      <x:c r="G1" s="603" t="inlineStr">
        <x:is>
          <x:t xml:space="preserve">tolerance</x:t>
        </x:is>
      </x:c>
      <x:c r="H1" s="603" t="inlineStr">
        <x:is>
          <x:t xml:space="preserve">observed_value</x:t>
        </x:is>
      </x:c>
      <x:c r="I1" s="603" t="inlineStr">
        <x:is>
          <x:t xml:space="preserve">verdict</x:t>
        </x:is>
      </x:c>
      <x:c r="J1" s="603" t="inlineStr">
        <x:is>
          <x:t xml:space="preserve">notes</x:t>
        </x:is>
      </x:c>
    </x:row>
    <x:row r="2" s="455" customFormat="1" ht="26.25" customHeight="1">
      <x:c r="A2" s="461" t="inlineStr">
        <x:is>
          <x:t xml:space="preserve">OC-001</x:t>
        </x:is>
      </x:c>
      <x:c r="B2" s="461" t="inlineStr">
        <x:is>
          <x:t xml:space="preserve">PTRACE-001</x:t>
        </x:is>
      </x:c>
      <x:c r="C2" s="461" t="inlineStr">
        <x:is>
          <x:t xml:space="preserve">reviewed PCC field check</x:t>
        </x:is>
      </x:c>
      <x:c r="D2" s="461" t="inlineStr">
        <x:is>
          <x:t xml:space="preserve">PCC / workbook / evidence register</x:t>
        </x:is>
      </x:c>
      <x:c r="E2" s="461" t="inlineStr">
        <x:is>
          <x:t xml:space="preserve">PASS</x:t>
        </x:is>
      </x:c>
      <x:c r="F2" s="461" t="inlineStr">
        <x:is>
          <x:t xml:space="preserve">PASS or FAIL</x:t>
        </x:is>
      </x:c>
      <x:c r="G2" s="461" t="inlineStr">
        <x:is>
          <x:t xml:space="preserve">no missing gate-critical field</x:t>
        </x:is>
      </x:c>
      <x:c r="H2" s="461" t="n"/>
      <x:c r="I2" s="461" t="inlineStr">
        <x:is>
          <x:t xml:space="preserve">NOT_EVALUATED</x:t>
        </x:is>
      </x:c>
      <x:c r="J2" s="461" t="inlineStr">
        <x:is>
          <x:t xml:space="preserve">Use after run.</x:t>
        </x:is>
      </x:c>
    </x:row>
    <x:row r="3" s="455" customFormat="1" ht="26.25" customHeight="1">
      <x:c r="A3" s="461" t="inlineStr">
        <x:is>
          <x:t xml:space="preserve">OC-002</x:t>
        </x:is>
      </x:c>
      <x:c r="B3" s="461" t="inlineStr">
        <x:is>
          <x:t xml:space="preserve">pilot sign accuracy</x:t>
        </x:is>
      </x:c>
      <x:c r="C3" s="461" t="inlineStr">
        <x:is>
          <x:t xml:space="preserve">post-decision outcome review</x:t>
        </x:is>
      </x:c>
      <x:c r="D3" s="461" t="inlineStr">
        <x:is>
          <x:t xml:space="preserve">pilot outcome dataset</x:t>
        </x:is>
      </x:c>
      <x:c r="E3" s="461" t="inlineStr">
        <x:is>
          <x:t xml:space="preserve">&gt;=0</x:t>
        </x:is>
      </x:c>
      <x:c r="F3" s="461" t="inlineStr">
        <x:is>
          <x:t xml:space="preserve">&gt;= 0.70 sign accuracy after calibration</x:t>
        </x:is>
      </x:c>
      <x:c r="G3" s="461" t="inlineStr">
        <x:is>
          <x:t xml:space="preserve">domain declared</x:t>
        </x:is>
      </x:c>
      <x:c r="H3" s="461" t="n"/>
      <x:c r="I3" s="461" t="inlineStr">
        <x:is>
          <x:t xml:space="preserve">NOT_EVALUATED</x:t>
        </x:is>
      </x:c>
      <x:c r="J3" s="461" t="inlineStr">
        <x:is>
          <x:t xml:space="preserve">Do not use without pre-registration.</x:t>
        </x:is>
      </x:c>
    </x:row>
    <x:row r="4" s="455" customFormat="1" ht="12.75" customHeight="1">
      <x:c r="A4" s="461" t="n"/>
      <x:c r="B4" s="461" t="n"/>
      <x:c r="C4" s="461" t="n"/>
      <x:c r="D4" s="461" t="n"/>
      <x:c r="E4" s="461" t="n"/>
      <x:c r="F4" s="461" t="n"/>
      <x:c r="G4" s="461" t="n"/>
      <x:c r="H4" s="461" t="n"/>
      <x:c r="I4" s="461" t="n"/>
      <x:c r="J4" s="461" t="n"/>
    </x:row>
    <x:row r="5" s="455" customFormat="1" ht="12.75" customHeight="1">
      <x:c r="A5" s="461" t="n"/>
      <x:c r="B5" s="461" t="n"/>
      <x:c r="C5" s="461" t="n"/>
      <x:c r="D5" s="461" t="n"/>
      <x:c r="E5" s="461" t="n"/>
      <x:c r="F5" s="461" t="n"/>
      <x:c r="G5" s="461" t="n"/>
      <x:c r="H5" s="461" t="n"/>
      <x:c r="I5" s="461" t="n"/>
      <x:c r="J5" s="461" t="n"/>
    </x:row>
    <x:row r="6" s="455" customFormat="1" ht="12.75" customHeight="1">
      <x:c r="A6" s="461" t="n"/>
      <x:c r="B6" s="461" t="n"/>
      <x:c r="C6" s="461" t="n"/>
      <x:c r="D6" s="461" t="n"/>
      <x:c r="E6" s="461" t="n"/>
      <x:c r="F6" s="461" t="n"/>
      <x:c r="G6" s="461" t="n"/>
      <x:c r="H6" s="461" t="n"/>
      <x:c r="I6" s="461" t="n"/>
      <x:c r="J6" s="461" t="n"/>
    </x:row>
    <x:row r="7" s="455" customFormat="1" ht="12.75" customHeight="1">
      <x:c r="A7" s="461" t="n"/>
      <x:c r="B7" s="461" t="n"/>
      <x:c r="C7" s="461" t="n"/>
      <x:c r="D7" s="461" t="n"/>
      <x:c r="E7" s="461" t="n"/>
      <x:c r="F7" s="461" t="n"/>
      <x:c r="G7" s="461" t="n"/>
      <x:c r="H7" s="461" t="n"/>
      <x:c r="I7" s="461" t="n"/>
      <x:c r="J7" s="461" t="n"/>
    </x:row>
    <x:row r="8" s="455" customFormat="1" ht="12.75" customHeight="1">
      <x:c r="A8" s="461" t="n"/>
      <x:c r="B8" s="461" t="n"/>
      <x:c r="C8" s="461" t="n"/>
      <x:c r="D8" s="461" t="n"/>
      <x:c r="E8" s="461" t="n"/>
      <x:c r="F8" s="461" t="n"/>
      <x:c r="G8" s="461" t="n"/>
      <x:c r="H8" s="461" t="n"/>
      <x:c r="I8" s="461" t="n"/>
      <x:c r="J8" s="461" t="n"/>
    </x:row>
    <x:row r="9" s="455" customFormat="1" ht="12.75" customHeight="1">
      <x:c r="A9" s="461" t="n"/>
      <x:c r="B9" s="461" t="n"/>
      <x:c r="C9" s="461" t="n"/>
      <x:c r="D9" s="461" t="n"/>
      <x:c r="E9" s="461" t="n"/>
      <x:c r="F9" s="461" t="n"/>
      <x:c r="G9" s="461" t="n"/>
      <x:c r="H9" s="461" t="n"/>
      <x:c r="I9" s="461" t="n"/>
      <x:c r="J9" s="461" t="n"/>
    </x:row>
    <x:row r="10" s="455" customFormat="1" ht="12.75" customHeight="1">
      <x:c r="A10" s="461" t="n"/>
      <x:c r="B10" s="461" t="n"/>
      <x:c r="C10" s="461" t="n"/>
      <x:c r="D10" s="461" t="n"/>
      <x:c r="E10" s="461" t="n"/>
      <x:c r="F10" s="461" t="n"/>
      <x:c r="G10" s="461" t="n"/>
      <x:c r="H10" s="461" t="n"/>
      <x:c r="I10" s="461" t="n"/>
      <x:c r="J10" s="461" t="n"/>
    </x:row>
    <x:row r="11" s="455" customFormat="1" ht="12.75" customHeight="1">
      <x:c r="A11" s="461" t="n"/>
      <x:c r="B11" s="461" t="n"/>
      <x:c r="C11" s="461" t="n"/>
      <x:c r="D11" s="461" t="n"/>
      <x:c r="E11" s="461" t="n"/>
      <x:c r="F11" s="461" t="n"/>
      <x:c r="G11" s="461" t="n"/>
      <x:c r="H11" s="461" t="n"/>
      <x:c r="I11" s="461" t="n"/>
      <x:c r="J11" s="461" t="n"/>
    </x:row>
    <x:row r="12" s="455" customFormat="1" ht="12.75" customHeight="1">
      <x:c r="A12" s="461" t="n"/>
      <x:c r="B12" s="461" t="n"/>
      <x:c r="C12" s="461" t="n"/>
      <x:c r="D12" s="461" t="n"/>
      <x:c r="E12" s="461" t="n"/>
      <x:c r="F12" s="461" t="n"/>
      <x:c r="G12" s="461" t="n"/>
      <x:c r="H12" s="461" t="n"/>
      <x:c r="I12" s="461" t="n"/>
      <x:c r="J12" s="461" t="n"/>
    </x:row>
    <x:row r="13" s="455" customFormat="1" ht="12.75" customHeight="1">
      <x:c r="A13" s="461" t="n"/>
      <x:c r="B13" s="461" t="n"/>
      <x:c r="C13" s="461" t="n"/>
      <x:c r="D13" s="461" t="n"/>
      <x:c r="E13" s="461" t="n"/>
      <x:c r="F13" s="461" t="n"/>
      <x:c r="G13" s="461" t="n"/>
      <x:c r="H13" s="461" t="n"/>
      <x:c r="I13" s="461" t="n"/>
      <x:c r="J13" s="461" t="n"/>
    </x:row>
    <x:row r="14" s="455" customFormat="1" ht="12.75" customHeight="1">
      <x:c r="A14" s="461" t="n"/>
      <x:c r="B14" s="461" t="n"/>
      <x:c r="C14" s="461" t="n"/>
      <x:c r="D14" s="461" t="n"/>
      <x:c r="E14" s="461" t="n"/>
      <x:c r="F14" s="461" t="n"/>
      <x:c r="G14" s="461" t="n"/>
      <x:c r="H14" s="461" t="n"/>
      <x:c r="I14" s="461" t="n"/>
      <x:c r="J14" s="461" t="n"/>
    </x:row>
    <x:row r="15" s="455" customFormat="1" ht="12.75" customHeight="1">
      <x:c r="A15" s="461" t="n"/>
      <x:c r="B15" s="461" t="n"/>
      <x:c r="C15" s="461" t="n"/>
      <x:c r="D15" s="461" t="n"/>
      <x:c r="E15" s="461" t="n"/>
      <x:c r="F15" s="461" t="n"/>
      <x:c r="G15" s="461" t="n"/>
      <x:c r="H15" s="461" t="n"/>
      <x:c r="I15" s="461" t="n"/>
      <x:c r="J15" s="461" t="n"/>
    </x:row>
    <x:row r="16" s="455" customFormat="1" ht="12.75" customHeight="1">
      <x:c r="A16" s="461" t="n"/>
      <x:c r="B16" s="461" t="n"/>
      <x:c r="C16" s="461" t="n"/>
      <x:c r="D16" s="461" t="n"/>
      <x:c r="E16" s="461" t="n"/>
      <x:c r="F16" s="461" t="n"/>
      <x:c r="G16" s="461" t="n"/>
      <x:c r="H16" s="461" t="n"/>
      <x:c r="I16" s="461" t="n"/>
      <x:c r="J16" s="461" t="n"/>
    </x:row>
    <x:row r="17" s="455" customFormat="1" ht="12.75" customHeight="1">
      <x:c r="A17" s="461" t="n"/>
      <x:c r="B17" s="461" t="n"/>
      <x:c r="C17" s="461" t="n"/>
      <x:c r="D17" s="461" t="n"/>
      <x:c r="E17" s="461" t="n"/>
      <x:c r="F17" s="461" t="n"/>
      <x:c r="G17" s="461" t="n"/>
      <x:c r="H17" s="461" t="n"/>
      <x:c r="I17" s="461" t="n"/>
      <x:c r="J17" s="461" t="n"/>
    </x:row>
    <x:row r="18" s="455" customFormat="1" ht="12.75" customHeight="1">
      <x:c r="A18" s="461" t="n"/>
      <x:c r="B18" s="461" t="n"/>
      <x:c r="C18" s="461" t="n"/>
      <x:c r="D18" s="461" t="n"/>
      <x:c r="E18" s="461" t="n"/>
      <x:c r="F18" s="461" t="n"/>
      <x:c r="G18" s="461" t="n"/>
      <x:c r="H18" s="461" t="n"/>
      <x:c r="I18" s="461" t="n"/>
      <x:c r="J18" s="461" t="n"/>
    </x:row>
    <x:row r="19" s="455" customFormat="1" ht="12.75" customHeight="1">
      <x:c r="A19" s="461" t="n"/>
      <x:c r="B19" s="461" t="n"/>
      <x:c r="C19" s="461" t="n"/>
      <x:c r="D19" s="461" t="n"/>
      <x:c r="E19" s="461" t="n"/>
      <x:c r="F19" s="461" t="n"/>
      <x:c r="G19" s="461" t="n"/>
      <x:c r="H19" s="461" t="n"/>
      <x:c r="I19" s="461" t="n"/>
      <x:c r="J19" s="461" t="n"/>
    </x:row>
    <x:row r="20" s="455" customFormat="1" ht="12.75" customHeight="1">
      <x:c r="A20" s="461" t="n"/>
      <x:c r="B20" s="461" t="n"/>
      <x:c r="C20" s="461" t="n"/>
      <x:c r="D20" s="461" t="n"/>
      <x:c r="E20" s="461" t="n"/>
      <x:c r="F20" s="461" t="n"/>
      <x:c r="G20" s="461" t="n"/>
      <x:c r="H20" s="461" t="n"/>
      <x:c r="I20" s="461" t="n"/>
      <x:c r="J20" s="461" t="n"/>
    </x:row>
    <x:row r="21" s="455" customFormat="1" ht="12.75" customHeight="1">
      <x:c r="A21" s="461" t="n"/>
      <x:c r="B21" s="461" t="n"/>
      <x:c r="C21" s="461" t="n"/>
      <x:c r="D21" s="461" t="n"/>
      <x:c r="E21" s="461" t="n"/>
      <x:c r="F21" s="461" t="n"/>
      <x:c r="G21" s="461" t="n"/>
      <x:c r="H21" s="461" t="n"/>
      <x:c r="I21" s="461" t="n"/>
      <x:c r="J21" s="461" t="n"/>
    </x:row>
    <x:row r="22" s="455" customFormat="1" ht="12.75" customHeight="1">
      <x:c r="A22" s="461" t="n"/>
      <x:c r="B22" s="461" t="n"/>
      <x:c r="C22" s="461" t="n"/>
      <x:c r="D22" s="461" t="n"/>
      <x:c r="E22" s="461" t="n"/>
      <x:c r="F22" s="461" t="n"/>
      <x:c r="G22" s="461" t="n"/>
      <x:c r="H22" s="461" t="n"/>
      <x:c r="I22" s="461" t="n"/>
      <x:c r="J22" s="461" t="n"/>
    </x:row>
    <x:row r="23" s="455" customFormat="1" ht="12.75" customHeight="1">
      <x:c r="A23" s="461" t="n"/>
      <x:c r="B23" s="461" t="n"/>
      <x:c r="C23" s="461" t="n"/>
      <x:c r="D23" s="461" t="n"/>
      <x:c r="E23" s="461" t="n"/>
      <x:c r="F23" s="461" t="n"/>
      <x:c r="G23" s="461" t="n"/>
      <x:c r="H23" s="461" t="n"/>
      <x:c r="I23" s="461" t="n"/>
      <x:c r="J23" s="461" t="n"/>
    </x:row>
    <x:row r="24" s="455" customFormat="1" ht="12.75" customHeight="1">
      <x:c r="A24" s="461" t="n"/>
      <x:c r="B24" s="461" t="n"/>
      <x:c r="C24" s="461" t="n"/>
      <x:c r="D24" s="461" t="n"/>
      <x:c r="E24" s="461" t="n"/>
      <x:c r="F24" s="461" t="n"/>
      <x:c r="G24" s="461" t="n"/>
      <x:c r="H24" s="461" t="n"/>
      <x:c r="I24" s="461" t="n"/>
      <x:c r="J24" s="461" t="n"/>
    </x:row>
    <x:row r="25" s="455" customFormat="1" ht="12.75" customHeight="1">
      <x:c r="A25" s="461" t="n"/>
      <x:c r="B25" s="461" t="n"/>
      <x:c r="C25" s="461" t="n"/>
      <x:c r="D25" s="461" t="n"/>
      <x:c r="E25" s="461" t="n"/>
      <x:c r="F25" s="461" t="n"/>
      <x:c r="G25" s="461" t="n"/>
      <x:c r="H25" s="461" t="n"/>
      <x:c r="I25" s="461" t="n"/>
      <x:c r="J25" s="461" t="n"/>
    </x:row>
    <x:row r="26" s="455" customFormat="1" ht="12.75" customHeight="1">
      <x:c r="A26" s="461" t="n"/>
      <x:c r="B26" s="461" t="n"/>
      <x:c r="C26" s="461" t="n"/>
      <x:c r="D26" s="461" t="n"/>
      <x:c r="E26" s="461" t="n"/>
      <x:c r="F26" s="461" t="n"/>
      <x:c r="G26" s="461" t="n"/>
      <x:c r="H26" s="461" t="n"/>
      <x:c r="I26" s="461" t="n"/>
      <x:c r="J26" s="461" t="n"/>
    </x:row>
    <x:row r="27" s="455" customFormat="1" ht="12.75" customHeight="1">
      <x:c r="A27" s="461" t="n"/>
      <x:c r="B27" s="461" t="n"/>
      <x:c r="C27" s="461" t="n"/>
      <x:c r="D27" s="461" t="n"/>
      <x:c r="E27" s="461" t="n"/>
      <x:c r="F27" s="461" t="n"/>
      <x:c r="G27" s="461" t="n"/>
      <x:c r="H27" s="461" t="n"/>
      <x:c r="I27" s="461" t="n"/>
      <x:c r="J27" s="461" t="n"/>
    </x:row>
    <x:row r="28" s="455" customFormat="1" ht="12.75" customHeight="1">
      <x:c r="A28" s="461" t="n"/>
      <x:c r="B28" s="461" t="n"/>
      <x:c r="C28" s="461" t="n"/>
      <x:c r="D28" s="461" t="n"/>
      <x:c r="E28" s="461" t="n"/>
      <x:c r="F28" s="461" t="n"/>
      <x:c r="G28" s="461" t="n"/>
      <x:c r="H28" s="461" t="n"/>
      <x:c r="I28" s="461" t="n"/>
      <x:c r="J28" s="461" t="n"/>
    </x:row>
    <x:row r="29" s="455" customFormat="1" ht="12.75" customHeight="1">
      <x:c r="A29" s="461" t="n"/>
      <x:c r="B29" s="461" t="n"/>
      <x:c r="C29" s="461" t="n"/>
      <x:c r="D29" s="461" t="n"/>
      <x:c r="E29" s="461" t="n"/>
      <x:c r="F29" s="461" t="n"/>
      <x:c r="G29" s="461" t="n"/>
      <x:c r="H29" s="461" t="n"/>
      <x:c r="I29" s="461" t="n"/>
      <x:c r="J29" s="461" t="n"/>
    </x:row>
    <x:row r="30" s="455" customFormat="1" ht="12.75" customHeight="1">
      <x:c r="A30" s="461" t="n"/>
      <x:c r="B30" s="461" t="n"/>
      <x:c r="C30" s="461" t="n"/>
      <x:c r="D30" s="461" t="n"/>
      <x:c r="E30" s="461" t="n"/>
      <x:c r="F30" s="461" t="n"/>
      <x:c r="G30" s="461" t="n"/>
      <x:c r="H30" s="461" t="n"/>
      <x:c r="I30" s="461" t="n"/>
      <x:c r="J30" s="461" t="n"/>
    </x:row>
    <x:row r="31" s="455" customFormat="1" ht="12.75" customHeight="1">
      <x:c r="A31" s="461" t="n"/>
      <x:c r="B31" s="461" t="n"/>
      <x:c r="C31" s="461" t="n"/>
      <x:c r="D31" s="461" t="n"/>
      <x:c r="E31" s="461" t="n"/>
      <x:c r="F31" s="461" t="n"/>
      <x:c r="G31" s="461" t="n"/>
      <x:c r="H31" s="461" t="n"/>
      <x:c r="I31" s="461" t="n"/>
      <x:c r="J31" s="461" t="n"/>
    </x:row>
    <x:row r="32" s="455" customFormat="1" ht="12.75" customHeight="1">
      <x:c r="A32" s="461" t="n"/>
      <x:c r="B32" s="461" t="n"/>
      <x:c r="C32" s="461" t="n"/>
      <x:c r="D32" s="461" t="n"/>
      <x:c r="E32" s="461" t="n"/>
      <x:c r="F32" s="461" t="n"/>
      <x:c r="G32" s="461" t="n"/>
      <x:c r="H32" s="461" t="n"/>
      <x:c r="I32" s="461" t="n"/>
      <x:c r="J32" s="461" t="n"/>
    </x:row>
    <x:row r="33" s="455" customFormat="1" ht="12.75" customHeight="1">
      <x:c r="A33" s="461" t="n"/>
      <x:c r="B33" s="461" t="n"/>
      <x:c r="C33" s="461" t="n"/>
      <x:c r="D33" s="461" t="n"/>
      <x:c r="E33" s="461" t="n"/>
      <x:c r="F33" s="461" t="n"/>
      <x:c r="G33" s="461" t="n"/>
      <x:c r="H33" s="461" t="n"/>
      <x:c r="I33" s="461" t="n"/>
      <x:c r="J33" s="461" t="n"/>
    </x:row>
    <x:row r="34" s="455" customFormat="1" ht="12.75" customHeight="1">
      <x:c r="A34" s="461" t="n"/>
      <x:c r="B34" s="461" t="n"/>
      <x:c r="C34" s="461" t="n"/>
      <x:c r="D34" s="461" t="n"/>
      <x:c r="E34" s="461" t="n"/>
      <x:c r="F34" s="461" t="n"/>
      <x:c r="G34" s="461" t="n"/>
      <x:c r="H34" s="461" t="n"/>
      <x:c r="I34" s="461" t="n"/>
      <x:c r="J34" s="461" t="n"/>
    </x:row>
    <x:row r="35" s="455" customFormat="1" ht="12.75" customHeight="1">
      <x:c r="A35" s="461" t="n"/>
      <x:c r="B35" s="461" t="n"/>
      <x:c r="C35" s="461" t="n"/>
      <x:c r="D35" s="461" t="n"/>
      <x:c r="E35" s="461" t="n"/>
      <x:c r="F35" s="461" t="n"/>
      <x:c r="G35" s="461" t="n"/>
      <x:c r="H35" s="461" t="n"/>
      <x:c r="I35" s="461" t="n"/>
      <x:c r="J35" s="461" t="n"/>
    </x:row>
    <x:row r="36" s="455" customFormat="1" ht="12.75" customHeight="1">
      <x:c r="A36" s="461" t="n"/>
      <x:c r="B36" s="461" t="n"/>
      <x:c r="C36" s="461" t="n"/>
      <x:c r="D36" s="461" t="n"/>
      <x:c r="E36" s="461" t="n"/>
      <x:c r="F36" s="461" t="n"/>
      <x:c r="G36" s="461" t="n"/>
      <x:c r="H36" s="461" t="n"/>
      <x:c r="I36" s="461" t="n"/>
      <x:c r="J36" s="461" t="n"/>
    </x:row>
    <x:row r="37" s="455" customFormat="1" ht="12.75" customHeight="1">
      <x:c r="A37" s="461" t="n"/>
      <x:c r="B37" s="461" t="n"/>
      <x:c r="C37" s="461" t="n"/>
      <x:c r="D37" s="461" t="n"/>
      <x:c r="E37" s="461" t="n"/>
      <x:c r="F37" s="461" t="n"/>
      <x:c r="G37" s="461" t="n"/>
      <x:c r="H37" s="461" t="n"/>
      <x:c r="I37" s="461" t="n"/>
      <x:c r="J37" s="461" t="n"/>
    </x:row>
    <x:row r="38" s="455" customFormat="1" ht="12.75" customHeight="1">
      <x:c r="A38" s="461" t="n"/>
      <x:c r="B38" s="461" t="n"/>
      <x:c r="C38" s="461" t="n"/>
      <x:c r="D38" s="461" t="n"/>
      <x:c r="E38" s="461" t="n"/>
      <x:c r="F38" s="461" t="n"/>
      <x:c r="G38" s="461" t="n"/>
      <x:c r="H38" s="461" t="n"/>
      <x:c r="I38" s="461" t="n"/>
      <x:c r="J38" s="461" t="n"/>
    </x:row>
    <x:row r="39" s="455" customFormat="1" ht="12.75" customHeight="1">
      <x:c r="A39" s="461" t="n"/>
      <x:c r="B39" s="461" t="n"/>
      <x:c r="C39" s="461" t="n"/>
      <x:c r="D39" s="461" t="n"/>
      <x:c r="E39" s="461" t="n"/>
      <x:c r="F39" s="461" t="n"/>
      <x:c r="G39" s="461" t="n"/>
      <x:c r="H39" s="461" t="n"/>
      <x:c r="I39" s="461" t="n"/>
      <x:c r="J39" s="461" t="n"/>
    </x:row>
    <x:row r="40" s="455" customFormat="1" ht="12.75" customHeight="1">
      <x:c r="A40" s="461" t="n"/>
      <x:c r="B40" s="461" t="n"/>
      <x:c r="C40" s="461" t="n"/>
      <x:c r="D40" s="461" t="n"/>
      <x:c r="E40" s="461" t="n"/>
      <x:c r="F40" s="461" t="n"/>
      <x:c r="G40" s="461" t="n"/>
      <x:c r="H40" s="461" t="n"/>
      <x:c r="I40" s="461" t="n"/>
      <x:c r="J40" s="461" t="n"/>
    </x:row>
  </x:sheetData>
  <x:pageMargins left="0.7" right="0.7" top="0.75" bottom="0.75" header="0.3" footer="0.3"/>
</x:worksheet>
</file>

<file path=xl/worksheets/sheet33.xml><?xml version="1.0" encoding="utf-8"?>
<x:worksheet xmlns:x="http://schemas.openxmlformats.org/spreadsheetml/2006/main">
  <x:sheetViews>
    <x:sheetView showGridLines="1" workbookViewId="0"/>
  </x:sheetViews>
  <x:sheetFormatPr baseColWidth="8" defaultColWidth="8.6796875" defaultRowHeight="12.75"/>
  <x:cols>
    <x:col min="1" max="1" width="8.760000228881836" style="454" customWidth="1"/>
    <x:col min="2" max="2" width="16" style="454" customWidth="1"/>
    <x:col min="3" max="3" width="54.33000183105469" style="454" customWidth="1"/>
    <x:col min="4" max="4" width="42.560001373291016" style="454" customWidth="1"/>
    <x:col min="5" max="5" width="48.66999816894531" style="454" customWidth="1"/>
    <x:col min="6" max="6" width="36.220001220703125" style="454" customWidth="1"/>
    <x:col min="7" max="7" width="53" style="454" customWidth="1"/>
    <x:col min="8" max="8" width="14.789999961853027" style="454" customWidth="1"/>
  </x:cols>
  <x:sheetData>
    <x:row r="1" s="455" customFormat="1" ht="26.25" customHeight="1">
      <x:c r="A1" s="603" t="inlineStr">
        <x:is>
          <x:t xml:space="preserve">claim_id</x:t>
        </x:is>
      </x:c>
      <x:c r="B1" s="603" t="inlineStr">
        <x:is>
          <x:t xml:space="preserve">projection_id</x:t>
        </x:is>
      </x:c>
      <x:c r="C1" s="603" t="inlineStr">
        <x:is>
          <x:t xml:space="preserve">falsifier</x:t>
        </x:is>
      </x:c>
      <x:c r="D1" s="603" t="inlineStr">
        <x:is>
          <x:t xml:space="preserve">survival_condition</x:t>
        </x:is>
      </x:c>
      <x:c r="E1" s="603" t="inlineStr">
        <x:is>
          <x:t xml:space="preserve">refusal_condition</x:t>
        </x:is>
      </x:c>
      <x:c r="F1" s="603" t="inlineStr">
        <x:is>
          <x:t xml:space="preserve">downgrade_condition</x:t>
        </x:is>
      </x:c>
      <x:c r="G1" s="603" t="inlineStr">
        <x:is>
          <x:t xml:space="preserve">post_hoc_modification_rule</x:t>
        </x:is>
      </x:c>
      <x:c r="H1" s="603" t="inlineStr">
        <x:is>
          <x:t xml:space="preserve">reviewer_decision</x:t>
        </x:is>
      </x:c>
    </x:row>
    <x:row r="2" s="455" customFormat="1" ht="52.5" customHeight="1">
      <x:c r="A2" s="461" t="inlineStr">
        <x:is>
          <x:t xml:space="preserve">CLAIM-001</x:t>
        </x:is>
      </x:c>
      <x:c r="B2" s="461" t="inlineStr">
        <x:is>
          <x:t xml:space="preserve">PTRACE-001</x:t>
        </x:is>
      </x:c>
      <x:c r="C2" s="461" t="inlineStr">
        <x:is>
          <x:t xml:space="preserve">Gate verdict cannot be reconstructed from pre-registered fields</x:t>
        </x:is>
      </x:c>
      <x:c r="D2" s="461" t="inlineStr">
        <x:is>
          <x:t xml:space="preserve">Independent reviewer reconstructs same gate verdict</x:t>
        </x:is>
      </x:c>
      <x:c r="E2" s="461" t="inlineStr">
        <x:is>
          <x:t xml:space="preserve">Projection is non-unique or evidence is gate-critical unknown</x:t>
        </x:is>
      </x:c>
      <x:c r="F2" s="461" t="inlineStr">
        <x:is>
          <x:t xml:space="preserve">Evidence supports lower tier only</x:t>
        </x:is>
      </x:c>
      <x:c r="G2" s="461" t="inlineStr">
        <x:is>
          <x:t xml:space="preserve">Material changes require new run, prior claim downgraded</x:t>
        </x:is>
      </x:c>
      <x:c r="H2" s="461" t="inlineStr">
        <x:is>
          <x:t xml:space="preserve">NOT_EVALUATED_WORKED_RUN_EXEMPLAR</x:t>
        </x:is>
      </x:c>
    </x:row>
    <x:row r="3" s="455" customFormat="1" ht="52.5" customHeight="1">
      <x:c r="A3" s="461" t="inlineStr">
        <x:is>
          <x:t xml:space="preserve">CLAIM-002</x:t>
        </x:is>
      </x:c>
      <x:c r="B3" s="461" t="inlineStr">
        <x:is>
          <x:t xml:space="preserve">ProofPack readiness</x:t>
        </x:is>
      </x:c>
      <x:c r="C3" s="461" t="inlineStr">
        <x:is>
          <x:t xml:space="preserve">Missing schema, test vector, hash, replayable PCC, or primitive trace</x:t>
        </x:is>
      </x:c>
      <x:c r="D3" s="461" t="inlineStr">
        <x:is>
          <x:t xml:space="preserve">All required artifacts present and replayable</x:t>
        </x:is>
      </x:c>
      <x:c r="E3" s="461" t="inlineStr">
        <x:is>
          <x:t xml:space="preserve">Any required artifact absent</x:t>
        </x:is>
      </x:c>
      <x:c r="F3" s="461" t="inlineStr">
        <x:is>
          <x:t xml:space="preserve">Release remains architecturally specified only</x:t>
        </x:is>
      </x:c>
      <x:c r="G3" s="461" t="inlineStr">
        <x:is>
          <x:t xml:space="preserve">No post-hoc upgrade to proofpack-ready without artifact evidence</x:t>
        </x:is>
      </x:c>
      <x:c r="H3" s="461" t="inlineStr">
        <x:is>
          <x:t xml:space="preserve">NOT_EVALUATED_WORKED_RUN_EXEMPLAR</x:t>
        </x:is>
      </x:c>
    </x:row>
    <x:row r="4" s="455" customFormat="1" ht="12.75" customHeight="1">
      <x:c r="A4" s="461" t="n"/>
      <x:c r="B4" s="461" t="n"/>
      <x:c r="C4" s="461" t="n"/>
      <x:c r="D4" s="461" t="n"/>
      <x:c r="E4" s="461" t="n"/>
      <x:c r="F4" s="461" t="n"/>
      <x:c r="G4" s="461" t="n"/>
      <x:c r="H4" s="461" t="n"/>
    </x:row>
    <x:row r="5" s="455" customFormat="1" ht="12.75" customHeight="1">
      <x:c r="A5" s="461" t="n"/>
      <x:c r="B5" s="461" t="n"/>
      <x:c r="C5" s="461" t="n"/>
      <x:c r="D5" s="461" t="n"/>
      <x:c r="E5" s="461" t="n"/>
      <x:c r="F5" s="461" t="n"/>
      <x:c r="G5" s="461" t="n"/>
      <x:c r="H5" s="461" t="n"/>
    </x:row>
    <x:row r="6" s="455" customFormat="1" ht="12.75" customHeight="1">
      <x:c r="A6" s="461" t="n"/>
      <x:c r="B6" s="461" t="n"/>
      <x:c r="C6" s="461" t="n"/>
      <x:c r="D6" s="461" t="n"/>
      <x:c r="E6" s="461" t="n"/>
      <x:c r="F6" s="461" t="n"/>
      <x:c r="G6" s="461" t="n"/>
      <x:c r="H6" s="461" t="n"/>
    </x:row>
    <x:row r="7" s="455" customFormat="1" ht="12.75" customHeight="1">
      <x:c r="A7" s="461" t="n"/>
      <x:c r="B7" s="461" t="n"/>
      <x:c r="C7" s="461" t="n"/>
      <x:c r="D7" s="461" t="n"/>
      <x:c r="E7" s="461" t="n"/>
      <x:c r="F7" s="461" t="n"/>
      <x:c r="G7" s="461" t="n"/>
      <x:c r="H7" s="461" t="n"/>
    </x:row>
    <x:row r="8" s="455" customFormat="1" ht="12.75" customHeight="1">
      <x:c r="A8" s="461" t="n"/>
      <x:c r="B8" s="461" t="n"/>
      <x:c r="C8" s="461" t="n"/>
      <x:c r="D8" s="461" t="n"/>
      <x:c r="E8" s="461" t="n"/>
      <x:c r="F8" s="461" t="n"/>
      <x:c r="G8" s="461" t="n"/>
      <x:c r="H8" s="461" t="n"/>
    </x:row>
    <x:row r="9" s="455" customFormat="1" ht="12.75" customHeight="1">
      <x:c r="A9" s="461" t="n"/>
      <x:c r="B9" s="461" t="n"/>
      <x:c r="C9" s="461" t="n"/>
      <x:c r="D9" s="461" t="n"/>
      <x:c r="E9" s="461" t="n"/>
      <x:c r="F9" s="461" t="n"/>
      <x:c r="G9" s="461" t="n"/>
      <x:c r="H9" s="461" t="n"/>
    </x:row>
    <x:row r="10" s="455" customFormat="1" ht="12.75" customHeight="1">
      <x:c r="A10" s="461" t="n"/>
      <x:c r="B10" s="461" t="n"/>
      <x:c r="C10" s="461" t="n"/>
      <x:c r="D10" s="461" t="n"/>
      <x:c r="E10" s="461" t="n"/>
      <x:c r="F10" s="461" t="n"/>
      <x:c r="G10" s="461" t="n"/>
      <x:c r="H10" s="461" t="n"/>
    </x:row>
    <x:row r="11" s="455" customFormat="1" ht="12.75" customHeight="1">
      <x:c r="A11" s="461" t="n"/>
      <x:c r="B11" s="461" t="n"/>
      <x:c r="C11" s="461" t="n"/>
      <x:c r="D11" s="461" t="n"/>
      <x:c r="E11" s="461" t="n"/>
      <x:c r="F11" s="461" t="n"/>
      <x:c r="G11" s="461" t="n"/>
      <x:c r="H11" s="461" t="n"/>
    </x:row>
    <x:row r="12" s="455" customFormat="1" ht="12.75" customHeight="1">
      <x:c r="A12" s="461" t="n"/>
      <x:c r="B12" s="461" t="n"/>
      <x:c r="C12" s="461" t="n"/>
      <x:c r="D12" s="461" t="n"/>
      <x:c r="E12" s="461" t="n"/>
      <x:c r="F12" s="461" t="n"/>
      <x:c r="G12" s="461" t="n"/>
      <x:c r="H12" s="461" t="n"/>
    </x:row>
    <x:row r="13" s="455" customFormat="1" ht="12.75" customHeight="1">
      <x:c r="A13" s="461" t="n"/>
      <x:c r="B13" s="461" t="n"/>
      <x:c r="C13" s="461" t="n"/>
      <x:c r="D13" s="461" t="n"/>
      <x:c r="E13" s="461" t="n"/>
      <x:c r="F13" s="461" t="n"/>
      <x:c r="G13" s="461" t="n"/>
      <x:c r="H13" s="461" t="n"/>
    </x:row>
    <x:row r="14" s="455" customFormat="1" ht="12.75" customHeight="1">
      <x:c r="A14" s="461" t="n"/>
      <x:c r="B14" s="461" t="n"/>
      <x:c r="C14" s="461" t="n"/>
      <x:c r="D14" s="461" t="n"/>
      <x:c r="E14" s="461" t="n"/>
      <x:c r="F14" s="461" t="n"/>
      <x:c r="G14" s="461" t="n"/>
      <x:c r="H14" s="461" t="n"/>
    </x:row>
    <x:row r="15" s="455" customFormat="1" ht="12.75" customHeight="1">
      <x:c r="A15" s="461" t="n"/>
      <x:c r="B15" s="461" t="n"/>
      <x:c r="C15" s="461" t="n"/>
      <x:c r="D15" s="461" t="n"/>
      <x:c r="E15" s="461" t="n"/>
      <x:c r="F15" s="461" t="n"/>
      <x:c r="G15" s="461" t="n"/>
      <x:c r="H15" s="461" t="n"/>
    </x:row>
    <x:row r="16" s="455" customFormat="1" ht="12.75" customHeight="1">
      <x:c r="A16" s="461" t="n"/>
      <x:c r="B16" s="461" t="n"/>
      <x:c r="C16" s="461" t="n"/>
      <x:c r="D16" s="461" t="n"/>
      <x:c r="E16" s="461" t="n"/>
      <x:c r="F16" s="461" t="n"/>
      <x:c r="G16" s="461" t="n"/>
      <x:c r="H16" s="461" t="n"/>
    </x:row>
    <x:row r="17" s="455" customFormat="1" ht="12.75" customHeight="1">
      <x:c r="A17" s="461" t="n"/>
      <x:c r="B17" s="461" t="n"/>
      <x:c r="C17" s="461" t="n"/>
      <x:c r="D17" s="461" t="n"/>
      <x:c r="E17" s="461" t="n"/>
      <x:c r="F17" s="461" t="n"/>
      <x:c r="G17" s="461" t="n"/>
      <x:c r="H17" s="461" t="n"/>
    </x:row>
    <x:row r="18" s="455" customFormat="1" ht="12.75" customHeight="1">
      <x:c r="A18" s="461" t="n"/>
      <x:c r="B18" s="461" t="n"/>
      <x:c r="C18" s="461" t="n"/>
      <x:c r="D18" s="461" t="n"/>
      <x:c r="E18" s="461" t="n"/>
      <x:c r="F18" s="461" t="n"/>
      <x:c r="G18" s="461" t="n"/>
      <x:c r="H18" s="461" t="n"/>
    </x:row>
    <x:row r="19" s="455" customFormat="1" ht="12.75" customHeight="1">
      <x:c r="A19" s="461" t="n"/>
      <x:c r="B19" s="461" t="n"/>
      <x:c r="C19" s="461" t="n"/>
      <x:c r="D19" s="461" t="n"/>
      <x:c r="E19" s="461" t="n"/>
      <x:c r="F19" s="461" t="n"/>
      <x:c r="G19" s="461" t="n"/>
      <x:c r="H19" s="461" t="n"/>
    </x:row>
    <x:row r="20" s="455" customFormat="1" ht="12.75" customHeight="1">
      <x:c r="A20" s="461" t="n"/>
      <x:c r="B20" s="461" t="n"/>
      <x:c r="C20" s="461" t="n"/>
      <x:c r="D20" s="461" t="n"/>
      <x:c r="E20" s="461" t="n"/>
      <x:c r="F20" s="461" t="n"/>
      <x:c r="G20" s="461" t="n"/>
      <x:c r="H20" s="461" t="n"/>
    </x:row>
    <x:row r="21" s="455" customFormat="1" ht="12.75" customHeight="1">
      <x:c r="A21" s="461" t="n"/>
      <x:c r="B21" s="461" t="n"/>
      <x:c r="C21" s="461" t="n"/>
      <x:c r="D21" s="461" t="n"/>
      <x:c r="E21" s="461" t="n"/>
      <x:c r="F21" s="461" t="n"/>
      <x:c r="G21" s="461" t="n"/>
      <x:c r="H21" s="461" t="n"/>
    </x:row>
    <x:row r="22" s="455" customFormat="1" ht="12.75" customHeight="1">
      <x:c r="A22" s="461" t="n"/>
      <x:c r="B22" s="461" t="n"/>
      <x:c r="C22" s="461" t="n"/>
      <x:c r="D22" s="461" t="n"/>
      <x:c r="E22" s="461" t="n"/>
      <x:c r="F22" s="461" t="n"/>
      <x:c r="G22" s="461" t="n"/>
      <x:c r="H22" s="461" t="n"/>
    </x:row>
    <x:row r="23" s="455" customFormat="1" ht="12.75" customHeight="1">
      <x:c r="A23" s="461" t="n"/>
      <x:c r="B23" s="461" t="n"/>
      <x:c r="C23" s="461" t="n"/>
      <x:c r="D23" s="461" t="n"/>
      <x:c r="E23" s="461" t="n"/>
      <x:c r="F23" s="461" t="n"/>
      <x:c r="G23" s="461" t="n"/>
      <x:c r="H23" s="461" t="n"/>
    </x:row>
    <x:row r="24" s="455" customFormat="1" ht="12.75" customHeight="1">
      <x:c r="A24" s="461" t="n"/>
      <x:c r="B24" s="461" t="n"/>
      <x:c r="C24" s="461" t="n"/>
      <x:c r="D24" s="461" t="n"/>
      <x:c r="E24" s="461" t="n"/>
      <x:c r="F24" s="461" t="n"/>
      <x:c r="G24" s="461" t="n"/>
      <x:c r="H24" s="461" t="n"/>
    </x:row>
    <x:row r="25" s="455" customFormat="1" ht="12.75" customHeight="1">
      <x:c r="A25" s="461" t="n"/>
      <x:c r="B25" s="461" t="n"/>
      <x:c r="C25" s="461" t="n"/>
      <x:c r="D25" s="461" t="n"/>
      <x:c r="E25" s="461" t="n"/>
      <x:c r="F25" s="461" t="n"/>
      <x:c r="G25" s="461" t="n"/>
      <x:c r="H25" s="461" t="n"/>
    </x:row>
    <x:row r="26" s="455" customFormat="1" ht="12.75" customHeight="1">
      <x:c r="A26" s="461" t="n"/>
      <x:c r="B26" s="461" t="n"/>
      <x:c r="C26" s="461" t="n"/>
      <x:c r="D26" s="461" t="n"/>
      <x:c r="E26" s="461" t="n"/>
      <x:c r="F26" s="461" t="n"/>
      <x:c r="G26" s="461" t="n"/>
      <x:c r="H26" s="461" t="n"/>
    </x:row>
    <x:row r="27" s="455" customFormat="1" ht="12.75" customHeight="1">
      <x:c r="A27" s="461" t="n"/>
      <x:c r="B27" s="461" t="n"/>
      <x:c r="C27" s="461" t="n"/>
      <x:c r="D27" s="461" t="n"/>
      <x:c r="E27" s="461" t="n"/>
      <x:c r="F27" s="461" t="n"/>
      <x:c r="G27" s="461" t="n"/>
      <x:c r="H27" s="461" t="n"/>
    </x:row>
    <x:row r="28" s="455" customFormat="1" ht="12.75" customHeight="1">
      <x:c r="A28" s="461" t="n"/>
      <x:c r="B28" s="461" t="n"/>
      <x:c r="C28" s="461" t="n"/>
      <x:c r="D28" s="461" t="n"/>
      <x:c r="E28" s="461" t="n"/>
      <x:c r="F28" s="461" t="n"/>
      <x:c r="G28" s="461" t="n"/>
      <x:c r="H28" s="461" t="n"/>
    </x:row>
    <x:row r="29" s="455" customFormat="1" ht="12.75" customHeight="1">
      <x:c r="A29" s="461" t="n"/>
      <x:c r="B29" s="461" t="n"/>
      <x:c r="C29" s="461" t="n"/>
      <x:c r="D29" s="461" t="n"/>
      <x:c r="E29" s="461" t="n"/>
      <x:c r="F29" s="461" t="n"/>
      <x:c r="G29" s="461" t="n"/>
      <x:c r="H29" s="461" t="n"/>
    </x:row>
    <x:row r="30" s="455" customFormat="1" ht="12.75" customHeight="1">
      <x:c r="A30" s="461" t="n"/>
      <x:c r="B30" s="461" t="n"/>
      <x:c r="C30" s="461" t="n"/>
      <x:c r="D30" s="461" t="n"/>
      <x:c r="E30" s="461" t="n"/>
      <x:c r="F30" s="461" t="n"/>
      <x:c r="G30" s="461" t="n"/>
      <x:c r="H30" s="461" t="n"/>
    </x:row>
    <x:row r="31" s="455" customFormat="1" ht="12.75" customHeight="1">
      <x:c r="A31" s="461" t="n"/>
      <x:c r="B31" s="461" t="n"/>
      <x:c r="C31" s="461" t="n"/>
      <x:c r="D31" s="461" t="n"/>
      <x:c r="E31" s="461" t="n"/>
      <x:c r="F31" s="461" t="n"/>
      <x:c r="G31" s="461" t="n"/>
      <x:c r="H31" s="461" t="n"/>
    </x:row>
    <x:row r="32" s="455" customFormat="1" ht="12.75" customHeight="1">
      <x:c r="A32" s="461" t="n"/>
      <x:c r="B32" s="461" t="n"/>
      <x:c r="C32" s="461" t="n"/>
      <x:c r="D32" s="461" t="n"/>
      <x:c r="E32" s="461" t="n"/>
      <x:c r="F32" s="461" t="n"/>
      <x:c r="G32" s="461" t="n"/>
      <x:c r="H32" s="461" t="n"/>
    </x:row>
    <x:row r="33" s="455" customFormat="1" ht="12.75" customHeight="1">
      <x:c r="A33" s="461" t="n"/>
      <x:c r="B33" s="461" t="n"/>
      <x:c r="C33" s="461" t="n"/>
      <x:c r="D33" s="461" t="n"/>
      <x:c r="E33" s="461" t="n"/>
      <x:c r="F33" s="461" t="n"/>
      <x:c r="G33" s="461" t="n"/>
      <x:c r="H33" s="461" t="n"/>
    </x:row>
    <x:row r="34" s="455" customFormat="1" ht="12.75" customHeight="1">
      <x:c r="A34" s="461" t="n"/>
      <x:c r="B34" s="461" t="n"/>
      <x:c r="C34" s="461" t="n"/>
      <x:c r="D34" s="461" t="n"/>
      <x:c r="E34" s="461" t="n"/>
      <x:c r="F34" s="461" t="n"/>
      <x:c r="G34" s="461" t="n"/>
      <x:c r="H34" s="461" t="n"/>
    </x:row>
    <x:row r="35" s="455" customFormat="1" ht="12.75" customHeight="1">
      <x:c r="A35" s="461" t="n"/>
      <x:c r="B35" s="461" t="n"/>
      <x:c r="C35" s="461" t="n"/>
      <x:c r="D35" s="461" t="n"/>
      <x:c r="E35" s="461" t="n"/>
      <x:c r="F35" s="461" t="n"/>
      <x:c r="G35" s="461" t="n"/>
      <x:c r="H35" s="461" t="n"/>
    </x:row>
    <x:row r="36" s="455" customFormat="1" ht="12.75" customHeight="1">
      <x:c r="A36" s="461" t="n"/>
      <x:c r="B36" s="461" t="n"/>
      <x:c r="C36" s="461" t="n"/>
      <x:c r="D36" s="461" t="n"/>
      <x:c r="E36" s="461" t="n"/>
      <x:c r="F36" s="461" t="n"/>
      <x:c r="G36" s="461" t="n"/>
      <x:c r="H36" s="461" t="n"/>
    </x:row>
    <x:row r="37" s="455" customFormat="1" ht="12.75" customHeight="1">
      <x:c r="A37" s="461" t="n"/>
      <x:c r="B37" s="461" t="n"/>
      <x:c r="C37" s="461" t="n"/>
      <x:c r="D37" s="461" t="n"/>
      <x:c r="E37" s="461" t="n"/>
      <x:c r="F37" s="461" t="n"/>
      <x:c r="G37" s="461" t="n"/>
      <x:c r="H37" s="461" t="n"/>
    </x:row>
    <x:row r="38" s="455" customFormat="1" ht="12.75" customHeight="1">
      <x:c r="A38" s="461" t="n"/>
      <x:c r="B38" s="461" t="n"/>
      <x:c r="C38" s="461" t="n"/>
      <x:c r="D38" s="461" t="n"/>
      <x:c r="E38" s="461" t="n"/>
      <x:c r="F38" s="461" t="n"/>
      <x:c r="G38" s="461" t="n"/>
      <x:c r="H38" s="461" t="n"/>
    </x:row>
    <x:row r="39" s="455" customFormat="1" ht="12.75" customHeight="1">
      <x:c r="A39" s="461" t="n"/>
      <x:c r="B39" s="461" t="n"/>
      <x:c r="C39" s="461" t="n"/>
      <x:c r="D39" s="461" t="n"/>
      <x:c r="E39" s="461" t="n"/>
      <x:c r="F39" s="461" t="n"/>
      <x:c r="G39" s="461" t="n"/>
      <x:c r="H39" s="461" t="n"/>
    </x:row>
    <x:row r="40" s="455" customFormat="1" ht="12.75" customHeight="1">
      <x:c r="A40" s="461" t="n"/>
      <x:c r="B40" s="461" t="n"/>
      <x:c r="C40" s="461" t="n"/>
      <x:c r="D40" s="461" t="n"/>
      <x:c r="E40" s="461" t="n"/>
      <x:c r="F40" s="461" t="n"/>
      <x:c r="G40" s="461" t="n"/>
      <x:c r="H40" s="461" t="n"/>
    </x:row>
  </x:sheetData>
  <x:pageMargins left="0.7" right="0.7" top="0.75" bottom="0.75" header="0.3" footer="0.3"/>
</x:worksheet>
</file>

<file path=xl/worksheets/sheet34.xml><?xml version="1.0" encoding="utf-8"?>
<x:worksheet xmlns:x="http://schemas.openxmlformats.org/spreadsheetml/2006/main">
  <x:sheetViews>
    <x:sheetView showGridLines="1" workbookViewId="0"/>
  </x:sheetViews>
  <x:sheetFormatPr baseColWidth="8" defaultColWidth="8.6796875" defaultRowHeight="12.75"/>
  <x:cols>
    <x:col min="1" max="1" width="3.880000114440918" style="454" customWidth="1"/>
    <x:col min="2" max="2" width="27.34000015258789" style="454" customWidth="1"/>
    <x:col min="3" max="3" width="37" style="454" customWidth="1"/>
    <x:col min="4" max="4" width="30" style="454" customWidth="1"/>
    <x:col min="5" max="5" width="36.7599983215332" style="454" customWidth="1"/>
  </x:cols>
  <x:sheetData>
    <x:row r="1" s="455" customFormat="1" ht="26.25" customHeight="1">
      <x:c r="A1" s="603" t="inlineStr">
        <x:is>
          <x:t xml:space="preserve">level</x:t>
        </x:is>
      </x:c>
      <x:c r="B1" s="603" t="inlineStr">
        <x:is>
          <x:t xml:space="preserve">label</x:t>
        </x:is>
      </x:c>
      <x:c r="C1" s="603" t="inlineStr">
        <x:is>
          <x:t xml:space="preserve">meaning</x:t>
        </x:is>
      </x:c>
      <x:c r="D1" s="603" t="inlineStr">
        <x:is>
          <x:t xml:space="preserve">claim_boundary</x:t>
        </x:is>
      </x:c>
      <x:c r="E1" s="603" t="inlineStr">
        <x:is>
          <x:t xml:space="preserve">minimum_evidence</x:t>
        </x:is>
      </x:c>
    </x:row>
    <x:row r="2" s="455" customFormat="1" ht="12.75" customHeight="1">
      <x:c r="A2" s="461" t="inlineStr">
        <x:is>
          <x:t xml:space="preserve">M0</x:t>
        </x:is>
      </x:c>
      <x:c r="B2" s="461" t="inlineStr">
        <x:is>
          <x:t xml:space="preserve">CONCEPTUAL</x:t>
        </x:is>
      </x:c>
      <x:c r="C2" s="461" t="inlineStr">
        <x:is>
          <x:t xml:space="preserve">Idea or framing exists</x:t>
        </x:is>
      </x:c>
      <x:c r="D2" s="461" t="inlineStr">
        <x:is>
          <x:t xml:space="preserve">No conformance or validation claim</x:t>
        </x:is>
      </x:c>
      <x:c r="E2" s="461" t="inlineStr">
        <x:is>
          <x:t xml:space="preserve">clear statement of concept</x:t>
        </x:is>
      </x:c>
    </x:row>
    <x:row r="3" s="455" customFormat="1" ht="26.25" customHeight="1">
      <x:c r="A3" s="461" t="inlineStr">
        <x:is>
          <x:t xml:space="preserve">M1</x:t>
        </x:is>
      </x:c>
      <x:c r="B3" s="461" t="inlineStr">
        <x:is>
          <x:t xml:space="preserve">INTERNAL_COHERENCE</x:t>
        </x:is>
      </x:c>
      <x:c r="C3" s="461" t="inlineStr">
        <x:is>
          <x:t xml:space="preserve">Definitions and logic are internally organized</x:t>
        </x:is>
      </x:c>
      <x:c r="D3" s="461" t="inlineStr">
        <x:is>
          <x:t xml:space="preserve">architecture discussion only</x:t>
        </x:is>
      </x:c>
      <x:c r="E3" s="461" t="inlineStr">
        <x:is>
          <x:t xml:space="preserve">coherence review</x:t>
        </x:is>
      </x:c>
    </x:row>
    <x:row r="4" s="455" customFormat="1" ht="12.75" customHeight="1">
      <x:c r="A4" s="461" t="inlineStr">
        <x:is>
          <x:t xml:space="preserve">M2</x:t>
        </x:is>
      </x:c>
      <x:c r="B4" s="461" t="inlineStr">
        <x:is>
          <x:t xml:space="preserve">WORKED_EXAMPLE</x:t>
        </x:is>
      </x:c>
      <x:c r="C4" s="461" t="inlineStr">
        <x:is>
          <x:t xml:space="preserve">One or more illustrative runs exist</x:t>
        </x:is>
      </x:c>
      <x:c r="D4" s="461" t="inlineStr">
        <x:is>
          <x:t xml:space="preserve">example claim only</x:t>
        </x:is>
      </x:c>
      <x:c r="E4" s="461" t="inlineStr">
        <x:is>
          <x:t xml:space="preserve">worked run record</x:t>
        </x:is>
      </x:c>
    </x:row>
    <x:row r="5" s="455" customFormat="1" ht="26.25" customHeight="1">
      <x:c r="A5" s="461" t="inlineStr">
        <x:is>
          <x:t xml:space="preserve">M3</x:t>
        </x:is>
      </x:c>
      <x:c r="B5" s="461" t="inlineStr">
        <x:is>
          <x:t xml:space="preserve">REPLAYABLE</x:t>
        </x:is>
      </x:c>
      <x:c r="C5" s="461" t="inlineStr">
        <x:is>
          <x:t xml:space="preserve">Workbook or calculator run can be replayed</x:t>
        </x:is>
      </x:c>
      <x:c r="D5" s="461" t="inlineStr">
        <x:is>
          <x:t xml:space="preserve">replayable artifact claim</x:t>
        </x:is>
      </x:c>
      <x:c r="E5" s="461" t="inlineStr">
        <x:is>
          <x:t xml:space="preserve">artifact hash and instructions</x:t>
        </x:is>
      </x:c>
    </x:row>
    <x:row r="6" s="455" customFormat="1" ht="26.25" customHeight="1">
      <x:c r="A6" s="461" t="inlineStr">
        <x:is>
          <x:t xml:space="preserve">M4</x:t>
        </x:is>
      </x:c>
      <x:c r="B6" s="461" t="inlineStr">
        <x:is>
          <x:t xml:space="preserve">INDEPENDENT_RECONSTRUCTION</x:t>
        </x:is>
      </x:c>
      <x:c r="C6" s="461" t="inlineStr">
        <x:is>
          <x:t xml:space="preserve">Independent reviewer can reconstruct verdict</x:t>
        </x:is>
      </x:c>
      <x:c r="D6" s="461" t="inlineStr">
        <x:is>
          <x:t xml:space="preserve">reviewed run claim</x:t>
        </x:is>
      </x:c>
      <x:c r="E6" s="461" t="inlineStr">
        <x:is>
          <x:t xml:space="preserve">reviewer record and discrepancies</x:t>
        </x:is>
      </x:c>
    </x:row>
    <x:row r="7" s="455" customFormat="1" ht="12.75" customHeight="1">
      <x:c r="A7" s="461" t="inlineStr">
        <x:is>
          <x:t xml:space="preserve">M5</x:t>
        </x:is>
      </x:c>
      <x:c r="B7" s="461" t="inlineStr">
        <x:is>
          <x:t xml:space="preserve">PILOTED</x:t>
        </x:is>
      </x:c>
      <x:c r="C7" s="461" t="inlineStr">
        <x:is>
          <x:t xml:space="preserve">Pre-registered pilot with comparator exists</x:t>
        </x:is>
      </x:c>
      <x:c r="D7" s="461" t="inlineStr">
        <x:is>
          <x:t xml:space="preserve">pilot-limited performance claim</x:t>
        </x:is>
      </x:c>
      <x:c r="E7" s="461" t="inlineStr">
        <x:is>
          <x:t xml:space="preserve">pilot protocol, comparator, results</x:t>
        </x:is>
      </x:c>
    </x:row>
    <x:row r="8" s="455" customFormat="1" ht="12.75" customHeight="1">
      <x:c r="A8" s="461" t="inlineStr">
        <x:is>
          <x:t xml:space="preserve">M6</x:t>
        </x:is>
      </x:c>
      <x:c r="B8" s="461" t="inlineStr">
        <x:is>
          <x:t xml:space="preserve">REPLICATED</x:t>
        </x:is>
      </x:c>
      <x:c r="C8" s="461" t="inlineStr">
        <x:is>
          <x:t xml:space="preserve">Multi-case replication exists</x:t>
        </x:is>
      </x:c>
      <x:c r="D8" s="461" t="inlineStr">
        <x:is>
          <x:t xml:space="preserve">limited replicated claim</x:t>
        </x:is>
      </x:c>
      <x:c r="E8" s="461" t="inlineStr">
        <x:is>
          <x:t xml:space="preserve">case set and replication stats</x:t>
        </x:is>
      </x:c>
    </x:row>
    <x:row r="9" s="455" customFormat="1" ht="12.75" customHeight="1">
      <x:c r="A9" s="461" t="inlineStr">
        <x:is>
          <x:t xml:space="preserve">M7</x:t>
        </x:is>
      </x:c>
      <x:c r="B9" s="461" t="inlineStr">
        <x:is>
          <x:t xml:space="preserve">DOMAIN_CALIBRATED</x:t>
        </x:is>
      </x:c>
      <x:c r="C9" s="461" t="inlineStr">
        <x:is>
          <x:t xml:space="preserve">Measurement annex validated for domain</x:t>
        </x:is>
      </x:c>
      <x:c r="D9" s="461" t="inlineStr">
        <x:is>
          <x:t xml:space="preserve">domain-specific calibration claim</x:t>
        </x:is>
      </x:c>
      <x:c r="E9" s="461" t="inlineStr">
        <x:is>
          <x:t xml:space="preserve">measurement annex and IRR</x:t>
        </x:is>
      </x:c>
    </x:row>
    <x:row r="10" s="455" customFormat="1" ht="26.25" customHeight="1">
      <x:c r="A10" s="461" t="inlineStr">
        <x:is>
          <x:t xml:space="preserve">M8</x:t>
        </x:is>
      </x:c>
      <x:c r="B10" s="461" t="inlineStr">
        <x:is>
          <x:t xml:space="preserve">DEPLOYED_MONITORED</x:t>
        </x:is>
      </x:c>
      <x:c r="C10" s="461" t="inlineStr">
        <x:is>
          <x:t xml:space="preserve">Production deployment with monitoring exists</x:t>
        </x:is>
      </x:c>
      <x:c r="D10" s="461" t="inlineStr">
        <x:is>
          <x:t xml:space="preserve">deployment-limited operational claim</x:t>
        </x:is>
      </x:c>
      <x:c r="E10" s="461" t="inlineStr">
        <x:is>
          <x:t xml:space="preserve">monitoring logs and incident process</x:t>
        </x:is>
      </x:c>
    </x:row>
    <x:row r="11" s="455" customFormat="1" ht="26.25" customHeight="1">
      <x:c r="A11" s="461" t="inlineStr">
        <x:is>
          <x:t xml:space="preserve">M9</x:t>
        </x:is>
      </x:c>
      <x:c r="B11" s="461" t="inlineStr">
        <x:is>
          <x:t xml:space="preserve">PROOFPACK_READY</x:t>
        </x:is>
      </x:c>
      <x:c r="C11" s="461" t="inlineStr">
        <x:is>
          <x:t xml:space="preserve">Public replayable ProofPack exists</x:t>
        </x:is>
      </x:c>
      <x:c r="D11" s="461" t="inlineStr">
        <x:is>
          <x:t xml:space="preserve">machine-verifiable ecosystem claim</x:t>
        </x:is>
      </x:c>
      <x:c r="E11" s="461" t="inlineStr">
        <x:is>
          <x:t xml:space="preserve">schema, validator, test vectors, replayable PCC</x:t>
        </x:is>
      </x:c>
    </x:row>
    <x:row r="12" s="455" customFormat="1" ht="12.75" customHeight="1">
      <x:c r="A12" s="461" t="n"/>
      <x:c r="B12" s="461" t="n"/>
      <x:c r="C12" s="461" t="n"/>
      <x:c r="D12" s="461" t="n"/>
      <x:c r="E12" s="461" t="n"/>
    </x:row>
    <x:row r="13" s="455" customFormat="1" ht="12.75" customHeight="1">
      <x:c r="A13" s="461" t="n"/>
      <x:c r="B13" s="461" t="n"/>
      <x:c r="C13" s="461" t="n"/>
      <x:c r="D13" s="461" t="n"/>
      <x:c r="E13" s="461" t="n"/>
    </x:row>
    <x:row r="14" s="455" customFormat="1" ht="12.75" customHeight="1">
      <x:c r="A14" s="461" t="n"/>
      <x:c r="B14" s="461" t="n"/>
      <x:c r="C14" s="461" t="n"/>
      <x:c r="D14" s="461" t="n"/>
      <x:c r="E14" s="461" t="n"/>
    </x:row>
    <x:row r="15" s="455" customFormat="1" ht="12.75" customHeight="1">
      <x:c r="A15" s="461" t="n"/>
      <x:c r="B15" s="461" t="n"/>
      <x:c r="C15" s="461" t="n"/>
      <x:c r="D15" s="461" t="n"/>
      <x:c r="E15" s="461" t="n"/>
    </x:row>
    <x:row r="16" s="455" customFormat="1" ht="12.75" customHeight="1">
      <x:c r="A16" s="461" t="n"/>
      <x:c r="B16" s="461" t="n"/>
      <x:c r="C16" s="461" t="n"/>
      <x:c r="D16" s="461" t="n"/>
      <x:c r="E16" s="461" t="n"/>
    </x:row>
    <x:row r="17" s="455" customFormat="1" ht="12.75" customHeight="1">
      <x:c r="A17" s="461" t="n"/>
      <x:c r="B17" s="461" t="n"/>
      <x:c r="C17" s="461" t="n"/>
      <x:c r="D17" s="461" t="n"/>
      <x:c r="E17" s="461" t="n"/>
    </x:row>
    <x:row r="18" s="455" customFormat="1" ht="12.75" customHeight="1">
      <x:c r="A18" s="461" t="n"/>
      <x:c r="B18" s="461" t="n"/>
      <x:c r="C18" s="461" t="n"/>
      <x:c r="D18" s="461" t="n"/>
      <x:c r="E18" s="461" t="n"/>
    </x:row>
    <x:row r="19" s="455" customFormat="1" ht="12.75" customHeight="1">
      <x:c r="A19" s="461" t="n"/>
      <x:c r="B19" s="461" t="n"/>
      <x:c r="C19" s="461" t="n"/>
      <x:c r="D19" s="461" t="n"/>
      <x:c r="E19" s="461" t="n"/>
    </x:row>
    <x:row r="20" s="455" customFormat="1" ht="12.75" customHeight="1">
      <x:c r="A20" s="461" t="n"/>
      <x:c r="B20" s="461" t="n"/>
      <x:c r="C20" s="461" t="n"/>
      <x:c r="D20" s="461" t="n"/>
      <x:c r="E20" s="461" t="n"/>
    </x:row>
  </x:sheetData>
  <x:pageMargins left="0.7" right="0.7" top="0.75" bottom="0.75" header="0.3" footer="0.3"/>
</x:worksheet>
</file>

<file path=xl/worksheets/sheet35.xml><?xml version="1.0" encoding="utf-8"?>
<x:worksheet xmlns:x="http://schemas.openxmlformats.org/spreadsheetml/2006/main">
  <x:sheetViews>
    <x:sheetView showGridLines="1" workbookViewId="0"/>
  </x:sheetViews>
  <x:sheetFormatPr baseColWidth="8" defaultColWidth="8.6796875" defaultRowHeight="12.75"/>
  <x:cols>
    <x:col min="1" max="1" width="7.110000133514404" style="454" customWidth="1"/>
    <x:col min="2" max="2" width="41.439998626708984" style="454" customWidth="1"/>
    <x:col min="3" max="3" width="4.880000114440918" style="454" customWidth="1"/>
    <x:col min="4" max="4" width="33.209999084472656" style="454" customWidth="1"/>
    <x:col min="5" max="5" width="88.22000122070312" style="454" customWidth="1"/>
  </x:cols>
  <x:sheetData>
    <x:row r="1" s="455" customFormat="1" ht="26.25" customHeight="1">
      <x:c r="A1" s="604" t="inlineStr">
        <x:is>
          <x:t xml:space="preserve">check_id</x:t>
        </x:is>
      </x:c>
      <x:c r="B1" s="604" t="inlineStr">
        <x:is>
          <x:t xml:space="preserve">check</x:t>
        </x:is>
      </x:c>
      <x:c r="C1" s="604" t="inlineStr">
        <x:is>
          <x:t xml:space="preserve">status</x:t>
        </x:is>
      </x:c>
      <x:c r="D1" s="604" t="inlineStr">
        <x:is>
          <x:t xml:space="preserve">evidence_ref</x:t>
        </x:is>
      </x:c>
      <x:c r="E1" s="604" t="inlineStr">
        <x:is>
          <x:t xml:space="preserve">notes</x:t>
        </x:is>
      </x:c>
      <x:c r="F1" s="474" t="n"/>
      <x:c r="G1" s="474"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26.25" customHeight="1">
      <x:c r="A2" s="476" t="inlineStr">
        <x:is>
          <x:t xml:space="preserve">V10.6-01</x:t>
        </x:is>
      </x:c>
      <x:c r="B2" s="476" t="inlineStr">
        <x:is>
          <x:t xml:space="preserve">Canon version pinned to RippleLogic Canon v10.8</x:t>
        </x:is>
      </x:c>
      <x:c r="C2" s="476" t="inlineStr">
        <x:is>
          <x:t xml:space="preserve">PASS</x:t>
        </x:is>
      </x:c>
      <x:c r="D2" s="476" t="inlineStr">
        <x:is>
          <x:t xml:space="preserve">CANON / manifest</x:t>
        </x:is>
      </x:c>
      <x:c r="E2" s="476" t="n"/>
      <x:c r="F2" s="476" t="n"/>
      <x:c r="G2" s="476"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26.25" customHeight="1">
      <x:c r="A3" s="476" t="inlineStr">
        <x:is>
          <x:t xml:space="preserve">V10.6-02</x:t>
        </x:is>
      </x:c>
      <x:c r="B3" s="476" t="inlineStr">
        <x:is>
          <x:t xml:space="preserve">SGP version pinned to SGP v5.5</x:t>
        </x:is>
      </x:c>
      <x:c r="C3" s="476" t="inlineStr">
        <x:is>
          <x:t xml:space="preserve">PASS</x:t>
        </x:is>
      </x:c>
      <x:c r="D3" s="476" t="inlineStr">
        <x:is>
          <x:t xml:space="preserve">CANON / manifest</x:t>
        </x:is>
      </x:c>
      <x:c r="E3" s="476" t="n"/>
      <x:c r="F3" s="476" t="n"/>
      <x:c r="G3" s="476"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26.25" customHeight="1">
      <x:c r="A4" s="476" t="inlineStr">
        <x:is>
          <x:t xml:space="preserve">V10.6-03</x:t>
        </x:is>
      </x:c>
      <x:c r="B4" s="476" t="inlineStr">
        <x:is>
          <x:t xml:space="preserve">ripple.md version pinned to ripple.md v3.6</x:t>
        </x:is>
      </x:c>
      <x:c r="C4" s="476" t="inlineStr">
        <x:is>
          <x:t xml:space="preserve">PASS</x:t>
        </x:is>
      </x:c>
      <x:c r="D4" s="476" t="inlineStr">
        <x:is>
          <x:t xml:space="preserve">CANON / manifest</x:t>
        </x:is>
      </x:c>
      <x:c r="E4" s="476" t="n"/>
      <x:c r="F4" s="476" t="n"/>
      <x:c r="G4" s="476"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26.25" customHeight="1">
      <x:c r="A5" s="476" t="inlineStr">
        <x:is>
          <x:t xml:space="preserve">V10.6-04</x:t>
        </x:is>
      </x:c>
      <x:c r="B5" s="476" t="inlineStr">
        <x:is>
          <x:t xml:space="preserve">Agent System version pinned to RippleLogic Agent System v10.8</x:t>
        </x:is>
      </x:c>
      <x:c r="C5" s="476" t="inlineStr">
        <x:is>
          <x:t xml:space="preserve">PASS</x:t>
        </x:is>
      </x:c>
      <x:c r="D5" s="476" t="inlineStr">
        <x:is>
          <x:t xml:space="preserve">CANON / manifest</x:t>
        </x:is>
      </x:c>
      <x:c r="E5" s="476" t="n"/>
      <x:c r="F5" s="476" t="n"/>
      <x:c r="G5" s="476"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26.25" customHeight="1">
      <x:c r="A6" s="476" t="inlineStr">
        <x:is>
          <x:t xml:space="preserve">V10.6-05</x:t>
        </x:is>
      </x:c>
      <x:c r="B6" s="476" t="inlineStr">
        <x:is>
          <x:t xml:space="preserve">PrimitiveTrace sheet present</x:t>
        </x:is>
      </x:c>
      <x:c r="C6" s="476" t="inlineStr">
        <x:is>
          <x:t xml:space="preserve">PASS</x:t>
        </x:is>
      </x:c>
      <x:c r="D6" s="476" t="inlineStr">
        <x:is>
          <x:t xml:space="preserve">PrimitiveTrace</x:t>
        </x:is>
      </x:c>
      <x:c r="E6" s="476" t="n"/>
      <x:c r="F6" s="476" t="n"/>
      <x:c r="G6" s="476"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26.25" customHeight="1">
      <x:c r="A7" s="476" t="inlineStr">
        <x:is>
          <x:t xml:space="preserve">V10.6-06</x:t>
        </x:is>
      </x:c>
      <x:c r="B7" s="476" t="inlineStr">
        <x:is>
          <x:t xml:space="preserve">ObservableConsequences sheet present</x:t>
        </x:is>
      </x:c>
      <x:c r="C7" s="476" t="inlineStr">
        <x:is>
          <x:t xml:space="preserve">PASS</x:t>
        </x:is>
      </x:c>
      <x:c r="D7" s="476" t="inlineStr">
        <x:is>
          <x:t xml:space="preserve">ObservableConsequences</x:t>
        </x:is>
      </x:c>
      <x:c r="E7" s="476" t="n"/>
      <x:c r="F7" s="476" t="n"/>
      <x:c r="G7" s="476"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26.25" customHeight="1">
      <x:c r="A8" s="476" t="inlineStr">
        <x:is>
          <x:t xml:space="preserve">V10.6-07</x:t>
        </x:is>
      </x:c>
      <x:c r="B8" s="476" t="inlineStr">
        <x:is>
          <x:t xml:space="preserve">FalsificationPlan sheet present</x:t>
        </x:is>
      </x:c>
      <x:c r="C8" s="476" t="inlineStr">
        <x:is>
          <x:t xml:space="preserve">PASS</x:t>
        </x:is>
      </x:c>
      <x:c r="D8" s="476" t="inlineStr">
        <x:is>
          <x:t xml:space="preserve">FalsificationPlan</x:t>
        </x:is>
      </x:c>
      <x:c r="E8" s="476" t="n"/>
      <x:c r="F8" s="476" t="n"/>
      <x:c r="G8" s="476"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26.25" customHeight="1">
      <x:c r="A9" s="476" t="inlineStr">
        <x:is>
          <x:t xml:space="preserve">V10.6-08</x:t>
        </x:is>
      </x:c>
      <x:c r="B9" s="476" t="inlineStr">
        <x:is>
          <x:t xml:space="preserve">MethodologyMaturity sheet present</x:t>
        </x:is>
      </x:c>
      <x:c r="C9" s="476" t="inlineStr">
        <x:is>
          <x:t xml:space="preserve">PASS</x:t>
        </x:is>
      </x:c>
      <x:c r="D9" s="476" t="inlineStr">
        <x:is>
          <x:t xml:space="preserve">MethodologyMaturity</x:t>
        </x:is>
      </x:c>
      <x:c r="E9" s="476" t="n"/>
      <x:c r="F9" s="476" t="n"/>
      <x:c r="G9" s="476"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26.25" customHeight="1">
      <x:c r="A10" s="476" t="inlineStr">
        <x:is>
          <x:t xml:space="preserve">V10.6-09</x:t>
        </x:is>
      </x:c>
      <x:c r="B10" s="476" t="inlineStr">
        <x:is>
          <x:t xml:space="preserve">No unsupported ProofPack-ready claim</x:t>
        </x:is>
      </x:c>
      <x:c r="C10" s="476" t="inlineStr">
        <x:is>
          <x:t xml:space="preserve">PASS</x:t>
        </x:is>
      </x:c>
      <x:c r="D10" s="476" t="inlineStr">
        <x:is>
          <x:t xml:space="preserve">Manifest / release notes</x:t>
        </x:is>
      </x:c>
      <x:c r="E10" s="476" t="inlineStr">
        <x:is>
          <x:t xml:space="preserve">Not ProofPack-ready; unsupported ProofPack-ready claim absent.</x:t>
        </x:is>
      </x:c>
      <x:c r="F10" s="476" t="n"/>
      <x:c r="G10" s="476"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26.25" customHeight="1">
      <x:c r="A11" s="476" t="inlineStr">
        <x:is>
          <x:t xml:space="preserve">V10.6-10</x:t>
        </x:is>
      </x:c>
      <x:c r="B11" s="476" t="inlineStr">
        <x:is>
          <x:t xml:space="preserve">No post-hoc projection modification</x:t>
        </x:is>
      </x:c>
      <x:c r="C11" s="476" t="inlineStr">
        <x:is>
          <x:t xml:space="preserve">PASS</x:t>
        </x:is>
      </x:c>
      <x:c r="D11" s="476" t="inlineStr">
        <x:is>
          <x:t xml:space="preserve">ProjectionPreRegistration / PrimitiveTrace</x:t>
        </x:is>
      </x:c>
      <x:c r="E11" s="476" t="inlineStr">
        <x:is>
          <x:t xml:space="preserve">Projection values locked for this worked-run release build; post-hoc modification not used after v10.8 run-lock.</x:t>
        </x:is>
      </x:c>
      <x:c r="F11" s="476" t="n"/>
      <x:c r="G11" s="476"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26.25" customHeight="1">
      <x:c r="A12" s="476" t="inlineStr">
        <x:is>
          <x:t xml:space="preserve">V10.6-11</x:t>
        </x:is>
      </x:c>
      <x:c r="B12" s="476" t="inlineStr">
        <x:is>
          <x:t xml:space="preserve">ExecutionStability indicator block populated</x:t>
        </x:is>
      </x:c>
      <x:c r="C12" s="476" t="inlineStr">
        <x:is>
          <x:t xml:space="preserve">PASS</x:t>
        </x:is>
      </x:c>
      <x:c r="D12" s="476" t="inlineStr">
        <x:is>
          <x:t xml:space="preserve">ExecutionStability!A30:F36</x:t>
        </x:is>
      </x:c>
      <x:c r="E12" s="476" t="inlineStr">
        <x:is>
          <x:t xml:space="preserve">Indicator block includes required fields.</x:t>
        </x:is>
      </x:c>
      <x:c r="F12" s="476" t="n"/>
      <x:c r="G12" s="476"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26.25" customHeight="1">
      <x:c r="A13" s="476" t="inlineStr">
        <x:is>
          <x:t xml:space="preserve">V10.6-12</x:t>
        </x:is>
      </x:c>
      <x:c r="B13" s="476" t="inlineStr">
        <x:is>
          <x:t xml:space="preserve">TransitionAdmissibility sheet present and populated</x:t>
        </x:is>
      </x:c>
      <x:c r="C13" s="476" t="inlineStr">
        <x:is>
          <x:t xml:space="preserve">PASS</x:t>
        </x:is>
      </x:c>
      <x:c r="D13" s="476" t="inlineStr">
        <x:is>
          <x:t xml:space="preserve">TransitionAdmissibility</x:t>
        </x:is>
      </x:c>
      <x:c r="E13" s="476" t="inlineStr">
        <x:is>
          <x:t xml:space="preserve">TransitionAdmissibilityRecord fields present.</x:t>
        </x:is>
      </x:c>
      <x:c r="F13" s="476" t="n"/>
      <x:c r="G13" s="476"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26.25" customHeight="1">
      <x:c r="A14" s="476" t="inlineStr">
        <x:is>
          <x:t xml:space="preserve">V10.6-13</x:t>
        </x:is>
      </x:c>
      <x:c r="B14" s="476" t="inlineStr">
        <x:is>
          <x:t xml:space="preserve">UCI_Maturity sheet present and populated</x:t>
        </x:is>
      </x:c>
      <x:c r="C14" s="476" t="inlineStr">
        <x:is>
          <x:t xml:space="preserve">PASS</x:t>
        </x:is>
      </x:c>
      <x:c r="D14" s="476" t="inlineStr">
        <x:is>
          <x:t xml:space="preserve">UCI_Maturity</x:t>
        </x:is>
      </x:c>
      <x:c r="E14" s="476" t="inlineStr">
        <x:is>
          <x:t xml:space="preserve">UCI Measurement Readiness declared.</x:t>
        </x:is>
      </x:c>
      <x:c r="F14" s="476" t="n"/>
      <x:c r="G14" s="476"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26.25" customHeight="1">
      <x:c r="A15" s="476" t="inlineStr">
        <x:is>
          <x:t xml:space="preserve">V10.6-14</x:t>
        </x:is>
      </x:c>
      <x:c r="B15" s="476" t="inlineStr">
        <x:is>
          <x:t xml:space="preserve">Kernel_Posture sheet present and populated</x:t>
        </x:is>
      </x:c>
      <x:c r="C15" s="476" t="inlineStr">
        <x:is>
          <x:t xml:space="preserve">PASS</x:t>
        </x:is>
      </x:c>
      <x:c r="D15" s="476" t="inlineStr">
        <x:is>
          <x:t xml:space="preserve">Kernel_Posture</x:t>
        </x:is>
      </x:c>
      <x:c r="E15" s="476" t="inlineStr">
        <x:is>
          <x:t xml:space="preserve">Kernel Use Posture declared.</x:t>
        </x:is>
      </x:c>
      <x:c r="F15" s="476" t="n"/>
      <x:c r="G15" s="476"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26.25" customHeight="1">
      <x:c r="A16" s="476" t="inlineStr">
        <x:is>
          <x:t xml:space="preserve">V10.6-15</x:t>
        </x:is>
      </x:c>
      <x:c r="B16" s="476" t="inlineStr">
        <x:is>
          <x:t xml:space="preserve">HDW_Capture_Audit sheet present and populated</x:t>
        </x:is>
      </x:c>
      <x:c r="C16" s="476" t="inlineStr">
        <x:is>
          <x:t xml:space="preserve">PASS</x:t>
        </x:is>
      </x:c>
      <x:c r="D16" s="476" t="inlineStr">
        <x:is>
          <x:t xml:space="preserve">HDW_Capture_Audit</x:t>
        </x:is>
      </x:c>
      <x:c r="E16" s="476" t="inlineStr">
        <x:is>
          <x:t xml:space="preserve">Capture audit fields populated for worked run.</x:t>
        </x:is>
      </x:c>
      <x:c r="F16" s="476" t="n"/>
      <x:c r="G16" s="476"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26.25" customHeight="1">
      <x:c r="A17" s="476" t="inlineStr">
        <x:is>
          <x:t xml:space="preserve">V10.6-16</x:t>
        </x:is>
      </x:c>
      <x:c r="B17" s="476" t="inlineStr">
        <x:is>
          <x:t xml:space="preserve">PLSS_Escalation sheet present and populated</x:t>
        </x:is>
      </x:c>
      <x:c r="C17" s="476" t="inlineStr">
        <x:is>
          <x:t xml:space="preserve">PASS</x:t>
        </x:is>
      </x:c>
      <x:c r="D17" s="476" t="inlineStr">
        <x:is>
          <x:t xml:space="preserve">PLSS_Escalation</x:t>
        </x:is>
      </x:c>
      <x:c r="E17" s="476" t="inlineStr">
        <x:is>
          <x:t xml:space="preserve">Escalation triggers disclosed.</x:t>
        </x:is>
      </x:c>
      <x:c r="F17" s="476" t="n"/>
      <x:c r="G17" s="476"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26.25" customHeight="1">
      <x:c r="A18" s="476" t="inlineStr">
        <x:is>
          <x:t xml:space="preserve">V10.6-17</x:t>
        </x:is>
      </x:c>
      <x:c r="B18" s="476" t="inlineStr">
        <x:is>
          <x:t xml:space="preserve">BioSGP_Maturity sheet present and populated</x:t>
        </x:is>
      </x:c>
      <x:c r="C18" s="476" t="inlineStr">
        <x:is>
          <x:t xml:space="preserve">PASS</x:t>
        </x:is>
      </x:c>
      <x:c r="D18" s="476" t="inlineStr">
        <x:is>
          <x:t xml:space="preserve">BioSGP_Maturity</x:t>
        </x:is>
      </x:c>
      <x:c r="E18" s="476" t="inlineStr">
        <x:is>
          <x:t xml:space="preserve">Biological evaluation maturity boundary disclosed.</x:t>
        </x:is>
      </x:c>
      <x:c r="F18" s="476" t="n"/>
      <x:c r="G18" s="476"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26.25" customHeight="1">
      <x:c r="A19" s="476" t="inlineStr">
        <x:is>
          <x:t xml:space="preserve">V10.6-18</x:t>
        </x:is>
      </x:c>
      <x:c r="B19" s="476" t="inlineStr">
        <x:is>
          <x:t xml:space="preserve">Deployment_Context sheet present and populated</x:t>
        </x:is>
      </x:c>
      <x:c r="C19" s="476" t="inlineStr">
        <x:is>
          <x:t xml:space="preserve">PASS</x:t>
        </x:is>
      </x:c>
      <x:c r="D19" s="476" t="inlineStr">
        <x:is>
          <x:t xml:space="preserve">Deployment_Context</x:t>
        </x:is>
      </x:c>
      <x:c r="E19" s="476" t="inlineStr">
        <x:is>
          <x:t xml:space="preserve">Deployment context declared.</x:t>
        </x:is>
      </x:c>
      <x:c r="F19" s="476" t="n"/>
      <x:c r="G19" s="476"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26.25" customHeight="1">
      <x:c r="A20" s="476" t="inlineStr">
        <x:is>
          <x:t xml:space="preserve">V10.6-19</x:t>
        </x:is>
      </x:c>
      <x:c r="B20" s="476" t="inlineStr">
        <x:is>
          <x:t xml:space="preserve">UCI_Maturity token valid and boundary disclosed</x:t>
        </x:is>
      </x:c>
      <x:c r="C20" s="476" t="inlineStr">
        <x:is>
          <x:t xml:space="preserve">PASS</x:t>
        </x:is>
      </x:c>
      <x:c r="D20" s="476" t="inlineStr">
        <x:is>
          <x:t xml:space="preserve">UCI_Maturity</x:t>
        </x:is>
      </x:c>
      <x:c r="E20" s="476" t="inlineStr">
        <x:is>
          <x:t xml:space="preserve">Token and claim-boundary fields populated.</x:t>
        </x:is>
      </x:c>
      <x:c r="F20" s="476" t="n"/>
      <x:c r="G20" s="476"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26.25" customHeight="1">
      <x:c r="A21" s="476" t="inlineStr">
        <x:is>
          <x:t xml:space="preserve">V10.6-20</x:t>
        </x:is>
      </x:c>
      <x:c r="B21" s="476" t="inlineStr">
        <x:is>
          <x:t xml:space="preserve">Kernel_Posture token valid and no calibrated propagation overclaim</x:t>
        </x:is>
      </x:c>
      <x:c r="C21" s="476" t="inlineStr">
        <x:is>
          <x:t xml:space="preserve">PASS</x:t>
        </x:is>
      </x:c>
      <x:c r="D21" s="476" t="inlineStr">
        <x:is>
          <x:t xml:space="preserve">Kernel_Posture</x:t>
        </x:is>
      </x:c>
      <x:c r="E21" s="476" t="inlineStr">
        <x:is>
          <x:t xml:space="preserve">K0/K1/K2/K3/K4 posture disclosed and no unsupported validation claim.</x:t>
        </x:is>
      </x:c>
      <x:c r="F21" s="476" t="n"/>
      <x:c r="G21" s="476"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26.25" customHeight="1">
      <x:c r="A22" s="476" t="inlineStr">
        <x:is>
          <x:t xml:space="preserve">V10.6-21</x:t>
        </x:is>
      </x:c>
      <x:c r="B22" s="476" t="inlineStr">
        <x:is>
          <x:t xml:space="preserve">HDW_Capture_Audit populated with capture-risk fields</x:t>
        </x:is>
      </x:c>
      <x:c r="C22" s="476" t="inlineStr">
        <x:is>
          <x:t xml:space="preserve">PASS</x:t>
        </x:is>
      </x:c>
      <x:c r="D22" s="476" t="inlineStr">
        <x:is>
          <x:t xml:space="preserve">HDW_Capture_Audit</x:t>
        </x:is>
      </x:c>
      <x:c r="E22" s="476" t="inlineStr">
        <x:is>
          <x:t xml:space="preserve">Source, participation, conflicts, challenger and independent review fields present.</x:t>
        </x:is>
      </x:c>
      <x:c r="F22" s="476" t="n"/>
      <x:c r="G22" s="476"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26.25" customHeight="1">
      <x:c r="A23" s="476" t="inlineStr">
        <x:is>
          <x:t xml:space="preserve">V10.6-22</x:t>
        </x:is>
      </x:c>
      <x:c r="B23" s="476" t="inlineStr">
        <x:is>
          <x:t xml:space="preserve">PLSS_Escalation populated with trigger and non-escalation rationale</x:t>
        </x:is>
      </x:c>
      <x:c r="C23" s="476" t="inlineStr">
        <x:is>
          <x:t xml:space="preserve">PASS</x:t>
        </x:is>
      </x:c>
      <x:c r="D23" s="476" t="inlineStr">
        <x:is>
          <x:t xml:space="preserve">PLSS_Escalation</x:t>
        </x:is>
      </x:c>
      <x:c r="E23" s="476" t="inlineStr">
        <x:is>
          <x:t xml:space="preserve">Externality search, challenger status, repeated-use and non-escalation rationale disclosed.</x:t>
        </x:is>
      </x:c>
      <x:c r="F23" s="476" t="n"/>
      <x:c r="G23" s="476"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26.25" customHeight="1">
      <x:c r="A24" s="476" t="inlineStr">
        <x:is>
          <x:t xml:space="preserve">V10.6-23</x:t>
        </x:is>
      </x:c>
      <x:c r="B24" s="476" t="inlineStr">
        <x:is>
          <x:t xml:space="preserve">BioSGP_Maturity token valid and protection non-regression preserved</x:t>
        </x:is>
      </x:c>
      <x:c r="C24" s="476" t="inlineStr">
        <x:is>
          <x:t xml:space="preserve">PASS</x:t>
        </x:is>
      </x:c>
      <x:c r="D24" s="476" t="inlineStr">
        <x:is>
          <x:t xml:space="preserve">BioSGP_Maturity</x:t>
        </x:is>
      </x:c>
      <x:c r="E24" s="476" t="inlineStr">
        <x:is>
          <x:t xml:space="preserve">BEM token disclosed; biological measurement immaturity does not reduce precautionary protection.</x:t>
        </x:is>
      </x:c>
      <x:c r="F24" s="476" t="n"/>
      <x:c r="G24" s="476"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26.25" customHeight="1">
      <x:c r="A25" s="476" t="inlineStr">
        <x:is>
          <x:t xml:space="preserve">V10.6-24</x:t>
        </x:is>
      </x:c>
      <x:c r="B25" s="476" t="inlineStr">
        <x:is>
          <x:t xml:space="preserve">Deployment_Context token valid and non-claim boundary preserved</x:t>
        </x:is>
      </x:c>
      <x:c r="C25" s="476" t="inlineStr">
        <x:is>
          <x:t xml:space="preserve">PASS</x:t>
        </x:is>
      </x:c>
      <x:c r="D25" s="476" t="inlineStr">
        <x:is>
          <x:t xml:space="preserve">Deployment_Context</x:t>
        </x:is>
      </x:c>
      <x:c r="E25" s="476" t="inlineStr">
        <x:is>
          <x:t xml:space="preserve">Deployment context and non-ProofPack/Tier 4 boundary disclosed.</x:t>
        </x:is>
      </x:c>
      <x:c r="F25" s="476" t="n"/>
      <x:c r="G25" s="476"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23.25" customHeight="1">
      <x:c r="A26" s="476" t="inlineStr">
        <x:is>
          <x:t xml:space="preserve">V10.6-25</x:t>
        </x:is>
      </x:c>
      <x:c r="B26" s="476" t="inlineStr">
        <x:is>
          <x:t xml:space="preserve">Uncertainty method labels are canonical-compatible and Method C boundary disclosed</x:t>
        </x:is>
      </x:c>
      <x:c r="C26" s="476" t="inlineStr">
        <x:is>
          <x:t xml:space="preserve">PASS</x:t>
        </x:is>
      </x:c>
      <x:c r="D26" s="476" t="inlineStr">
        <x:is>
          <x:t xml:space="preserve">CANON!C16:D16</x:t>
        </x:is>
      </x:c>
      <x:c r="E26" s="476" t="inlineStr">
        <x:is>
          <x:t xml:space="preserve">Method C is constant-σ demonstration surface, not production-calibrated uncertainty model.</x:t>
        </x:is>
      </x:c>
      <x:c r="F26" s="476" t="n"/>
      <x:c r="G26" s="476"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23.25" customHeight="1">
      <x:c r="A27" s="476" t="inlineStr">
        <x:is>
          <x:t xml:space="preserve">V10.6-26</x:t>
        </x:is>
      </x:c>
      <x:c r="B27" s="476" t="inlineStr">
        <x:is>
          <x:t xml:space="preserve">ReachBasisType enum uses canonical-compatible OTHER_DECLARED</x:t>
        </x:is>
      </x:c>
      <x:c r="C27" s="476" t="inlineStr">
        <x:is>
          <x:t xml:space="preserve">PASS</x:t>
        </x:is>
      </x:c>
      <x:c r="D27" s="476" t="inlineStr">
        <x:is>
          <x:t xml:space="preserve">Impact_Input!O7:O20 / X7:X20</x:t>
        </x:is>
      </x:c>
      <x:c r="E27" s="476" t="inlineStr">
        <x:is>
          <x:t xml:space="preserve">Declared instance-share/exposure denominator is disclosed in ReachBasisNote.</x:t>
        </x:is>
      </x:c>
      <x:c r="F27" s="476" t="n"/>
      <x:c r="G27" s="476"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23.25" customHeight="1">
      <x:c r="A28" s="476" t="inlineStr">
        <x:is>
          <x:t xml:space="preserve">V10.6-27</x:t>
        </x:is>
      </x:c>
      <x:c r="B28" s="476" t="inlineStr">
        <x:is>
          <x:t xml:space="preserve">Stewardship note does not narrow Canon trigger conditions</x:t>
        </x:is>
      </x:c>
      <x:c r="C28" s="476" t="inlineStr">
        <x:is>
          <x:t xml:space="preserve">PASS</x:t>
        </x:is>
      </x:c>
      <x:c r="D28" s="476" t="inlineStr">
        <x:is>
          <x:t xml:space="preserve">PCC!B107:C109</x:t>
        </x:is>
      </x:c>
      <x:c r="E28" s="476" t="inlineStr">
        <x:is>
          <x:t xml:space="preserve">No general claim that stewardship applies only to MODE 2+ AI-agent deployments.</x:t>
        </x:is>
      </x:c>
      <x:c r="F28" s="476" t="n"/>
      <x:c r="G28" s="476"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23.25" customHeight="1">
      <x:c r="A29" s="476" t="inlineStr">
        <x:is>
          <x:t xml:space="preserve">V10.6-28</x:t>
        </x:is>
      </x:c>
      <x:c r="B29" s="476" t="inlineStr">
        <x:is>
          <x:t xml:space="preserve">Tier-2 containment-proxy wording disclosed</x:t>
        </x:is>
      </x:c>
      <x:c r="C29" s="476" t="inlineStr">
        <x:is>
          <x:t xml:space="preserve">PASS</x:t>
        </x:is>
      </x:c>
      <x:c r="D29" s="476" t="inlineStr">
        <x:is>
          <x:t xml:space="preserve">Dashboard!C18:E18 / PCC!B55:C56</x:t>
        </x:is>
      </x:c>
      <x:c r="E29" s="476" t="inlineStr">
        <x:is>
          <x:t xml:space="preserve">Full Containment Mode A remains Tier-3 binding.</x:t>
        </x:is>
      </x:c>
      <x:c r="F29" s="476" t="n"/>
      <x:c r="G29" s="476"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23.25" customHeight="1">
      <x:c r="A30" s="476" t="inlineStr">
        <x:is>
          <x:t xml:space="preserve">V10.6-29</x:t>
        </x:is>
      </x:c>
      <x:c r="B30" s="476" t="inlineStr">
        <x:is>
          <x:t xml:space="preserve">Release-integrity patch boundary recorded</x:t>
        </x:is>
      </x:c>
      <x:c r="C30" s="476" t="inlineStr">
        <x:is>
          <x:t xml:space="preserve">PASS</x:t>
        </x:is>
      </x:c>
      <x:c r="D30" s="476" t="inlineStr">
        <x:is>
          <x:t xml:space="preserve">Release_Boundaries!A13:C18</x:t>
        </x:is>
      </x:c>
      <x:c r="E30" s="476" t="inlineStr">
        <x:is>
          <x:t xml:space="preserve">Patch is release-integrity only; no major version change.</x:t>
        </x:is>
      </x:c>
      <x:c r="F30" s="476" t="n"/>
      <x:c r="G30" s="476"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76" t="n"/>
      <x:c r="B31" s="476" t="n"/>
      <x:c r="C31" s="476" t="n"/>
      <x:c r="D31" s="476" t="n"/>
      <x:c r="E31" s="476" t="n"/>
      <x:c r="F31" s="476" t="n"/>
      <x:c r="G31" s="476"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76" t="n"/>
      <x:c r="B32" s="476" t="n"/>
      <x:c r="C32" s="476" t="n"/>
      <x:c r="D32" s="476" t="n"/>
      <x:c r="E32" s="476" t="n"/>
      <x:c r="F32" s="476" t="n"/>
      <x:c r="G32" s="476"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76" t="n"/>
      <x:c r="B33" s="476" t="n"/>
      <x:c r="C33" s="476" t="n"/>
      <x:c r="D33" s="476" t="n"/>
      <x:c r="E33" s="476" t="n"/>
      <x:c r="F33" s="476" t="n"/>
      <x:c r="G33" s="476"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76" t="n"/>
      <x:c r="B34" s="476" t="n"/>
      <x:c r="C34" s="476" t="n"/>
      <x:c r="D34" s="476" t="n"/>
      <x:c r="E34" s="476" t="n"/>
      <x:c r="F34" s="476" t="n"/>
      <x:c r="G34" s="476"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76" t="n"/>
      <x:c r="B35" s="476" t="n"/>
      <x:c r="C35" s="476" t="n"/>
      <x:c r="D35" s="476" t="n"/>
      <x:c r="E35" s="476" t="n"/>
      <x:c r="F35" s="476" t="n"/>
      <x:c r="G35" s="476"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76" t="n"/>
      <x:c r="B36" s="476" t="n"/>
      <x:c r="C36" s="476" t="n"/>
      <x:c r="D36" s="476" t="n"/>
      <x:c r="E36" s="476" t="n"/>
      <x:c r="F36" s="476" t="n"/>
      <x:c r="G36" s="476"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76" t="n"/>
      <x:c r="B37" s="476" t="n"/>
      <x:c r="C37" s="476" t="n"/>
      <x:c r="D37" s="476" t="n"/>
      <x:c r="E37" s="476" t="n"/>
      <x:c r="F37" s="476" t="n"/>
      <x:c r="G37" s="476"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76" t="n"/>
      <x:c r="B38" s="476" t="n"/>
      <x:c r="C38" s="476" t="n"/>
      <x:c r="D38" s="476" t="n"/>
      <x:c r="E38" s="476" t="n"/>
      <x:c r="F38" s="476" t="n"/>
      <x:c r="G38" s="476"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76" t="n"/>
      <x:c r="B39" s="476" t="n"/>
      <x:c r="C39" s="476" t="n"/>
      <x:c r="D39" s="476" t="n"/>
      <x:c r="E39" s="476" t="n"/>
      <x:c r="F39" s="476" t="n"/>
      <x:c r="G39" s="476"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76" t="n"/>
      <x:c r="B40" s="476" t="n"/>
      <x:c r="C40" s="476" t="n"/>
      <x:c r="D40" s="476" t="n"/>
      <x:c r="E40" s="476" t="n"/>
      <x:c r="F40" s="476" t="n"/>
      <x:c r="G40" s="476"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76" t="n"/>
      <x:c r="B41" s="476" t="n"/>
      <x:c r="C41" s="476" t="n"/>
      <x:c r="D41" s="476" t="n"/>
      <x:c r="E41" s="476" t="n"/>
      <x:c r="F41" s="476" t="n"/>
      <x:c r="G41" s="476"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76" t="n"/>
      <x:c r="B42" s="476" t="n"/>
      <x:c r="C42" s="476" t="n"/>
      <x:c r="D42" s="476" t="n"/>
      <x:c r="E42" s="476" t="n"/>
      <x:c r="F42" s="476" t="n"/>
      <x:c r="G42" s="476"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76" t="n"/>
      <x:c r="B43" s="476" t="n"/>
      <x:c r="C43" s="476" t="n"/>
      <x:c r="D43" s="476" t="n"/>
      <x:c r="E43" s="476" t="n"/>
      <x:c r="F43" s="476" t="n"/>
      <x:c r="G43" s="476"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76" t="n"/>
      <x:c r="B44" s="476" t="n"/>
      <x:c r="C44" s="476" t="n"/>
      <x:c r="D44" s="476" t="n"/>
      <x:c r="E44" s="476" t="n"/>
      <x:c r="F44" s="476" t="n"/>
      <x:c r="G44" s="476"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76" t="n"/>
      <x:c r="B45" s="476" t="n"/>
      <x:c r="C45" s="476" t="n"/>
      <x:c r="D45" s="476" t="n"/>
      <x:c r="E45" s="476" t="n"/>
      <x:c r="F45" s="476" t="n"/>
      <x:c r="G45" s="476"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76" t="n"/>
      <x:c r="B46" s="476" t="n"/>
      <x:c r="C46" s="476" t="n"/>
      <x:c r="D46" s="476" t="n"/>
      <x:c r="E46" s="476" t="n"/>
      <x:c r="F46" s="476" t="n"/>
      <x:c r="G46" s="476"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76" t="n"/>
      <x:c r="B47" s="476" t="n"/>
      <x:c r="C47" s="476" t="n"/>
      <x:c r="D47" s="476" t="n"/>
      <x:c r="E47" s="476" t="n"/>
      <x:c r="F47" s="476" t="n"/>
      <x:c r="G47" s="476"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76" t="n"/>
      <x:c r="B48" s="476" t="n"/>
      <x:c r="C48" s="476" t="n"/>
      <x:c r="D48" s="476" t="n"/>
      <x:c r="E48" s="476" t="n"/>
      <x:c r="F48" s="476" t="n"/>
      <x:c r="G48" s="476"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76" t="n"/>
      <x:c r="B49" s="476" t="n"/>
      <x:c r="C49" s="476" t="n"/>
      <x:c r="D49" s="476" t="n"/>
      <x:c r="E49" s="476" t="n"/>
      <x:c r="F49" s="476" t="n"/>
      <x:c r="G49" s="476"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76" t="n"/>
      <x:c r="B50" s="476" t="n"/>
      <x:c r="C50" s="476" t="n"/>
      <x:c r="D50" s="476" t="n"/>
      <x:c r="E50" s="476" t="n"/>
      <x:c r="F50" s="476" t="n"/>
      <x:c r="G50" s="476"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76" t="n"/>
      <x:c r="B51" s="476" t="n"/>
      <x:c r="C51" s="476" t="n"/>
      <x:c r="D51" s="476" t="n"/>
      <x:c r="E51" s="476" t="n"/>
      <x:c r="F51" s="476" t="n"/>
      <x:c r="G51" s="476"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76" t="n"/>
      <x:c r="B52" s="476" t="n"/>
      <x:c r="C52" s="476" t="n"/>
      <x:c r="D52" s="476" t="n"/>
      <x:c r="E52" s="476" t="n"/>
      <x:c r="F52" s="476" t="n"/>
      <x:c r="G52" s="476"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76" t="n"/>
      <x:c r="B53" s="476" t="n"/>
      <x:c r="C53" s="476" t="n"/>
      <x:c r="D53" s="476" t="n"/>
      <x:c r="E53" s="476" t="n"/>
      <x:c r="F53" s="476" t="n"/>
      <x:c r="G53" s="476"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76" t="n"/>
      <x:c r="B54" s="476" t="n"/>
      <x:c r="C54" s="476" t="n"/>
      <x:c r="D54" s="476" t="n"/>
      <x:c r="E54" s="476" t="n"/>
      <x:c r="F54" s="476" t="n"/>
      <x:c r="G54" s="476"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76" t="n"/>
      <x:c r="B55" s="476" t="n"/>
      <x:c r="C55" s="476" t="n"/>
      <x:c r="D55" s="476" t="n"/>
      <x:c r="E55" s="476" t="n"/>
      <x:c r="F55" s="476" t="n"/>
      <x:c r="G55" s="476"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76" t="n"/>
      <x:c r="B56" s="476" t="n"/>
      <x:c r="C56" s="476" t="n"/>
      <x:c r="D56" s="476" t="n"/>
      <x:c r="E56" s="476" t="n"/>
      <x:c r="F56" s="476" t="n"/>
      <x:c r="G56" s="476"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76" t="n"/>
      <x:c r="B57" s="476" t="n"/>
      <x:c r="C57" s="476" t="n"/>
      <x:c r="D57" s="476" t="n"/>
      <x:c r="E57" s="476" t="n"/>
      <x:c r="F57" s="476" t="n"/>
      <x:c r="G57" s="476"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76" t="n"/>
      <x:c r="B58" s="476" t="n"/>
      <x:c r="C58" s="476" t="n"/>
      <x:c r="D58" s="476" t="n"/>
      <x:c r="E58" s="476" t="n"/>
      <x:c r="F58" s="476" t="n"/>
      <x:c r="G58" s="476"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76" t="n"/>
      <x:c r="B59" s="476" t="n"/>
      <x:c r="C59" s="476" t="n"/>
      <x:c r="D59" s="476" t="n"/>
      <x:c r="E59" s="476" t="n"/>
      <x:c r="F59" s="476" t="n"/>
      <x:c r="G59" s="476"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76" t="n"/>
      <x:c r="B60" s="476" t="n"/>
      <x:c r="C60" s="476" t="n"/>
      <x:c r="D60" s="476" t="n"/>
      <x:c r="E60" s="476" t="n"/>
      <x:c r="F60" s="476" t="n"/>
      <x:c r="G60" s="476"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36.xml><?xml version="1.0" encoding="utf-8"?>
<x:worksheet xmlns:x="http://schemas.openxmlformats.org/spreadsheetml/2006/main">
  <x:sheetViews>
    <x:sheetView showGridLines="1" workbookViewId="0"/>
  </x:sheetViews>
  <x:sheetFormatPr baseColWidth="8" defaultColWidth="8.6796875" defaultRowHeight="12.75"/>
  <x:cols>
    <x:col min="1" max="1" width="28" style="454" customWidth="1"/>
    <x:col min="2" max="2" width="60" style="454" customWidth="1"/>
    <x:col min="3" max="3" width="14" style="454" customWidth="1"/>
    <x:col min="4" max="4" width="60" style="454" customWidth="1"/>
  </x:cols>
  <x:sheetData>
    <x:row r="1" s="455" customFormat="1" ht="12.75" customHeight="1">
      <x:c r="A1" s="605" t="inlineStr">
        <x:is>
          <x:t xml:space="preserve">field</x:t>
        </x:is>
      </x:c>
      <x:c r="B1" s="605" t="inlineStr">
        <x:is>
          <x:t xml:space="preserve">value</x:t>
        </x:is>
      </x:c>
      <x:c r="C1" s="605" t="inlineStr">
        <x:is>
          <x:t xml:space="preserve">status</x:t>
        </x:is>
      </x:c>
      <x:c r="D1" s="605" t="inlineStr">
        <x:is>
          <x:t xml:space="preserve">notes</x:t>
        </x:is>
      </x:c>
    </x:row>
    <x:row r="2" s="455" customFormat="1" ht="12.75" customHeight="1">
      <x:c r="A2" s="454" t="inlineStr">
        <x:is>
          <x:t xml:space="preserve">transition_id</x:t>
        </x:is>
      </x:c>
      <x:c r="B2" s="454" t="inlineStr">
        <x:is>
          <x:t xml:space="preserve">TAC-ORG-2026-001</x:t>
        </x:is>
      </x:c>
      <x:c r="C2" s="454" t="inlineStr">
        <x:is>
          <x:t xml:space="preserve">POPULATED</x:t>
        </x:is>
      </x:c>
      <x:c r="D2" s="454" t="inlineStr">
        <x:is>
          <x:t xml:space="preserve">Worked-run exemplar transition record.</x:t>
        </x:is>
      </x:c>
    </x:row>
    <x:row r="3" s="455" customFormat="1" ht="12.75" customHeight="1">
      <x:c r="A3" s="454" t="inlineStr">
        <x:is>
          <x:t xml:space="preserve">current_state</x:t>
        </x:is>
      </x:c>
      <x:c r="B3" s="454" t="inlineStr">
        <x:is>
          <x:t xml:space="preserve">Remote-work policy baseline before decision</x:t>
        </x:is>
      </x:c>
      <x:c r="C3" s="454" t="inlineStr">
        <x:is>
          <x:t xml:space="preserve">POPULATED</x:t>
        </x:is>
      </x:c>
      <x:c r="D3" s="454" t="inlineStr">
        <x:is>
          <x:t xml:space="preserve">Current institutional state before authority-selected option.</x:t>
        </x:is>
      </x:c>
    </x:row>
    <x:row r="4" s="455" customFormat="1" ht="12.75" customHeight="1">
      <x:c r="A4" s="454" t="inlineStr">
        <x:is>
          <x:t xml:space="preserve">proposed_state</x:t>
        </x:is>
      </x:c>
      <x:c r="B4" s="454" t="inlineStr">
        <x:is>
          <x:t xml:space="preserve">Implement Option A remote-work policy</x:t>
        </x:is>
      </x:c>
      <x:c r="C4" s="454" t="inlineStr">
        <x:is>
          <x:t xml:space="preserve">POPULATED</x:t>
        </x:is>
      </x:c>
      <x:c r="D4" s="454" t="inlineStr">
        <x:is>
          <x:t xml:space="preserve">Authority-selected option from worked run.</x:t>
        </x:is>
      </x:c>
    </x:row>
    <x:row r="5" s="455" customFormat="1" ht="12.75" customHeight="1">
      <x:c r="A5" s="454" t="inlineStr">
        <x:is>
          <x:t xml:space="preserve">affected_scopes</x:t>
        </x:is>
      </x:c>
      <x:c r="B5" s="454" t="inlineStr">
        <x:is>
          <x:t xml:space="preserve">U1,U2,U3,U4,U5,U6,U7</x:t>
        </x:is>
      </x:c>
      <x:c r="C5" s="454" t="inlineStr">
        <x:is>
          <x:t xml:space="preserve">POPULATED</x:t>
        </x:is>
      </x:c>
      <x:c r="D5" s="454" t="inlineStr">
        <x:is>
          <x:t xml:space="preserve">All operational scopes retained for worked run.</x:t>
        </x:is>
      </x:c>
    </x:row>
    <x:row r="6" s="455" customFormat="1" ht="12.75" customHeight="1">
      <x:c r="A6" s="454" t="inlineStr">
        <x:is>
          <x:t xml:space="preserve">primitive_assumptions</x:t>
        </x:is>
      </x:c>
      <x:c r="B6" s="454" t="inlineStr">
        <x:is>
          <x:t xml:space="preserve">Rights thresholds, TRC scenario set, containment parameters, PLSS profile, and uncertainty method C.</x:t>
        </x:is>
      </x:c>
      <x:c r="C6" s="454" t="inlineStr">
        <x:is>
          <x:t xml:space="preserve">POPULATED</x:t>
        </x:is>
      </x:c>
      <x:c r="D6" s="454" t="inlineStr">
        <x:is>
          <x:t xml:space="preserve">See CANON, Parameters, TRC, Containment, RLS.</x:t>
        </x:is>
      </x:c>
    </x:row>
    <x:row r="7" s="455" customFormat="1" ht="12.75" customHeight="1">
      <x:c r="A7" s="454" t="inlineStr">
        <x:is>
          <x:t xml:space="preserve">evidence_substrate</x:t>
        </x:is>
      </x:c>
      <x:c r="B7" s="454" t="inlineStr">
        <x:is>
          <x:t xml:space="preserve">Worked-run exemplar evidence, not empirical validation and not ProofPack replay evidence.</x:t>
        </x:is>
      </x:c>
      <x:c r="C7" s="454" t="inlineStr">
        <x:is>
          <x:t xml:space="preserve">POPULATED</x:t>
        </x:is>
      </x:c>
      <x:c r="D7" s="454" t="inlineStr">
        <x:is>
          <x:t xml:space="preserve">Binary gate outputs rest on declared workbook values and thresholds.</x:t>
        </x:is>
      </x:c>
    </x:row>
    <x:row r="8" s="455" customFormat="1" ht="12.75" customHeight="1">
      <x:c r="A8" s="454" t="inlineStr">
        <x:is>
          <x:t xml:space="preserve">gate_results</x:t>
        </x:is>
      </x:c>
      <x:c r="B8" s="454" t="inlineStr">
        <x:is>
          <x:t xml:space="preserve">NCRC PASS; TRC PASS; Containment PASS; authority selected Option A after disclosed non-decisive framework verdict.</x:t>
        </x:is>
      </x:c>
      <x:c r="C8" s="454" t="inlineStr">
        <x:is>
          <x:t xml:space="preserve">POPULATED</x:t>
        </x:is>
      </x:c>
      <x:c r="D8" s="454" t="inlineStr">
        <x:is>
          <x:t xml:space="preserve">See Dashboard and PCC.</x:t>
        </x:is>
      </x:c>
    </x:row>
    <x:row r="9" s="455" customFormat="1" ht="12.75" customHeight="1">
      <x:c r="A9" s="454" t="inlineStr">
        <x:is>
          <x:t xml:space="preserve">uncertainty_class</x:t>
        </x:is>
      </x:c>
      <x:c r="B9" s="454" t="inlineStr">
        <x:is>
          <x:t xml:space="preserve">Method C worked-run uncertainty profile; production calibration not claimed.</x:t>
        </x:is>
      </x:c>
      <x:c r="C9" s="454" t="inlineStr">
        <x:is>
          <x:t xml:space="preserve">POPULATED</x:t>
        </x:is>
      </x:c>
      <x:c r="D9" s="454" t="inlineStr">
        <x:is>
          <x:t xml:space="preserve">See PCC Uncertainty_Method.</x:t>
        </x:is>
      </x:c>
    </x:row>
    <x:row r="10" s="455" customFormat="1" ht="12.75" customHeight="1">
      <x:c r="A10" s="454" t="inlineStr">
        <x:is>
          <x:t xml:space="preserve">projection_path</x:t>
        </x:is>
      </x:c>
      <x:c r="B10" s="454" t="inlineStr">
        <x:is>
          <x:t xml:space="preserve">Baseline -&gt; Option A transition with declared projection and impact surfaces.</x:t>
        </x:is>
      </x:c>
      <x:c r="C10" s="454" t="inlineStr">
        <x:is>
          <x:t xml:space="preserve">POPULATED</x:t>
        </x:is>
      </x:c>
      <x:c r="D10" s="454" t="inlineStr">
        <x:is>
          <x:t xml:space="preserve">See ProjectionPreRegistration, Impact_Input, Scenario_Impacts.</x:t>
        </x:is>
      </x:c>
    </x:row>
    <x:row r="11" s="455" customFormat="1" ht="12.75" customHeight="1">
      <x:c r="A11" s="454" t="inlineStr">
        <x:is>
          <x:t xml:space="preserve">observable_consequence_markers</x:t>
        </x:is>
      </x:c>
      <x:c r="B11" s="454" t="inlineStr">
        <x:is>
          <x:t xml:space="preserve">Workforce wellbeing, organizational continuity, productivity, rights-floor preservation, and monitoring indicators.</x:t>
        </x:is>
      </x:c>
      <x:c r="C11" s="454" t="inlineStr">
        <x:is>
          <x:t xml:space="preserve">POPULATED</x:t>
        </x:is>
      </x:c>
      <x:c r="D11" s="454" t="inlineStr">
        <x:is>
          <x:t xml:space="preserve">Worked-run marker set only.</x:t>
        </x:is>
      </x:c>
    </x:row>
    <x:row r="12" s="455" customFormat="1" ht="12.75" customHeight="1">
      <x:c r="A12" s="454" t="inlineStr">
        <x:is>
          <x:t xml:space="preserve">refusal_triggers</x:t>
        </x:is>
      </x:c>
      <x:c r="B12" s="454" t="inlineStr">
        <x:is>
          <x:t xml:space="preserve">Material uncertainty in rights, TRC, containment, projection path, or evidence substrate.</x:t>
        </x:is>
      </x:c>
      <x:c r="C12" s="454" t="inlineStr">
        <x:is>
          <x:t xml:space="preserve">POPULATED</x:t>
        </x:is>
      </x:c>
      <x:c r="D12" s="454" t="inlineStr">
        <x:is>
          <x:t xml:space="preserve">Would route to Refusal/escalation.</x:t>
        </x:is>
      </x:c>
    </x:row>
    <x:row r="13" s="455" customFormat="1" ht="12.75" customHeight="1">
      <x:c r="A13" s="454" t="inlineStr">
        <x:is>
          <x:t xml:space="preserve">rollback_conditions</x:t>
        </x:is>
      </x:c>
      <x:c r="B13" s="454" t="inlineStr">
        <x:is>
          <x:t xml:space="preserve">Post-deployment evidence of rights failure, TRC corridor breach, containment degradation, or unsupported assumptions.</x:t>
        </x:is>
      </x:c>
      <x:c r="C13" s="454" t="inlineStr">
        <x:is>
          <x:t xml:space="preserve">POPULATED</x:t>
        </x:is>
      </x:c>
      <x:c r="D13" s="454" t="inlineStr">
        <x:is>
          <x:t xml:space="preserve">Worked-run exemplar rollback logic.</x:t>
        </x:is>
      </x:c>
    </x:row>
    <x:row r="14" s="455" customFormat="1" ht="12.75" customHeight="1">
      <x:c r="A14" s="454" t="inlineStr">
        <x:is>
          <x:t xml:space="preserve">reviewer_role</x:t>
        </x:is>
      </x:c>
      <x:c r="B14" s="454" t="inlineStr">
        <x:is>
          <x:t xml:space="preserve">Human reviewer / governance owner</x:t>
        </x:is>
      </x:c>
      <x:c r="C14" s="454" t="inlineStr">
        <x:is>
          <x:t xml:space="preserve">POPULATED</x:t>
        </x:is>
      </x:c>
      <x:c r="D14" s="454" t="inlineStr">
        <x:is>
          <x:t xml:space="preserve">Replace with named reviewer in live runs.</x:t>
        </x:is>
      </x:c>
    </x:row>
    <x:row r="15" s="455" customFormat="1" ht="12.75" customHeight="1">
      <x:c r="A15" s="454" t="inlineStr">
        <x:is>
          <x:t xml:space="preserve">timestamp</x:t>
        </x:is>
      </x:c>
      <x:c r="B15" s="454" t="inlineStr">
        <x:is>
          <x:t xml:space="preserve">2026-05-19</x:t>
        </x:is>
      </x:c>
      <x:c r="C15" s="454" t="inlineStr">
        <x:is>
          <x:t xml:space="preserve">POPULATED</x:t>
        </x:is>
      </x:c>
      <x:c r="D15" s="454" t="inlineStr">
        <x:is>
          <x:t xml:space="preserve">Release date.</x:t>
        </x:is>
      </x:c>
    </x:row>
    <x:row r="16" s="455" customFormat="1" ht="12.75" customHeight="1">
      <x:c r="A16" s="454" t="inlineStr">
        <x:is>
          <x:t xml:space="preserve">artifact_hash_ref</x:t>
        </x:is>
      </x:c>
      <x:c r="B16" s="454" t="inlineStr">
        <x:is>
          <x:t xml:space="preserve">See sibling SHA-256 manifest / release manifest</x:t>
        </x:is>
      </x:c>
      <x:c r="C16" s="454" t="inlineStr">
        <x:is>
          <x:t xml:space="preserve">POPULATED</x:t>
        </x:is>
      </x:c>
      <x:c r="D16" s="454" t="inlineStr">
        <x:is>
          <x:t xml:space="preserve">Self-hash not embedded in workbook byte stream.</x:t>
        </x:is>
      </x:c>
    </x:row>
  </x:sheetData>
  <x:pageMargins left="0.7" right="0.7" top="0.75" bottom="0.75" header="0.3" footer="0.3"/>
</x:worksheet>
</file>

<file path=xl/worksheets/sheet37.xml><?xml version="1.0" encoding="utf-8"?>
<x:worksheet xmlns:x="http://schemas.openxmlformats.org/spreadsheetml/2006/main">
  <x:sheetViews>
    <x:sheetView showGridLines="1" workbookViewId="0"/>
  </x:sheetViews>
  <x:sheetFormatPr baseColWidth="8" defaultColWidth="8.6796875" defaultRowHeight="12.75"/>
  <x:cols>
    <x:col min="1" max="1" width="31.110000610351562" style="454" customWidth="1"/>
    <x:col min="2" max="2" width="39.220001220703125" style="454" customWidth="1"/>
    <x:col min="3" max="3" width="66.55999755859375"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26.25" customHeight="1">
      <x:c r="A2" s="461" t="inlineStr">
        <x:is>
          <x:t xml:space="preserve">UCI_Measurement_Readiness</x:t>
        </x:is>
      </x:c>
      <x:c r="B2" s="461" t="inlineStr">
        <x:is>
          <x:t xml:space="preserve">UCI-M1_PROVISIONAL</x:t>
        </x:is>
      </x:c>
      <x:c r="C2" s="461" t="inlineStr">
        <x:is>
          <x:t xml:space="preserve">Indicators declared for worked-run exemplar; no cross-domain UCI validation claim.</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26.25" customHeight="1">
      <x:c r="A3" s="461" t="inlineStr">
        <x:is>
          <x:t xml:space="preserve">UCI_Indicator_Source</x:t>
        </x:is>
      </x:c>
      <x:c r="B3" s="461" t="inlineStr">
        <x:is>
          <x:t xml:space="preserve">UCI_HOI sheet + worked-run structural indicators</x:t>
        </x:is>
      </x:c>
      <x:c r="C3" s="461" t="inlineStr">
        <x:is>
          <x:t xml:space="preserve">Source is illustrative and provisional.</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12.75" customHeight="1">
      <x:c r="A4" s="461" t="inlineStr">
        <x:is>
          <x:t xml:space="preserve">UCI_Normalization_Rule</x:t>
        </x:is>
      </x:c>
      <x:c r="B4" s="461" t="inlineStr">
        <x:is>
          <x:t xml:space="preserve">WORKED_RUN_LOCAL_NORMALIZATION</x:t>
        </x:is>
      </x:c>
      <x:c r="C4" s="461" t="inlineStr">
        <x:is>
          <x:t xml:space="preserve">Not a published universal normalization rule.</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26.25" customHeight="1">
      <x:c r="A5" s="461" t="inlineStr">
        <x:is>
          <x:t xml:space="preserve">UCI_Structural_Independence_Posture</x:t>
        </x:is>
      </x:c>
      <x:c r="B5" s="461" t="inlineStr">
        <x:is>
          <x:t xml:space="preserve">PROVISIONAL_DISTINCT_INDICATORS</x:t>
        </x:is>
      </x:c>
      <x:c r="C5" s="461" t="inlineStr">
        <x:is>
          <x:t xml:space="preserve">Distinct from RLS formula but not statistically validated for independence.</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2.75" customHeight="1">
      <x:c r="A6" s="461" t="inlineStr">
        <x:is>
          <x:t xml:space="preserve">UCI_Reviewer_Reliability_Status</x:t>
        </x:is>
      </x:c>
      <x:c r="B6" s="461" t="inlineStr">
        <x:is>
          <x:t xml:space="preserve">NOT_TESTED_WORKED_RUN_EXEMPLAR</x:t>
        </x:is>
      </x:c>
      <x:c r="C6" s="461" t="inlineStr">
        <x:is>
          <x:t xml:space="preserve">IRR not claimed.</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2.75" customHeight="1">
      <x:c r="A7" s="461" t="inlineStr">
        <x:is>
          <x:t xml:space="preserve">Claim Boundary</x:t>
        </x:is>
      </x:c>
      <x:c r="B7" s="461" t="inlineStr">
        <x:is>
          <x:t xml:space="preserve">No cross-domain validated UCI claim</x:t>
        </x:is>
      </x:c>
      <x:c r="C7" s="461" t="inlineStr">
        <x:is>
          <x:t xml:space="preserve">Requires future UCI Measurement Annex.</x:t>
        </x:is>
      </x:c>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12.75" customHeight="1">
      <x:c r="A8" s="461" t="n"/>
      <x:c r="B8" s="461" t="n"/>
      <x:c r="C8" s="461" t="n"/>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2.75" customHeight="1">
      <x:c r="A9" s="461" t="n"/>
      <x:c r="B9" s="461" t="n"/>
      <x:c r="C9" s="461" t="n"/>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38.xml><?xml version="1.0" encoding="utf-8"?>
<x:worksheet xmlns:x="http://schemas.openxmlformats.org/spreadsheetml/2006/main">
  <x:sheetViews>
    <x:sheetView showGridLines="1" workbookViewId="0"/>
  </x:sheetViews>
  <x:sheetFormatPr baseColWidth="8" defaultColWidth="8.6796875" defaultRowHeight="12.75"/>
  <x:cols>
    <x:col min="1" max="1" width="22.219999313354492" style="454" customWidth="1"/>
    <x:col min="2" max="2" width="40.560001373291016" style="454" customWidth="1"/>
    <x:col min="3" max="3" width="53.65999984741211"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26.25" customHeight="1">
      <x:c r="A2" s="461" t="inlineStr">
        <x:is>
          <x:t xml:space="preserve">Kernel_Use_Posture</x:t>
        </x:is>
      </x:c>
      <x:c r="B2" s="461" t="inlineStr">
        <x:is>
          <x:t xml:space="preserve">K0_NONE</x:t>
        </x:is>
      </x:c>
      <x:c r="C2" s="461" t="inlineStr">
        <x:is>
          <x:t xml:space="preserve">No numerical propagation kernel used in this worked-run exemplar.</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26.25" customHeight="1">
      <x:c r="A3" s="461" t="inlineStr">
        <x:is>
          <x:t xml:space="preserve">Kernel_Validation_Evidence</x:t>
        </x:is>
      </x:c>
      <x:c r="B3" s="461" t="inlineStr">
        <x:is>
          <x:t xml:space="preserve">NOT_APPLICABLE_K0</x:t>
        </x:is>
      </x:c>
      <x:c r="C3" s="461" t="inlineStr">
        <x:is>
          <x:t xml:space="preserve">No calibrated kernel validation claim.</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12.75" customHeight="1">
      <x:c r="A4" s="461" t="inlineStr">
        <x:is>
          <x:t xml:space="preserve">Kernel_Backtest_Status</x:t>
        </x:is>
      </x:c>
      <x:c r="B4" s="461" t="inlineStr">
        <x:is>
          <x:t xml:space="preserve">NOT_APPLICABLE_K0</x:t>
        </x:is>
      </x:c>
      <x:c r="C4" s="461" t="inlineStr">
        <x:is>
          <x:t xml:space="preserve">No backtested kernel claim.</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26.25" customHeight="1">
      <x:c r="A5" s="461" t="inlineStr">
        <x:is>
          <x:t xml:space="preserve">Kernel_Error_Bounds</x:t>
        </x:is>
      </x:c>
      <x:c r="B5" s="461" t="inlineStr">
        <x:is>
          <x:t xml:space="preserve">NOT_APPLICABLE_K0</x:t>
        </x:is>
      </x:c>
      <x:c r="C5" s="461" t="inlineStr">
        <x:is>
          <x:t xml:space="preserve">Direct multi-scope assessment and conservative disclosure govern.</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26.25" customHeight="1">
      <x:c r="A6" s="461" t="inlineStr">
        <x:is>
          <x:t xml:space="preserve">Claim Boundary</x:t>
        </x:is>
      </x:c>
      <x:c r="B6" s="461" t="inlineStr">
        <x:is>
          <x:t xml:space="preserve">Ripple-aware, not validated numerical propagation</x:t>
        </x:is>
      </x:c>
      <x:c r="C6" s="461" t="inlineStr">
        <x:is>
          <x:t xml:space="preserve">Scope mapping, gates, and auditability remain active.</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2.75" customHeight="1">
      <x:c r="A7" s="461" t="n"/>
      <x:c r="B7" s="461" t="n"/>
      <x:c r="C7" s="461" t="n"/>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12.75" customHeight="1">
      <x:c r="A8" s="461" t="n"/>
      <x:c r="B8" s="461" t="n"/>
      <x:c r="C8" s="461" t="n"/>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2.75" customHeight="1">
      <x:c r="A9" s="461" t="n"/>
      <x:c r="B9" s="461" t="n"/>
      <x:c r="C9" s="461" t="n"/>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39.xml><?xml version="1.0" encoding="utf-8"?>
<x:worksheet xmlns:x="http://schemas.openxmlformats.org/spreadsheetml/2006/main">
  <x:sheetViews>
    <x:sheetView showGridLines="1" workbookViewId="0"/>
  </x:sheetViews>
  <x:sheetFormatPr baseColWidth="8" defaultColWidth="8.6796875" defaultRowHeight="12.75"/>
  <x:cols>
    <x:col min="1" max="1" width="28.670000076293945" style="454" customWidth="1"/>
    <x:col min="2" max="2" width="36.560001373291016" style="454" customWidth="1"/>
    <x:col min="3" max="3" width="61.11000061035156"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26.25" customHeight="1">
      <x:c r="A2" s="461" t="inlineStr">
        <x:is>
          <x:t xml:space="preserve">HDW_Weight_Source</x:t>
        </x:is>
      </x:c>
      <x:c r="B2" s="461" t="inlineStr">
        <x:is>
          <x:t xml:space="preserve">WORKED_RUN_CANONICAL_EXEMPLAR</x:t>
        </x:is>
      </x:c>
      <x:c r="C2" s="461" t="inlineStr">
        <x:is>
          <x:t xml:space="preserve">Weights are illustrative; no public institutional weight process claim.</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2.75" customHeight="1">
      <x:c r="A3" s="461" t="inlineStr">
        <x:is>
          <x:t xml:space="preserve">HDW_Stakeholder_Map</x:t>
        </x:is>
      </x:c>
      <x:c r="B3" s="461" t="inlineStr">
        <x:is>
          <x:t xml:space="preserve">PLSS_Local_Scope + Impact_Input</x:t>
        </x:is>
      </x:c>
      <x:c r="C3" s="461" t="inlineStr">
        <x:is>
          <x:t xml:space="preserve">Stakeholder mapping is worked-run exemplar.</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26.25" customHeight="1">
      <x:c r="A4" s="461" t="inlineStr">
        <x:is>
          <x:t xml:space="preserve">HDW_Participation_Quality</x:t>
        </x:is>
      </x:c>
      <x:c r="B4" s="461" t="inlineStr">
        <x:is>
          <x:t xml:space="preserve">NOT_APPLICABLE_WORKED_RUN_EXEMPLAR</x:t>
        </x:is>
      </x:c>
      <x:c r="C4" s="461" t="inlineStr">
        <x:is>
          <x:t xml:space="preserve">No live democratic participation claim.</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12.75" customHeight="1">
      <x:c r="A5" s="461" t="inlineStr">
        <x:is>
          <x:t xml:space="preserve">HDW_Expert_Role_Provenance</x:t>
        </x:is>
      </x:c>
      <x:c r="B5" s="461" t="inlineStr">
        <x:is>
          <x:t xml:space="preserve">AUTHOR_REVIEWED_EXEMPLAR</x:t>
        </x:is>
      </x:c>
      <x:c r="C5" s="461" t="inlineStr">
        <x:is>
          <x:t xml:space="preserve">No independent expert panel claim.</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2.75" customHeight="1">
      <x:c r="A6" s="461" t="inlineStr">
        <x:is>
          <x:t xml:space="preserve">HDW_Conflict_Disclosures</x:t>
        </x:is>
      </x:c>
      <x:c r="B6" s="461" t="inlineStr">
        <x:is>
          <x:t xml:space="preserve">NONE_DECLARED_FOR_EXEMPLAR</x:t>
        </x:is>
      </x:c>
      <x:c r="C6" s="461" t="inlineStr">
        <x:is>
          <x:t xml:space="preserve">Live deployments require actual disclosures.</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26.25" customHeight="1">
      <x:c r="A7" s="461" t="inlineStr">
        <x:is>
          <x:t xml:space="preserve">HDW_Challenger_Window</x:t>
        </x:is>
      </x:c>
      <x:c r="B7" s="461" t="inlineStr">
        <x:is>
          <x:t xml:space="preserve">NOT_APPLICABLE_WORKED_RUN_EXEMPLAR</x:t>
        </x:is>
      </x:c>
      <x:c r="C7" s="461" t="inlineStr">
        <x:is>
          <x:t xml:space="preserve">Tier 3 deployments require challenger window or waiver.</x:t>
        </x:is>
      </x:c>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26.25" customHeight="1">
      <x:c r="A8" s="461" t="inlineStr">
        <x:is>
          <x:t xml:space="preserve">HDW_Independent_Review_Status</x:t>
        </x:is>
      </x:c>
      <x:c r="B8" s="461" t="inlineStr">
        <x:is>
          <x:t xml:space="preserve">NOT_COMPLETED</x:t>
        </x:is>
      </x:c>
      <x:c r="C8" s="461" t="inlineStr">
        <x:is>
          <x:t xml:space="preserve">No capture-resistant institutional claim.</x:t>
        </x:is>
      </x:c>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26.25" customHeight="1">
      <x:c r="A9" s="461" t="inlineStr">
        <x:is>
          <x:t xml:space="preserve">HDW_Captured_Context_Limitation</x:t>
        </x:is>
      </x:c>
      <x:c r="B9" s="461" t="inlineStr">
        <x:is>
          <x:t xml:space="preserve">TRANSPARENT_LIMITATION</x:t>
        </x:is>
      </x:c>
      <x:c r="C9" s="461" t="inlineStr">
        <x:is>
          <x:t xml:space="preserve">The workbook exposes the limitation rather than claiming capture immunity.</x:t>
        </x:is>
      </x:c>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40.xml><?xml version="1.0" encoding="utf-8"?>
<x:worksheet xmlns:x="http://schemas.openxmlformats.org/spreadsheetml/2006/main">
  <x:sheetViews>
    <x:sheetView showGridLines="1" workbookViewId="0"/>
  </x:sheetViews>
  <x:sheetFormatPr baseColWidth="8" defaultColWidth="8.6796875" defaultRowHeight="12.75"/>
  <x:cols>
    <x:col min="1" max="1" width="24.559999465942383" style="454" customWidth="1"/>
    <x:col min="2" max="2" width="51" style="454" customWidth="1"/>
    <x:col min="3" max="3" width="93"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12.75" customHeight="1">
      <x:c r="A2" s="461" t="inlineStr">
        <x:is>
          <x:t xml:space="preserve">PLSS_Profile_Used</x:t>
        </x:is>
      </x:c>
      <x:c r="B2" s="461" t="inlineStr">
        <x:is>
          <x:t xml:space="preserve">YES</x:t>
        </x:is>
      </x:c>
      <x:c r="C2" s="461" t="inlineStr">
        <x:is>
          <x:t xml:space="preserve">Worked-run uses local scope with guardrails.</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2.75" customHeight="1">
      <x:c r="A3" s="461" t="inlineStr">
        <x:is>
          <x:t xml:space="preserve">Local_Stakeholder_Set</x:t>
        </x:is>
      </x:c>
      <x:c r="B3" s="461" t="inlineStr">
        <x:is>
          <x:t xml:space="preserve">ORG / employees / operational stakeholders</x:t>
        </x:is>
      </x:c>
      <x:c r="C3" s="461" t="inlineStr">
        <x:is>
          <x:t xml:space="preserve">See PLSS_Local_Scope.</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26.25" customHeight="1">
      <x:c r="A4" s="461" t="inlineStr">
        <x:is>
          <x:t xml:space="preserve">Guardrail_Scopes</x:t>
        </x:is>
      </x:c>
      <x:c r="B4" s="461" t="inlineStr">
        <x:is>
          <x:t xml:space="preserve">Rights floors, TRC, Containment, Biosphere/Humanity guardrails</x:t>
        </x:is>
      </x:c>
      <x:c r="C4" s="461" t="inlineStr">
        <x:is>
          <x:t xml:space="preserve">Focus Local, Guard Global.</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26.25" customHeight="1">
      <x:c r="A5" s="461" t="inlineStr">
        <x:is>
          <x:t xml:space="preserve">Escalation_Trigger_Checklist</x:t>
        </x:is>
      </x:c>
      <x:c r="B5" s="461" t="inlineStr">
        <x:is>
          <x:t xml:space="preserve">NO_BLOCKING_TRIGGER_IN_EXEMPLAR</x:t>
        </x:is>
      </x:c>
      <x:c r="C5" s="461" t="inlineStr">
        <x:is>
          <x:t xml:space="preserve">Hidden externalities, rights exposure, precedent, lock-in, ecological/governance spillover reviewed at exemplar level.</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2.75" customHeight="1">
      <x:c r="A6" s="461" t="inlineStr">
        <x:is>
          <x:t xml:space="preserve">Non_Escalation_Rationale</x:t>
        </x:is>
      </x:c>
      <x:c r="B6" s="461" t="inlineStr">
        <x:is>
          <x:t xml:space="preserve">WORKED_RUN_LOW_SCOPE_EXEMPLAR</x:t>
        </x:is>
      </x:c>
      <x:c r="C6" s="461" t="inlineStr">
        <x:is>
          <x:t xml:space="preserve">Live deployment must repeat this analysis with evidence.</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2.75" customHeight="1">
      <x:c r="A7" s="461" t="inlineStr">
        <x:is>
          <x:t xml:space="preserve">Externality_Search_Method</x:t>
        </x:is>
      </x:c>
      <x:c r="B7" s="461" t="inlineStr">
        <x:is>
          <x:t xml:space="preserve">CHECKLIST_REVIEW</x:t>
        </x:is>
      </x:c>
      <x:c r="C7" s="461" t="inlineStr">
        <x:is>
          <x:t xml:space="preserve">Not an empirical externality audit.</x:t>
        </x:is>
      </x:c>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26.25" customHeight="1">
      <x:c r="A8" s="461" t="inlineStr">
        <x:is>
          <x:t xml:space="preserve">Prominence_Sensitivity_Result</x:t>
        </x:is>
      </x:c>
      <x:c r="B8" s="461" t="inlineStr">
        <x:is>
          <x:t xml:space="preserve">NOT_REQUIRED_FOR_EXEMPLAR</x:t>
        </x:is>
      </x:c>
      <x:c r="C8" s="461" t="inlineStr">
        <x:is>
          <x:t xml:space="preserve">Required when non-local effects are plausible.</x:t>
        </x:is>
      </x:c>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2.75" customHeight="1">
      <x:c r="A9" s="461" t="inlineStr">
        <x:is>
          <x:t xml:space="preserve">External_Challenger_Status</x:t>
        </x:is>
      </x:c>
      <x:c r="B9" s="461" t="inlineStr">
        <x:is>
          <x:t xml:space="preserve">NOT_COMPLETED</x:t>
        </x:is>
      </x:c>
      <x:c r="C9" s="461" t="inlineStr">
        <x:is>
          <x:t xml:space="preserve">Tier 3 PLSS runs require challenger review or waiver.</x:t>
        </x:is>
      </x:c>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inlineStr">
        <x:is>
          <x:t xml:space="preserve">Repeated_PLSS_Use_Flag</x:t>
        </x:is>
      </x:c>
      <x:c r="B10" s="461" t="inlineStr">
        <x:is>
          <x:t xml:space="preserve">NO</x:t>
        </x:is>
      </x:c>
      <x:c r="C10" s="461" t="inlineStr">
        <x:is>
          <x:t xml:space="preserve">Repeated local use not claimed.</x:t>
        </x:is>
      </x:c>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41.xml><?xml version="1.0" encoding="utf-8"?>
<x:worksheet xmlns:x="http://schemas.openxmlformats.org/spreadsheetml/2006/main">
  <x:sheetViews>
    <x:sheetView showGridLines="1" workbookViewId="0"/>
  </x:sheetViews>
  <x:sheetFormatPr baseColWidth="8" defaultColWidth="8.6796875" defaultRowHeight="12.75"/>
  <x:cols>
    <x:col min="1" max="1" width="29.110000610351562" style="454" customWidth="1"/>
    <x:col min="2" max="2" width="42.439998626708984" style="454" customWidth="1"/>
    <x:col min="3" max="3" width="85.75"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26.25" customHeight="1">
      <x:c r="A2" s="461" t="inlineStr">
        <x:is>
          <x:t xml:space="preserve">Biological_Evaluation_Maturity</x:t>
        </x:is>
      </x:c>
      <x:c r="B2" s="461" t="inlineStr">
        <x:is>
          <x:t xml:space="preserve">NA_NOT_INVOKED</x:t>
        </x:is>
      </x:c>
      <x:c r="C2" s="461" t="inlineStr">
        <x:is>
          <x:t xml:space="preserve">Human-only worked-run exemplar; biological SGP evidence not invoked. Biological individualized measurement remains guidance-stage unless a companion annex is published and hash-pinned.</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2.75" customHeight="1">
      <x:c r="A3" s="461" t="inlineStr">
        <x:is>
          <x:t xml:space="preserve">Taxon_Baseline_Source</x:t>
        </x:is>
      </x:c>
      <x:c r="B3" s="461" t="inlineStr">
        <x:is>
          <x:t xml:space="preserve">HUMAN_PLATEAU_RULE</x:t>
        </x:is>
      </x:c>
      <x:c r="C3" s="461" t="inlineStr">
        <x:is>
          <x:t xml:space="preserve">All human persons set SG_norm(H)=1.0 by normative commitment.</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26.25" customHeight="1">
      <x:c r="A4" s="461" t="inlineStr">
        <x:is>
          <x:t xml:space="preserve">Species_Appropriate_Battery_Status</x:t>
        </x:is>
      </x:c>
      <x:c r="B4" s="461" t="inlineStr">
        <x:is>
          <x:t xml:space="preserve">NOT_APPLICABLE_HUMAN_PLATEAU_WORKED_RUN</x:t>
        </x:is>
      </x:c>
      <x:c r="C4" s="461" t="inlineStr">
        <x:is>
          <x:t xml:space="preserve">No biological animal battery used.</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12.75" customHeight="1">
      <x:c r="A5" s="461" t="inlineStr">
        <x:is>
          <x:t xml:space="preserve">Ethics_Review_Status</x:t>
        </x:is>
      </x:c>
      <x:c r="B5" s="461" t="inlineStr">
        <x:is>
          <x:t xml:space="preserve">NOT_APPLICABLE_WORKED_RUN_EXEMPLAR</x:t>
        </x:is>
      </x:c>
      <x:c r="C5" s="461" t="inlineStr">
        <x:is>
          <x:t xml:space="preserve">Live biological evaluation requires non-harmful protocol review.</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2.75" customHeight="1">
      <x:c r="A6" s="461" t="inlineStr">
        <x:is>
          <x:t xml:space="preserve">Expert_Panel_Status</x:t>
        </x:is>
      </x:c>
      <x:c r="B6" s="461" t="inlineStr">
        <x:is>
          <x:t xml:space="preserve">NOT_COMPLETED</x:t>
        </x:is>
      </x:c>
      <x:c r="C6" s="461" t="inlineStr">
        <x:is>
          <x:t xml:space="preserve">No biological expert-panel validation claim.</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26.25" customHeight="1">
      <x:c r="A7" s="461" t="inlineStr">
        <x:is>
          <x:t xml:space="preserve">Individual_Evaluation_Limitation</x:t>
        </x:is>
      </x:c>
      <x:c r="B7" s="461" t="inlineStr">
        <x:is>
          <x:t xml:space="preserve">NO_INDIVIDUAL_BIOLOGICAL_PRECISION_CLAIM</x:t>
        </x:is>
      </x:c>
      <x:c r="C7" s="461" t="inlineStr">
        <x:is>
          <x:t xml:space="preserve">Protection posture preserved; no reduction from missing battery.</x:t>
        </x:is>
      </x:c>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12.75" customHeight="1">
      <x:c r="A8" s="461" t="n"/>
      <x:c r="B8" s="461" t="n"/>
      <x:c r="C8" s="461" t="n"/>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2.75" customHeight="1">
      <x:c r="A9" s="461" t="n"/>
      <x:c r="B9" s="461" t="n"/>
      <x:c r="C9" s="461" t="n"/>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42.xml><?xml version="1.0" encoding="utf-8"?>
<x:worksheet xmlns:x="http://schemas.openxmlformats.org/spreadsheetml/2006/main">
  <x:sheetViews>
    <x:sheetView showGridLines="1" workbookViewId="0"/>
  </x:sheetViews>
  <x:sheetFormatPr baseColWidth="8" defaultColWidth="8.6796875" defaultRowHeight="12.75"/>
  <x:cols>
    <x:col min="1" max="1" width="26.770000457763672" style="454" customWidth="1"/>
    <x:col min="2" max="2" width="36.560001373291016" style="454" customWidth="1"/>
    <x:col min="3" max="3" width="67.55999755859375" style="454" customWidth="1"/>
  </x:cols>
  <x:sheetData>
    <x:row r="1" s="455" customFormat="1" ht="12.75" customHeight="1">
      <x:c r="A1" s="458" t="inlineStr">
        <x:is>
          <x:t xml:space="preserve">Field</x:t>
        </x:is>
      </x:c>
      <x:c r="B1" s="458" t="inlineStr">
        <x:is>
          <x:t xml:space="preserve">Value</x:t>
        </x:is>
      </x:c>
      <x:c r="C1" s="458" t="inlineStr">
        <x:is>
          <x:t xml:space="preserve">Notes</x:t>
        </x:is>
      </x:c>
      <x:c r="D1" s="458" t="n"/>
      <x:c r="E1" s="458" t="n"/>
      <x:c r="F1" s="458" t="n"/>
      <x:c r="G1" s="458" t="n"/>
      <x:c r="H1" s="458" t="n"/>
      <x:c r="I1" s="458" t="n"/>
      <x:c r="J1" s="458" t="n"/>
      <x:c r="K1" s="458" t="n"/>
      <x:c r="L1" s="458" t="n"/>
      <x:c r="M1" s="458" t="n"/>
      <x:c r="N1" s="458" t="n"/>
      <x:c r="O1" s="458" t="n"/>
      <x:c r="P1" s="458" t="n"/>
      <x:c r="Q1" s="458" t="n"/>
      <x:c r="R1" s="458" t="n"/>
      <x:c r="S1" s="458" t="n"/>
      <x:c r="T1" s="458" t="n"/>
      <x:c r="U1" s="458" t="n"/>
      <x:c r="V1" s="458" t="n"/>
      <x:c r="W1" s="458" t="n"/>
      <x:c r="X1" s="458" t="n"/>
      <x:c r="Y1" s="458" t="n"/>
      <x:c r="Z1" s="458" t="n"/>
    </x:row>
    <x:row r="2" s="455" customFormat="1" ht="12.75" customHeight="1">
      <x:c r="A2" s="461" t="inlineStr">
        <x:is>
          <x:t xml:space="preserve">Deployment_Context_Profile</x:t>
        </x:is>
      </x:c>
      <x:c r="B2" s="461" t="inlineStr">
        <x:is>
          <x:t xml:space="preserve">ORG_WORKED_RUN_EXEMPLAR</x:t>
        </x:is>
      </x:c>
      <x:c r="C2" s="461" t="inlineStr">
        <x:is>
          <x:t xml:space="preserve">Training/replay companion, not production deployment.</x:t>
        </x:is>
      </x:c>
      <x:c r="D2" s="461" t="n"/>
      <x:c r="E2" s="461" t="n"/>
      <x:c r="F2" s="461" t="n"/>
      <x:c r="G2" s="461" t="n"/>
      <x:c r="H2" s="461" t="n"/>
      <x:c r="I2" s="461" t="n"/>
      <x:c r="J2" s="461" t="n"/>
      <x:c r="K2" s="461" t="n"/>
      <x:c r="L2" s="461" t="n"/>
      <x:c r="M2" s="461" t="n"/>
      <x:c r="N2" s="461" t="n"/>
      <x:c r="O2" s="461" t="n"/>
      <x:c r="P2" s="461" t="n"/>
      <x:c r="Q2" s="461" t="n"/>
      <x:c r="R2" s="461" t="n"/>
      <x:c r="S2" s="461" t="n"/>
      <x:c r="T2" s="461" t="n"/>
      <x:c r="U2" s="461" t="n"/>
      <x:c r="V2" s="461" t="n"/>
      <x:c r="W2" s="461" t="n"/>
      <x:c r="X2" s="461" t="n"/>
      <x:c r="Y2" s="461" t="n"/>
      <x:c r="Z2" s="461" t="n"/>
    </x:row>
    <x:row r="3" s="455" customFormat="1" ht="12.75" customHeight="1">
      <x:c r="A3" s="461" t="inlineStr">
        <x:is>
          <x:t xml:space="preserve">Context_Class</x:t>
        </x:is>
      </x:c>
      <x:c r="B3" s="461" t="inlineStr">
        <x:is>
          <x:t xml:space="preserve">INSTITUTIONAL_ADVISORY_EXEMPLAR</x:t>
        </x:is>
      </x:c>
      <x:c r="C3" s="461" t="inlineStr">
        <x:is>
          <x:t xml:space="preserve">No operational deployment claim.</x:t>
        </x:is>
      </x:c>
      <x:c r="D3" s="461" t="n"/>
      <x:c r="E3" s="461" t="n"/>
      <x:c r="F3" s="461" t="n"/>
      <x:c r="G3" s="461" t="n"/>
      <x:c r="H3" s="461" t="n"/>
      <x:c r="I3" s="461" t="n"/>
      <x:c r="J3" s="461" t="n"/>
      <x:c r="K3" s="461" t="n"/>
      <x:c r="L3" s="461" t="n"/>
      <x:c r="M3" s="461" t="n"/>
      <x:c r="N3" s="461" t="n"/>
      <x:c r="O3" s="461" t="n"/>
      <x:c r="P3" s="461" t="n"/>
      <x:c r="Q3" s="461" t="n"/>
      <x:c r="R3" s="461" t="n"/>
      <x:c r="S3" s="461" t="n"/>
      <x:c r="T3" s="461" t="n"/>
      <x:c r="U3" s="461" t="n"/>
      <x:c r="V3" s="461" t="n"/>
      <x:c r="W3" s="461" t="n"/>
      <x:c r="X3" s="461" t="n"/>
      <x:c r="Y3" s="461" t="n"/>
      <x:c r="Z3" s="461" t="n"/>
    </x:row>
    <x:row r="4" s="455" customFormat="1" ht="26.25" customHeight="1">
      <x:c r="A4" s="461" t="inlineStr">
        <x:is>
          <x:t xml:space="preserve">Evidence_Sufficiency_Posture</x:t>
        </x:is>
      </x:c>
      <x:c r="B4" s="461" t="inlineStr">
        <x:is>
          <x:t xml:space="preserve">SUFFICIENT_FOR_WORKED_RUN_EXEMPLAR</x:t>
        </x:is>
      </x:c>
      <x:c r="C4" s="461" t="inlineStr">
        <x:is>
          <x:t xml:space="preserve">Not sufficient for ProofPack or Tier 4.</x:t>
        </x:is>
      </x:c>
      <x:c r="D4" s="461" t="n"/>
      <x:c r="E4" s="461" t="n"/>
      <x:c r="F4" s="461" t="n"/>
      <x:c r="G4" s="461" t="n"/>
      <x:c r="H4" s="461" t="n"/>
      <x:c r="I4" s="461" t="n"/>
      <x:c r="J4" s="461" t="n"/>
      <x:c r="K4" s="461" t="n"/>
      <x:c r="L4" s="461" t="n"/>
      <x:c r="M4" s="461" t="n"/>
      <x:c r="N4" s="461" t="n"/>
      <x:c r="O4" s="461" t="n"/>
      <x:c r="P4" s="461" t="n"/>
      <x:c r="Q4" s="461" t="n"/>
      <x:c r="R4" s="461" t="n"/>
      <x:c r="S4" s="461" t="n"/>
      <x:c r="T4" s="461" t="n"/>
      <x:c r="U4" s="461" t="n"/>
      <x:c r="V4" s="461" t="n"/>
      <x:c r="W4" s="461" t="n"/>
      <x:c r="X4" s="461" t="n"/>
      <x:c r="Y4" s="461" t="n"/>
      <x:c r="Z4" s="461" t="n"/>
    </x:row>
    <x:row r="5" s="455" customFormat="1" ht="26.25" customHeight="1">
      <x:c r="A5" s="461" t="inlineStr">
        <x:is>
          <x:t xml:space="preserve">Reviewer_Independence_Posture</x:t>
        </x:is>
      </x:c>
      <x:c r="B5" s="461" t="inlineStr">
        <x:is>
          <x:t xml:space="preserve">AUTHOR_REVIEWED</x:t>
        </x:is>
      </x:c>
      <x:c r="C5" s="461" t="inlineStr">
        <x:is>
          <x:t xml:space="preserve">Independent review not claimed.</x:t>
        </x:is>
      </x:c>
      <x:c r="D5" s="461" t="n"/>
      <x:c r="E5" s="461" t="n"/>
      <x:c r="F5" s="461" t="n"/>
      <x:c r="G5" s="461" t="n"/>
      <x:c r="H5" s="461" t="n"/>
      <x:c r="I5" s="461" t="n"/>
      <x:c r="J5" s="461" t="n"/>
      <x:c r="K5" s="461" t="n"/>
      <x:c r="L5" s="461" t="n"/>
      <x:c r="M5" s="461" t="n"/>
      <x:c r="N5" s="461" t="n"/>
      <x:c r="O5" s="461" t="n"/>
      <x:c r="P5" s="461" t="n"/>
      <x:c r="Q5" s="461" t="n"/>
      <x:c r="R5" s="461" t="n"/>
      <x:c r="S5" s="461" t="n"/>
      <x:c r="T5" s="461" t="n"/>
      <x:c r="U5" s="461" t="n"/>
      <x:c r="V5" s="461" t="n"/>
      <x:c r="W5" s="461" t="n"/>
      <x:c r="X5" s="461" t="n"/>
      <x:c r="Y5" s="461" t="n"/>
      <x:c r="Z5" s="461" t="n"/>
    </x:row>
    <x:row r="6" s="455" customFormat="1" ht="12.75" customHeight="1">
      <x:c r="A6" s="461" t="inlineStr">
        <x:is>
          <x:t xml:space="preserve">Audit_Visibility</x:t>
        </x:is>
      </x:c>
      <x:c r="B6" s="461" t="inlineStr">
        <x:is>
          <x:t xml:space="preserve">PUBLIC_RELEASE_COMPANION</x:t>
        </x:is>
      </x:c>
      <x:c r="C6" s="461" t="inlineStr">
        <x:is>
          <x:t xml:space="preserve">Hash-pinned artifact intended for GitHub release bundle.</x:t>
        </x:is>
      </x:c>
      <x:c r="D6" s="461" t="n"/>
      <x:c r="E6" s="461" t="n"/>
      <x:c r="F6" s="461" t="n"/>
      <x:c r="G6" s="461" t="n"/>
      <x:c r="H6" s="461" t="n"/>
      <x:c r="I6" s="461" t="n"/>
      <x:c r="J6" s="461" t="n"/>
      <x:c r="K6" s="461" t="n"/>
      <x:c r="L6" s="461" t="n"/>
      <x:c r="M6" s="461" t="n"/>
      <x:c r="N6" s="461" t="n"/>
      <x:c r="O6" s="461" t="n"/>
      <x:c r="P6" s="461" t="n"/>
      <x:c r="Q6" s="461" t="n"/>
      <x:c r="R6" s="461" t="n"/>
      <x:c r="S6" s="461" t="n"/>
      <x:c r="T6" s="461" t="n"/>
      <x:c r="U6" s="461" t="n"/>
      <x:c r="V6" s="461" t="n"/>
      <x:c r="W6" s="461" t="n"/>
      <x:c r="X6" s="461" t="n"/>
      <x:c r="Y6" s="461" t="n"/>
      <x:c r="Z6" s="461" t="n"/>
    </x:row>
    <x:row r="7" s="455" customFormat="1" ht="12.75" customHeight="1">
      <x:c r="A7" s="461" t="inlineStr">
        <x:is>
          <x:t xml:space="preserve">Escalation_Threshold_Posture</x:t>
        </x:is>
      </x:c>
      <x:c r="B7" s="461" t="inlineStr">
        <x:is>
          <x:t xml:space="preserve">DECLARED_PROVISIONAL</x:t>
        </x:is>
      </x:c>
      <x:c r="C7" s="461" t="inlineStr">
        <x:is>
          <x:t xml:space="preserve">Live deployments must set thresholds ex ante.</x:t>
        </x:is>
      </x:c>
      <x:c r="D7" s="461" t="n"/>
      <x:c r="E7" s="461" t="n"/>
      <x:c r="F7" s="461" t="n"/>
      <x:c r="G7" s="461" t="n"/>
      <x:c r="H7" s="461" t="n"/>
      <x:c r="I7" s="461" t="n"/>
      <x:c r="J7" s="461" t="n"/>
      <x:c r="K7" s="461" t="n"/>
      <x:c r="L7" s="461" t="n"/>
      <x:c r="M7" s="461" t="n"/>
      <x:c r="N7" s="461" t="n"/>
      <x:c r="O7" s="461" t="n"/>
      <x:c r="P7" s="461" t="n"/>
      <x:c r="Q7" s="461" t="n"/>
      <x:c r="R7" s="461" t="n"/>
      <x:c r="S7" s="461" t="n"/>
      <x:c r="T7" s="461" t="n"/>
      <x:c r="U7" s="461" t="n"/>
      <x:c r="V7" s="461" t="n"/>
      <x:c r="W7" s="461" t="n"/>
      <x:c r="X7" s="461" t="n"/>
      <x:c r="Y7" s="461" t="n"/>
      <x:c r="Z7" s="461" t="n"/>
    </x:row>
    <x:row r="8" s="455" customFormat="1" ht="26.25" customHeight="1">
      <x:c r="A8" s="461" t="inlineStr">
        <x:is>
          <x:t xml:space="preserve">Claim_Boundary</x:t>
        </x:is>
      </x:c>
      <x:c r="B8" s="461" t="inlineStr">
        <x:is>
          <x:t xml:space="preserve">NOT_PROOFPACK_READY_NOT_TIER4_READY</x:t>
        </x:is>
      </x:c>
      <x:c r="C8" s="461" t="inlineStr">
        <x:is>
          <x:t xml:space="preserve">Separate schemas, validators, replayable PCCs, and independent replay still required.</x:t>
        </x:is>
      </x:c>
      <x:c r="D8" s="461" t="n"/>
      <x:c r="E8" s="461" t="n"/>
      <x:c r="F8" s="461" t="n"/>
      <x:c r="G8" s="461" t="n"/>
      <x:c r="H8" s="461" t="n"/>
      <x:c r="I8" s="461" t="n"/>
      <x:c r="J8" s="461" t="n"/>
      <x:c r="K8" s="461" t="n"/>
      <x:c r="L8" s="461" t="n"/>
      <x:c r="M8" s="461" t="n"/>
      <x:c r="N8" s="461" t="n"/>
      <x:c r="O8" s="461" t="n"/>
      <x:c r="P8" s="461" t="n"/>
      <x:c r="Q8" s="461" t="n"/>
      <x:c r="R8" s="461" t="n"/>
      <x:c r="S8" s="461" t="n"/>
      <x:c r="T8" s="461" t="n"/>
      <x:c r="U8" s="461" t="n"/>
      <x:c r="V8" s="461" t="n"/>
      <x:c r="W8" s="461" t="n"/>
      <x:c r="X8" s="461" t="n"/>
      <x:c r="Y8" s="461" t="n"/>
      <x:c r="Z8" s="461" t="n"/>
    </x:row>
    <x:row r="9" s="455" customFormat="1" ht="12.75" customHeight="1">
      <x:c r="A9" s="461" t="n"/>
      <x:c r="B9" s="461" t="n"/>
      <x:c r="C9" s="461" t="n"/>
      <x:c r="D9" s="461" t="n"/>
      <x:c r="E9" s="461" t="n"/>
      <x:c r="F9" s="461" t="n"/>
      <x:c r="G9" s="461" t="n"/>
      <x:c r="H9" s="461" t="n"/>
      <x:c r="I9" s="461" t="n"/>
      <x:c r="J9" s="461" t="n"/>
      <x:c r="K9" s="461" t="n"/>
      <x:c r="L9" s="461" t="n"/>
      <x:c r="M9" s="461" t="n"/>
      <x:c r="N9" s="461" t="n"/>
      <x:c r="O9" s="461" t="n"/>
      <x:c r="P9" s="461" t="n"/>
      <x:c r="Q9" s="461" t="n"/>
      <x:c r="R9" s="461" t="n"/>
      <x:c r="S9" s="461" t="n"/>
      <x:c r="T9" s="461" t="n"/>
      <x:c r="U9" s="461" t="n"/>
      <x:c r="V9" s="461" t="n"/>
      <x:c r="W9" s="461" t="n"/>
      <x:c r="X9" s="461" t="n"/>
      <x:c r="Y9" s="461" t="n"/>
      <x:c r="Z9" s="461" t="n"/>
    </x:row>
    <x:row r="10" s="455" customFormat="1" ht="12.75" customHeight="1">
      <x:c r="A10" s="461" t="n"/>
      <x:c r="B10" s="461" t="n"/>
      <x:c r="C10" s="461" t="n"/>
      <x:c r="D10" s="461" t="n"/>
      <x:c r="E10" s="461" t="n"/>
      <x:c r="F10" s="461" t="n"/>
      <x:c r="G10" s="461" t="n"/>
      <x:c r="H10" s="461" t="n"/>
      <x:c r="I10" s="461" t="n"/>
      <x:c r="J10" s="461" t="n"/>
      <x:c r="K10" s="461" t="n"/>
      <x:c r="L10" s="461" t="n"/>
      <x:c r="M10" s="461" t="n"/>
      <x:c r="N10" s="461" t="n"/>
      <x:c r="O10" s="461" t="n"/>
      <x:c r="P10" s="461" t="n"/>
      <x:c r="Q10" s="461" t="n"/>
      <x:c r="R10" s="461" t="n"/>
      <x:c r="S10" s="461" t="n"/>
      <x:c r="T10" s="461" t="n"/>
      <x:c r="U10" s="461" t="n"/>
      <x:c r="V10" s="461" t="n"/>
      <x:c r="W10" s="461" t="n"/>
      <x:c r="X10" s="461" t="n"/>
      <x:c r="Y10" s="461" t="n"/>
      <x:c r="Z10" s="461" t="n"/>
    </x:row>
    <x:row r="11" s="455" customFormat="1" ht="12.75" customHeight="1">
      <x:c r="A11" s="461" t="n"/>
      <x:c r="B11" s="461" t="n"/>
      <x:c r="C11" s="461" t="n"/>
      <x:c r="D11" s="461" t="n"/>
      <x:c r="E11" s="461" t="n"/>
      <x:c r="F11" s="461" t="n"/>
      <x:c r="G11" s="461" t="n"/>
      <x:c r="H11" s="461" t="n"/>
      <x:c r="I11" s="461" t="n"/>
      <x:c r="J11" s="461" t="n"/>
      <x:c r="K11" s="461" t="n"/>
      <x:c r="L11" s="461" t="n"/>
      <x:c r="M11" s="461" t="n"/>
      <x:c r="N11" s="461" t="n"/>
      <x:c r="O11" s="461" t="n"/>
      <x:c r="P11" s="461" t="n"/>
      <x:c r="Q11" s="461" t="n"/>
      <x:c r="R11" s="461" t="n"/>
      <x:c r="S11" s="461" t="n"/>
      <x:c r="T11" s="461" t="n"/>
      <x:c r="U11" s="461" t="n"/>
      <x:c r="V11" s="461" t="n"/>
      <x:c r="W11" s="461" t="n"/>
      <x:c r="X11" s="461" t="n"/>
      <x:c r="Y11" s="461" t="n"/>
      <x:c r="Z11" s="461" t="n"/>
    </x:row>
    <x:row r="12" s="455" customFormat="1" ht="12.75" customHeight="1">
      <x:c r="A12" s="461" t="n"/>
      <x:c r="B12" s="461" t="n"/>
      <x:c r="C12" s="461" t="n"/>
      <x:c r="D12" s="461" t="n"/>
      <x:c r="E12" s="461" t="n"/>
      <x:c r="F12" s="461" t="n"/>
      <x:c r="G12" s="461" t="n"/>
      <x:c r="H12" s="461" t="n"/>
      <x:c r="I12" s="461" t="n"/>
      <x:c r="J12" s="461" t="n"/>
      <x:c r="K12" s="461" t="n"/>
      <x:c r="L12" s="461" t="n"/>
      <x:c r="M12" s="461" t="n"/>
      <x:c r="N12" s="461" t="n"/>
      <x:c r="O12" s="461" t="n"/>
      <x:c r="P12" s="461" t="n"/>
      <x:c r="Q12" s="461" t="n"/>
      <x:c r="R12" s="461" t="n"/>
      <x:c r="S12" s="461" t="n"/>
      <x:c r="T12" s="461" t="n"/>
      <x:c r="U12" s="461" t="n"/>
      <x:c r="V12" s="461" t="n"/>
      <x:c r="W12" s="461" t="n"/>
      <x:c r="X12" s="461" t="n"/>
      <x:c r="Y12" s="461" t="n"/>
      <x:c r="Z12" s="461" t="n"/>
    </x:row>
    <x:row r="13" s="455" customFormat="1" ht="12.75" customHeight="1">
      <x:c r="A13" s="461" t="n"/>
      <x:c r="B13" s="461" t="n"/>
      <x:c r="C13" s="461" t="n"/>
      <x:c r="D13" s="461" t="n"/>
      <x:c r="E13" s="461" t="n"/>
      <x:c r="F13" s="461" t="n"/>
      <x:c r="G13" s="461" t="n"/>
      <x:c r="H13" s="461" t="n"/>
      <x:c r="I13" s="461" t="n"/>
      <x:c r="J13" s="461" t="n"/>
      <x:c r="K13" s="461" t="n"/>
      <x:c r="L13" s="461" t="n"/>
      <x:c r="M13" s="461" t="n"/>
      <x:c r="N13" s="461" t="n"/>
      <x:c r="O13" s="461" t="n"/>
      <x:c r="P13" s="461" t="n"/>
      <x:c r="Q13" s="461" t="n"/>
      <x:c r="R13" s="461" t="n"/>
      <x:c r="S13" s="461" t="n"/>
      <x:c r="T13" s="461" t="n"/>
      <x:c r="U13" s="461" t="n"/>
      <x:c r="V13" s="461" t="n"/>
      <x:c r="W13" s="461" t="n"/>
      <x:c r="X13" s="461" t="n"/>
      <x:c r="Y13" s="461" t="n"/>
      <x:c r="Z13" s="461" t="n"/>
    </x:row>
    <x:row r="14" s="455" customFormat="1" ht="12.75" customHeight="1">
      <x:c r="A14" s="461" t="n"/>
      <x:c r="B14" s="461" t="n"/>
      <x:c r="C14" s="461" t="n"/>
      <x:c r="D14" s="461" t="n"/>
      <x:c r="E14" s="461" t="n"/>
      <x:c r="F14" s="461" t="n"/>
      <x:c r="G14" s="461" t="n"/>
      <x:c r="H14" s="461" t="n"/>
      <x:c r="I14" s="461" t="n"/>
      <x:c r="J14" s="461" t="n"/>
      <x:c r="K14" s="461" t="n"/>
      <x:c r="L14" s="461" t="n"/>
      <x:c r="M14" s="461" t="n"/>
      <x:c r="N14" s="461" t="n"/>
      <x:c r="O14" s="461" t="n"/>
      <x:c r="P14" s="461" t="n"/>
      <x:c r="Q14" s="461" t="n"/>
      <x:c r="R14" s="461" t="n"/>
      <x:c r="S14" s="461" t="n"/>
      <x:c r="T14" s="461" t="n"/>
      <x:c r="U14" s="461" t="n"/>
      <x:c r="V14" s="461" t="n"/>
      <x:c r="W14" s="461" t="n"/>
      <x:c r="X14" s="461" t="n"/>
      <x:c r="Y14" s="461" t="n"/>
      <x:c r="Z14" s="461" t="n"/>
    </x:row>
    <x:row r="15" s="455" customFormat="1" ht="12.75" customHeight="1">
      <x:c r="A15" s="461" t="n"/>
      <x:c r="B15" s="461" t="n"/>
      <x:c r="C15" s="461" t="n"/>
      <x:c r="D15" s="461" t="n"/>
      <x:c r="E15" s="461" t="n"/>
      <x:c r="F15" s="461" t="n"/>
      <x:c r="G15" s="461" t="n"/>
      <x:c r="H15" s="461" t="n"/>
      <x:c r="I15" s="461" t="n"/>
      <x:c r="J15" s="461" t="n"/>
      <x:c r="K15" s="461" t="n"/>
      <x:c r="L15" s="461" t="n"/>
      <x:c r="M15" s="461" t="n"/>
      <x:c r="N15" s="461" t="n"/>
      <x:c r="O15" s="461" t="n"/>
      <x:c r="P15" s="461" t="n"/>
      <x:c r="Q15" s="461" t="n"/>
      <x:c r="R15" s="461" t="n"/>
      <x:c r="S15" s="461" t="n"/>
      <x:c r="T15" s="461" t="n"/>
      <x:c r="U15" s="461" t="n"/>
      <x:c r="V15" s="461" t="n"/>
      <x:c r="W15" s="461" t="n"/>
      <x:c r="X15" s="461" t="n"/>
      <x:c r="Y15" s="461" t="n"/>
      <x:c r="Z15" s="461" t="n"/>
    </x:row>
    <x:row r="16" s="455" customFormat="1" ht="12.75" customHeight="1">
      <x:c r="A16" s="461" t="n"/>
      <x:c r="B16" s="461" t="n"/>
      <x:c r="C16" s="461" t="n"/>
      <x:c r="D16" s="461" t="n"/>
      <x:c r="E16" s="461" t="n"/>
      <x:c r="F16" s="461" t="n"/>
      <x:c r="G16" s="461" t="n"/>
      <x:c r="H16" s="461" t="n"/>
      <x:c r="I16" s="461" t="n"/>
      <x:c r="J16" s="461" t="n"/>
      <x:c r="K16" s="461" t="n"/>
      <x:c r="L16" s="461" t="n"/>
      <x:c r="M16" s="461" t="n"/>
      <x:c r="N16" s="461" t="n"/>
      <x:c r="O16" s="461" t="n"/>
      <x:c r="P16" s="461" t="n"/>
      <x:c r="Q16" s="461" t="n"/>
      <x:c r="R16" s="461" t="n"/>
      <x:c r="S16" s="461" t="n"/>
      <x:c r="T16" s="461" t="n"/>
      <x:c r="U16" s="461" t="n"/>
      <x:c r="V16" s="461" t="n"/>
      <x:c r="W16" s="461" t="n"/>
      <x:c r="X16" s="461" t="n"/>
      <x:c r="Y16" s="461" t="n"/>
      <x:c r="Z16" s="461" t="n"/>
    </x:row>
    <x:row r="17" s="455" customFormat="1" ht="12.75" customHeight="1">
      <x:c r="A17" s="461" t="n"/>
      <x:c r="B17" s="461" t="n"/>
      <x:c r="C17" s="461" t="n"/>
      <x:c r="D17" s="461" t="n"/>
      <x:c r="E17" s="461" t="n"/>
      <x:c r="F17" s="461" t="n"/>
      <x:c r="G17" s="461" t="n"/>
      <x:c r="H17" s="461" t="n"/>
      <x:c r="I17" s="461" t="n"/>
      <x:c r="J17" s="461" t="n"/>
      <x:c r="K17" s="461" t="n"/>
      <x:c r="L17" s="461" t="n"/>
      <x:c r="M17" s="461" t="n"/>
      <x:c r="N17" s="461" t="n"/>
      <x:c r="O17" s="461" t="n"/>
      <x:c r="P17" s="461" t="n"/>
      <x:c r="Q17" s="461" t="n"/>
      <x:c r="R17" s="461" t="n"/>
      <x:c r="S17" s="461" t="n"/>
      <x:c r="T17" s="461" t="n"/>
      <x:c r="U17" s="461" t="n"/>
      <x:c r="V17" s="461" t="n"/>
      <x:c r="W17" s="461" t="n"/>
      <x:c r="X17" s="461" t="n"/>
      <x:c r="Y17" s="461" t="n"/>
      <x:c r="Z17" s="461" t="n"/>
    </x:row>
    <x:row r="18" s="455" customFormat="1" ht="12.75" customHeight="1">
      <x:c r="A18" s="461" t="n"/>
      <x:c r="B18" s="461" t="n"/>
      <x:c r="C18" s="461" t="n"/>
      <x:c r="D18" s="461" t="n"/>
      <x:c r="E18" s="461" t="n"/>
      <x:c r="F18" s="461" t="n"/>
      <x:c r="G18" s="461" t="n"/>
      <x:c r="H18" s="461" t="n"/>
      <x:c r="I18" s="461" t="n"/>
      <x:c r="J18" s="461" t="n"/>
      <x:c r="K18" s="461" t="n"/>
      <x:c r="L18" s="461" t="n"/>
      <x:c r="M18" s="461" t="n"/>
      <x:c r="N18" s="461" t="n"/>
      <x:c r="O18" s="461" t="n"/>
      <x:c r="P18" s="461" t="n"/>
      <x:c r="Q18" s="461" t="n"/>
      <x:c r="R18" s="461" t="n"/>
      <x:c r="S18" s="461" t="n"/>
      <x:c r="T18" s="461" t="n"/>
      <x:c r="U18" s="461" t="n"/>
      <x:c r="V18" s="461" t="n"/>
      <x:c r="W18" s="461" t="n"/>
      <x:c r="X18" s="461" t="n"/>
      <x:c r="Y18" s="461" t="n"/>
      <x:c r="Z18" s="461" t="n"/>
    </x:row>
    <x:row r="19" s="455" customFormat="1" ht="12.75" customHeight="1">
      <x:c r="A19" s="461" t="n"/>
      <x:c r="B19" s="461" t="n"/>
      <x:c r="C19" s="461" t="n"/>
      <x:c r="D19" s="461" t="n"/>
      <x:c r="E19" s="461" t="n"/>
      <x:c r="F19" s="461" t="n"/>
      <x:c r="G19" s="461" t="n"/>
      <x:c r="H19" s="461" t="n"/>
      <x:c r="I19" s="461" t="n"/>
      <x:c r="J19" s="461" t="n"/>
      <x:c r="K19" s="461" t="n"/>
      <x:c r="L19" s="461" t="n"/>
      <x:c r="M19" s="461" t="n"/>
      <x:c r="N19" s="461" t="n"/>
      <x:c r="O19" s="461" t="n"/>
      <x:c r="P19" s="461" t="n"/>
      <x:c r="Q19" s="461" t="n"/>
      <x:c r="R19" s="461" t="n"/>
      <x:c r="S19" s="461" t="n"/>
      <x:c r="T19" s="461" t="n"/>
      <x:c r="U19" s="461" t="n"/>
      <x:c r="V19" s="461" t="n"/>
      <x:c r="W19" s="461" t="n"/>
      <x:c r="X19" s="461" t="n"/>
      <x:c r="Y19" s="461" t="n"/>
      <x:c r="Z19" s="461" t="n"/>
    </x:row>
    <x:row r="20" s="455" customFormat="1" ht="12.75" customHeight="1">
      <x:c r="A20" s="461" t="n"/>
      <x:c r="B20" s="461" t="n"/>
      <x:c r="C20" s="461" t="n"/>
      <x:c r="D20" s="461" t="n"/>
      <x:c r="E20" s="461" t="n"/>
      <x:c r="F20" s="461" t="n"/>
      <x:c r="G20" s="461" t="n"/>
      <x:c r="H20" s="461" t="n"/>
      <x:c r="I20" s="461" t="n"/>
      <x:c r="J20" s="461" t="n"/>
      <x:c r="K20" s="461" t="n"/>
      <x:c r="L20" s="461" t="n"/>
      <x:c r="M20" s="461" t="n"/>
      <x:c r="N20" s="461" t="n"/>
      <x:c r="O20" s="461" t="n"/>
      <x:c r="P20" s="461" t="n"/>
      <x:c r="Q20" s="461" t="n"/>
      <x:c r="R20" s="461" t="n"/>
      <x:c r="S20" s="461" t="n"/>
      <x:c r="T20" s="461" t="n"/>
      <x:c r="U20" s="461" t="n"/>
      <x:c r="V20" s="461" t="n"/>
      <x:c r="W20" s="461" t="n"/>
      <x:c r="X20" s="461" t="n"/>
      <x:c r="Y20" s="461" t="n"/>
      <x:c r="Z20" s="461" t="n"/>
    </x:row>
    <x:row r="21" s="455" customFormat="1" ht="12.75" customHeight="1">
      <x:c r="A21" s="461" t="n"/>
      <x:c r="B21" s="461" t="n"/>
      <x:c r="C21" s="461" t="n"/>
      <x:c r="D21" s="461" t="n"/>
      <x:c r="E21" s="461" t="n"/>
      <x:c r="F21" s="461" t="n"/>
      <x:c r="G21" s="461" t="n"/>
      <x:c r="H21" s="461" t="n"/>
      <x:c r="I21" s="461" t="n"/>
      <x:c r="J21" s="461" t="n"/>
      <x:c r="K21" s="461" t="n"/>
      <x:c r="L21" s="461" t="n"/>
      <x:c r="M21" s="461" t="n"/>
      <x:c r="N21" s="461" t="n"/>
      <x:c r="O21" s="461" t="n"/>
      <x:c r="P21" s="461" t="n"/>
      <x:c r="Q21" s="461" t="n"/>
      <x:c r="R21" s="461" t="n"/>
      <x:c r="S21" s="461" t="n"/>
      <x:c r="T21" s="461" t="n"/>
      <x:c r="U21" s="461" t="n"/>
      <x:c r="V21" s="461" t="n"/>
      <x:c r="W21" s="461" t="n"/>
      <x:c r="X21" s="461" t="n"/>
      <x:c r="Y21" s="461" t="n"/>
      <x:c r="Z21" s="461" t="n"/>
    </x:row>
    <x:row r="22" s="455" customFormat="1" ht="12.75" customHeight="1">
      <x:c r="A22" s="461" t="n"/>
      <x:c r="B22" s="461" t="n"/>
      <x:c r="C22" s="461" t="n"/>
      <x:c r="D22" s="461" t="n"/>
      <x:c r="E22" s="461" t="n"/>
      <x:c r="F22" s="461" t="n"/>
      <x:c r="G22" s="461" t="n"/>
      <x:c r="H22" s="461" t="n"/>
      <x:c r="I22" s="461" t="n"/>
      <x:c r="J22" s="461" t="n"/>
      <x:c r="K22" s="461" t="n"/>
      <x:c r="L22" s="461" t="n"/>
      <x:c r="M22" s="461" t="n"/>
      <x:c r="N22" s="461" t="n"/>
      <x:c r="O22" s="461" t="n"/>
      <x:c r="P22" s="461" t="n"/>
      <x:c r="Q22" s="461" t="n"/>
      <x:c r="R22" s="461" t="n"/>
      <x:c r="S22" s="461" t="n"/>
      <x:c r="T22" s="461" t="n"/>
      <x:c r="U22" s="461" t="n"/>
      <x:c r="V22" s="461" t="n"/>
      <x:c r="W22" s="461" t="n"/>
      <x:c r="X22" s="461" t="n"/>
      <x:c r="Y22" s="461" t="n"/>
      <x:c r="Z22" s="461" t="n"/>
    </x:row>
    <x:row r="23" s="455" customFormat="1" ht="12.75" customHeight="1">
      <x:c r="A23" s="461" t="n"/>
      <x:c r="B23" s="461" t="n"/>
      <x:c r="C23" s="461" t="n"/>
      <x:c r="D23" s="461" t="n"/>
      <x:c r="E23" s="461" t="n"/>
      <x:c r="F23" s="461" t="n"/>
      <x:c r="G23" s="461" t="n"/>
      <x:c r="H23" s="461" t="n"/>
      <x:c r="I23" s="461" t="n"/>
      <x:c r="J23" s="461" t="n"/>
      <x:c r="K23" s="461" t="n"/>
      <x:c r="L23" s="461" t="n"/>
      <x:c r="M23" s="461" t="n"/>
      <x:c r="N23" s="461" t="n"/>
      <x:c r="O23" s="461" t="n"/>
      <x:c r="P23" s="461" t="n"/>
      <x:c r="Q23" s="461" t="n"/>
      <x:c r="R23" s="461" t="n"/>
      <x:c r="S23" s="461" t="n"/>
      <x:c r="T23" s="461" t="n"/>
      <x:c r="U23" s="461" t="n"/>
      <x:c r="V23" s="461" t="n"/>
      <x:c r="W23" s="461" t="n"/>
      <x:c r="X23" s="461" t="n"/>
      <x:c r="Y23" s="461" t="n"/>
      <x:c r="Z23" s="461" t="n"/>
    </x:row>
    <x:row r="24" s="455" customFormat="1" ht="12.75" customHeight="1">
      <x:c r="A24" s="461" t="n"/>
      <x:c r="B24" s="461" t="n"/>
      <x:c r="C24" s="461" t="n"/>
      <x:c r="D24" s="461" t="n"/>
      <x:c r="E24" s="461" t="n"/>
      <x:c r="F24" s="461" t="n"/>
      <x:c r="G24" s="461" t="n"/>
      <x:c r="H24" s="461" t="n"/>
      <x:c r="I24" s="461" t="n"/>
      <x:c r="J24" s="461" t="n"/>
      <x:c r="K24" s="461" t="n"/>
      <x:c r="L24" s="461" t="n"/>
      <x:c r="M24" s="461" t="n"/>
      <x:c r="N24" s="461" t="n"/>
      <x:c r="O24" s="461" t="n"/>
      <x:c r="P24" s="461" t="n"/>
      <x:c r="Q24" s="461" t="n"/>
      <x:c r="R24" s="461" t="n"/>
      <x:c r="S24" s="461" t="n"/>
      <x:c r="T24" s="461" t="n"/>
      <x:c r="U24" s="461" t="n"/>
      <x:c r="V24" s="461" t="n"/>
      <x:c r="W24" s="461" t="n"/>
      <x:c r="X24" s="461" t="n"/>
      <x:c r="Y24" s="461" t="n"/>
      <x:c r="Z24" s="461" t="n"/>
    </x:row>
    <x:row r="25" s="455" customFormat="1" ht="12.75" customHeight="1">
      <x:c r="A25" s="461" t="n"/>
      <x:c r="B25" s="461" t="n"/>
      <x:c r="C25" s="461" t="n"/>
      <x:c r="D25" s="461" t="n"/>
      <x:c r="E25" s="461" t="n"/>
      <x:c r="F25" s="461" t="n"/>
      <x:c r="G25" s="461" t="n"/>
      <x:c r="H25" s="461" t="n"/>
      <x:c r="I25" s="461" t="n"/>
      <x:c r="J25" s="461" t="n"/>
      <x:c r="K25" s="461" t="n"/>
      <x:c r="L25" s="461" t="n"/>
      <x:c r="M25" s="461" t="n"/>
      <x:c r="N25" s="461" t="n"/>
      <x:c r="O25" s="461" t="n"/>
      <x:c r="P25" s="461" t="n"/>
      <x:c r="Q25" s="461" t="n"/>
      <x:c r="R25" s="461" t="n"/>
      <x:c r="S25" s="461" t="n"/>
      <x:c r="T25" s="461" t="n"/>
      <x:c r="U25" s="461" t="n"/>
      <x:c r="V25" s="461" t="n"/>
      <x:c r="W25" s="461" t="n"/>
      <x:c r="X25" s="461" t="n"/>
      <x:c r="Y25" s="461" t="n"/>
      <x:c r="Z25" s="461" t="n"/>
    </x:row>
    <x:row r="26" s="455" customFormat="1" ht="12.75" customHeight="1">
      <x:c r="A26" s="461" t="n"/>
      <x:c r="B26" s="461" t="n"/>
      <x:c r="C26" s="461" t="n"/>
      <x:c r="D26" s="461" t="n"/>
      <x:c r="E26" s="461" t="n"/>
      <x:c r="F26" s="461" t="n"/>
      <x:c r="G26" s="461" t="n"/>
      <x:c r="H26" s="461" t="n"/>
      <x:c r="I26" s="461" t="n"/>
      <x:c r="J26" s="461" t="n"/>
      <x:c r="K26" s="461" t="n"/>
      <x:c r="L26" s="461" t="n"/>
      <x:c r="M26" s="461" t="n"/>
      <x:c r="N26" s="461" t="n"/>
      <x:c r="O26" s="461" t="n"/>
      <x:c r="P26" s="461" t="n"/>
      <x:c r="Q26" s="461" t="n"/>
      <x:c r="R26" s="461" t="n"/>
      <x:c r="S26" s="461" t="n"/>
      <x:c r="T26" s="461" t="n"/>
      <x:c r="U26" s="461" t="n"/>
      <x:c r="V26" s="461" t="n"/>
      <x:c r="W26" s="461" t="n"/>
      <x:c r="X26" s="461" t="n"/>
      <x:c r="Y26" s="461" t="n"/>
      <x:c r="Z26" s="461" t="n"/>
    </x:row>
    <x:row r="27" s="455" customFormat="1" ht="12.75" customHeight="1">
      <x:c r="A27" s="461" t="n"/>
      <x:c r="B27" s="461" t="n"/>
      <x:c r="C27" s="461" t="n"/>
      <x:c r="D27" s="461" t="n"/>
      <x:c r="E27" s="461" t="n"/>
      <x:c r="F27" s="461" t="n"/>
      <x:c r="G27" s="461" t="n"/>
      <x:c r="H27" s="461" t="n"/>
      <x:c r="I27" s="461" t="n"/>
      <x:c r="J27" s="461" t="n"/>
      <x:c r="K27" s="461" t="n"/>
      <x:c r="L27" s="461" t="n"/>
      <x:c r="M27" s="461" t="n"/>
      <x:c r="N27" s="461" t="n"/>
      <x:c r="O27" s="461" t="n"/>
      <x:c r="P27" s="461" t="n"/>
      <x:c r="Q27" s="461" t="n"/>
      <x:c r="R27" s="461" t="n"/>
      <x:c r="S27" s="461" t="n"/>
      <x:c r="T27" s="461" t="n"/>
      <x:c r="U27" s="461" t="n"/>
      <x:c r="V27" s="461" t="n"/>
      <x:c r="W27" s="461" t="n"/>
      <x:c r="X27" s="461" t="n"/>
      <x:c r="Y27" s="461" t="n"/>
      <x:c r="Z27" s="461" t="n"/>
    </x:row>
    <x:row r="28" s="455" customFormat="1" ht="12.75" customHeight="1">
      <x:c r="A28" s="461" t="n"/>
      <x:c r="B28" s="461" t="n"/>
      <x:c r="C28" s="461" t="n"/>
      <x:c r="D28" s="461" t="n"/>
      <x:c r="E28" s="461" t="n"/>
      <x:c r="F28" s="461" t="n"/>
      <x:c r="G28" s="461" t="n"/>
      <x:c r="H28" s="461" t="n"/>
      <x:c r="I28" s="461" t="n"/>
      <x:c r="J28" s="461" t="n"/>
      <x:c r="K28" s="461" t="n"/>
      <x:c r="L28" s="461" t="n"/>
      <x:c r="M28" s="461" t="n"/>
      <x:c r="N28" s="461" t="n"/>
      <x:c r="O28" s="461" t="n"/>
      <x:c r="P28" s="461" t="n"/>
      <x:c r="Q28" s="461" t="n"/>
      <x:c r="R28" s="461" t="n"/>
      <x:c r="S28" s="461" t="n"/>
      <x:c r="T28" s="461" t="n"/>
      <x:c r="U28" s="461" t="n"/>
      <x:c r="V28" s="461" t="n"/>
      <x:c r="W28" s="461" t="n"/>
      <x:c r="X28" s="461" t="n"/>
      <x:c r="Y28" s="461" t="n"/>
      <x:c r="Z28" s="461" t="n"/>
    </x:row>
    <x:row r="29" s="455" customFormat="1" ht="12.75" customHeight="1">
      <x:c r="A29" s="461" t="n"/>
      <x:c r="B29" s="461" t="n"/>
      <x:c r="C29" s="461" t="n"/>
      <x:c r="D29" s="461" t="n"/>
      <x:c r="E29" s="461" t="n"/>
      <x:c r="F29" s="461" t="n"/>
      <x:c r="G29" s="461" t="n"/>
      <x:c r="H29" s="461" t="n"/>
      <x:c r="I29" s="461" t="n"/>
      <x:c r="J29" s="461" t="n"/>
      <x:c r="K29" s="461" t="n"/>
      <x:c r="L29" s="461" t="n"/>
      <x:c r="M29" s="461" t="n"/>
      <x:c r="N29" s="461" t="n"/>
      <x:c r="O29" s="461" t="n"/>
      <x:c r="P29" s="461" t="n"/>
      <x:c r="Q29" s="461" t="n"/>
      <x:c r="R29" s="461" t="n"/>
      <x:c r="S29" s="461" t="n"/>
      <x:c r="T29" s="461" t="n"/>
      <x:c r="U29" s="461" t="n"/>
      <x:c r="V29" s="461" t="n"/>
      <x:c r="W29" s="461" t="n"/>
      <x:c r="X29" s="461" t="n"/>
      <x:c r="Y29" s="461" t="n"/>
      <x:c r="Z29" s="461" t="n"/>
    </x:row>
    <x:row r="30" s="455" customFormat="1" ht="12.75" customHeight="1">
      <x:c r="A30" s="461" t="n"/>
      <x:c r="B30" s="461" t="n"/>
      <x:c r="C30" s="461" t="n"/>
      <x:c r="D30" s="461" t="n"/>
      <x:c r="E30" s="461" t="n"/>
      <x:c r="F30" s="461" t="n"/>
      <x:c r="G30" s="461" t="n"/>
      <x:c r="H30" s="461" t="n"/>
      <x:c r="I30" s="461" t="n"/>
      <x:c r="J30" s="461" t="n"/>
      <x:c r="K30" s="461" t="n"/>
      <x:c r="L30" s="461" t="n"/>
      <x:c r="M30" s="461" t="n"/>
      <x:c r="N30" s="461" t="n"/>
      <x:c r="O30" s="461" t="n"/>
      <x:c r="P30" s="461" t="n"/>
      <x:c r="Q30" s="461" t="n"/>
      <x:c r="R30" s="461" t="n"/>
      <x:c r="S30" s="461" t="n"/>
      <x:c r="T30" s="461" t="n"/>
      <x:c r="U30" s="461" t="n"/>
      <x:c r="V30" s="461" t="n"/>
      <x:c r="W30" s="461" t="n"/>
      <x:c r="X30" s="461" t="n"/>
      <x:c r="Y30" s="461" t="n"/>
      <x:c r="Z30" s="461" t="n"/>
    </x:row>
    <x:row r="31" s="455" customFormat="1" ht="12.75" customHeight="1">
      <x:c r="A31" s="461" t="n"/>
      <x:c r="B31" s="461" t="n"/>
      <x:c r="C31" s="461" t="n"/>
      <x:c r="D31" s="461" t="n"/>
      <x:c r="E31" s="461" t="n"/>
      <x:c r="F31" s="461" t="n"/>
      <x:c r="G31" s="461" t="n"/>
      <x:c r="H31" s="461" t="n"/>
      <x:c r="I31" s="461" t="n"/>
      <x:c r="J31" s="461" t="n"/>
      <x:c r="K31" s="461" t="n"/>
      <x:c r="L31" s="461" t="n"/>
      <x:c r="M31" s="461" t="n"/>
      <x:c r="N31" s="461" t="n"/>
      <x:c r="O31" s="461" t="n"/>
      <x:c r="P31" s="461" t="n"/>
      <x:c r="Q31" s="461" t="n"/>
      <x:c r="R31" s="461" t="n"/>
      <x:c r="S31" s="461" t="n"/>
      <x:c r="T31" s="461" t="n"/>
      <x:c r="U31" s="461" t="n"/>
      <x:c r="V31" s="461" t="n"/>
      <x:c r="W31" s="461" t="n"/>
      <x:c r="X31" s="461" t="n"/>
      <x:c r="Y31" s="461" t="n"/>
      <x:c r="Z31" s="461" t="n"/>
    </x:row>
    <x:row r="32" s="455" customFormat="1" ht="12.75" customHeight="1">
      <x:c r="A32" s="461" t="n"/>
      <x:c r="B32" s="461" t="n"/>
      <x:c r="C32" s="461" t="n"/>
      <x:c r="D32" s="461" t="n"/>
      <x:c r="E32" s="461" t="n"/>
      <x:c r="F32" s="461" t="n"/>
      <x:c r="G32" s="461" t="n"/>
      <x:c r="H32" s="461" t="n"/>
      <x:c r="I32" s="461" t="n"/>
      <x:c r="J32" s="461" t="n"/>
      <x:c r="K32" s="461" t="n"/>
      <x:c r="L32" s="461" t="n"/>
      <x:c r="M32" s="461" t="n"/>
      <x:c r="N32" s="461" t="n"/>
      <x:c r="O32" s="461" t="n"/>
      <x:c r="P32" s="461" t="n"/>
      <x:c r="Q32" s="461" t="n"/>
      <x:c r="R32" s="461" t="n"/>
      <x:c r="S32" s="461" t="n"/>
      <x:c r="T32" s="461" t="n"/>
      <x:c r="U32" s="461" t="n"/>
      <x:c r="V32" s="461" t="n"/>
      <x:c r="W32" s="461" t="n"/>
      <x:c r="X32" s="461" t="n"/>
      <x:c r="Y32" s="461" t="n"/>
      <x:c r="Z32" s="461" t="n"/>
    </x:row>
    <x:row r="33" s="455" customFormat="1" ht="12.75" customHeight="1">
      <x:c r="A33" s="461" t="n"/>
      <x:c r="B33" s="461" t="n"/>
      <x:c r="C33" s="461" t="n"/>
      <x:c r="D33" s="461" t="n"/>
      <x:c r="E33" s="461" t="n"/>
      <x:c r="F33" s="461" t="n"/>
      <x:c r="G33" s="461" t="n"/>
      <x:c r="H33" s="461" t="n"/>
      <x:c r="I33" s="461" t="n"/>
      <x:c r="J33" s="461" t="n"/>
      <x:c r="K33" s="461" t="n"/>
      <x:c r="L33" s="461" t="n"/>
      <x:c r="M33" s="461" t="n"/>
      <x:c r="N33" s="461" t="n"/>
      <x:c r="O33" s="461" t="n"/>
      <x:c r="P33" s="461" t="n"/>
      <x:c r="Q33" s="461" t="n"/>
      <x:c r="R33" s="461" t="n"/>
      <x:c r="S33" s="461" t="n"/>
      <x:c r="T33" s="461" t="n"/>
      <x:c r="U33" s="461" t="n"/>
      <x:c r="V33" s="461" t="n"/>
      <x:c r="W33" s="461" t="n"/>
      <x:c r="X33" s="461" t="n"/>
      <x:c r="Y33" s="461" t="n"/>
      <x:c r="Z33" s="461" t="n"/>
    </x:row>
    <x:row r="34" s="455" customFormat="1" ht="12.75" customHeight="1">
      <x:c r="A34" s="461" t="n"/>
      <x:c r="B34" s="461" t="n"/>
      <x:c r="C34" s="461" t="n"/>
      <x:c r="D34" s="461" t="n"/>
      <x:c r="E34" s="461" t="n"/>
      <x:c r="F34" s="461" t="n"/>
      <x:c r="G34" s="461" t="n"/>
      <x:c r="H34" s="461" t="n"/>
      <x:c r="I34" s="461" t="n"/>
      <x:c r="J34" s="461" t="n"/>
      <x:c r="K34" s="461" t="n"/>
      <x:c r="L34" s="461" t="n"/>
      <x:c r="M34" s="461" t="n"/>
      <x:c r="N34" s="461" t="n"/>
      <x:c r="O34" s="461" t="n"/>
      <x:c r="P34" s="461" t="n"/>
      <x:c r="Q34" s="461" t="n"/>
      <x:c r="R34" s="461" t="n"/>
      <x:c r="S34" s="461" t="n"/>
      <x:c r="T34" s="461" t="n"/>
      <x:c r="U34" s="461" t="n"/>
      <x:c r="V34" s="461" t="n"/>
      <x:c r="W34" s="461" t="n"/>
      <x:c r="X34" s="461" t="n"/>
      <x:c r="Y34" s="461" t="n"/>
      <x:c r="Z34" s="461" t="n"/>
    </x:row>
    <x:row r="35" s="455" customFormat="1" ht="12.75" customHeight="1">
      <x:c r="A35" s="461" t="n"/>
      <x:c r="B35" s="461" t="n"/>
      <x:c r="C35" s="461" t="n"/>
      <x:c r="D35" s="461" t="n"/>
      <x:c r="E35" s="461" t="n"/>
      <x:c r="F35" s="461" t="n"/>
      <x:c r="G35" s="461" t="n"/>
      <x:c r="H35" s="461" t="n"/>
      <x:c r="I35" s="461" t="n"/>
      <x:c r="J35" s="461" t="n"/>
      <x:c r="K35" s="461" t="n"/>
      <x:c r="L35" s="461" t="n"/>
      <x:c r="M35" s="461" t="n"/>
      <x:c r="N35" s="461" t="n"/>
      <x:c r="O35" s="461" t="n"/>
      <x:c r="P35" s="461" t="n"/>
      <x:c r="Q35" s="461" t="n"/>
      <x:c r="R35" s="461" t="n"/>
      <x:c r="S35" s="461" t="n"/>
      <x:c r="T35" s="461" t="n"/>
      <x:c r="U35" s="461" t="n"/>
      <x:c r="V35" s="461" t="n"/>
      <x:c r="W35" s="461" t="n"/>
      <x:c r="X35" s="461" t="n"/>
      <x:c r="Y35" s="461" t="n"/>
      <x:c r="Z35" s="461" t="n"/>
    </x:row>
    <x:row r="36" s="455" customFormat="1" ht="12.75" customHeight="1">
      <x:c r="A36" s="461" t="n"/>
      <x:c r="B36" s="461" t="n"/>
      <x:c r="C36" s="461" t="n"/>
      <x:c r="D36" s="461" t="n"/>
      <x:c r="E36" s="461" t="n"/>
      <x:c r="F36" s="461" t="n"/>
      <x:c r="G36" s="461" t="n"/>
      <x:c r="H36" s="461" t="n"/>
      <x:c r="I36" s="461" t="n"/>
      <x:c r="J36" s="461" t="n"/>
      <x:c r="K36" s="461" t="n"/>
      <x:c r="L36" s="461" t="n"/>
      <x:c r="M36" s="461" t="n"/>
      <x:c r="N36" s="461" t="n"/>
      <x:c r="O36" s="461" t="n"/>
      <x:c r="P36" s="461" t="n"/>
      <x:c r="Q36" s="461" t="n"/>
      <x:c r="R36" s="461" t="n"/>
      <x:c r="S36" s="461" t="n"/>
      <x:c r="T36" s="461" t="n"/>
      <x:c r="U36" s="461" t="n"/>
      <x:c r="V36" s="461" t="n"/>
      <x:c r="W36" s="461" t="n"/>
      <x:c r="X36" s="461" t="n"/>
      <x:c r="Y36" s="461" t="n"/>
      <x:c r="Z36" s="461" t="n"/>
    </x:row>
    <x:row r="37" s="455" customFormat="1" ht="12.75" customHeight="1">
      <x:c r="A37" s="461" t="n"/>
      <x:c r="B37" s="461" t="n"/>
      <x:c r="C37" s="461" t="n"/>
      <x:c r="D37" s="461" t="n"/>
      <x:c r="E37" s="461" t="n"/>
      <x:c r="F37" s="461" t="n"/>
      <x:c r="G37" s="461" t="n"/>
      <x:c r="H37" s="461" t="n"/>
      <x:c r="I37" s="461" t="n"/>
      <x:c r="J37" s="461" t="n"/>
      <x:c r="K37" s="461" t="n"/>
      <x:c r="L37" s="461" t="n"/>
      <x:c r="M37" s="461" t="n"/>
      <x:c r="N37" s="461" t="n"/>
      <x:c r="O37" s="461" t="n"/>
      <x:c r="P37" s="461" t="n"/>
      <x:c r="Q37" s="461" t="n"/>
      <x:c r="R37" s="461" t="n"/>
      <x:c r="S37" s="461" t="n"/>
      <x:c r="T37" s="461" t="n"/>
      <x:c r="U37" s="461" t="n"/>
      <x:c r="V37" s="461" t="n"/>
      <x:c r="W37" s="461" t="n"/>
      <x:c r="X37" s="461" t="n"/>
      <x:c r="Y37" s="461" t="n"/>
      <x:c r="Z37" s="461" t="n"/>
    </x:row>
    <x:row r="38" s="455" customFormat="1" ht="12.75" customHeight="1">
      <x:c r="A38" s="461" t="n"/>
      <x:c r="B38" s="461" t="n"/>
      <x:c r="C38" s="461" t="n"/>
      <x:c r="D38" s="461" t="n"/>
      <x:c r="E38" s="461" t="n"/>
      <x:c r="F38" s="461" t="n"/>
      <x:c r="G38" s="461" t="n"/>
      <x:c r="H38" s="461" t="n"/>
      <x:c r="I38" s="461" t="n"/>
      <x:c r="J38" s="461" t="n"/>
      <x:c r="K38" s="461" t="n"/>
      <x:c r="L38" s="461" t="n"/>
      <x:c r="M38" s="461" t="n"/>
      <x:c r="N38" s="461" t="n"/>
      <x:c r="O38" s="461" t="n"/>
      <x:c r="P38" s="461" t="n"/>
      <x:c r="Q38" s="461" t="n"/>
      <x:c r="R38" s="461" t="n"/>
      <x:c r="S38" s="461" t="n"/>
      <x:c r="T38" s="461" t="n"/>
      <x:c r="U38" s="461" t="n"/>
      <x:c r="V38" s="461" t="n"/>
      <x:c r="W38" s="461" t="n"/>
      <x:c r="X38" s="461" t="n"/>
      <x:c r="Y38" s="461" t="n"/>
      <x:c r="Z38" s="461" t="n"/>
    </x:row>
    <x:row r="39" s="455" customFormat="1" ht="12.75" customHeight="1">
      <x:c r="A39" s="461" t="n"/>
      <x:c r="B39" s="461" t="n"/>
      <x:c r="C39" s="461" t="n"/>
      <x:c r="D39" s="461" t="n"/>
      <x:c r="E39" s="461" t="n"/>
      <x:c r="F39" s="461" t="n"/>
      <x:c r="G39" s="461" t="n"/>
      <x:c r="H39" s="461" t="n"/>
      <x:c r="I39" s="461" t="n"/>
      <x:c r="J39" s="461" t="n"/>
      <x:c r="K39" s="461" t="n"/>
      <x:c r="L39" s="461" t="n"/>
      <x:c r="M39" s="461" t="n"/>
      <x:c r="N39" s="461" t="n"/>
      <x:c r="O39" s="461" t="n"/>
      <x:c r="P39" s="461" t="n"/>
      <x:c r="Q39" s="461" t="n"/>
      <x:c r="R39" s="461" t="n"/>
      <x:c r="S39" s="461" t="n"/>
      <x:c r="T39" s="461" t="n"/>
      <x:c r="U39" s="461" t="n"/>
      <x:c r="V39" s="461" t="n"/>
      <x:c r="W39" s="461" t="n"/>
      <x:c r="X39" s="461" t="n"/>
      <x:c r="Y39" s="461" t="n"/>
      <x:c r="Z39" s="461" t="n"/>
    </x:row>
    <x:row r="40" s="455" customFormat="1" ht="12.75" customHeight="1">
      <x:c r="A40" s="461" t="n"/>
      <x:c r="B40" s="461" t="n"/>
      <x:c r="C40" s="461" t="n"/>
      <x:c r="D40" s="461" t="n"/>
      <x:c r="E40" s="461" t="n"/>
      <x:c r="F40" s="461" t="n"/>
      <x:c r="G40" s="461" t="n"/>
      <x:c r="H40" s="461" t="n"/>
      <x:c r="I40" s="461" t="n"/>
      <x:c r="J40" s="461" t="n"/>
      <x:c r="K40" s="461" t="n"/>
      <x:c r="L40" s="461" t="n"/>
      <x:c r="M40" s="461" t="n"/>
      <x:c r="N40" s="461" t="n"/>
      <x:c r="O40" s="461" t="n"/>
      <x:c r="P40" s="461" t="n"/>
      <x:c r="Q40" s="461" t="n"/>
      <x:c r="R40" s="461" t="n"/>
      <x:c r="S40" s="461" t="n"/>
      <x:c r="T40" s="461" t="n"/>
      <x:c r="U40" s="461" t="n"/>
      <x:c r="V40" s="461" t="n"/>
      <x:c r="W40" s="461" t="n"/>
      <x:c r="X40" s="461" t="n"/>
      <x:c r="Y40" s="461" t="n"/>
      <x:c r="Z40" s="461" t="n"/>
    </x:row>
    <x:row r="41" s="455" customFormat="1" ht="12.75" customHeight="1">
      <x:c r="A41" s="461" t="n"/>
      <x:c r="B41" s="461" t="n"/>
      <x:c r="C41" s="461" t="n"/>
      <x:c r="D41" s="461" t="n"/>
      <x:c r="E41" s="461" t="n"/>
      <x:c r="F41" s="461" t="n"/>
      <x:c r="G41" s="461" t="n"/>
      <x:c r="H41" s="461" t="n"/>
      <x:c r="I41" s="461" t="n"/>
      <x:c r="J41" s="461" t="n"/>
      <x:c r="K41" s="461" t="n"/>
      <x:c r="L41" s="461" t="n"/>
      <x:c r="M41" s="461" t="n"/>
      <x:c r="N41" s="461" t="n"/>
      <x:c r="O41" s="461" t="n"/>
      <x:c r="P41" s="461" t="n"/>
      <x:c r="Q41" s="461" t="n"/>
      <x:c r="R41" s="461" t="n"/>
      <x:c r="S41" s="461" t="n"/>
      <x:c r="T41" s="461" t="n"/>
      <x:c r="U41" s="461" t="n"/>
      <x:c r="V41" s="461" t="n"/>
      <x:c r="W41" s="461" t="n"/>
      <x:c r="X41" s="461" t="n"/>
      <x:c r="Y41" s="461" t="n"/>
      <x:c r="Z41" s="461" t="n"/>
    </x:row>
    <x:row r="42" s="455" customFormat="1" ht="12.75" customHeight="1">
      <x:c r="A42" s="461" t="n"/>
      <x:c r="B42" s="461" t="n"/>
      <x:c r="C42" s="461" t="n"/>
      <x:c r="D42" s="461" t="n"/>
      <x:c r="E42" s="461" t="n"/>
      <x:c r="F42" s="461" t="n"/>
      <x:c r="G42" s="461" t="n"/>
      <x:c r="H42" s="461" t="n"/>
      <x:c r="I42" s="461" t="n"/>
      <x:c r="J42" s="461" t="n"/>
      <x:c r="K42" s="461" t="n"/>
      <x:c r="L42" s="461" t="n"/>
      <x:c r="M42" s="461" t="n"/>
      <x:c r="N42" s="461" t="n"/>
      <x:c r="O42" s="461" t="n"/>
      <x:c r="P42" s="461" t="n"/>
      <x:c r="Q42" s="461" t="n"/>
      <x:c r="R42" s="461" t="n"/>
      <x:c r="S42" s="461" t="n"/>
      <x:c r="T42" s="461" t="n"/>
      <x:c r="U42" s="461" t="n"/>
      <x:c r="V42" s="461" t="n"/>
      <x:c r="W42" s="461" t="n"/>
      <x:c r="X42" s="461" t="n"/>
      <x:c r="Y42" s="461" t="n"/>
      <x:c r="Z42" s="461" t="n"/>
    </x:row>
    <x:row r="43" s="455" customFormat="1" ht="12.75" customHeight="1">
      <x:c r="A43" s="461" t="n"/>
      <x:c r="B43" s="461" t="n"/>
      <x:c r="C43" s="461" t="n"/>
      <x:c r="D43" s="461" t="n"/>
      <x:c r="E43" s="461" t="n"/>
      <x:c r="F43" s="461" t="n"/>
      <x:c r="G43" s="461" t="n"/>
      <x:c r="H43" s="461" t="n"/>
      <x:c r="I43" s="461" t="n"/>
      <x:c r="J43" s="461" t="n"/>
      <x:c r="K43" s="461" t="n"/>
      <x:c r="L43" s="461" t="n"/>
      <x:c r="M43" s="461" t="n"/>
      <x:c r="N43" s="461" t="n"/>
      <x:c r="O43" s="461" t="n"/>
      <x:c r="P43" s="461" t="n"/>
      <x:c r="Q43" s="461" t="n"/>
      <x:c r="R43" s="461" t="n"/>
      <x:c r="S43" s="461" t="n"/>
      <x:c r="T43" s="461" t="n"/>
      <x:c r="U43" s="461" t="n"/>
      <x:c r="V43" s="461" t="n"/>
      <x:c r="W43" s="461" t="n"/>
      <x:c r="X43" s="461" t="n"/>
      <x:c r="Y43" s="461" t="n"/>
      <x:c r="Z43" s="461" t="n"/>
    </x:row>
    <x:row r="44" s="455" customFormat="1" ht="12.75" customHeight="1">
      <x:c r="A44" s="461" t="n"/>
      <x:c r="B44" s="461" t="n"/>
      <x:c r="C44" s="461" t="n"/>
      <x:c r="D44" s="461" t="n"/>
      <x:c r="E44" s="461" t="n"/>
      <x:c r="F44" s="461" t="n"/>
      <x:c r="G44" s="461" t="n"/>
      <x:c r="H44" s="461" t="n"/>
      <x:c r="I44" s="461" t="n"/>
      <x:c r="J44" s="461" t="n"/>
      <x:c r="K44" s="461" t="n"/>
      <x:c r="L44" s="461" t="n"/>
      <x:c r="M44" s="461" t="n"/>
      <x:c r="N44" s="461" t="n"/>
      <x:c r="O44" s="461" t="n"/>
      <x:c r="P44" s="461" t="n"/>
      <x:c r="Q44" s="461" t="n"/>
      <x:c r="R44" s="461" t="n"/>
      <x:c r="S44" s="461" t="n"/>
      <x:c r="T44" s="461" t="n"/>
      <x:c r="U44" s="461" t="n"/>
      <x:c r="V44" s="461" t="n"/>
      <x:c r="W44" s="461" t="n"/>
      <x:c r="X44" s="461" t="n"/>
      <x:c r="Y44" s="461" t="n"/>
      <x:c r="Z44" s="461" t="n"/>
    </x:row>
    <x:row r="45" s="455" customFormat="1" ht="12.75" customHeight="1">
      <x:c r="A45" s="461" t="n"/>
      <x:c r="B45" s="461" t="n"/>
      <x:c r="C45" s="461" t="n"/>
      <x:c r="D45" s="461" t="n"/>
      <x:c r="E45" s="461" t="n"/>
      <x:c r="F45" s="461" t="n"/>
      <x:c r="G45" s="461" t="n"/>
      <x:c r="H45" s="461" t="n"/>
      <x:c r="I45" s="461" t="n"/>
      <x:c r="J45" s="461" t="n"/>
      <x:c r="K45" s="461" t="n"/>
      <x:c r="L45" s="461" t="n"/>
      <x:c r="M45" s="461" t="n"/>
      <x:c r="N45" s="461" t="n"/>
      <x:c r="O45" s="461" t="n"/>
      <x:c r="P45" s="461" t="n"/>
      <x:c r="Q45" s="461" t="n"/>
      <x:c r="R45" s="461" t="n"/>
      <x:c r="S45" s="461" t="n"/>
      <x:c r="T45" s="461" t="n"/>
      <x:c r="U45" s="461" t="n"/>
      <x:c r="V45" s="461" t="n"/>
      <x:c r="W45" s="461" t="n"/>
      <x:c r="X45" s="461" t="n"/>
      <x:c r="Y45" s="461" t="n"/>
      <x:c r="Z45" s="461" t="n"/>
    </x:row>
    <x:row r="46" s="455" customFormat="1" ht="12.75" customHeight="1">
      <x:c r="A46" s="461" t="n"/>
      <x:c r="B46" s="461" t="n"/>
      <x:c r="C46" s="461" t="n"/>
      <x:c r="D46" s="461" t="n"/>
      <x:c r="E46" s="461" t="n"/>
      <x:c r="F46" s="461" t="n"/>
      <x:c r="G46" s="461" t="n"/>
      <x:c r="H46" s="461" t="n"/>
      <x:c r="I46" s="461" t="n"/>
      <x:c r="J46" s="461" t="n"/>
      <x:c r="K46" s="461" t="n"/>
      <x:c r="L46" s="461" t="n"/>
      <x:c r="M46" s="461" t="n"/>
      <x:c r="N46" s="461" t="n"/>
      <x:c r="O46" s="461" t="n"/>
      <x:c r="P46" s="461" t="n"/>
      <x:c r="Q46" s="461" t="n"/>
      <x:c r="R46" s="461" t="n"/>
      <x:c r="S46" s="461" t="n"/>
      <x:c r="T46" s="461" t="n"/>
      <x:c r="U46" s="461" t="n"/>
      <x:c r="V46" s="461" t="n"/>
      <x:c r="W46" s="461" t="n"/>
      <x:c r="X46" s="461" t="n"/>
      <x:c r="Y46" s="461" t="n"/>
      <x:c r="Z46" s="461" t="n"/>
    </x:row>
    <x:row r="47" s="455" customFormat="1" ht="12.75" customHeight="1">
      <x:c r="A47" s="461" t="n"/>
      <x:c r="B47" s="461" t="n"/>
      <x:c r="C47" s="461" t="n"/>
      <x:c r="D47" s="461" t="n"/>
      <x:c r="E47" s="461" t="n"/>
      <x:c r="F47" s="461" t="n"/>
      <x:c r="G47" s="461" t="n"/>
      <x:c r="H47" s="461" t="n"/>
      <x:c r="I47" s="461" t="n"/>
      <x:c r="J47" s="461" t="n"/>
      <x:c r="K47" s="461" t="n"/>
      <x:c r="L47" s="461" t="n"/>
      <x:c r="M47" s="461" t="n"/>
      <x:c r="N47" s="461" t="n"/>
      <x:c r="O47" s="461" t="n"/>
      <x:c r="P47" s="461" t="n"/>
      <x:c r="Q47" s="461" t="n"/>
      <x:c r="R47" s="461" t="n"/>
      <x:c r="S47" s="461" t="n"/>
      <x:c r="T47" s="461" t="n"/>
      <x:c r="U47" s="461" t="n"/>
      <x:c r="V47" s="461" t="n"/>
      <x:c r="W47" s="461" t="n"/>
      <x:c r="X47" s="461" t="n"/>
      <x:c r="Y47" s="461" t="n"/>
      <x:c r="Z47" s="461" t="n"/>
    </x:row>
    <x:row r="48" s="455" customFormat="1" ht="12.75" customHeight="1">
      <x:c r="A48" s="461" t="n"/>
      <x:c r="B48" s="461" t="n"/>
      <x:c r="C48" s="461" t="n"/>
      <x:c r="D48" s="461" t="n"/>
      <x:c r="E48" s="461" t="n"/>
      <x:c r="F48" s="461" t="n"/>
      <x:c r="G48" s="461" t="n"/>
      <x:c r="H48" s="461" t="n"/>
      <x:c r="I48" s="461" t="n"/>
      <x:c r="J48" s="461" t="n"/>
      <x:c r="K48" s="461" t="n"/>
      <x:c r="L48" s="461" t="n"/>
      <x:c r="M48" s="461" t="n"/>
      <x:c r="N48" s="461" t="n"/>
      <x:c r="O48" s="461" t="n"/>
      <x:c r="P48" s="461" t="n"/>
      <x:c r="Q48" s="461" t="n"/>
      <x:c r="R48" s="461" t="n"/>
      <x:c r="S48" s="461" t="n"/>
      <x:c r="T48" s="461" t="n"/>
      <x:c r="U48" s="461" t="n"/>
      <x:c r="V48" s="461" t="n"/>
      <x:c r="W48" s="461" t="n"/>
      <x:c r="X48" s="461" t="n"/>
      <x:c r="Y48" s="461" t="n"/>
      <x:c r="Z48" s="461" t="n"/>
    </x:row>
    <x:row r="49" s="455" customFormat="1" ht="12.75" customHeight="1">
      <x:c r="A49" s="461" t="n"/>
      <x:c r="B49" s="461" t="n"/>
      <x:c r="C49" s="461" t="n"/>
      <x:c r="D49" s="461" t="n"/>
      <x:c r="E49" s="461" t="n"/>
      <x:c r="F49" s="461" t="n"/>
      <x:c r="G49" s="461" t="n"/>
      <x:c r="H49" s="461" t="n"/>
      <x:c r="I49" s="461" t="n"/>
      <x:c r="J49" s="461" t="n"/>
      <x:c r="K49" s="461" t="n"/>
      <x:c r="L49" s="461" t="n"/>
      <x:c r="M49" s="461" t="n"/>
      <x:c r="N49" s="461" t="n"/>
      <x:c r="O49" s="461" t="n"/>
      <x:c r="P49" s="461" t="n"/>
      <x:c r="Q49" s="461" t="n"/>
      <x:c r="R49" s="461" t="n"/>
      <x:c r="S49" s="461" t="n"/>
      <x:c r="T49" s="461" t="n"/>
      <x:c r="U49" s="461" t="n"/>
      <x:c r="V49" s="461" t="n"/>
      <x:c r="W49" s="461" t="n"/>
      <x:c r="X49" s="461" t="n"/>
      <x:c r="Y49" s="461" t="n"/>
      <x:c r="Z49" s="461" t="n"/>
    </x:row>
    <x:row r="50" s="455" customFormat="1" ht="12.75" customHeight="1">
      <x:c r="A50" s="461" t="n"/>
      <x:c r="B50" s="461" t="n"/>
      <x:c r="C50" s="461" t="n"/>
      <x:c r="D50" s="461" t="n"/>
      <x:c r="E50" s="461" t="n"/>
      <x:c r="F50" s="461" t="n"/>
      <x:c r="G50" s="461" t="n"/>
      <x:c r="H50" s="461" t="n"/>
      <x:c r="I50" s="461" t="n"/>
      <x:c r="J50" s="461" t="n"/>
      <x:c r="K50" s="461" t="n"/>
      <x:c r="L50" s="461" t="n"/>
      <x:c r="M50" s="461" t="n"/>
      <x:c r="N50" s="461" t="n"/>
      <x:c r="O50" s="461" t="n"/>
      <x:c r="P50" s="461" t="n"/>
      <x:c r="Q50" s="461" t="n"/>
      <x:c r="R50" s="461" t="n"/>
      <x:c r="S50" s="461" t="n"/>
      <x:c r="T50" s="461" t="n"/>
      <x:c r="U50" s="461" t="n"/>
      <x:c r="V50" s="461" t="n"/>
      <x:c r="W50" s="461" t="n"/>
      <x:c r="X50" s="461" t="n"/>
      <x:c r="Y50" s="461" t="n"/>
      <x:c r="Z50" s="461" t="n"/>
    </x:row>
    <x:row r="51" s="455" customFormat="1" ht="12.75" customHeight="1">
      <x:c r="A51" s="461" t="n"/>
      <x:c r="B51" s="461" t="n"/>
      <x:c r="C51" s="461" t="n"/>
      <x:c r="D51" s="461" t="n"/>
      <x:c r="E51" s="461" t="n"/>
      <x:c r="F51" s="461" t="n"/>
      <x:c r="G51" s="461" t="n"/>
      <x:c r="H51" s="461" t="n"/>
      <x:c r="I51" s="461" t="n"/>
      <x:c r="J51" s="461" t="n"/>
      <x:c r="K51" s="461" t="n"/>
      <x:c r="L51" s="461" t="n"/>
      <x:c r="M51" s="461" t="n"/>
      <x:c r="N51" s="461" t="n"/>
      <x:c r="O51" s="461" t="n"/>
      <x:c r="P51" s="461" t="n"/>
      <x:c r="Q51" s="461" t="n"/>
      <x:c r="R51" s="461" t="n"/>
      <x:c r="S51" s="461" t="n"/>
      <x:c r="T51" s="461" t="n"/>
      <x:c r="U51" s="461" t="n"/>
      <x:c r="V51" s="461" t="n"/>
      <x:c r="W51" s="461" t="n"/>
      <x:c r="X51" s="461" t="n"/>
      <x:c r="Y51" s="461" t="n"/>
      <x:c r="Z51" s="461" t="n"/>
    </x:row>
    <x:row r="52" s="455" customFormat="1" ht="12.75" customHeight="1">
      <x:c r="A52" s="461" t="n"/>
      <x:c r="B52" s="461" t="n"/>
      <x:c r="C52" s="461" t="n"/>
      <x:c r="D52" s="461" t="n"/>
      <x:c r="E52" s="461" t="n"/>
      <x:c r="F52" s="461" t="n"/>
      <x:c r="G52" s="461" t="n"/>
      <x:c r="H52" s="461" t="n"/>
      <x:c r="I52" s="461" t="n"/>
      <x:c r="J52" s="461" t="n"/>
      <x:c r="K52" s="461" t="n"/>
      <x:c r="L52" s="461" t="n"/>
      <x:c r="M52" s="461" t="n"/>
      <x:c r="N52" s="461" t="n"/>
      <x:c r="O52" s="461" t="n"/>
      <x:c r="P52" s="461" t="n"/>
      <x:c r="Q52" s="461" t="n"/>
      <x:c r="R52" s="461" t="n"/>
      <x:c r="S52" s="461" t="n"/>
      <x:c r="T52" s="461" t="n"/>
      <x:c r="U52" s="461" t="n"/>
      <x:c r="V52" s="461" t="n"/>
      <x:c r="W52" s="461" t="n"/>
      <x:c r="X52" s="461" t="n"/>
      <x:c r="Y52" s="461" t="n"/>
      <x:c r="Z52" s="461" t="n"/>
    </x:row>
    <x:row r="53" s="455" customFormat="1" ht="12.75" customHeight="1">
      <x:c r="A53" s="461" t="n"/>
      <x:c r="B53" s="461" t="n"/>
      <x:c r="C53" s="461" t="n"/>
      <x:c r="D53" s="461" t="n"/>
      <x:c r="E53" s="461" t="n"/>
      <x:c r="F53" s="461" t="n"/>
      <x:c r="G53" s="461" t="n"/>
      <x:c r="H53" s="461" t="n"/>
      <x:c r="I53" s="461" t="n"/>
      <x:c r="J53" s="461" t="n"/>
      <x:c r="K53" s="461" t="n"/>
      <x:c r="L53" s="461" t="n"/>
      <x:c r="M53" s="461" t="n"/>
      <x:c r="N53" s="461" t="n"/>
      <x:c r="O53" s="461" t="n"/>
      <x:c r="P53" s="461" t="n"/>
      <x:c r="Q53" s="461" t="n"/>
      <x:c r="R53" s="461" t="n"/>
      <x:c r="S53" s="461" t="n"/>
      <x:c r="T53" s="461" t="n"/>
      <x:c r="U53" s="461" t="n"/>
      <x:c r="V53" s="461" t="n"/>
      <x:c r="W53" s="461" t="n"/>
      <x:c r="X53" s="461" t="n"/>
      <x:c r="Y53" s="461" t="n"/>
      <x:c r="Z53" s="461" t="n"/>
    </x:row>
    <x:row r="54" s="455" customFormat="1" ht="12.75" customHeight="1">
      <x:c r="A54" s="461" t="n"/>
      <x:c r="B54" s="461" t="n"/>
      <x:c r="C54" s="461" t="n"/>
      <x:c r="D54" s="461" t="n"/>
      <x:c r="E54" s="461" t="n"/>
      <x:c r="F54" s="461" t="n"/>
      <x:c r="G54" s="461" t="n"/>
      <x:c r="H54" s="461" t="n"/>
      <x:c r="I54" s="461" t="n"/>
      <x:c r="J54" s="461" t="n"/>
      <x:c r="K54" s="461" t="n"/>
      <x:c r="L54" s="461" t="n"/>
      <x:c r="M54" s="461" t="n"/>
      <x:c r="N54" s="461" t="n"/>
      <x:c r="O54" s="461" t="n"/>
      <x:c r="P54" s="461" t="n"/>
      <x:c r="Q54" s="461" t="n"/>
      <x:c r="R54" s="461" t="n"/>
      <x:c r="S54" s="461" t="n"/>
      <x:c r="T54" s="461" t="n"/>
      <x:c r="U54" s="461" t="n"/>
      <x:c r="V54" s="461" t="n"/>
      <x:c r="W54" s="461" t="n"/>
      <x:c r="X54" s="461" t="n"/>
      <x:c r="Y54" s="461" t="n"/>
      <x:c r="Z54" s="461" t="n"/>
    </x:row>
    <x:row r="55" s="455" customFormat="1" ht="12.75" customHeight="1">
      <x:c r="A55" s="461" t="n"/>
      <x:c r="B55" s="461" t="n"/>
      <x:c r="C55" s="461" t="n"/>
      <x:c r="D55" s="461" t="n"/>
      <x:c r="E55" s="461" t="n"/>
      <x:c r="F55" s="461" t="n"/>
      <x:c r="G55" s="461" t="n"/>
      <x:c r="H55" s="461" t="n"/>
      <x:c r="I55" s="461" t="n"/>
      <x:c r="J55" s="461" t="n"/>
      <x:c r="K55" s="461" t="n"/>
      <x:c r="L55" s="461" t="n"/>
      <x:c r="M55" s="461" t="n"/>
      <x:c r="N55" s="461" t="n"/>
      <x:c r="O55" s="461" t="n"/>
      <x:c r="P55" s="461" t="n"/>
      <x:c r="Q55" s="461" t="n"/>
      <x:c r="R55" s="461" t="n"/>
      <x:c r="S55" s="461" t="n"/>
      <x:c r="T55" s="461" t="n"/>
      <x:c r="U55" s="461" t="n"/>
      <x:c r="V55" s="461" t="n"/>
      <x:c r="W55" s="461" t="n"/>
      <x:c r="X55" s="461" t="n"/>
      <x:c r="Y55" s="461" t="n"/>
      <x:c r="Z55" s="461" t="n"/>
    </x:row>
    <x:row r="56" s="455" customFormat="1" ht="12.75" customHeight="1">
      <x:c r="A56" s="461" t="n"/>
      <x:c r="B56" s="461" t="n"/>
      <x:c r="C56" s="461" t="n"/>
      <x:c r="D56" s="461" t="n"/>
      <x:c r="E56" s="461" t="n"/>
      <x:c r="F56" s="461" t="n"/>
      <x:c r="G56" s="461" t="n"/>
      <x:c r="H56" s="461" t="n"/>
      <x:c r="I56" s="461" t="n"/>
      <x:c r="J56" s="461" t="n"/>
      <x:c r="K56" s="461" t="n"/>
      <x:c r="L56" s="461" t="n"/>
      <x:c r="M56" s="461" t="n"/>
      <x:c r="N56" s="461" t="n"/>
      <x:c r="O56" s="461" t="n"/>
      <x:c r="P56" s="461" t="n"/>
      <x:c r="Q56" s="461" t="n"/>
      <x:c r="R56" s="461" t="n"/>
      <x:c r="S56" s="461" t="n"/>
      <x:c r="T56" s="461" t="n"/>
      <x:c r="U56" s="461" t="n"/>
      <x:c r="V56" s="461" t="n"/>
      <x:c r="W56" s="461" t="n"/>
      <x:c r="X56" s="461" t="n"/>
      <x:c r="Y56" s="461" t="n"/>
      <x:c r="Z56" s="461" t="n"/>
    </x:row>
    <x:row r="57" s="455" customFormat="1" ht="12.75" customHeight="1">
      <x:c r="A57" s="461" t="n"/>
      <x:c r="B57" s="461" t="n"/>
      <x:c r="C57" s="461" t="n"/>
      <x:c r="D57" s="461" t="n"/>
      <x:c r="E57" s="461" t="n"/>
      <x:c r="F57" s="461" t="n"/>
      <x:c r="G57" s="461" t="n"/>
      <x:c r="H57" s="461" t="n"/>
      <x:c r="I57" s="461" t="n"/>
      <x:c r="J57" s="461" t="n"/>
      <x:c r="K57" s="461" t="n"/>
      <x:c r="L57" s="461" t="n"/>
      <x:c r="M57" s="461" t="n"/>
      <x:c r="N57" s="461" t="n"/>
      <x:c r="O57" s="461" t="n"/>
      <x:c r="P57" s="461" t="n"/>
      <x:c r="Q57" s="461" t="n"/>
      <x:c r="R57" s="461" t="n"/>
      <x:c r="S57" s="461" t="n"/>
      <x:c r="T57" s="461" t="n"/>
      <x:c r="U57" s="461" t="n"/>
      <x:c r="V57" s="461" t="n"/>
      <x:c r="W57" s="461" t="n"/>
      <x:c r="X57" s="461" t="n"/>
      <x:c r="Y57" s="461" t="n"/>
      <x:c r="Z57" s="461" t="n"/>
    </x:row>
    <x:row r="58" s="455" customFormat="1" ht="12.75" customHeight="1">
      <x:c r="A58" s="461" t="n"/>
      <x:c r="B58" s="461" t="n"/>
      <x:c r="C58" s="461" t="n"/>
      <x:c r="D58" s="461" t="n"/>
      <x:c r="E58" s="461" t="n"/>
      <x:c r="F58" s="461" t="n"/>
      <x:c r="G58" s="461" t="n"/>
      <x:c r="H58" s="461" t="n"/>
      <x:c r="I58" s="461" t="n"/>
      <x:c r="J58" s="461" t="n"/>
      <x:c r="K58" s="461" t="n"/>
      <x:c r="L58" s="461" t="n"/>
      <x:c r="M58" s="461" t="n"/>
      <x:c r="N58" s="461" t="n"/>
      <x:c r="O58" s="461" t="n"/>
      <x:c r="P58" s="461" t="n"/>
      <x:c r="Q58" s="461" t="n"/>
      <x:c r="R58" s="461" t="n"/>
      <x:c r="S58" s="461" t="n"/>
      <x:c r="T58" s="461" t="n"/>
      <x:c r="U58" s="461" t="n"/>
      <x:c r="V58" s="461" t="n"/>
      <x:c r="W58" s="461" t="n"/>
      <x:c r="X58" s="461" t="n"/>
      <x:c r="Y58" s="461" t="n"/>
      <x:c r="Z58" s="461" t="n"/>
    </x:row>
    <x:row r="59" s="455" customFormat="1" ht="12.75" customHeight="1">
      <x:c r="A59" s="461" t="n"/>
      <x:c r="B59" s="461" t="n"/>
      <x:c r="C59" s="461" t="n"/>
      <x:c r="D59" s="461" t="n"/>
      <x:c r="E59" s="461" t="n"/>
      <x:c r="F59" s="461" t="n"/>
      <x:c r="G59" s="461" t="n"/>
      <x:c r="H59" s="461" t="n"/>
      <x:c r="I59" s="461" t="n"/>
      <x:c r="J59" s="461" t="n"/>
      <x:c r="K59" s="461" t="n"/>
      <x:c r="L59" s="461" t="n"/>
      <x:c r="M59" s="461" t="n"/>
      <x:c r="N59" s="461" t="n"/>
      <x:c r="O59" s="461" t="n"/>
      <x:c r="P59" s="461" t="n"/>
      <x:c r="Q59" s="461" t="n"/>
      <x:c r="R59" s="461" t="n"/>
      <x:c r="S59" s="461" t="n"/>
      <x:c r="T59" s="461" t="n"/>
      <x:c r="U59" s="461" t="n"/>
      <x:c r="V59" s="461" t="n"/>
      <x:c r="W59" s="461" t="n"/>
      <x:c r="X59" s="461" t="n"/>
      <x:c r="Y59" s="461" t="n"/>
      <x:c r="Z59" s="461" t="n"/>
    </x:row>
    <x:row r="60" s="455" customFormat="1" ht="12.75" customHeight="1">
      <x:c r="A60" s="461" t="n"/>
      <x:c r="B60" s="461" t="n"/>
      <x:c r="C60" s="461" t="n"/>
      <x:c r="D60" s="461" t="n"/>
      <x:c r="E60" s="461" t="n"/>
      <x:c r="F60" s="461" t="n"/>
      <x:c r="G60" s="461" t="n"/>
      <x:c r="H60" s="461" t="n"/>
      <x:c r="I60" s="461" t="n"/>
      <x:c r="J60" s="461" t="n"/>
      <x:c r="K60" s="461" t="n"/>
      <x:c r="L60" s="461" t="n"/>
      <x:c r="M60" s="461" t="n"/>
      <x:c r="N60" s="461" t="n"/>
      <x:c r="O60" s="461" t="n"/>
      <x:c r="P60" s="461" t="n"/>
      <x:c r="Q60" s="461" t="n"/>
      <x:c r="R60" s="461" t="n"/>
      <x:c r="S60" s="461" t="n"/>
      <x:c r="T60" s="461" t="n"/>
      <x:c r="U60" s="461" t="n"/>
      <x:c r="V60" s="461" t="n"/>
      <x:c r="W60" s="461" t="n"/>
      <x:c r="X60" s="461" t="n"/>
      <x:c r="Y60" s="461" t="n"/>
      <x:c r="Z60" s="461" t="n"/>
    </x:row>
    <x:row r="61" s="455" customFormat="1" ht="12.75" customHeight="1">
      <x:c r="A61" s="461" t="n"/>
      <x:c r="B61" s="461" t="n"/>
      <x:c r="C61" s="461" t="n"/>
      <x:c r="D61" s="461" t="n"/>
      <x:c r="E61" s="461" t="n"/>
      <x:c r="F61" s="461" t="n"/>
      <x:c r="G61" s="461" t="n"/>
      <x:c r="H61" s="461" t="n"/>
      <x:c r="I61" s="461" t="n"/>
      <x:c r="J61" s="461" t="n"/>
      <x:c r="K61" s="461" t="n"/>
      <x:c r="L61" s="461" t="n"/>
      <x:c r="M61" s="461" t="n"/>
      <x:c r="N61" s="461" t="n"/>
      <x:c r="O61" s="461" t="n"/>
      <x:c r="P61" s="461" t="n"/>
      <x:c r="Q61" s="461" t="n"/>
      <x:c r="R61" s="461" t="n"/>
      <x:c r="S61" s="461" t="n"/>
      <x:c r="T61" s="461" t="n"/>
      <x:c r="U61" s="461" t="n"/>
      <x:c r="V61" s="461" t="n"/>
      <x:c r="W61" s="461" t="n"/>
      <x:c r="X61" s="461" t="n"/>
      <x:c r="Y61" s="461" t="n"/>
      <x:c r="Z61" s="461" t="n"/>
    </x:row>
    <x:row r="62" s="455" customFormat="1" ht="12.75" customHeight="1">
      <x:c r="A62" s="461" t="n"/>
      <x:c r="B62" s="461" t="n"/>
      <x:c r="C62" s="461" t="n"/>
      <x:c r="D62" s="461" t="n"/>
      <x:c r="E62" s="461" t="n"/>
      <x:c r="F62" s="461" t="n"/>
      <x:c r="G62" s="461" t="n"/>
      <x:c r="H62" s="461" t="n"/>
      <x:c r="I62" s="461" t="n"/>
      <x:c r="J62" s="461" t="n"/>
      <x:c r="K62" s="461" t="n"/>
      <x:c r="L62" s="461" t="n"/>
      <x:c r="M62" s="461" t="n"/>
      <x:c r="N62" s="461" t="n"/>
      <x:c r="O62" s="461" t="n"/>
      <x:c r="P62" s="461" t="n"/>
      <x:c r="Q62" s="461" t="n"/>
      <x:c r="R62" s="461" t="n"/>
      <x:c r="S62" s="461" t="n"/>
      <x:c r="T62" s="461" t="n"/>
      <x:c r="U62" s="461" t="n"/>
      <x:c r="V62" s="461" t="n"/>
      <x:c r="W62" s="461" t="n"/>
      <x:c r="X62" s="461" t="n"/>
      <x:c r="Y62" s="461" t="n"/>
      <x:c r="Z62" s="461" t="n"/>
    </x:row>
    <x:row r="63" s="455" customFormat="1" ht="12.75" customHeight="1">
      <x:c r="A63" s="461" t="n"/>
      <x:c r="B63" s="461" t="n"/>
      <x:c r="C63" s="461" t="n"/>
      <x:c r="D63" s="461" t="n"/>
      <x:c r="E63" s="461" t="n"/>
      <x:c r="F63" s="461" t="n"/>
      <x:c r="G63" s="461" t="n"/>
      <x:c r="H63" s="461" t="n"/>
      <x:c r="I63" s="461" t="n"/>
      <x:c r="J63" s="461" t="n"/>
      <x:c r="K63" s="461" t="n"/>
      <x:c r="L63" s="461" t="n"/>
      <x:c r="M63" s="461" t="n"/>
      <x:c r="N63" s="461" t="n"/>
      <x:c r="O63" s="461" t="n"/>
      <x:c r="P63" s="461" t="n"/>
      <x:c r="Q63" s="461" t="n"/>
      <x:c r="R63" s="461" t="n"/>
      <x:c r="S63" s="461" t="n"/>
      <x:c r="T63" s="461" t="n"/>
      <x:c r="U63" s="461" t="n"/>
      <x:c r="V63" s="461" t="n"/>
      <x:c r="W63" s="461" t="n"/>
      <x:c r="X63" s="461" t="n"/>
      <x:c r="Y63" s="461" t="n"/>
      <x:c r="Z63" s="461" t="n"/>
    </x:row>
    <x:row r="64" s="455" customFormat="1" ht="12.75" customHeight="1">
      <x:c r="A64" s="461" t="n"/>
      <x:c r="B64" s="461" t="n"/>
      <x:c r="C64" s="461" t="n"/>
      <x:c r="D64" s="461" t="n"/>
      <x:c r="E64" s="461" t="n"/>
      <x:c r="F64" s="461" t="n"/>
      <x:c r="G64" s="461" t="n"/>
      <x:c r="H64" s="461" t="n"/>
      <x:c r="I64" s="461" t="n"/>
      <x:c r="J64" s="461" t="n"/>
      <x:c r="K64" s="461" t="n"/>
      <x:c r="L64" s="461" t="n"/>
      <x:c r="M64" s="461" t="n"/>
      <x:c r="N64" s="461" t="n"/>
      <x:c r="O64" s="461" t="n"/>
      <x:c r="P64" s="461" t="n"/>
      <x:c r="Q64" s="461" t="n"/>
      <x:c r="R64" s="461" t="n"/>
      <x:c r="S64" s="461" t="n"/>
      <x:c r="T64" s="461" t="n"/>
      <x:c r="U64" s="461" t="n"/>
      <x:c r="V64" s="461" t="n"/>
      <x:c r="W64" s="461" t="n"/>
      <x:c r="X64" s="461" t="n"/>
      <x:c r="Y64" s="461" t="n"/>
      <x:c r="Z64" s="461" t="n"/>
    </x:row>
    <x:row r="65" s="455" customFormat="1" ht="12.75" customHeight="1">
      <x:c r="A65" s="461" t="n"/>
      <x:c r="B65" s="461" t="n"/>
      <x:c r="C65" s="461" t="n"/>
      <x:c r="D65" s="461" t="n"/>
      <x:c r="E65" s="461" t="n"/>
      <x:c r="F65" s="461" t="n"/>
      <x:c r="G65" s="461" t="n"/>
      <x:c r="H65" s="461" t="n"/>
      <x:c r="I65" s="461" t="n"/>
      <x:c r="J65" s="461" t="n"/>
      <x:c r="K65" s="461" t="n"/>
      <x:c r="L65" s="461" t="n"/>
      <x:c r="M65" s="461" t="n"/>
      <x:c r="N65" s="461" t="n"/>
      <x:c r="O65" s="461" t="n"/>
      <x:c r="P65" s="461" t="n"/>
      <x:c r="Q65" s="461" t="n"/>
      <x:c r="R65" s="461" t="n"/>
      <x:c r="S65" s="461" t="n"/>
      <x:c r="T65" s="461" t="n"/>
      <x:c r="U65" s="461" t="n"/>
      <x:c r="V65" s="461" t="n"/>
      <x:c r="W65" s="461" t="n"/>
      <x:c r="X65" s="461" t="n"/>
      <x:c r="Y65" s="461" t="n"/>
      <x:c r="Z65" s="461" t="n"/>
    </x:row>
    <x:row r="66" s="455" customFormat="1" ht="12.75" customHeight="1">
      <x:c r="A66" s="461" t="n"/>
      <x:c r="B66" s="461" t="n"/>
      <x:c r="C66" s="461" t="n"/>
      <x:c r="D66" s="461" t="n"/>
      <x:c r="E66" s="461" t="n"/>
      <x:c r="F66" s="461" t="n"/>
      <x:c r="G66" s="461" t="n"/>
      <x:c r="H66" s="461" t="n"/>
      <x:c r="I66" s="461" t="n"/>
      <x:c r="J66" s="461" t="n"/>
      <x:c r="K66" s="461" t="n"/>
      <x:c r="L66" s="461" t="n"/>
      <x:c r="M66" s="461" t="n"/>
      <x:c r="N66" s="461" t="n"/>
      <x:c r="O66" s="461" t="n"/>
      <x:c r="P66" s="461" t="n"/>
      <x:c r="Q66" s="461" t="n"/>
      <x:c r="R66" s="461" t="n"/>
      <x:c r="S66" s="461" t="n"/>
      <x:c r="T66" s="461" t="n"/>
      <x:c r="U66" s="461" t="n"/>
      <x:c r="V66" s="461" t="n"/>
      <x:c r="W66" s="461" t="n"/>
      <x:c r="X66" s="461" t="n"/>
      <x:c r="Y66" s="461" t="n"/>
      <x:c r="Z66" s="461" t="n"/>
    </x:row>
    <x:row r="67" s="455" customFormat="1" ht="12.75" customHeight="1">
      <x:c r="A67" s="461" t="n"/>
      <x:c r="B67" s="461" t="n"/>
      <x:c r="C67" s="461" t="n"/>
      <x:c r="D67" s="461" t="n"/>
      <x:c r="E67" s="461" t="n"/>
      <x:c r="F67" s="461" t="n"/>
      <x:c r="G67" s="461" t="n"/>
      <x:c r="H67" s="461" t="n"/>
      <x:c r="I67" s="461" t="n"/>
      <x:c r="J67" s="461" t="n"/>
      <x:c r="K67" s="461" t="n"/>
      <x:c r="L67" s="461" t="n"/>
      <x:c r="M67" s="461" t="n"/>
      <x:c r="N67" s="461" t="n"/>
      <x:c r="O67" s="461" t="n"/>
      <x:c r="P67" s="461" t="n"/>
      <x:c r="Q67" s="461" t="n"/>
      <x:c r="R67" s="461" t="n"/>
      <x:c r="S67" s="461" t="n"/>
      <x:c r="T67" s="461" t="n"/>
      <x:c r="U67" s="461" t="n"/>
      <x:c r="V67" s="461" t="n"/>
      <x:c r="W67" s="461" t="n"/>
      <x:c r="X67" s="461" t="n"/>
      <x:c r="Y67" s="461" t="n"/>
      <x:c r="Z67" s="461" t="n"/>
    </x:row>
    <x:row r="68" s="455" customFormat="1" ht="12.75" customHeight="1">
      <x:c r="A68" s="461" t="n"/>
      <x:c r="B68" s="461" t="n"/>
      <x:c r="C68" s="461" t="n"/>
      <x:c r="D68" s="461" t="n"/>
      <x:c r="E68" s="461" t="n"/>
      <x:c r="F68" s="461" t="n"/>
      <x:c r="G68" s="461" t="n"/>
      <x:c r="H68" s="461" t="n"/>
      <x:c r="I68" s="461" t="n"/>
      <x:c r="J68" s="461" t="n"/>
      <x:c r="K68" s="461" t="n"/>
      <x:c r="L68" s="461" t="n"/>
      <x:c r="M68" s="461" t="n"/>
      <x:c r="N68" s="461" t="n"/>
      <x:c r="O68" s="461" t="n"/>
      <x:c r="P68" s="461" t="n"/>
      <x:c r="Q68" s="461" t="n"/>
      <x:c r="R68" s="461" t="n"/>
      <x:c r="S68" s="461" t="n"/>
      <x:c r="T68" s="461" t="n"/>
      <x:c r="U68" s="461" t="n"/>
      <x:c r="V68" s="461" t="n"/>
      <x:c r="W68" s="461" t="n"/>
      <x:c r="X68" s="461" t="n"/>
      <x:c r="Y68" s="461" t="n"/>
      <x:c r="Z68" s="461" t="n"/>
    </x:row>
    <x:row r="69" s="455" customFormat="1" ht="12.75" customHeight="1">
      <x:c r="A69" s="461" t="n"/>
      <x:c r="B69" s="461" t="n"/>
      <x:c r="C69" s="461" t="n"/>
      <x:c r="D69" s="461" t="n"/>
      <x:c r="E69" s="461" t="n"/>
      <x:c r="F69" s="461" t="n"/>
      <x:c r="G69" s="461" t="n"/>
      <x:c r="H69" s="461" t="n"/>
      <x:c r="I69" s="461" t="n"/>
      <x:c r="J69" s="461" t="n"/>
      <x:c r="K69" s="461" t="n"/>
      <x:c r="L69" s="461" t="n"/>
      <x:c r="M69" s="461" t="n"/>
      <x:c r="N69" s="461" t="n"/>
      <x:c r="O69" s="461" t="n"/>
      <x:c r="P69" s="461" t="n"/>
      <x:c r="Q69" s="461" t="n"/>
      <x:c r="R69" s="461" t="n"/>
      <x:c r="S69" s="461" t="n"/>
      <x:c r="T69" s="461" t="n"/>
      <x:c r="U69" s="461" t="n"/>
      <x:c r="V69" s="461" t="n"/>
      <x:c r="W69" s="461" t="n"/>
      <x:c r="X69" s="461" t="n"/>
      <x:c r="Y69" s="461" t="n"/>
      <x:c r="Z69" s="461" t="n"/>
    </x:row>
    <x:row r="70" s="455" customFormat="1" ht="12.75" customHeight="1">
      <x:c r="A70" s="461" t="n"/>
      <x:c r="B70" s="461" t="n"/>
      <x:c r="C70" s="461" t="n"/>
      <x:c r="D70" s="461" t="n"/>
      <x:c r="E70" s="461" t="n"/>
      <x:c r="F70" s="461" t="n"/>
      <x:c r="G70" s="461" t="n"/>
      <x:c r="H70" s="461" t="n"/>
      <x:c r="I70" s="461" t="n"/>
      <x:c r="J70" s="461" t="n"/>
      <x:c r="K70" s="461" t="n"/>
      <x:c r="L70" s="461" t="n"/>
      <x:c r="M70" s="461" t="n"/>
      <x:c r="N70" s="461" t="n"/>
      <x:c r="O70" s="461" t="n"/>
      <x:c r="P70" s="461" t="n"/>
      <x:c r="Q70" s="461" t="n"/>
      <x:c r="R70" s="461" t="n"/>
      <x:c r="S70" s="461" t="n"/>
      <x:c r="T70" s="461" t="n"/>
      <x:c r="U70" s="461" t="n"/>
      <x:c r="V70" s="461" t="n"/>
      <x:c r="W70" s="461" t="n"/>
      <x:c r="X70" s="461" t="n"/>
      <x:c r="Y70" s="461" t="n"/>
      <x:c r="Z70" s="461" t="n"/>
    </x:row>
    <x:row r="71" s="455" customFormat="1" ht="12.75" customHeight="1">
      <x:c r="A71" s="461" t="n"/>
      <x:c r="B71" s="461" t="n"/>
      <x:c r="C71" s="461" t="n"/>
      <x:c r="D71" s="461" t="n"/>
      <x:c r="E71" s="461" t="n"/>
      <x:c r="F71" s="461" t="n"/>
      <x:c r="G71" s="461" t="n"/>
      <x:c r="H71" s="461" t="n"/>
      <x:c r="I71" s="461" t="n"/>
      <x:c r="J71" s="461" t="n"/>
      <x:c r="K71" s="461" t="n"/>
      <x:c r="L71" s="461" t="n"/>
      <x:c r="M71" s="461" t="n"/>
      <x:c r="N71" s="461" t="n"/>
      <x:c r="O71" s="461" t="n"/>
      <x:c r="P71" s="461" t="n"/>
      <x:c r="Q71" s="461" t="n"/>
      <x:c r="R71" s="461" t="n"/>
      <x:c r="S71" s="461" t="n"/>
      <x:c r="T71" s="461" t="n"/>
      <x:c r="U71" s="461" t="n"/>
      <x:c r="V71" s="461" t="n"/>
      <x:c r="W71" s="461" t="n"/>
      <x:c r="X71" s="461" t="n"/>
      <x:c r="Y71" s="461" t="n"/>
      <x:c r="Z71" s="461" t="n"/>
    </x:row>
    <x:row r="72" s="455" customFormat="1" ht="12.75" customHeight="1">
      <x:c r="A72" s="461" t="n"/>
      <x:c r="B72" s="461" t="n"/>
      <x:c r="C72" s="461" t="n"/>
      <x:c r="D72" s="461" t="n"/>
      <x:c r="E72" s="461" t="n"/>
      <x:c r="F72" s="461" t="n"/>
      <x:c r="G72" s="461" t="n"/>
      <x:c r="H72" s="461" t="n"/>
      <x:c r="I72" s="461" t="n"/>
      <x:c r="J72" s="461" t="n"/>
      <x:c r="K72" s="461" t="n"/>
      <x:c r="L72" s="461" t="n"/>
      <x:c r="M72" s="461" t="n"/>
      <x:c r="N72" s="461" t="n"/>
      <x:c r="O72" s="461" t="n"/>
      <x:c r="P72" s="461" t="n"/>
      <x:c r="Q72" s="461" t="n"/>
      <x:c r="R72" s="461" t="n"/>
      <x:c r="S72" s="461" t="n"/>
      <x:c r="T72" s="461" t="n"/>
      <x:c r="U72" s="461" t="n"/>
      <x:c r="V72" s="461" t="n"/>
      <x:c r="W72" s="461" t="n"/>
      <x:c r="X72" s="461" t="n"/>
      <x:c r="Y72" s="461" t="n"/>
      <x:c r="Z72" s="461" t="n"/>
    </x:row>
    <x:row r="73" s="455" customFormat="1" ht="12.75" customHeight="1">
      <x:c r="A73" s="461" t="n"/>
      <x:c r="B73" s="461" t="n"/>
      <x:c r="C73" s="461" t="n"/>
      <x:c r="D73" s="461" t="n"/>
      <x:c r="E73" s="461" t="n"/>
      <x:c r="F73" s="461" t="n"/>
      <x:c r="G73" s="461" t="n"/>
      <x:c r="H73" s="461" t="n"/>
      <x:c r="I73" s="461" t="n"/>
      <x:c r="J73" s="461" t="n"/>
      <x:c r="K73" s="461" t="n"/>
      <x:c r="L73" s="461" t="n"/>
      <x:c r="M73" s="461" t="n"/>
      <x:c r="N73" s="461" t="n"/>
      <x:c r="O73" s="461" t="n"/>
      <x:c r="P73" s="461" t="n"/>
      <x:c r="Q73" s="461" t="n"/>
      <x:c r="R73" s="461" t="n"/>
      <x:c r="S73" s="461" t="n"/>
      <x:c r="T73" s="461" t="n"/>
      <x:c r="U73" s="461" t="n"/>
      <x:c r="V73" s="461" t="n"/>
      <x:c r="W73" s="461" t="n"/>
      <x:c r="X73" s="461" t="n"/>
      <x:c r="Y73" s="461" t="n"/>
      <x:c r="Z73" s="461" t="n"/>
    </x:row>
    <x:row r="74" s="455" customFormat="1" ht="12.75" customHeight="1">
      <x:c r="A74" s="461" t="n"/>
      <x:c r="B74" s="461" t="n"/>
      <x:c r="C74" s="461" t="n"/>
      <x:c r="D74" s="461" t="n"/>
      <x:c r="E74" s="461" t="n"/>
      <x:c r="F74" s="461" t="n"/>
      <x:c r="G74" s="461" t="n"/>
      <x:c r="H74" s="461" t="n"/>
      <x:c r="I74" s="461" t="n"/>
      <x:c r="J74" s="461" t="n"/>
      <x:c r="K74" s="461" t="n"/>
      <x:c r="L74" s="461" t="n"/>
      <x:c r="M74" s="461" t="n"/>
      <x:c r="N74" s="461" t="n"/>
      <x:c r="O74" s="461" t="n"/>
      <x:c r="P74" s="461" t="n"/>
      <x:c r="Q74" s="461" t="n"/>
      <x:c r="R74" s="461" t="n"/>
      <x:c r="S74" s="461" t="n"/>
      <x:c r="T74" s="461" t="n"/>
      <x:c r="U74" s="461" t="n"/>
      <x:c r="V74" s="461" t="n"/>
      <x:c r="W74" s="461" t="n"/>
      <x:c r="X74" s="461" t="n"/>
      <x:c r="Y74" s="461" t="n"/>
      <x:c r="Z74" s="461" t="n"/>
    </x:row>
    <x:row r="75" s="455" customFormat="1" ht="12.75" customHeight="1">
      <x:c r="A75" s="461" t="n"/>
      <x:c r="B75" s="461" t="n"/>
      <x:c r="C75" s="461" t="n"/>
      <x:c r="D75" s="461" t="n"/>
      <x:c r="E75" s="461" t="n"/>
      <x:c r="F75" s="461" t="n"/>
      <x:c r="G75" s="461" t="n"/>
      <x:c r="H75" s="461" t="n"/>
      <x:c r="I75" s="461" t="n"/>
      <x:c r="J75" s="461" t="n"/>
      <x:c r="K75" s="461" t="n"/>
      <x:c r="L75" s="461" t="n"/>
      <x:c r="M75" s="461" t="n"/>
      <x:c r="N75" s="461" t="n"/>
      <x:c r="O75" s="461" t="n"/>
      <x:c r="P75" s="461" t="n"/>
      <x:c r="Q75" s="461" t="n"/>
      <x:c r="R75" s="461" t="n"/>
      <x:c r="S75" s="461" t="n"/>
      <x:c r="T75" s="461" t="n"/>
      <x:c r="U75" s="461" t="n"/>
      <x:c r="V75" s="461" t="n"/>
      <x:c r="W75" s="461" t="n"/>
      <x:c r="X75" s="461" t="n"/>
      <x:c r="Y75" s="461" t="n"/>
      <x:c r="Z75" s="461" t="n"/>
    </x:row>
    <x:row r="76" s="455" customFormat="1" ht="12.75" customHeight="1">
      <x:c r="A76" s="461" t="n"/>
      <x:c r="B76" s="461" t="n"/>
      <x:c r="C76" s="461" t="n"/>
      <x:c r="D76" s="461" t="n"/>
      <x:c r="E76" s="461" t="n"/>
      <x:c r="F76" s="461" t="n"/>
      <x:c r="G76" s="461" t="n"/>
      <x:c r="H76" s="461" t="n"/>
      <x:c r="I76" s="461" t="n"/>
      <x:c r="J76" s="461" t="n"/>
      <x:c r="K76" s="461" t="n"/>
      <x:c r="L76" s="461" t="n"/>
      <x:c r="M76" s="461" t="n"/>
      <x:c r="N76" s="461" t="n"/>
      <x:c r="O76" s="461" t="n"/>
      <x:c r="P76" s="461" t="n"/>
      <x:c r="Q76" s="461" t="n"/>
      <x:c r="R76" s="461" t="n"/>
      <x:c r="S76" s="461" t="n"/>
      <x:c r="T76" s="461" t="n"/>
      <x:c r="U76" s="461" t="n"/>
      <x:c r="V76" s="461" t="n"/>
      <x:c r="W76" s="461" t="n"/>
      <x:c r="X76" s="461" t="n"/>
      <x:c r="Y76" s="461" t="n"/>
      <x:c r="Z76" s="461" t="n"/>
    </x:row>
    <x:row r="77" s="455" customFormat="1" ht="12.75" customHeight="1">
      <x:c r="A77" s="461" t="n"/>
      <x:c r="B77" s="461" t="n"/>
      <x:c r="C77" s="461" t="n"/>
      <x:c r="D77" s="461" t="n"/>
      <x:c r="E77" s="461" t="n"/>
      <x:c r="F77" s="461" t="n"/>
      <x:c r="G77" s="461" t="n"/>
      <x:c r="H77" s="461" t="n"/>
      <x:c r="I77" s="461" t="n"/>
      <x:c r="J77" s="461" t="n"/>
      <x:c r="K77" s="461" t="n"/>
      <x:c r="L77" s="461" t="n"/>
      <x:c r="M77" s="461" t="n"/>
      <x:c r="N77" s="461" t="n"/>
      <x:c r="O77" s="461" t="n"/>
      <x:c r="P77" s="461" t="n"/>
      <x:c r="Q77" s="461" t="n"/>
      <x:c r="R77" s="461" t="n"/>
      <x:c r="S77" s="461" t="n"/>
      <x:c r="T77" s="461" t="n"/>
      <x:c r="U77" s="461" t="n"/>
      <x:c r="V77" s="461" t="n"/>
      <x:c r="W77" s="461" t="n"/>
      <x:c r="X77" s="461" t="n"/>
      <x:c r="Y77" s="461" t="n"/>
      <x:c r="Z77" s="461" t="n"/>
    </x:row>
    <x:row r="78" s="455" customFormat="1" ht="12.75" customHeight="1">
      <x:c r="A78" s="461" t="n"/>
      <x:c r="B78" s="461" t="n"/>
      <x:c r="C78" s="461" t="n"/>
      <x:c r="D78" s="461" t="n"/>
      <x:c r="E78" s="461" t="n"/>
      <x:c r="F78" s="461" t="n"/>
      <x:c r="G78" s="461" t="n"/>
      <x:c r="H78" s="461" t="n"/>
      <x:c r="I78" s="461" t="n"/>
      <x:c r="J78" s="461" t="n"/>
      <x:c r="K78" s="461" t="n"/>
      <x:c r="L78" s="461" t="n"/>
      <x:c r="M78" s="461" t="n"/>
      <x:c r="N78" s="461" t="n"/>
      <x:c r="O78" s="461" t="n"/>
      <x:c r="P78" s="461" t="n"/>
      <x:c r="Q78" s="461" t="n"/>
      <x:c r="R78" s="461" t="n"/>
      <x:c r="S78" s="461" t="n"/>
      <x:c r="T78" s="461" t="n"/>
      <x:c r="U78" s="461" t="n"/>
      <x:c r="V78" s="461" t="n"/>
      <x:c r="W78" s="461" t="n"/>
      <x:c r="X78" s="461" t="n"/>
      <x:c r="Y78" s="461" t="n"/>
      <x:c r="Z78" s="461" t="n"/>
    </x:row>
    <x:row r="79" s="455" customFormat="1" ht="12.75" customHeight="1">
      <x:c r="A79" s="461" t="n"/>
      <x:c r="B79" s="461" t="n"/>
      <x:c r="C79" s="461" t="n"/>
      <x:c r="D79" s="461" t="n"/>
      <x:c r="E79" s="461" t="n"/>
      <x:c r="F79" s="461" t="n"/>
      <x:c r="G79" s="461" t="n"/>
      <x:c r="H79" s="461" t="n"/>
      <x:c r="I79" s="461" t="n"/>
      <x:c r="J79" s="461" t="n"/>
      <x:c r="K79" s="461" t="n"/>
      <x:c r="L79" s="461" t="n"/>
      <x:c r="M79" s="461" t="n"/>
      <x:c r="N79" s="461" t="n"/>
      <x:c r="O79" s="461" t="n"/>
      <x:c r="P79" s="461" t="n"/>
      <x:c r="Q79" s="461" t="n"/>
      <x:c r="R79" s="461" t="n"/>
      <x:c r="S79" s="461" t="n"/>
      <x:c r="T79" s="461" t="n"/>
      <x:c r="U79" s="461" t="n"/>
      <x:c r="V79" s="461" t="n"/>
      <x:c r="W79" s="461" t="n"/>
      <x:c r="X79" s="461" t="n"/>
      <x:c r="Y79" s="461" t="n"/>
      <x:c r="Z79" s="461" t="n"/>
    </x:row>
    <x:row r="80" s="455" customFormat="1" ht="12.75" customHeight="1">
      <x:c r="A80" s="461" t="n"/>
      <x:c r="B80" s="461" t="n"/>
      <x:c r="C80" s="461" t="n"/>
      <x:c r="D80" s="461" t="n"/>
      <x:c r="E80" s="461" t="n"/>
      <x:c r="F80" s="461" t="n"/>
      <x:c r="G80" s="461" t="n"/>
      <x:c r="H80" s="461" t="n"/>
      <x:c r="I80" s="461" t="n"/>
      <x:c r="J80" s="461" t="n"/>
      <x:c r="K80" s="461" t="n"/>
      <x:c r="L80" s="461" t="n"/>
      <x:c r="M80" s="461" t="n"/>
      <x:c r="N80" s="461" t="n"/>
      <x:c r="O80" s="461" t="n"/>
      <x:c r="P80" s="461" t="n"/>
      <x:c r="Q80" s="461" t="n"/>
      <x:c r="R80" s="461" t="n"/>
      <x:c r="S80" s="461" t="n"/>
      <x:c r="T80" s="461" t="n"/>
      <x:c r="U80" s="461" t="n"/>
      <x:c r="V80" s="461" t="n"/>
      <x:c r="W80" s="461" t="n"/>
      <x:c r="X80" s="461" t="n"/>
      <x:c r="Y80" s="461" t="n"/>
      <x:c r="Z80" s="461" t="n"/>
    </x:row>
    <x:row r="81" s="455" customFormat="1" ht="12.75" customHeight="1">
      <x:c r="A81" s="461" t="n"/>
      <x:c r="B81" s="461" t="n"/>
      <x:c r="C81" s="461" t="n"/>
      <x:c r="D81" s="461" t="n"/>
      <x:c r="E81" s="461" t="n"/>
      <x:c r="F81" s="461" t="n"/>
      <x:c r="G81" s="461" t="n"/>
      <x:c r="H81" s="461" t="n"/>
      <x:c r="I81" s="461" t="n"/>
      <x:c r="J81" s="461" t="n"/>
      <x:c r="K81" s="461" t="n"/>
      <x:c r="L81" s="461" t="n"/>
      <x:c r="M81" s="461" t="n"/>
      <x:c r="N81" s="461" t="n"/>
      <x:c r="O81" s="461" t="n"/>
      <x:c r="P81" s="461" t="n"/>
      <x:c r="Q81" s="461" t="n"/>
      <x:c r="R81" s="461" t="n"/>
      <x:c r="S81" s="461" t="n"/>
      <x:c r="T81" s="461" t="n"/>
      <x:c r="U81" s="461" t="n"/>
      <x:c r="V81" s="461" t="n"/>
      <x:c r="W81" s="461" t="n"/>
      <x:c r="X81" s="461" t="n"/>
      <x:c r="Y81" s="461" t="n"/>
      <x:c r="Z81" s="461" t="n"/>
    </x:row>
    <x:row r="82" s="455" customFormat="1" ht="12.75" customHeight="1">
      <x:c r="A82" s="461" t="n"/>
      <x:c r="B82" s="461" t="n"/>
      <x:c r="C82" s="461" t="n"/>
      <x:c r="D82" s="461" t="n"/>
      <x:c r="E82" s="461" t="n"/>
      <x:c r="F82" s="461" t="n"/>
      <x:c r="G82" s="461" t="n"/>
      <x:c r="H82" s="461" t="n"/>
      <x:c r="I82" s="461" t="n"/>
      <x:c r="J82" s="461" t="n"/>
      <x:c r="K82" s="461" t="n"/>
      <x:c r="L82" s="461" t="n"/>
      <x:c r="M82" s="461" t="n"/>
      <x:c r="N82" s="461" t="n"/>
      <x:c r="O82" s="461" t="n"/>
      <x:c r="P82" s="461" t="n"/>
      <x:c r="Q82" s="461" t="n"/>
      <x:c r="R82" s="461" t="n"/>
      <x:c r="S82" s="461" t="n"/>
      <x:c r="T82" s="461" t="n"/>
      <x:c r="U82" s="461" t="n"/>
      <x:c r="V82" s="461" t="n"/>
      <x:c r="W82" s="461" t="n"/>
      <x:c r="X82" s="461" t="n"/>
      <x:c r="Y82" s="461" t="n"/>
      <x:c r="Z82" s="461" t="n"/>
    </x:row>
    <x:row r="83" s="455" customFormat="1" ht="12.75" customHeight="1">
      <x:c r="A83" s="461" t="n"/>
      <x:c r="B83" s="461" t="n"/>
      <x:c r="C83" s="461" t="n"/>
      <x:c r="D83" s="461" t="n"/>
      <x:c r="E83" s="461" t="n"/>
      <x:c r="F83" s="461" t="n"/>
      <x:c r="G83" s="461" t="n"/>
      <x:c r="H83" s="461" t="n"/>
      <x:c r="I83" s="461" t="n"/>
      <x:c r="J83" s="461" t="n"/>
      <x:c r="K83" s="461" t="n"/>
      <x:c r="L83" s="461" t="n"/>
      <x:c r="M83" s="461" t="n"/>
      <x:c r="N83" s="461" t="n"/>
      <x:c r="O83" s="461" t="n"/>
      <x:c r="P83" s="461" t="n"/>
      <x:c r="Q83" s="461" t="n"/>
      <x:c r="R83" s="461" t="n"/>
      <x:c r="S83" s="461" t="n"/>
      <x:c r="T83" s="461" t="n"/>
      <x:c r="U83" s="461" t="n"/>
      <x:c r="V83" s="461" t="n"/>
      <x:c r="W83" s="461" t="n"/>
      <x:c r="X83" s="461" t="n"/>
      <x:c r="Y83" s="461" t="n"/>
      <x:c r="Z83" s="461" t="n"/>
    </x:row>
    <x:row r="84" s="455" customFormat="1" ht="12.75" customHeight="1">
      <x:c r="A84" s="461" t="n"/>
      <x:c r="B84" s="461" t="n"/>
      <x:c r="C84" s="461" t="n"/>
      <x:c r="D84" s="461" t="n"/>
      <x:c r="E84" s="461" t="n"/>
      <x:c r="F84" s="461" t="n"/>
      <x:c r="G84" s="461" t="n"/>
      <x:c r="H84" s="461" t="n"/>
      <x:c r="I84" s="461" t="n"/>
      <x:c r="J84" s="461" t="n"/>
      <x:c r="K84" s="461" t="n"/>
      <x:c r="L84" s="461" t="n"/>
      <x:c r="M84" s="461" t="n"/>
      <x:c r="N84" s="461" t="n"/>
      <x:c r="O84" s="461" t="n"/>
      <x:c r="P84" s="461" t="n"/>
      <x:c r="Q84" s="461" t="n"/>
      <x:c r="R84" s="461" t="n"/>
      <x:c r="S84" s="461" t="n"/>
      <x:c r="T84" s="461" t="n"/>
      <x:c r="U84" s="461" t="n"/>
      <x:c r="V84" s="461" t="n"/>
      <x:c r="W84" s="461" t="n"/>
      <x:c r="X84" s="461" t="n"/>
      <x:c r="Y84" s="461" t="n"/>
      <x:c r="Z84" s="461" t="n"/>
    </x:row>
    <x:row r="85" s="455" customFormat="1" ht="12.75" customHeight="1">
      <x:c r="A85" s="461" t="n"/>
      <x:c r="B85" s="461" t="n"/>
      <x:c r="C85" s="461" t="n"/>
      <x:c r="D85" s="461" t="n"/>
      <x:c r="E85" s="461" t="n"/>
      <x:c r="F85" s="461" t="n"/>
      <x:c r="G85" s="461" t="n"/>
      <x:c r="H85" s="461" t="n"/>
      <x:c r="I85" s="461" t="n"/>
      <x:c r="J85" s="461" t="n"/>
      <x:c r="K85" s="461" t="n"/>
      <x:c r="L85" s="461" t="n"/>
      <x:c r="M85" s="461" t="n"/>
      <x:c r="N85" s="461" t="n"/>
      <x:c r="O85" s="461" t="n"/>
      <x:c r="P85" s="461" t="n"/>
      <x:c r="Q85" s="461" t="n"/>
      <x:c r="R85" s="461" t="n"/>
      <x:c r="S85" s="461" t="n"/>
      <x:c r="T85" s="461" t="n"/>
      <x:c r="U85" s="461" t="n"/>
      <x:c r="V85" s="461" t="n"/>
      <x:c r="W85" s="461" t="n"/>
      <x:c r="X85" s="461" t="n"/>
      <x:c r="Y85" s="461" t="n"/>
      <x:c r="Z85" s="461" t="n"/>
    </x:row>
    <x:row r="86" s="455" customFormat="1" ht="12.75" customHeight="1">
      <x:c r="A86" s="461" t="n"/>
      <x:c r="B86" s="461" t="n"/>
      <x:c r="C86" s="461" t="n"/>
      <x:c r="D86" s="461" t="n"/>
      <x:c r="E86" s="461" t="n"/>
      <x:c r="F86" s="461" t="n"/>
      <x:c r="G86" s="461" t="n"/>
      <x:c r="H86" s="461" t="n"/>
      <x:c r="I86" s="461" t="n"/>
      <x:c r="J86" s="461" t="n"/>
      <x:c r="K86" s="461" t="n"/>
      <x:c r="L86" s="461" t="n"/>
      <x:c r="M86" s="461" t="n"/>
      <x:c r="N86" s="461" t="n"/>
      <x:c r="O86" s="461" t="n"/>
      <x:c r="P86" s="461" t="n"/>
      <x:c r="Q86" s="461" t="n"/>
      <x:c r="R86" s="461" t="n"/>
      <x:c r="S86" s="461" t="n"/>
      <x:c r="T86" s="461" t="n"/>
      <x:c r="U86" s="461" t="n"/>
      <x:c r="V86" s="461" t="n"/>
      <x:c r="W86" s="461" t="n"/>
      <x:c r="X86" s="461" t="n"/>
      <x:c r="Y86" s="461" t="n"/>
      <x:c r="Z86" s="461" t="n"/>
    </x:row>
    <x:row r="87" s="455" customFormat="1" ht="12.75" customHeight="1">
      <x:c r="A87" s="461" t="n"/>
      <x:c r="B87" s="461" t="n"/>
      <x:c r="C87" s="461" t="n"/>
      <x:c r="D87" s="461" t="n"/>
      <x:c r="E87" s="461" t="n"/>
      <x:c r="F87" s="461" t="n"/>
      <x:c r="G87" s="461" t="n"/>
      <x:c r="H87" s="461" t="n"/>
      <x:c r="I87" s="461" t="n"/>
      <x:c r="J87" s="461" t="n"/>
      <x:c r="K87" s="461" t="n"/>
      <x:c r="L87" s="461" t="n"/>
      <x:c r="M87" s="461" t="n"/>
      <x:c r="N87" s="461" t="n"/>
      <x:c r="O87" s="461" t="n"/>
      <x:c r="P87" s="461" t="n"/>
      <x:c r="Q87" s="461" t="n"/>
      <x:c r="R87" s="461" t="n"/>
      <x:c r="S87" s="461" t="n"/>
      <x:c r="T87" s="461" t="n"/>
      <x:c r="U87" s="461" t="n"/>
      <x:c r="V87" s="461" t="n"/>
      <x:c r="W87" s="461" t="n"/>
      <x:c r="X87" s="461" t="n"/>
      <x:c r="Y87" s="461" t="n"/>
      <x:c r="Z87" s="461" t="n"/>
    </x:row>
    <x:row r="88" s="455" customFormat="1" ht="12.75" customHeight="1">
      <x:c r="A88" s="461" t="n"/>
      <x:c r="B88" s="461" t="n"/>
      <x:c r="C88" s="461" t="n"/>
      <x:c r="D88" s="461" t="n"/>
      <x:c r="E88" s="461" t="n"/>
      <x:c r="F88" s="461" t="n"/>
      <x:c r="G88" s="461" t="n"/>
      <x:c r="H88" s="461" t="n"/>
      <x:c r="I88" s="461" t="n"/>
      <x:c r="J88" s="461" t="n"/>
      <x:c r="K88" s="461" t="n"/>
      <x:c r="L88" s="461" t="n"/>
      <x:c r="M88" s="461" t="n"/>
      <x:c r="N88" s="461" t="n"/>
      <x:c r="O88" s="461" t="n"/>
      <x:c r="P88" s="461" t="n"/>
      <x:c r="Q88" s="461" t="n"/>
      <x:c r="R88" s="461" t="n"/>
      <x:c r="S88" s="461" t="n"/>
      <x:c r="T88" s="461" t="n"/>
      <x:c r="U88" s="461" t="n"/>
      <x:c r="V88" s="461" t="n"/>
      <x:c r="W88" s="461" t="n"/>
      <x:c r="X88" s="461" t="n"/>
      <x:c r="Y88" s="461" t="n"/>
      <x:c r="Z88" s="461" t="n"/>
    </x:row>
    <x:row r="89" s="455" customFormat="1" ht="12.75" customHeight="1">
      <x:c r="A89" s="461" t="n"/>
      <x:c r="B89" s="461" t="n"/>
      <x:c r="C89" s="461" t="n"/>
      <x:c r="D89" s="461" t="n"/>
      <x:c r="E89" s="461" t="n"/>
      <x:c r="F89" s="461" t="n"/>
      <x:c r="G89" s="461" t="n"/>
      <x:c r="H89" s="461" t="n"/>
      <x:c r="I89" s="461" t="n"/>
      <x:c r="J89" s="461" t="n"/>
      <x:c r="K89" s="461" t="n"/>
      <x:c r="L89" s="461" t="n"/>
      <x:c r="M89" s="461" t="n"/>
      <x:c r="N89" s="461" t="n"/>
      <x:c r="O89" s="461" t="n"/>
      <x:c r="P89" s="461" t="n"/>
      <x:c r="Q89" s="461" t="n"/>
      <x:c r="R89" s="461" t="n"/>
      <x:c r="S89" s="461" t="n"/>
      <x:c r="T89" s="461" t="n"/>
      <x:c r="U89" s="461" t="n"/>
      <x:c r="V89" s="461" t="n"/>
      <x:c r="W89" s="461" t="n"/>
      <x:c r="X89" s="461" t="n"/>
      <x:c r="Y89" s="461" t="n"/>
      <x:c r="Z89" s="461" t="n"/>
    </x:row>
    <x:row r="90" s="455" customFormat="1" ht="12.75" customHeight="1">
      <x:c r="A90" s="461" t="n"/>
      <x:c r="B90" s="461" t="n"/>
      <x:c r="C90" s="461" t="n"/>
      <x:c r="D90" s="461" t="n"/>
      <x:c r="E90" s="461" t="n"/>
      <x:c r="F90" s="461" t="n"/>
      <x:c r="G90" s="461" t="n"/>
      <x:c r="H90" s="461" t="n"/>
      <x:c r="I90" s="461" t="n"/>
      <x:c r="J90" s="461" t="n"/>
      <x:c r="K90" s="461" t="n"/>
      <x:c r="L90" s="461" t="n"/>
      <x:c r="M90" s="461" t="n"/>
      <x:c r="N90" s="461" t="n"/>
      <x:c r="O90" s="461" t="n"/>
      <x:c r="P90" s="461" t="n"/>
      <x:c r="Q90" s="461" t="n"/>
      <x:c r="R90" s="461" t="n"/>
      <x:c r="S90" s="461" t="n"/>
      <x:c r="T90" s="461" t="n"/>
      <x:c r="U90" s="461" t="n"/>
      <x:c r="V90" s="461" t="n"/>
      <x:c r="W90" s="461" t="n"/>
      <x:c r="X90" s="461" t="n"/>
      <x:c r="Y90" s="461" t="n"/>
      <x:c r="Z90" s="461" t="n"/>
    </x:row>
    <x:row r="91" s="455" customFormat="1" ht="12.75" customHeight="1">
      <x:c r="A91" s="461" t="n"/>
      <x:c r="B91" s="461" t="n"/>
      <x:c r="C91" s="461" t="n"/>
      <x:c r="D91" s="461" t="n"/>
      <x:c r="E91" s="461" t="n"/>
      <x:c r="F91" s="461" t="n"/>
      <x:c r="G91" s="461" t="n"/>
      <x:c r="H91" s="461" t="n"/>
      <x:c r="I91" s="461" t="n"/>
      <x:c r="J91" s="461" t="n"/>
      <x:c r="K91" s="461" t="n"/>
      <x:c r="L91" s="461" t="n"/>
      <x:c r="M91" s="461" t="n"/>
      <x:c r="N91" s="461" t="n"/>
      <x:c r="O91" s="461" t="n"/>
      <x:c r="P91" s="461" t="n"/>
      <x:c r="Q91" s="461" t="n"/>
      <x:c r="R91" s="461" t="n"/>
      <x:c r="S91" s="461" t="n"/>
      <x:c r="T91" s="461" t="n"/>
      <x:c r="U91" s="461" t="n"/>
      <x:c r="V91" s="461" t="n"/>
      <x:c r="W91" s="461" t="n"/>
      <x:c r="X91" s="461" t="n"/>
      <x:c r="Y91" s="461" t="n"/>
      <x:c r="Z91" s="461" t="n"/>
    </x:row>
    <x:row r="92" s="455" customFormat="1" ht="12.75" customHeight="1">
      <x:c r="A92" s="461" t="n"/>
      <x:c r="B92" s="461" t="n"/>
      <x:c r="C92" s="461" t="n"/>
      <x:c r="D92" s="461" t="n"/>
      <x:c r="E92" s="461" t="n"/>
      <x:c r="F92" s="461" t="n"/>
      <x:c r="G92" s="461" t="n"/>
      <x:c r="H92" s="461" t="n"/>
      <x:c r="I92" s="461" t="n"/>
      <x:c r="J92" s="461" t="n"/>
      <x:c r="K92" s="461" t="n"/>
      <x:c r="L92" s="461" t="n"/>
      <x:c r="M92" s="461" t="n"/>
      <x:c r="N92" s="461" t="n"/>
      <x:c r="O92" s="461" t="n"/>
      <x:c r="P92" s="461" t="n"/>
      <x:c r="Q92" s="461" t="n"/>
      <x:c r="R92" s="461" t="n"/>
      <x:c r="S92" s="461" t="n"/>
      <x:c r="T92" s="461" t="n"/>
      <x:c r="U92" s="461" t="n"/>
      <x:c r="V92" s="461" t="n"/>
      <x:c r="W92" s="461" t="n"/>
      <x:c r="X92" s="461" t="n"/>
      <x:c r="Y92" s="461" t="n"/>
      <x:c r="Z92" s="461" t="n"/>
    </x:row>
    <x:row r="93" s="455" customFormat="1" ht="12.75" customHeight="1">
      <x:c r="A93" s="461" t="n"/>
      <x:c r="B93" s="461" t="n"/>
      <x:c r="C93" s="461" t="n"/>
      <x:c r="D93" s="461" t="n"/>
      <x:c r="E93" s="461" t="n"/>
      <x:c r="F93" s="461" t="n"/>
      <x:c r="G93" s="461" t="n"/>
      <x:c r="H93" s="461" t="n"/>
      <x:c r="I93" s="461" t="n"/>
      <x:c r="J93" s="461" t="n"/>
      <x:c r="K93" s="461" t="n"/>
      <x:c r="L93" s="461" t="n"/>
      <x:c r="M93" s="461" t="n"/>
      <x:c r="N93" s="461" t="n"/>
      <x:c r="O93" s="461" t="n"/>
      <x:c r="P93" s="461" t="n"/>
      <x:c r="Q93" s="461" t="n"/>
      <x:c r="R93" s="461" t="n"/>
      <x:c r="S93" s="461" t="n"/>
      <x:c r="T93" s="461" t="n"/>
      <x:c r="U93" s="461" t="n"/>
      <x:c r="V93" s="461" t="n"/>
      <x:c r="W93" s="461" t="n"/>
      <x:c r="X93" s="461" t="n"/>
      <x:c r="Y93" s="461" t="n"/>
      <x:c r="Z93" s="461" t="n"/>
    </x:row>
    <x:row r="94" s="455" customFormat="1" ht="12.75" customHeight="1">
      <x:c r="A94" s="461" t="n"/>
      <x:c r="B94" s="461" t="n"/>
      <x:c r="C94" s="461" t="n"/>
      <x:c r="D94" s="461" t="n"/>
      <x:c r="E94" s="461" t="n"/>
      <x:c r="F94" s="461" t="n"/>
      <x:c r="G94" s="461" t="n"/>
      <x:c r="H94" s="461" t="n"/>
      <x:c r="I94" s="461" t="n"/>
      <x:c r="J94" s="461" t="n"/>
      <x:c r="K94" s="461" t="n"/>
      <x:c r="L94" s="461" t="n"/>
      <x:c r="M94" s="461" t="n"/>
      <x:c r="N94" s="461" t="n"/>
      <x:c r="O94" s="461" t="n"/>
      <x:c r="P94" s="461" t="n"/>
      <x:c r="Q94" s="461" t="n"/>
      <x:c r="R94" s="461" t="n"/>
      <x:c r="S94" s="461" t="n"/>
      <x:c r="T94" s="461" t="n"/>
      <x:c r="U94" s="461" t="n"/>
      <x:c r="V94" s="461" t="n"/>
      <x:c r="W94" s="461" t="n"/>
      <x:c r="X94" s="461" t="n"/>
      <x:c r="Y94" s="461" t="n"/>
      <x:c r="Z94" s="461" t="n"/>
    </x:row>
    <x:row r="95" s="455" customFormat="1" ht="12.75" customHeight="1">
      <x:c r="A95" s="461" t="n"/>
      <x:c r="B95" s="461" t="n"/>
      <x:c r="C95" s="461" t="n"/>
      <x:c r="D95" s="461" t="n"/>
      <x:c r="E95" s="461" t="n"/>
      <x:c r="F95" s="461" t="n"/>
      <x:c r="G95" s="461" t="n"/>
      <x:c r="H95" s="461" t="n"/>
      <x:c r="I95" s="461" t="n"/>
      <x:c r="J95" s="461" t="n"/>
      <x:c r="K95" s="461" t="n"/>
      <x:c r="L95" s="461" t="n"/>
      <x:c r="M95" s="461" t="n"/>
      <x:c r="N95" s="461" t="n"/>
      <x:c r="O95" s="461" t="n"/>
      <x:c r="P95" s="461" t="n"/>
      <x:c r="Q95" s="461" t="n"/>
      <x:c r="R95" s="461" t="n"/>
      <x:c r="S95" s="461" t="n"/>
      <x:c r="T95" s="461" t="n"/>
      <x:c r="U95" s="461" t="n"/>
      <x:c r="V95" s="461" t="n"/>
      <x:c r="W95" s="461" t="n"/>
      <x:c r="X95" s="461" t="n"/>
      <x:c r="Y95" s="461" t="n"/>
      <x:c r="Z95" s="461" t="n"/>
    </x:row>
    <x:row r="96" s="455" customFormat="1" ht="12.75" customHeight="1">
      <x:c r="A96" s="461" t="n"/>
      <x:c r="B96" s="461" t="n"/>
      <x:c r="C96" s="461" t="n"/>
      <x:c r="D96" s="461" t="n"/>
      <x:c r="E96" s="461" t="n"/>
      <x:c r="F96" s="461" t="n"/>
      <x:c r="G96" s="461" t="n"/>
      <x:c r="H96" s="461" t="n"/>
      <x:c r="I96" s="461" t="n"/>
      <x:c r="J96" s="461" t="n"/>
      <x:c r="K96" s="461" t="n"/>
      <x:c r="L96" s="461" t="n"/>
      <x:c r="M96" s="461" t="n"/>
      <x:c r="N96" s="461" t="n"/>
      <x:c r="O96" s="461" t="n"/>
      <x:c r="P96" s="461" t="n"/>
      <x:c r="Q96" s="461" t="n"/>
      <x:c r="R96" s="461" t="n"/>
      <x:c r="S96" s="461" t="n"/>
      <x:c r="T96" s="461" t="n"/>
      <x:c r="U96" s="461" t="n"/>
      <x:c r="V96" s="461" t="n"/>
      <x:c r="W96" s="461" t="n"/>
      <x:c r="X96" s="461" t="n"/>
      <x:c r="Y96" s="461" t="n"/>
      <x:c r="Z96" s="461" t="n"/>
    </x:row>
    <x:row r="97" s="455" customFormat="1" ht="12.75" customHeight="1">
      <x:c r="A97" s="461" t="n"/>
      <x:c r="B97" s="461" t="n"/>
      <x:c r="C97" s="461" t="n"/>
      <x:c r="D97" s="461" t="n"/>
      <x:c r="E97" s="461" t="n"/>
      <x:c r="F97" s="461" t="n"/>
      <x:c r="G97" s="461" t="n"/>
      <x:c r="H97" s="461" t="n"/>
      <x:c r="I97" s="461" t="n"/>
      <x:c r="J97" s="461" t="n"/>
      <x:c r="K97" s="461" t="n"/>
      <x:c r="L97" s="461" t="n"/>
      <x:c r="M97" s="461" t="n"/>
      <x:c r="N97" s="461" t="n"/>
      <x:c r="O97" s="461" t="n"/>
      <x:c r="P97" s="461" t="n"/>
      <x:c r="Q97" s="461" t="n"/>
      <x:c r="R97" s="461" t="n"/>
      <x:c r="S97" s="461" t="n"/>
      <x:c r="T97" s="461" t="n"/>
      <x:c r="U97" s="461" t="n"/>
      <x:c r="V97" s="461" t="n"/>
      <x:c r="W97" s="461" t="n"/>
      <x:c r="X97" s="461" t="n"/>
      <x:c r="Y97" s="461" t="n"/>
      <x:c r="Z97" s="461" t="n"/>
    </x:row>
    <x:row r="98" s="455" customFormat="1" ht="12.75" customHeight="1">
      <x:c r="A98" s="461" t="n"/>
      <x:c r="B98" s="461" t="n"/>
      <x:c r="C98" s="461" t="n"/>
      <x:c r="D98" s="461" t="n"/>
      <x:c r="E98" s="461" t="n"/>
      <x:c r="F98" s="461" t="n"/>
      <x:c r="G98" s="461" t="n"/>
      <x:c r="H98" s="461" t="n"/>
      <x:c r="I98" s="461" t="n"/>
      <x:c r="J98" s="461" t="n"/>
      <x:c r="K98" s="461" t="n"/>
      <x:c r="L98" s="461" t="n"/>
      <x:c r="M98" s="461" t="n"/>
      <x:c r="N98" s="461" t="n"/>
      <x:c r="O98" s="461" t="n"/>
      <x:c r="P98" s="461" t="n"/>
      <x:c r="Q98" s="461" t="n"/>
      <x:c r="R98" s="461" t="n"/>
      <x:c r="S98" s="461" t="n"/>
      <x:c r="T98" s="461" t="n"/>
      <x:c r="U98" s="461" t="n"/>
      <x:c r="V98" s="461" t="n"/>
      <x:c r="W98" s="461" t="n"/>
      <x:c r="X98" s="461" t="n"/>
      <x:c r="Y98" s="461" t="n"/>
      <x:c r="Z98" s="461" t="n"/>
    </x:row>
    <x:row r="99" s="455" customFormat="1" ht="12.75" customHeight="1">
      <x:c r="A99" s="461" t="n"/>
      <x:c r="B99" s="461" t="n"/>
      <x:c r="C99" s="461" t="n"/>
      <x:c r="D99" s="461" t="n"/>
      <x:c r="E99" s="461" t="n"/>
      <x:c r="F99" s="461" t="n"/>
      <x:c r="G99" s="461" t="n"/>
      <x:c r="H99" s="461" t="n"/>
      <x:c r="I99" s="461" t="n"/>
      <x:c r="J99" s="461" t="n"/>
      <x:c r="K99" s="461" t="n"/>
      <x:c r="L99" s="461" t="n"/>
      <x:c r="M99" s="461" t="n"/>
      <x:c r="N99" s="461" t="n"/>
      <x:c r="O99" s="461" t="n"/>
      <x:c r="P99" s="461" t="n"/>
      <x:c r="Q99" s="461" t="n"/>
      <x:c r="R99" s="461" t="n"/>
      <x:c r="S99" s="461" t="n"/>
      <x:c r="T99" s="461" t="n"/>
      <x:c r="U99" s="461" t="n"/>
      <x:c r="V99" s="461" t="n"/>
      <x:c r="W99" s="461" t="n"/>
      <x:c r="X99" s="461" t="n"/>
      <x:c r="Y99" s="461" t="n"/>
      <x:c r="Z99" s="461" t="n"/>
    </x:row>
    <x:row r="100" s="455" customFormat="1" ht="12.75" customHeight="1">
      <x:c r="A100" s="461" t="n"/>
      <x:c r="B100" s="461" t="n"/>
      <x:c r="C100" s="461" t="n"/>
      <x:c r="D100" s="461" t="n"/>
      <x:c r="E100" s="461" t="n"/>
      <x:c r="F100" s="461" t="n"/>
      <x:c r="G100" s="461" t="n"/>
      <x:c r="H100" s="461" t="n"/>
      <x:c r="I100" s="461" t="n"/>
      <x:c r="J100" s="461" t="n"/>
      <x:c r="K100" s="461" t="n"/>
      <x:c r="L100" s="461" t="n"/>
      <x:c r="M100" s="461" t="n"/>
      <x:c r="N100" s="461" t="n"/>
      <x:c r="O100" s="461" t="n"/>
      <x:c r="P100" s="461" t="n"/>
      <x:c r="Q100" s="461" t="n"/>
      <x:c r="R100" s="461" t="n"/>
      <x:c r="S100" s="461" t="n"/>
      <x:c r="T100" s="461" t="n"/>
      <x:c r="U100" s="461" t="n"/>
      <x:c r="V100" s="461" t="n"/>
      <x:c r="W100" s="461" t="n"/>
      <x:c r="X100" s="461" t="n"/>
      <x:c r="Y100" s="461" t="n"/>
      <x:c r="Z100" s="461" t="n"/>
    </x:row>
  </x:sheetData>
  <x:pageMargins left="0.7" right="0.7" top="0.75" bottom="0.75" header="0.3" footer="0.3"/>
</x:worksheet>
</file>

<file path=xl/worksheets/sheet43.xml><?xml version="1.0" encoding="utf-8"?>
<x:worksheet xmlns:x="http://schemas.openxmlformats.org/spreadsheetml/2006/main">
  <x:sheetViews>
    <x:sheetView showGridLines="1" workbookViewId="0"/>
  </x:sheetViews>
  <x:sheetFormatPr baseColWidth="8" defaultColWidth="8.6796875" defaultRowHeight="12.75"/>
  <x:cols>
    <x:col min="1" max="1" width="36" style="454" customWidth="1"/>
    <x:col min="2" max="2" width="26" style="454" customWidth="1"/>
    <x:col min="3" max="3" width="78" style="454" customWidth="1"/>
  </x:cols>
  <x:sheetData>
    <x:row r="1" s="455" customFormat="1" ht="12.75" customHeight="1">
      <x:c r="A1" s="606" t="inlineStr">
        <x:is>
          <x:t xml:space="preserve">Machine Readiness Surface</x:t>
        </x:is>
      </x:c>
      <x:c r="B1" s="606" t="inlineStr">
        <x:is>
          <x:t xml:space="preserve">Status</x:t>
        </x:is>
      </x:c>
      <x:c r="C1" s="606" t="inlineStr">
        <x:is>
          <x:t xml:space="preserve">Notes</x:t>
        </x:is>
      </x:c>
    </x:row>
    <x:row r="2" s="455" customFormat="1" ht="26.25" customHeight="1">
      <x:c r="A2" s="461" t="inlineStr">
        <x:is>
          <x:t xml:space="preserve">Release line</x:t>
        </x:is>
      </x:c>
      <x:c r="B2" s="461" t="inlineStr">
        <x:is>
          <x:t xml:space="preserve">RippleLogic v10.8 / SGP v5.5 / Sheet v3.6</x:t>
        </x:is>
      </x:c>
      <x:c r="C2" s="461" t="inlineStr">
        <x:is>
          <x:t xml:space="preserve">Worked-run exemplar; release identity governed by sibling manifest and hash freeze.</x:t>
        </x:is>
      </x:c>
    </x:row>
    <x:row r="3" s="455" customFormat="1" ht="26.25" customHeight="1">
      <x:c r="A3" s="461" t="inlineStr">
        <x:is>
          <x:t xml:space="preserve">Registry ownership map bundled?</x:t>
        </x:is>
      </x:c>
      <x:c r="B3" s="461" t="inlineStr">
        <x:is>
          <x:t xml:space="preserve">NO - MANIFEST DEPENDENT</x:t>
        </x:is>
      </x:c>
      <x:c r="C3" s="461" t="inlineStr">
        <x:is>
          <x:t xml:space="preserve">Not bundled inside this workbook; requires separate file and SHA-256 pin if claimed.</x:t>
        </x:is>
      </x:c>
    </x:row>
    <x:row r="4" s="455" customFormat="1" ht="26.25" customHeight="1">
      <x:c r="A4" s="461" t="inlineStr">
        <x:is>
          <x:t xml:space="preserve">Schema ownership map bundled?</x:t>
        </x:is>
      </x:c>
      <x:c r="B4" s="461" t="inlineStr">
        <x:is>
          <x:t xml:space="preserve">NO - MANIFEST DEPENDENT</x:t>
        </x:is>
      </x:c>
      <x:c r="C4" s="461" t="inlineStr">
        <x:is>
          <x:t xml:space="preserve">Not bundled inside this workbook; requires separate file and SHA-256 pin if claimed.</x:t>
        </x:is>
      </x:c>
    </x:row>
    <x:row r="5" s="455" customFormat="1" ht="12.75" customHeight="1">
      <x:c r="A5" s="461" t="inlineStr">
        <x:is>
          <x:t xml:space="preserve">PCC schema bundled?</x:t>
        </x:is>
      </x:c>
      <x:c r="B5" s="461" t="inlineStr">
        <x:is>
          <x:t xml:space="preserve">NO - V10.6 TOOLING LINE</x:t>
        </x:is>
      </x:c>
      <x:c r="C5" s="461" t="inlineStr">
        <x:is>
          <x:t xml:space="preserve">No repository-level PCC schema is bundled in this workbook.</x:t>
        </x:is>
      </x:c>
    </x:row>
    <x:row r="6" s="455" customFormat="1" ht="12.75" customHeight="1">
      <x:c r="A6" s="461" t="inlineStr">
        <x:is>
          <x:t xml:space="preserve">TransitionAdmissibility schema bundled?</x:t>
        </x:is>
      </x:c>
      <x:c r="B6" s="461" t="inlineStr">
        <x:is>
          <x:t xml:space="preserve">NO - V10.6 TOOLING LINE</x:t>
        </x:is>
      </x:c>
      <x:c r="C6" s="461" t="inlineStr">
        <x:is>
          <x:t xml:space="preserve">Workbook has a human-readable sheet, not a machine schema.</x:t>
        </x:is>
      </x:c>
    </x:row>
    <x:row r="7" s="455" customFormat="1" ht="12.75" customHeight="1">
      <x:c r="A7" s="461" t="inlineStr">
        <x:is>
          <x:t xml:space="preserve">ExecutionStability schema bundled?</x:t>
        </x:is>
      </x:c>
      <x:c r="B7" s="461" t="inlineStr">
        <x:is>
          <x:t xml:space="preserve">NO - V10.6 TOOLING LINE</x:t>
        </x:is>
      </x:c>
      <x:c r="C7" s="461" t="inlineStr">
        <x:is>
          <x:t xml:space="preserve">Workbook has a human-readable sheet, not a machine schema.</x:t>
        </x:is>
      </x:c>
    </x:row>
    <x:row r="8" s="455" customFormat="1" ht="12.75" customHeight="1">
      <x:c r="A8" s="461" t="inlineStr">
        <x:is>
          <x:t xml:space="preserve">MaturityProfile schema bundled?</x:t>
        </x:is>
      </x:c>
      <x:c r="B8" s="461" t="inlineStr">
        <x:is>
          <x:t xml:space="preserve">NO - V10.6 TOOLING LINE</x:t>
        </x:is>
      </x:c>
      <x:c r="C8" s="461" t="inlineStr">
        <x:is>
          <x:t xml:space="preserve">Workbook has a human-readable maturity surface, not a machine schema.</x:t>
        </x:is>
      </x:c>
    </x:row>
    <x:row r="9" s="455" customFormat="1" ht="12.75" customHeight="1">
      <x:c r="A9" s="461" t="inlineStr">
        <x:is>
          <x:t xml:space="preserve">Appendix R machine vectors bundled?</x:t>
        </x:is>
      </x:c>
      <x:c r="B9" s="461" t="inlineStr">
        <x:is>
          <x:t xml:space="preserve">NO - V10.6 TOOLING LINE</x:t>
        </x:is>
      </x:c>
      <x:c r="C9" s="461" t="inlineStr">
        <x:is>
          <x:t xml:space="preserve">No machine-readable vector pack is bundled inside this workbook.</x:t>
        </x:is>
      </x:c>
    </x:row>
    <x:row r="10" s="455" customFormat="1" ht="12.75" customHeight="1">
      <x:c r="A10" s="461" t="inlineStr">
        <x:is>
          <x:t xml:space="preserve">Reference calculator bundled?</x:t>
        </x:is>
      </x:c>
      <x:c r="B10" s="461" t="inlineStr">
        <x:is>
          <x:t xml:space="preserve">NO - V10.6 TOOLING LINE</x:t>
        </x:is>
      </x:c>
      <x:c r="C10" s="461" t="inlineStr">
        <x:is>
          <x:t xml:space="preserve">Workbook is a worked-run exemplar, not the repository-level reference calculator.</x:t>
        </x:is>
      </x:c>
    </x:row>
    <x:row r="11" s="455" customFormat="1" ht="12.75" customHeight="1">
      <x:c r="A11" s="461" t="inlineStr">
        <x:is>
          <x:t xml:space="preserve">CI drift checks bundled?</x:t>
        </x:is>
      </x:c>
      <x:c r="B11" s="461" t="inlineStr">
        <x:is>
          <x:t xml:space="preserve">NO - V10.6 TOOLING LINE</x:t>
        </x:is>
      </x:c>
      <x:c r="C11" s="461" t="inlineStr">
        <x:is>
          <x:t xml:space="preserve">No CI workflow bundle is included inside this workbook.</x:t>
        </x:is>
      </x:c>
    </x:row>
    <x:row r="12" s="455" customFormat="1" ht="26.25" customHeight="1">
      <x:c r="A12" s="461" t="inlineStr">
        <x:is>
          <x:t xml:space="preserve">UCI Measurement Annex bundled?</x:t>
        </x:is>
      </x:c>
      <x:c r="B12" s="461" t="inlineStr">
        <x:is>
          <x:t xml:space="preserve">NO - SEPARATE ANNEX REQUIRED</x:t>
        </x:is>
      </x:c>
      <x:c r="C12" s="461" t="inlineStr">
        <x:is>
          <x:t xml:space="preserve">UCI_Maturity is provisional disclosure, not a validated measurement annex.</x:t>
        </x:is>
      </x:c>
    </x:row>
    <x:row r="13" s="455" customFormat="1" ht="26.25" customHeight="1">
      <x:c r="A13" s="461" t="inlineStr">
        <x:is>
          <x:t xml:space="preserve">PLSS Calibration Pack bundled?</x:t>
        </x:is>
      </x:c>
      <x:c r="B13" s="461" t="inlineStr">
        <x:is>
          <x:t xml:space="preserve">NO - SEPARATE PACK REQUIRED</x:t>
        </x:is>
      </x:c>
      <x:c r="C13" s="461" t="inlineStr">
        <x:is>
          <x:t xml:space="preserve">PLSS_Local_Scope is a worked-run profile, not a calibrated pack.</x:t>
        </x:is>
      </x:c>
    </x:row>
    <x:row r="14" s="455" customFormat="1" ht="26.25" customHeight="1">
      <x:c r="A14" s="461" t="inlineStr">
        <x:is>
          <x:t xml:space="preserve">ProofPack-ready claim allowed?</x:t>
        </x:is>
      </x:c>
      <x:c r="B14" s="461" t="inlineStr">
        <x:is>
          <x:t xml:space="preserve">NO</x:t>
        </x:is>
      </x:c>
      <x:c r="C14" s="461" t="inlineStr">
        <x:is>
          <x:t xml:space="preserve">Requires schemas, validators, reference calculator, test vectors, replayable PCC artifacts, independent replay, and hash-pinned bundle.</x:t>
        </x:is>
      </x:c>
    </x:row>
    <x:row r="15" s="455" customFormat="1" ht="12.75" customHeight="1">
      <x:c r="A15" s="461" t="n"/>
      <x:c r="B15" s="461" t="n"/>
      <x:c r="C15" s="461" t="n"/>
    </x:row>
    <x:row r="16" s="455" customFormat="1" ht="12.75" customHeight="1">
      <x:c r="A16" s="461" t="n"/>
      <x:c r="B16" s="461" t="n"/>
      <x:c r="C16" s="461" t="n"/>
    </x:row>
    <x:row r="17" s="455" customFormat="1" ht="12.75" customHeight="1">
      <x:c r="A17" s="461" t="n"/>
      <x:c r="B17" s="461" t="n"/>
      <x:c r="C17" s="461" t="n"/>
    </x:row>
    <x:row r="18" s="455" customFormat="1" ht="12.75" customHeight="1">
      <x:c r="A18" s="461" t="n"/>
      <x:c r="B18" s="461" t="n"/>
      <x:c r="C18" s="461" t="n"/>
    </x:row>
    <x:row r="19" s="455" customFormat="1" ht="12.75" customHeight="1">
      <x:c r="A19" s="461" t="n"/>
      <x:c r="B19" s="461" t="n"/>
      <x:c r="C19" s="461" t="n"/>
    </x:row>
    <x:row r="20" s="455" customFormat="1" ht="39" customHeight="1">
      <x:c r="A20" s="461" t="inlineStr">
        <x:is>
          <x:t xml:space="preserve">Machine-readiness boundary</x:t>
        </x:is>
      </x:c>
      <x:c r="B20" s="461" t="inlineStr">
        <x:is>
          <x:t xml:space="preserve">WORKED_RUN_ONLY</x:t>
        </x:is>
      </x:c>
      <x:c r="C20" s="461" t="inlineStr">
        <x:is>
          <x:t xml:space="preserve">Rows above disclose absence/presence for release integrity. The workbook remains a worked-run exemplar, not a machine-verifiable ecosystem, ProofPack, Tier 4 artifact, or empirical-validation artifact.</x:t>
        </x:is>
      </x:c>
    </x:row>
  </x:sheetData>
  <x:pageMargins left="0.7" right="0.7" top="0.75" bottom="0.75" header="0.3" footer="0.3"/>
</x:worksheet>
</file>

<file path=xl/worksheets/sheet44.xml><?xml version="1.0" encoding="utf-8"?>
<x:worksheet xmlns:x="http://schemas.openxmlformats.org/spreadsheetml/2006/main">
  <x:sheetViews>
    <x:sheetView showGridLines="1" workbookViewId="0"/>
  </x:sheetViews>
  <x:sheetFormatPr baseColWidth="8" defaultColWidth="8.6796875" defaultRowHeight="12.75"/>
  <x:cols>
    <x:col min="1" max="1" width="32" style="454" customWidth="1"/>
    <x:col min="2" max="2" width="80" style="454" customWidth="1"/>
  </x:cols>
  <x:sheetData>
    <x:row r="1" s="455" customFormat="1" ht="12.75" customHeight="1">
      <x:c r="A1" s="606" t="inlineStr">
        <x:is>
          <x:t xml:space="preserve">Display Clarity Upgrade</x:t>
        </x:is>
      </x:c>
      <x:c r="B1" s="606" t="inlineStr">
        <x:is>
          <x:t xml:space="preserve">Value</x:t>
        </x:is>
      </x:c>
    </x:row>
    <x:row r="2" s="455" customFormat="1" ht="12.75" customHeight="1">
      <x:c r="A2" s="454" t="inlineStr">
        <x:is>
          <x:t xml:space="preserve">Worked-Run Claimable</x:t>
        </x:is>
      </x:c>
      <x:c r="B2" s="454" t="inlineStr">
        <x:is>
          <x:t xml:space="preserve">YES</x:t>
        </x:is>
      </x:c>
    </x:row>
    <x:row r="3" s="455" customFormat="1" ht="12.75" customHeight="1">
      <x:c r="A3" s="454" t="inlineStr">
        <x:is>
          <x:t xml:space="preserve">Unique Deterministic Framework Selection</x:t>
        </x:is>
      </x:c>
      <x:c r="B3" s="454" t="inlineStr">
        <x:is>
          <x:t xml:space="preserve">NO</x:t>
        </x:is>
      </x:c>
    </x:row>
    <x:row r="4" s="455" customFormat="1" ht="12.75" customHeight="1">
      <x:c r="A4" s="454" t="inlineStr">
        <x:is>
          <x:t xml:space="preserve">Framework Verdict</x:t>
        </x:is>
      </x:c>
      <x:c r="B4" s="454" t="inlineStr">
        <x:is>
          <x:t xml:space="preserve">REFUSE_DETERMINISTIC_SELECTION</x:t>
        </x:is>
      </x:c>
    </x:row>
    <x:row r="5" s="455" customFormat="1" ht="12.75" customHeight="1">
      <x:c r="A5" s="454" t="inlineStr">
        <x:is>
          <x:t xml:space="preserve">Authority Selection</x:t>
        </x:is>
      </x:c>
      <x:c r="B5" s="454" t="inlineStr">
        <x:is>
          <x:t xml:space="preserve">OPTION A</x:t>
        </x:is>
      </x:c>
    </x:row>
    <x:row r="6" s="455" customFormat="1" ht="12.75" customHeight="1">
      <x:c r="A6" s="454" t="inlineStr">
        <x:is>
          <x:t xml:space="preserve">Authority Selection Basis</x:t>
        </x:is>
      </x:c>
      <x:c r="B6" s="454" t="inlineStr">
        <x:is>
          <x:t xml:space="preserve">Documented judgment call over non-decisive admissible set</x:t>
        </x:is>
      </x:c>
    </x:row>
    <x:row r="7" s="455" customFormat="1" ht="12.75" customHeight="1">
      <x:c r="A7" s="454" t="inlineStr">
        <x:is>
          <x:t xml:space="preserve">Canonical Invalid Flags</x:t>
        </x:is>
      </x:c>
      <x:c r="B7" s="454" t="n">
        <x:v>0</x:v>
      </x:c>
    </x:row>
    <x:row r="8" s="455" customFormat="1" ht="12.75" customHeight="1">
      <x:c r="A8" s="454" t="inlineStr">
        <x:is>
          <x:t xml:space="preserve">Canonical Escalation Flags</x:t>
        </x:is>
      </x:c>
      <x:c r="B8" s="454" t="n">
        <x:v>0</x:v>
      </x:c>
    </x:row>
    <x:row r="9" s="455" customFormat="1" ht="12.75" customHeight="1">
      <x:c r="A9" s="454" t="inlineStr">
        <x:is>
          <x:t xml:space="preserve">Canonical Review Flags</x:t>
        </x:is>
      </x:c>
      <x:c r="B9" s="454" t="n">
        <x:v>0</x:v>
      </x:c>
    </x:row>
    <x:row r="10" s="455" customFormat="1" ht="12.75" customHeight="1">
      <x:c r="A10" s="454" t="inlineStr">
        <x:is>
          <x:t xml:space="preserve">Tool-Local Review Flags</x:t>
        </x:is>
      </x:c>
      <x:c r="B10" s="454" t="n">
        <x:v>1</x:v>
      </x:c>
    </x:row>
    <x:row r="11" s="455" customFormat="1" ht="12.75" customHeight="1">
      <x:c r="A11" s="454" t="inlineStr">
        <x:is>
          <x:t xml:space="preserve">Decision State Strip</x:t>
        </x:is>
      </x:c>
      <x:c r="B11" s="454" t="inlineStr">
        <x:is>
          <x:t xml:space="preserve">Gate-passed admissible set -&gt; non-decisive ranking -&gt; REFUSE deterministic selection -&gt; separate authority selection</x:t>
        </x:is>
      </x:c>
    </x:row>
  </x:sheetData>
  <x:pageMargins left="0.7" right="0.7" top="0.75" bottom="0.75" header="0.3" footer="0.3"/>
</x:worksheet>
</file>

<file path=xl/worksheets/sheet45.xml><?xml version="1.0" encoding="utf-8"?>
<x:worksheet xmlns:x="http://schemas.openxmlformats.org/spreadsheetml/2006/main">
  <x:sheetViews>
    <x:sheetView showGridLines="1" workbookViewId="0"/>
  </x:sheetViews>
  <x:sheetFormatPr baseColWidth="8" defaultColWidth="8.6796875" defaultRowHeight="12.75"/>
  <x:cols>
    <x:col min="1" max="1" width="28" style="454" customWidth="1"/>
    <x:col min="2" max="2" width="48" style="454" customWidth="1"/>
    <x:col min="3" max="3" width="18" style="454" customWidth="1"/>
    <x:col min="4" max="4" width="45" style="454" customWidth="1"/>
    <x:col min="5" max="5" width="42" style="454" customWidth="1"/>
    <x:col min="6" max="6" width="32" style="454" customWidth="1"/>
  </x:cols>
  <x:sheetData>
    <x:row r="1" s="455" customFormat="1" ht="34.5" customHeight="1">
      <x:c r="A1" s="607" t="inlineStr">
        <x:is>
          <x:t xml:space="preserve">Boundary Risk Register v3.6</x:t>
        </x:is>
      </x:c>
      <x:c r="B1" s="607" t="n"/>
      <x:c r="C1" s="607" t="n"/>
      <x:c r="D1" s="607" t="n"/>
      <x:c r="E1" s="607" t="n"/>
      <x:c r="F1" s="607" t="n"/>
    </x:row>
    <x:row r="2" s="455" customFormat="1" ht="39" customHeight="1">
      <x:c r="A2" s="461" t="inlineStr">
        <x:is>
          <x:t xml:space="preserve">Purpose</x:t>
        </x:is>
      </x:c>
      <x:c r="B2" s="461" t="inlineStr">
        <x:is>
          <x:t xml:space="preserve">Disclosure and escalation aid for hard-gate boundary gaming and false precision. Does not replace the canonical cascade.</x:t>
        </x:is>
      </x:c>
      <x:c r="C2" s="461" t="n"/>
      <x:c r="D2" s="461" t="n"/>
      <x:c r="E2" s="461" t="n"/>
      <x:c r="F2" s="461" t="n"/>
    </x:row>
    <x:row r="3" s="455" customFormat="1" ht="12.75" customHeight="1">
      <x:c r="A3" s="608" t="inlineStr">
        <x:is>
          <x:t xml:space="preserve">Field</x:t>
        </x:is>
      </x:c>
      <x:c r="B3" s="608" t="inlineStr">
        <x:is>
          <x:t xml:space="preserve">Declared Value</x:t>
        </x:is>
      </x:c>
      <x:c r="C3" s="608" t="inlineStr">
        <x:is>
          <x:t xml:space="preserve">Risk Level</x:t>
        </x:is>
      </x:c>
      <x:c r="D3" s="608" t="inlineStr">
        <x:is>
          <x:t xml:space="preserve">Evidence Basis</x:t>
        </x:is>
      </x:c>
      <x:c r="E3" s="608" t="inlineStr">
        <x:is>
          <x:t xml:space="preserve">Sensitivity Action</x:t>
        </x:is>
      </x:c>
      <x:c r="F3" s="608" t="inlineStr">
        <x:is>
          <x:t xml:space="preserve">Reviewer Disposition</x:t>
        </x:is>
      </x:c>
      <x:c r="G3" s="497" t="inlineStr">
        <x:is>
          <x:t xml:space="preserve">Linked Gate</x:t>
        </x:is>
      </x:c>
      <x:c r="H3" s="497" t="inlineStr">
        <x:is>
          <x:t xml:space="preserve">Gate Swing Flag</x:t>
        </x:is>
      </x:c>
      <x:c r="I3" s="497" t="inlineStr">
        <x:is>
          <x:t xml:space="preserve">Escalation Required</x:t>
        </x:is>
      </x:c>
      <x:c r="J3" s="497" t="inlineStr">
        <x:is>
          <x:t xml:space="preserve">Formula Status</x:t>
        </x:is>
      </x:c>
    </x:row>
    <x:row r="4" s="455" customFormat="1" ht="26.25" customHeight="1">
      <x:c r="A4" s="461" t="inlineStr">
        <x:is>
          <x:t xml:space="preserve">Boundary_Gaming_Risk</x:t>
        </x:is>
      </x:c>
      <x:c r="B4" s="461" t="inlineStr">
        <x:is>
          <x:t xml:space="preserve">Boundary surfaces reviewed for subgroup/scope/probability gaming</x:t>
        </x:is>
      </x:c>
      <x:c r="C4" s="461" t="inlineStr">
        <x:is>
          <x:t xml:space="preserve">MONITOR</x:t>
        </x:is>
      </x:c>
      <x:c r="D4" s="461" t="inlineStr">
        <x:is>
          <x:t xml:space="preserve">Worked-run exemplar; production use requires evidence record</x:t>
        </x:is>
      </x:c>
      <x:c r="E4" s="461" t="inlineStr">
        <x:is>
          <x:t xml:space="preserve">Escalate if material to NCRC/TRC/Containment/PLSS</x:t>
        </x:is>
      </x:c>
      <x:c r="F4" s="461" t="inlineStr">
        <x:is>
          <x:t xml:space="preserve">REVIEW_REQUIRED_IF_MATERIAL</x:t>
        </x:is>
      </x:c>
      <x:c r="G4" s="497" t="inlineStr">
        <x:is>
          <x:t xml:space="preserve">NCRC/TRC/Containment/PLSS</x:t>
        </x:is>
      </x:c>
      <x:c r="H4" s="497" t="str">
        <x:f>IF(OR(C4="HIGH",C4="CRITICAL"),"YES","NO")</x:f>
        <x:v>NO</x:v>
      </x:c>
      <x:c r="I4" s="497" t="str">
        <x:f>IF(H4="YES","ESCALATE","MONITOR")</x:f>
        <x:v>MONITOR</x:v>
      </x:c>
      <x:c r="J4" s="497" t="str">
        <x:f>IF(OR(H4="YES",H4="NO"),"PASS","FAIL")</x:f>
        <x:v>PASS</x:v>
      </x:c>
    </x:row>
    <x:row r="5" s="455" customFormat="1" ht="26.25" customHeight="1">
      <x:c r="A5" s="461" t="inlineStr">
        <x:is>
          <x:t xml:space="preserve">False_Precision_Risk</x:t>
        </x:is>
      </x:c>
      <x:c r="B5" s="461" t="inlineStr">
        <x:is>
          <x:t xml:space="preserve">Numerical values are treated as evidence-dependent, not self-validating</x:t>
        </x:is>
      </x:c>
      <x:c r="C5" s="461" t="inlineStr">
        <x:is>
          <x:t xml:space="preserve">MONITOR</x:t>
        </x:is>
      </x:c>
      <x:c r="D5" s="461" t="inlineStr">
        <x:is>
          <x:t xml:space="preserve">Uncertainty and sensitivity notes required for high-impact/high-uncertainty cells</x:t>
        </x:is>
      </x:c>
      <x:c r="E5" s="461" t="inlineStr">
        <x:is>
          <x:t xml:space="preserve">Run sensitivity or narrow claim scope</x:t>
        </x:is>
      </x:c>
      <x:c r="F5" s="461" t="inlineStr">
        <x:is>
          <x:t xml:space="preserve">REVIEW_REQUIRED_IF_HIGH</x:t>
        </x:is>
      </x:c>
      <x:c r="G5" s="497" t="inlineStr">
        <x:is>
          <x:t xml:space="preserve">RLS/UCI/HOI</x:t>
        </x:is>
      </x:c>
      <x:c r="H5" s="497" t="str">
        <x:f>IF(OR(C5="HIGH",C5="CRITICAL"),"YES","NO")</x:f>
        <x:v>NO</x:v>
      </x:c>
      <x:c r="I5" s="497" t="str">
        <x:f>IF(H5="YES","ESCALATE","MONITOR")</x:f>
        <x:v>MONITOR</x:v>
      </x:c>
      <x:c r="J5" s="497" t="str">
        <x:f>IF(OR(H5="YES",H5="NO"),"PASS","FAIL")</x:f>
        <x:v>PASS</x:v>
      </x:c>
    </x:row>
    <x:row r="6" s="455" customFormat="1" ht="26.25" customHeight="1">
      <x:c r="A6" s="461" t="inlineStr">
        <x:is>
          <x:t xml:space="preserve">Gate_Swing_Cell_Flag</x:t>
        </x:is>
      </x:c>
      <x:c r="B6" s="461" t="inlineStr">
        <x:is>
          <x:t xml:space="preserve">Flag cells likely to alter a gate verdict, escalation, refusal, or selection state</x:t>
        </x:is>
      </x:c>
      <x:c r="C6" s="461" t="inlineStr">
        <x:is>
          <x:t xml:space="preserve">CHECK</x:t>
        </x:is>
      </x:c>
      <x:c r="D6" s="461" t="inlineStr">
        <x:is>
          <x:t xml:space="preserve">Sensitivity_Analysis + gate sheets</x:t>
        </x:is>
      </x:c>
      <x:c r="E6" s="461" t="inlineStr">
        <x:is>
          <x:t xml:space="preserve">Rerun with alternative plausible values</x:t>
        </x:is>
      </x:c>
      <x:c r="F6" s="461" t="inlineStr">
        <x:is>
          <x:t xml:space="preserve">NO_SILENT_PASS</x:t>
        </x:is>
      </x:c>
      <x:c r="G6" s="497" t="inlineStr">
        <x:is>
          <x:t xml:space="preserve">NCRC/Containment</x:t>
        </x:is>
      </x:c>
      <x:c r="H6" s="497" t="str">
        <x:f>IF(OR(C6="HIGH",C6="CRITICAL"),"YES","NO")</x:f>
        <x:v>NO</x:v>
      </x:c>
      <x:c r="I6" s="497" t="str">
        <x:f>IF(H6="YES","ESCALATE","MONITOR")</x:f>
        <x:v>MONITOR</x:v>
      </x:c>
      <x:c r="J6" s="497" t="str">
        <x:f>IF(OR(H6="YES",H6="NO"),"PASS","FAIL")</x:f>
        <x:v>PASS</x:v>
      </x:c>
    </x:row>
    <x:row r="7" s="455" customFormat="1" ht="26.25" customHeight="1">
      <x:c r="A7" s="461" t="inlineStr">
        <x:is>
          <x:t xml:space="preserve">Subgroup_Definition_Risk</x:t>
        </x:is>
      </x:c>
      <x:c r="B7" s="461" t="inlineStr">
        <x:is>
          <x:t xml:space="preserve">Disclose subgroup definitions for rights and worst-off checks</x:t>
        </x:is>
      </x:c>
      <x:c r="C7" s="461" t="inlineStr">
        <x:is>
          <x:t xml:space="preserve">CHECK</x:t>
        </x:is>
      </x:c>
      <x:c r="D7" s="461" t="inlineStr">
        <x:is>
          <x:t xml:space="preserve">Subgroup_Analysis / Subgroup_Overrides</x:t>
        </x:is>
      </x:c>
      <x:c r="E7" s="461" t="inlineStr">
        <x:is>
          <x:t xml:space="preserve">Independent review if contested</x:t>
        </x:is>
      </x:c>
      <x:c r="F7" s="461" t="inlineStr">
        <x:is>
          <x:t xml:space="preserve">NO_GERRYMANDERING</x:t>
        </x:is>
      </x:c>
      <x:c r="G7" s="497" t="inlineStr">
        <x:is>
          <x:t xml:space="preserve">TRC</x:t>
        </x:is>
      </x:c>
      <x:c r="H7" s="497" t="str">
        <x:f>IF(OR(C7="HIGH",C7="CRITICAL"),"YES","NO")</x:f>
        <x:v>NO</x:v>
      </x:c>
      <x:c r="I7" s="497" t="str">
        <x:f>IF(H7="YES","ESCALATE","MONITOR")</x:f>
        <x:v>MONITOR</x:v>
      </x:c>
      <x:c r="J7" s="497" t="str">
        <x:f>IF(OR(H7="YES",H7="NO"),"PASS","FAIL")</x:f>
        <x:v>PASS</x:v>
      </x:c>
    </x:row>
    <x:row r="8" s="455" customFormat="1" ht="26.25" customHeight="1">
      <x:c r="A8" s="461" t="inlineStr">
        <x:is>
          <x:t xml:space="preserve">Scenario_Probability_Risk</x:t>
        </x:is>
      </x:c>
      <x:c r="B8" s="461" t="inlineStr">
        <x:is>
          <x:t xml:space="preserve">Disclose scenario library and probability basis for TRC</x:t>
        </x:is>
      </x:c>
      <x:c r="C8" s="461" t="inlineStr">
        <x:is>
          <x:t xml:space="preserve">CHECK</x:t>
        </x:is>
      </x:c>
      <x:c r="D8" s="461" t="inlineStr">
        <x:is>
          <x:t xml:space="preserve">Scenario_Impacts / TRC</x:t>
        </x:is>
      </x:c>
      <x:c r="E8" s="461" t="inlineStr">
        <x:is>
          <x:t xml:space="preserve">Stress-test low-probability/high-impact scenarios</x:t>
        </x:is>
      </x:c>
      <x:c r="F8" s="461" t="inlineStr">
        <x:is>
          <x:t xml:space="preserve">NO_UNSUPPORTED_DOWNWEIGHTING</x:t>
        </x:is>
      </x:c>
      <x:c r="G8" s="497" t="inlineStr">
        <x:is>
          <x:t xml:space="preserve">HDW/PLSS</x:t>
        </x:is>
      </x:c>
      <x:c r="H8" s="497" t="str">
        <x:f>IF(OR(C8="HIGH",C8="CRITICAL"),"YES","NO")</x:f>
        <x:v>NO</x:v>
      </x:c>
      <x:c r="I8" s="497" t="str">
        <x:f>IF(H8="YES","ESCALATE","MONITOR")</x:f>
        <x:v>MONITOR</x:v>
      </x:c>
      <x:c r="J8" s="497" t="str">
        <x:f>IF(OR(H8="YES",H8="NO"),"PASS","FAIL")</x:f>
        <x:v>PASS</x:v>
      </x:c>
    </x:row>
    <x:row r="9" s="455" customFormat="1" ht="26.25" customHeight="1">
      <x:c r="A9" s="461" t="inlineStr">
        <x:is>
          <x:t xml:space="preserve">Threshold_Laundering_Risk</x:t>
        </x:is>
      </x:c>
      <x:c r="B9" s="461" t="inlineStr">
        <x:is>
          <x:t xml:space="preserve">Disclose rights thresholds, catastrophic corridor thresholds, and maturity thresholds</x:t>
        </x:is>
      </x:c>
      <x:c r="C9" s="461" t="inlineStr">
        <x:is>
          <x:t xml:space="preserve">CHECK</x:t>
        </x:is>
      </x:c>
      <x:c r="D9" s="461" t="inlineStr">
        <x:is>
          <x:t xml:space="preserve">CANON / Parameters / PCC</x:t>
        </x:is>
      </x:c>
      <x:c r="E9" s="461" t="inlineStr">
        <x:is>
          <x:t xml:space="preserve">Escalate if threshold choice controls verdict</x:t>
        </x:is>
      </x:c>
      <x:c r="F9" s="461" t="inlineStr">
        <x:is>
          <x:t xml:space="preserve">THRESHOLD_JUSTIFICATION_REQUIRED</x:t>
        </x:is>
      </x:c>
      <x:c r="G9" s="497" t="inlineStr">
        <x:is>
          <x:t xml:space="preserve">All maturity surfaces</x:t>
        </x:is>
      </x:c>
      <x:c r="H9" s="497" t="str">
        <x:f>IF(OR(C9="HIGH",C9="CRITICAL"),"YES","NO")</x:f>
        <x:v>NO</x:v>
      </x:c>
      <x:c r="I9" s="497" t="str">
        <x:f>IF(H9="YES","ESCALATE","MONITOR")</x:f>
        <x:v>MONITOR</x:v>
      </x:c>
      <x:c r="J9" s="497" t="str">
        <x:f>IF(OR(H9="YES",H9="NO"),"PASS","FAIL")</x:f>
        <x:v>PASS</x:v>
      </x:c>
    </x:row>
    <x:row r="10" s="455" customFormat="1" ht="26.25" customHeight="1">
      <x:c r="A10" s="461" t="inlineStr">
        <x:is>
          <x:t xml:space="preserve">Reviewer_Disagreement_Level</x:t>
        </x:is>
      </x:c>
      <x:c r="B10" s="461" t="inlineStr">
        <x:is>
          <x:t xml:space="preserve">Record disagreement over evidence, scoring, boundary, threshold, or maturity classification</x:t>
        </x:is>
      </x:c>
      <x:c r="C10" s="461" t="inlineStr">
        <x:is>
          <x:t xml:space="preserve">LOW_OR_NOT_RECORDED</x:t>
        </x:is>
      </x:c>
      <x:c r="D10" s="461" t="inlineStr">
        <x:is>
          <x:t xml:space="preserve">Reviewer notes / audit process</x:t>
        </x:is>
      </x:c>
      <x:c r="E10" s="461" t="inlineStr">
        <x:is>
          <x:t xml:space="preserve">Escalate when disagreement is material</x:t>
        </x:is>
      </x:c>
      <x:c r="F10" s="461" t="inlineStr">
        <x:is>
          <x:t xml:space="preserve">DISCLOSE_AND_RESOLVE</x:t>
        </x:is>
      </x:c>
      <x:c r="G10" s="497" t="inlineStr">
        <x:is>
          <x:t xml:space="preserve">All reviewer-dependent gates</x:t>
        </x:is>
      </x:c>
      <x:c r="H10" s="497" t="str">
        <x:f>IF(OR(C10="HIGH",C10="CRITICAL"),"YES","NO")</x:f>
        <x:v>NO</x:v>
      </x:c>
      <x:c r="I10" s="497" t="str">
        <x:f>IF(H10="YES","ESCALATE","MONITOR")</x:f>
        <x:v>MONITOR</x:v>
      </x:c>
      <x:c r="J10" s="497" t="str">
        <x:f>IF(OR(H10="YES",H10="NO"),"PASS","FAIL")</x:f>
        <x:v>PASS</x:v>
      </x:c>
    </x:row>
    <x:row r="11" s="455" customFormat="1" ht="39" customHeight="1">
      <x:c r="A11" s="461" t="inlineStr">
        <x:is>
          <x:t xml:space="preserve">Claim Boundary</x:t>
        </x:is>
      </x:c>
      <x:c r="B11" s="461" t="inlineStr">
        <x:is>
          <x:t xml:space="preserve">This sheet improves auditability but does not make the workbook ProofPack-ready, Tier 4-ready, empirically validated, or machine-verifiable-ecosystem-complete.</x:t>
        </x:is>
      </x:c>
      <x:c r="C11" s="461" t="n"/>
      <x:c r="D11" s="461" t="n"/>
      <x:c r="E11" s="461" t="n"/>
      <x:c r="F11" s="461" t="n"/>
    </x:row>
  </x:sheetData>
  <x:pageMargins left="0.7" right="0.7" top="0.75" bottom="0.75" header="0.3" footer="0.3"/>
</x:worksheet>
</file>

<file path=xl/worksheets/sheet46.xml><?xml version="1.0" encoding="utf-8"?>
<x:worksheet xmlns:x="http://schemas.openxmlformats.org/spreadsheetml/2006/main">
  <x:sheetViews>
    <x:sheetView showGridLines="1" workbookViewId="0"/>
  </x:sheetViews>
  <x:sheetFormatPr baseColWidth="8" defaultColWidth="8.6796875" defaultRowHeight="12.75"/>
  <x:cols>
    <x:col min="1" max="1" width="31.559999465942383" style="454" customWidth="1"/>
    <x:col min="2" max="2" width="52.790000915527344" style="454" customWidth="1"/>
    <x:col min="3" max="3" width="40.33000183105469" style="454" customWidth="1"/>
    <x:col min="4" max="4" width="49" style="454" customWidth="1"/>
  </x:cols>
  <x:sheetData>
    <x:row r="1" s="455" customFormat="1" ht="12.75" customHeight="1">
      <x:c r="A1" s="606" t="inlineStr">
        <x:is>
          <x:t xml:space="preserve">Evidence Status Tokens (v3.6)</x:t>
        </x:is>
      </x:c>
      <x:c r="B1" s="606" t="n"/>
      <x:c r="C1" s="606" t="n"/>
      <x:c r="D1" s="606" t="n"/>
    </x:row>
    <x:row r="2" s="455" customFormat="1" ht="12.75" customHeight="1">
      <x:c r="A2" s="609" t="inlineStr">
        <x:is>
          <x:t xml:space="preserve">Token</x:t>
        </x:is>
      </x:c>
      <x:c r="B2" s="609" t="inlineStr">
        <x:is>
          <x:t xml:space="preserve">Meaning</x:t>
        </x:is>
      </x:c>
      <x:c r="C2" s="609" t="inlineStr">
        <x:is>
          <x:t xml:space="preserve">Required disclosure</x:t>
        </x:is>
      </x:c>
      <x:c r="D2" s="609" t="inlineStr">
        <x:is>
          <x:t xml:space="preserve">Claim boundary</x:t>
        </x:is>
      </x:c>
      <x:c r="F2" s="497" t="inlineStr">
        <x:is>
          <x:t xml:space="preserve">Workbook integration</x:t>
        </x:is>
      </x:c>
      <x:c r="G2" s="497" t="inlineStr">
        <x:is>
          <x:t xml:space="preserve">Formula / rule</x:t>
        </x:is>
      </x:c>
      <x:c r="H2" s="497" t="inlineStr">
        <x:is>
          <x:t xml:space="preserve">Status</x:t>
        </x:is>
      </x:c>
    </x:row>
    <x:row r="3" s="455" customFormat="1" ht="12.75" customHeight="1">
      <x:c r="A3" s="454" t="inlineStr">
        <x:is>
          <x:t xml:space="preserve">MEASURED</x:t>
        </x:is>
      </x:c>
      <x:c r="B3" s="454" t="inlineStr">
        <x:is>
          <x:t xml:space="preserve">Directly observed or measured with disclosed method and source.</x:t>
        </x:is>
      </x:c>
      <x:c r="C3" s="454" t="inlineStr">
        <x:is>
          <x:t xml:space="preserve">method, source, date or version</x:t>
        </x:is>
      </x:c>
      <x:c r="D3" s="454" t="inlineStr">
        <x:is>
          <x:t xml:space="preserve">May support factual claim within method limits.</x:t>
        </x:is>
      </x:c>
      <x:c r="F3" s="497" t="inlineStr">
        <x:is>
          <x:t xml:space="preserve">Token count</x:t>
        </x:is>
      </x:c>
      <x:c r="G3" s="497" t="inlineStr">
        <x:is>
          <x:t xml:space="preserve">Expected 8 canonical tokens</x:t>
        </x:is>
      </x:c>
      <x:c r="H3" s="497" t="str">
        <x:f>IF(COUNTA(A3:A10)=8,"PASS","FAIL")</x:f>
        <x:v>PASS</x:v>
      </x:c>
    </x:row>
    <x:row r="4" s="455" customFormat="1" ht="12.75" customHeight="1">
      <x:c r="A4" s="454" t="inlineStr">
        <x:is>
          <x:t xml:space="preserve">ESTIMATED</x:t>
        </x:is>
      </x:c>
      <x:c r="B4" s="454" t="inlineStr">
        <x:is>
          <x:t xml:space="preserve">Calculated or inferred from disclosed evidence.</x:t>
        </x:is>
      </x:c>
      <x:c r="C4" s="454" t="inlineStr">
        <x:is>
          <x:t xml:space="preserve">method, assumptions, source inputs</x:t>
        </x:is>
      </x:c>
      <x:c r="D4" s="454" t="inlineStr">
        <x:is>
          <x:t xml:space="preserve">Not direct measurement.</x:t>
        </x:is>
      </x:c>
      <x:c r="F4" s="497" t="inlineStr">
        <x:is>
          <x:t xml:space="preserve">PCC disclosure</x:t>
        </x:is>
      </x:c>
      <x:c r="G4" s="497" t="inlineStr">
        <x:is>
          <x:t xml:space="preserve">PCC Section 26 includes representative evidence-status records</x:t>
        </x:is>
      </x:c>
      <x:c r="H4" s="497" t="str">
        <x:f>IF(COUNTA(PCC!A190:A204)&gt;=8,"PASS","FAIL")</x:f>
        <x:v>PASS</x:v>
      </x:c>
    </x:row>
    <x:row r="5" s="455" customFormat="1" ht="12.75" customHeight="1">
      <x:c r="A5" s="454" t="inlineStr">
        <x:is>
          <x:t xml:space="preserve">ASSUMED</x:t>
        </x:is>
      </x:c>
      <x:c r="B5" s="454" t="inlineStr">
        <x:is>
          <x:t xml:space="preserve">Explicit assumption adopted for the run.</x:t>
        </x:is>
      </x:c>
      <x:c r="C5" s="454" t="inlineStr">
        <x:is>
          <x:t xml:space="preserve">assumption owner and reason</x:t>
        </x:is>
      </x:c>
      <x:c r="D5" s="454" t="inlineStr">
        <x:is>
          <x:t xml:space="preserve">Must not be presented as fact.</x:t>
        </x:is>
      </x:c>
      <x:c r="F5" s="497" t="inlineStr">
        <x:is>
          <x:t xml:space="preserve">Claim boundary</x:t>
        </x:is>
      </x:c>
      <x:c r="G5" s="497" t="inlineStr">
        <x:is>
          <x:t xml:space="preserve">Tokens disclose evidence posture; they do not validate the evidence</x:t>
        </x:is>
      </x:c>
      <x:c r="H5" s="497" t="inlineStr">
        <x:is>
          <x:t xml:space="preserve">PASS</x:t>
        </x:is>
      </x:c>
    </x:row>
    <x:row r="6" s="455" customFormat="1" ht="12.75" customHeight="1">
      <x:c r="A6" s="454" t="inlineStr">
        <x:is>
          <x:t xml:space="preserve">EXPERT_JUDGMENT</x:t>
        </x:is>
      </x:c>
      <x:c r="B6" s="454" t="inlineStr">
        <x:is>
          <x:t xml:space="preserve">Reviewer or domain expert judgment.</x:t>
        </x:is>
      </x:c>
      <x:c r="C6" s="454" t="inlineStr">
        <x:is>
          <x:t xml:space="preserve">reviewer role, expertise basis, disagreement status</x:t>
        </x:is>
      </x:c>
      <x:c r="D6" s="454" t="inlineStr">
        <x:is>
          <x:t xml:space="preserve">Judgment, not empirical validation.</x:t>
        </x:is>
      </x:c>
    </x:row>
    <x:row r="7" s="455" customFormat="1" ht="12.75" customHeight="1">
      <x:c r="A7" s="454" t="inlineStr">
        <x:is>
          <x:t xml:space="preserve">CONTESTED</x:t>
        </x:is>
      </x:c>
      <x:c r="B7" s="454" t="inlineStr">
        <x:is>
          <x:t xml:space="preserve">Materially disputed evidence or interpretation.</x:t>
        </x:is>
      </x:c>
      <x:c r="C7" s="454" t="inlineStr">
        <x:is>
          <x:t xml:space="preserve">dispute description and alternatives</x:t>
        </x:is>
      </x:c>
      <x:c r="D7" s="454" t="inlineStr">
        <x:is>
          <x:t xml:space="preserve">Requires sensitivity or escalation.</x:t>
        </x:is>
      </x:c>
    </x:row>
    <x:row r="8" s="455" customFormat="1" ht="12.75" customHeight="1">
      <x:c r="A8" s="454" t="inlineStr">
        <x:is>
          <x:t xml:space="preserve">UNVALIDATED</x:t>
        </x:is>
      </x:c>
      <x:c r="B8" s="454" t="inlineStr">
        <x:is>
          <x:t xml:space="preserve">Plausible but not externally validated for the claimed use.</x:t>
        </x:is>
      </x:c>
      <x:c r="C8" s="454" t="inlineStr">
        <x:is>
          <x:t xml:space="preserve">validation gap</x:t>
        </x:is>
      </x:c>
      <x:c r="D8" s="454" t="inlineStr">
        <x:is>
          <x:t xml:space="preserve">Cannot support stronger readiness claim.</x:t>
        </x:is>
      </x:c>
    </x:row>
    <x:row r="9" s="455" customFormat="1" ht="12.75" customHeight="1">
      <x:c r="A9" s="454" t="inlineStr">
        <x:is>
          <x:t xml:space="preserve">NOT_OBSERVED</x:t>
        </x:is>
      </x:c>
      <x:c r="B9" s="454" t="inlineStr">
        <x:is>
          <x:t xml:space="preserve">No direct evidence currently observed.</x:t>
        </x:is>
      </x:c>
      <x:c r="C9" s="454" t="inlineStr">
        <x:is>
          <x:t xml:space="preserve">missing evidence note</x:t>
        </x:is>
      </x:c>
      <x:c r="D9" s="454" t="inlineStr">
        <x:is>
          <x:t xml:space="preserve">Triggers caution, phantom/default, or refusal where material.</x:t>
        </x:is>
      </x:c>
    </x:row>
    <x:row r="10" s="455" customFormat="1" ht="12.75" customHeight="1">
      <x:c r="A10" s="454" t="inlineStr">
        <x:is>
          <x:t xml:space="preserve">PLACEHOLDER_FOR_SENSITIVITY_ONLY</x:t>
        </x:is>
      </x:c>
      <x:c r="B10" s="454" t="inlineStr">
        <x:is>
          <x:t xml:space="preserve">Value used only for sensitivity exploration.</x:t>
        </x:is>
      </x:c>
      <x:c r="C10" s="454" t="inlineStr">
        <x:is>
          <x:t xml:space="preserve">sensitivity purpose</x:t>
        </x:is>
      </x:c>
      <x:c r="D10" s="454" t="inlineStr">
        <x:is>
          <x:t xml:space="preserve">Not a factual input.</x:t>
        </x:is>
      </x:c>
    </x:row>
  </x:sheetData>
  <x:pageMargins left="0.7" right="0.7" top="0.75" bottom="0.75" header="0.3" footer="0.3"/>
</x:worksheet>
</file>

<file path=xl/worksheets/sheet47.xml><?xml version="1.0" encoding="utf-8"?>
<x:worksheet xmlns:x="http://schemas.openxmlformats.org/spreadsheetml/2006/main">
  <x:sheetViews>
    <x:sheetView showGridLines="1" workbookViewId="0"/>
  </x:sheetViews>
  <x:sheetFormatPr baseColWidth="8" defaultColWidth="8.6796875" defaultRowHeight="12.75"/>
  <x:cols>
    <x:col min="1" max="1" width="30.770000457763672" style="454" customWidth="1"/>
    <x:col min="2" max="2" width="29.559999465942383" style="454" customWidth="1"/>
    <x:col min="3" max="3" width="62.66999816894531" style="454" customWidth="1"/>
    <x:col min="4" max="4" width="50.560001373291016" style="454" customWidth="1"/>
    <x:col min="5" max="5" width="30.219999313354492" style="454" customWidth="1"/>
    <x:col min="6" max="6" width="63.220001220703125" style="454" customWidth="1"/>
  </x:cols>
  <x:sheetData>
    <x:row r="1" s="455" customFormat="1" ht="26.25" customHeight="1">
      <x:c r="A1" s="606" t="inlineStr">
        <x:is>
          <x:t xml:space="preserve">Compact Institutional Profiles (v3.6)</x:t>
        </x:is>
      </x:c>
      <x:c r="B1" s="606" t="n"/>
      <x:c r="C1" s="606" t="n"/>
      <x:c r="D1" s="606" t="n"/>
      <x:c r="E1" s="606" t="n"/>
      <x:c r="F1" s="606" t="n"/>
    </x:row>
    <x:row r="2" s="455" customFormat="1" ht="12.75" customHeight="1">
      <x:c r="A2" s="609" t="inlineStr">
        <x:is>
          <x:t xml:space="preserve">Profile</x:t>
        </x:is>
      </x:c>
      <x:c r="B2" s="609" t="inlineStr">
        <x:is>
          <x:t xml:space="preserve">Use case</x:t>
        </x:is>
      </x:c>
      <x:c r="C2" s="609" t="inlineStr">
        <x:is>
          <x:t xml:space="preserve">Required inputs</x:t>
        </x:is>
      </x:c>
      <x:c r="D2" s="609" t="inlineStr">
        <x:is>
          <x:t xml:space="preserve">Mandatory gates</x:t>
        </x:is>
      </x:c>
      <x:c r="E2" s="609" t="inlineStr">
        <x:is>
          <x:t xml:space="preserve">Allowed simplification</x:t>
        </x:is>
      </x:c>
      <x:c r="F2" s="609" t="inlineStr">
        <x:is>
          <x:t xml:space="preserve">Non-waivable controls</x:t>
        </x:is>
      </x:c>
      <x:c r="G2" s="497" t="inlineStr">
        <x:is>
          <x:t xml:space="preserve">Profile status</x:t>
        </x:is>
      </x:c>
      <x:c r="H2" s="497" t="inlineStr">
        <x:is>
          <x:t xml:space="preserve">Non-waivable controls present?</x:t>
        </x:is>
      </x:c>
      <x:c r="I2" s="497" t="inlineStr">
        <x:is>
          <x:t xml:space="preserve">Formula Status</x:t>
        </x:is>
      </x:c>
    </x:row>
    <x:row r="3" s="455" customFormat="1" ht="12.75" customHeight="1">
      <x:c r="A3" s="454" t="inlineStr">
        <x:is>
          <x:t xml:space="preserve">RippleLogic-enhanced RIA Profile</x:t>
        </x:is>
      </x:c>
      <x:c r="B3" s="454" t="inlineStr">
        <x:is>
          <x:t xml:space="preserve">Regulatory impact analysis overlay</x:t>
        </x:is>
      </x:c>
      <x:c r="C3" s="454" t="inlineStr">
        <x:is>
          <x:t xml:space="preserve">policy option, affected stakeholders, rights baseline, scenarios, evidence status</x:t>
        </x:is>
      </x:c>
      <x:c r="D3" s="454" t="inlineStr">
        <x:is>
          <x:t xml:space="preserve">NCRC, TRC, Containment, Refusal, claim-boundary note</x:t>
        </x:is>
      </x:c>
      <x:c r="E3" s="454" t="inlineStr">
        <x:is>
          <x:t xml:space="preserve">short-form PCC and RLS summary</x:t>
        </x:is>
      </x:c>
      <x:c r="F3" s="454" t="inlineStr">
        <x:is>
          <x:t xml:space="preserve">rights floors, tail risk, containment, public legitimacy</x:t>
        </x:is>
      </x:c>
      <x:c r="G3" s="497" t="str">
        <x:f>IF(COUNTA(A3:F3)&gt;=6,"DEFINED","INCOMPLETE")</x:f>
        <x:v>DEFINED</x:v>
      </x:c>
      <x:c r="H3" s="497" t="str">
        <x:f>IF(F3&lt;&gt;"","YES","NO")</x:f>
        <x:v>YES</x:v>
      </x:c>
      <x:c r="I3" s="497" t="str">
        <x:f>IF(AND(G3="DEFINED",H3="YES"),"PASS","FAIL")</x:f>
        <x:v>PASS</x:v>
      </x:c>
    </x:row>
    <x:row r="4" s="455" customFormat="1" ht="12.75" customHeight="1">
      <x:c r="A4" s="454" t="inlineStr">
        <x:is>
          <x:t xml:space="preserve">Procurement/Vendor-Risk Profile</x:t>
        </x:is>
      </x:c>
      <x:c r="B4" s="454" t="inlineStr">
        <x:is>
          <x:t xml:space="preserve">public or organizational procurement</x:t>
        </x:is>
      </x:c>
      <x:c r="C4" s="454" t="inlineStr">
        <x:is>
          <x:t xml:space="preserve">vendor option, lock-in risk, data use, affected stakeholders, rollback plan</x:t>
        </x:is>
      </x:c>
      <x:c r="D4" s="454" t="inlineStr">
        <x:is>
          <x:t xml:space="preserve">NCRC, TRC, Containment, anti-domination, rollback</x:t>
        </x:is>
      </x:c>
      <x:c r="E4" s="454" t="inlineStr">
        <x:is>
          <x:t xml:space="preserve">vendor-risk checklist with PCC excerpt</x:t>
        </x:is>
      </x:c>
      <x:c r="F4" s="454" t="inlineStr">
        <x:is>
          <x:t xml:space="preserve">no hidden lock-in, no rights laundering, no unsupported ProofPack claim</x:t>
        </x:is>
      </x:c>
      <x:c r="G4" s="497" t="str">
        <x:f>IF(COUNTA(A4:F4)&gt;=6,"DEFINED","INCOMPLETE")</x:f>
        <x:v>DEFINED</x:v>
      </x:c>
      <x:c r="H4" s="497" t="str">
        <x:f>IF(F4&lt;&gt;"","YES","NO")</x:f>
        <x:v>YES</x:v>
      </x:c>
      <x:c r="I4" s="497" t="str">
        <x:f>IF(AND(G4="DEFINED",H4="YES"),"PASS","FAIL")</x:f>
        <x:v>PASS</x:v>
      </x:c>
    </x:row>
    <x:row r="5" s="455" customFormat="1" ht="12.75" customHeight="1">
      <x:c r="A5" s="454" t="inlineStr">
        <x:is>
          <x:t xml:space="preserve">Agent Deployment Gate Profile</x:t>
        </x:is>
      </x:c>
      <x:c r="B5" s="454" t="inlineStr">
        <x:is>
          <x:t xml:space="preserve">AI agent deployment review</x:t>
        </x:is>
      </x:c>
      <x:c r="C5" s="454" t="inlineStr">
        <x:is>
          <x:t xml:space="preserve">mode level, tools, operator authority, data-retention posture, red-team status</x:t>
        </x:is>
      </x:c>
      <x:c r="D5" s="454" t="inlineStr">
        <x:is>
          <x:t xml:space="preserve">NCRC, TRC, Containment, NEI, operator auth, refusal/escalation</x:t>
        </x:is>
      </x:c>
      <x:c r="E5" s="454" t="inlineStr">
        <x:is>
          <x:t xml:space="preserve">deployment gate memo</x:t>
        </x:is>
      </x:c>
      <x:c r="F5" s="454" t="inlineStr">
        <x:is>
          <x:t xml:space="preserve">hard invariants, default-deny tools, audit logs, rollback</x:t>
        </x:is>
      </x:c>
      <x:c r="G5" s="497" t="str">
        <x:f>IF(COUNTA(A5:F5)&gt;=6,"DEFINED","INCOMPLETE")</x:f>
        <x:v>DEFINED</x:v>
      </x:c>
      <x:c r="H5" s="497" t="str">
        <x:f>IF(F5&lt;&gt;"","YES","NO")</x:f>
        <x:v>YES</x:v>
      </x:c>
      <x:c r="I5" s="497" t="str">
        <x:f>IF(AND(G5="DEFINED",H5="YES"),"PASS","FAIL")</x:f>
        <x:v>PASS</x:v>
      </x:c>
    </x:row>
    <x:row r="6" s="455" customFormat="1" ht="12.75" customHeight="1">
      <x:c r="A6" s="454" t="inlineStr">
        <x:is>
          <x:t xml:space="preserve">University AI Policy Review Profile</x:t>
        </x:is>
      </x:c>
      <x:c r="B6" s="454" t="inlineStr">
        <x:is>
          <x:t xml:space="preserve">higher-education AI governance</x:t>
        </x:is>
      </x:c>
      <x:c r="C6" s="454" t="inlineStr">
        <x:is>
          <x:t xml:space="preserve">policy purpose, student/staff rights, privacy, assessment integrity, appeals</x:t>
        </x:is>
      </x:c>
      <x:c r="D6" s="454" t="inlineStr">
        <x:is>
          <x:t xml:space="preserve">NCRC, TRC, Containment, public reason, contestability</x:t>
        </x:is>
      </x:c>
      <x:c r="E6" s="454" t="inlineStr">
        <x:is>
          <x:t xml:space="preserve">committee memo and Decision Note</x:t>
        </x:is>
      </x:c>
      <x:c r="F6" s="454" t="inlineStr">
        <x:is>
          <x:t xml:space="preserve">due process, information rights, appeal/review, no AI-authority laundering</x:t>
        </x:is>
      </x:c>
      <x:c r="G6" s="497" t="str">
        <x:f>IF(COUNTA(A6:F6)&gt;=6,"DEFINED","INCOMPLETE")</x:f>
        <x:v>DEFINED</x:v>
      </x:c>
      <x:c r="H6" s="497" t="str">
        <x:f>IF(F6&lt;&gt;"","YES","NO")</x:f>
        <x:v>YES</x:v>
      </x:c>
      <x:c r="I6" s="497" t="str">
        <x:f>IF(AND(G6="DEFINED",H6="YES"),"PASS","FAIL")</x:f>
        <x:v>PASS</x:v>
      </x:c>
    </x:row>
    <x:row r="7" s="455" customFormat="1" ht="12.75" customHeight="1">
      <x:c r="A7" s="454" t="inlineStr">
        <x:is>
          <x:t xml:space="preserve">Organizational Ethics Review Profile</x:t>
        </x:is>
      </x:c>
      <x:c r="B7" s="454" t="inlineStr">
        <x:is>
          <x:t xml:space="preserve">internal ethics and risk review</x:t>
        </x:is>
      </x:c>
      <x:c r="C7" s="454" t="inlineStr">
        <x:is>
          <x:t xml:space="preserve">proposal, stakeholders, material harms, evidence status, accountability owner</x:t>
        </x:is>
      </x:c>
      <x:c r="D7" s="454" t="inlineStr">
        <x:is>
          <x:t xml:space="preserve">NCRC, TRC, Containment, audit trail, rollback</x:t>
        </x:is>
      </x:c>
      <x:c r="E7" s="454" t="inlineStr">
        <x:is>
          <x:t xml:space="preserve">compact ethics memo</x:t>
        </x:is>
      </x:c>
      <x:c r="F7" s="454" t="inlineStr">
        <x:is>
          <x:t xml:space="preserve">rights floors, reviewer disagreement disclosure, public rationale where relevant</x:t>
        </x:is>
      </x:c>
      <x:c r="G7" s="497" t="str">
        <x:f>IF(COUNTA(A7:F7)&gt;=6,"DEFINED","INCOMPLETE")</x:f>
        <x:v>DEFINED</x:v>
      </x:c>
      <x:c r="H7" s="497" t="str">
        <x:f>IF(F7&lt;&gt;"","YES","NO")</x:f>
        <x:v>YES</x:v>
      </x:c>
      <x:c r="I7" s="497" t="str">
        <x:f>IF(AND(G7="DEFINED",H7="YES"),"PASS","FAIL")</x:f>
        <x:v>PASS</x:v>
      </x:c>
    </x:row>
  </x:sheetData>
  <x:pageMargins left="0.7" right="0.7" top="0.75" bottom="0.75" header="0.3" footer="0.3"/>
</x:worksheet>
</file>

<file path=xl/worksheets/sheet48.xml><?xml version="1.0" encoding="utf-8"?>
<x:worksheet xmlns:x="http://schemas.openxmlformats.org/spreadsheetml/2006/main">
  <x:sheetViews>
    <x:sheetView showGridLines="1" workbookViewId="0"/>
  </x:sheetViews>
  <x:sheetFormatPr baseColWidth="8" defaultColWidth="8.6796875" defaultRowHeight="12.75"/>
  <x:cols>
    <x:col min="1" max="1" width="40.560001373291016" style="454" customWidth="1"/>
    <x:col min="2" max="2" width="82" style="454" customWidth="1"/>
    <x:col min="3" max="3" width="43.880001068115234" style="454" customWidth="1"/>
    <x:col min="4" max="4" width="56.11000061035156" style="454" customWidth="1"/>
  </x:cols>
  <x:sheetData>
    <x:row r="1" s="455" customFormat="1" ht="26.25" customHeight="1">
      <x:c r="A1" s="606" t="inlineStr">
        <x:is>
          <x:t xml:space="preserve">SGP Patienthood / Participation Guardrail (v5.5)</x:t>
        </x:is>
      </x:c>
      <x:c r="B1" s="606" t="n"/>
      <x:c r="C1" s="606" t="n"/>
      <x:c r="D1" s="606" t="n"/>
    </x:row>
    <x:row r="2" s="455" customFormat="1" ht="12.75" customHeight="1">
      <x:c r="A2" s="609" t="inlineStr">
        <x:is>
          <x:t xml:space="preserve">Output family</x:t>
        </x:is>
      </x:c>
      <x:c r="B2" s="609" t="inlineStr">
        <x:is>
          <x:t xml:space="preserve">Meaning</x:t>
        </x:is>
      </x:c>
      <x:c r="C2" s="609" t="inlineStr">
        <x:is>
          <x:t xml:space="preserve">Use</x:t>
        </x:is>
      </x:c>
      <x:c r="D2" s="609" t="inlineStr">
        <x:is>
          <x:t xml:space="preserve">Non-reduction rule</x:t>
        </x:is>
      </x:c>
    </x:row>
    <x:row r="3" s="455" customFormat="1" ht="12.75" customHeight="1">
      <x:c r="A3" s="454" t="inlineStr">
        <x:is>
          <x:t xml:space="preserve">MPS - Moral Patienthood Scalar</x:t>
        </x:is>
      </x:c>
      <x:c r="B3" s="454" t="inlineStr">
        <x:is>
          <x:t xml:space="preserve">Protection-relevant welfare-bearing status.</x:t>
        </x:is>
      </x:c>
      <x:c r="C3" s="454" t="inlineStr">
        <x:is>
          <x:t xml:space="preserve">Rights-of-protection and welfare-stream consideration.</x:t>
        </x:is>
      </x:c>
      <x:c r="D3" s="454" t="inlineStr">
        <x:is>
          <x:t xml:space="preserve">Not reducible by low governance participation.</x:t>
        </x:is>
      </x:c>
    </x:row>
    <x:row r="4" s="455" customFormat="1" ht="12.75" customHeight="1">
      <x:c r="A4" s="454" t="inlineStr">
        <x:is>
          <x:t xml:space="preserve">GPR - Governance Participation Readiness</x:t>
        </x:is>
      </x:c>
      <x:c r="B4" s="454" t="inlineStr">
        <x:is>
          <x:t xml:space="preserve">Readiness to participate in governance or collective decision roles.</x:t>
        </x:is>
      </x:c>
      <x:c r="C4" s="454" t="inlineStr">
        <x:is>
          <x:t xml:space="preserve">Role eligibility and participation design.</x:t>
        </x:is>
      </x:c>
      <x:c r="D4" s="454" t="inlineStr">
        <x:is>
          <x:t xml:space="preserve">Cannot reduce protection.</x:t>
        </x:is>
      </x:c>
    </x:row>
    <x:row r="5" s="455" customFormat="1" ht="12.75" customHeight="1">
      <x:c r="A5" s="454" t="inlineStr">
        <x:is>
          <x:t xml:space="preserve">SPR - Stewardship/Power Readiness</x:t>
        </x:is>
      </x:c>
      <x:c r="B5" s="454" t="inlineStr">
        <x:is>
          <x:t xml:space="preserve">Responsibility-bearing authority under domain-fit and accountability constraints.</x:t>
        </x:is>
      </x:c>
      <x:c r="C5" s="454" t="inlineStr">
        <x:is>
          <x:t xml:space="preserve">Authority/responsibility allocation.</x:t>
        </x:is>
      </x:c>
      <x:c r="D5" s="454" t="inlineStr">
        <x:is>
          <x:t xml:space="preserve">Cannot reduce protection.</x:t>
        </x:is>
      </x:c>
    </x:row>
    <x:row r="6" s="455" customFormat="1" ht="12.75" customHeight="1">
      <x:c r="A6" s="454" t="inlineStr">
        <x:is>
          <x:t xml:space="preserve">Pillar C boundary</x:t>
        </x:is>
      </x:c>
      <x:c r="B6" s="454" t="inlineStr">
        <x:is>
          <x:t xml:space="preserve">Union Participation may be patienthood, participation, or stewardship evidence depending on context.</x:t>
        </x:is>
      </x:c>
      <x:c r="C6" s="454" t="inlineStr">
        <x:is>
          <x:t xml:space="preserve">Evaluator must classify use.</x:t>
        </x:is>
      </x:c>
      <x:c r="D6" s="454" t="inlineStr">
        <x:is>
          <x:t xml:space="preserve">Low Pillar C cannot override credible Awareness and Agency evidence.</x:t>
        </x:is>
      </x:c>
    </x:row>
    <x:row r="7" s="455" customFormat="1" ht="12.75" customHeight="1">
      <x:c r="A7" s="454" t="inlineStr">
        <x:is>
          <x:t xml:space="preserve">Human Plateau Rule</x:t>
        </x:is>
      </x:c>
      <x:c r="B7" s="454" t="inlineStr">
        <x:is>
          <x:t xml:space="preserve">All human persons remain at full protected standing by normative commitment.</x:t>
        </x:is>
      </x:c>
      <x:c r="C7" s="454" t="inlineStr">
        <x:is>
          <x:t xml:space="preserve">Non-downgrade protection floor.</x:t>
        </x:is>
      </x:c>
      <x:c r="D7" s="454" t="inlineStr">
        <x:is>
          <x:t xml:space="preserve">No measurement route may reduce human rights.</x:t>
        </x:is>
      </x:c>
    </x:row>
    <x:row r="8"/>
    <x:row r="9" s="455" customFormat="1" ht="12.75" customHeight="1">
      <x:c r="A9" s="454" t="inlineStr">
        <x:is>
          <x:t xml:space="preserve">Computation / Disclosure Bridge</x:t>
        </x:is>
      </x:c>
      <x:c r="B9" s="454" t="inlineStr">
        <x:is>
          <x:t xml:space="preserve">Source</x:t>
        </x:is>
      </x:c>
      <x:c r="C9" s="454" t="inlineStr">
        <x:is>
          <x:t xml:space="preserve">Formula or declaration</x:t>
        </x:is>
      </x:c>
      <x:c r="D9" s="454" t="inlineStr">
        <x:is>
          <x:t xml:space="preserve">Output</x:t>
        </x:is>
      </x:c>
      <x:c r="E9" s="497" t="inlineStr">
        <x:is>
          <x:t xml:space="preserve">Status</x:t>
        </x:is>
      </x:c>
    </x:row>
    <x:row r="10" s="455" customFormat="1" ht="12.75" customHeight="1">
      <x:c r="A10" s="454" t="inlineStr">
        <x:is>
          <x:t xml:space="preserve">Principle</x:t>
        </x:is>
      </x:c>
      <x:c r="B10" s="454" t="inlineStr">
        <x:is>
          <x:t xml:space="preserve">SGP v5.5 Appendix J</x:t>
        </x:is>
      </x:c>
      <x:c r="C10" s="454" t="inlineStr">
        <x:is>
          <x:t xml:space="preserve">MPS cannot be reduced by GPR/SPR</x:t>
        </x:is>
      </x:c>
      <x:c r="D10" s="454" t="inlineStr">
        <x:is>
          <x:t xml:space="preserve">NON_REDUCTION_RULE</x:t>
        </x:is>
      </x:c>
      <x:c r="E10" s="497" t="inlineStr">
        <x:is>
          <x:t xml:space="preserve">PASS</x:t>
        </x:is>
      </x:c>
    </x:row>
    <x:row r="11" s="455" customFormat="1" ht="12.75" customHeight="1">
      <x:c r="A11" s="454" t="inlineStr">
        <x:is>
          <x:t xml:space="preserve">MPS_Result</x:t>
        </x:is>
      </x:c>
      <x:c r="B11" s="454" t="inlineStr">
        <x:is>
          <x:t xml:space="preserve">SGP_Input!D13:D18</x:t>
        </x:is>
      </x:c>
      <x:c r="C11" s="454" t="inlineStr">
        <x:is>
          <x:t xml:space="preserve">Minimum human plateau / protected standing in worked run</x:t>
        </x:is>
      </x:c>
      <x:c r="D11" s="454" t="n">
        <x:f>IF(COUNTA(SGP_Input!D13:D18)&gt;0,MIN(SGP_Input!D13:D18),"NOT_EVALUATED")</x:f>
        <x:v>1</x:v>
      </x:c>
      <x:c r="E11" s="497" t="str">
        <x:f>IF(D11&gt;=1,"PASS","REVIEW")</x:f>
        <x:v>PASS</x:v>
      </x:c>
    </x:row>
    <x:row r="12" s="455" customFormat="1" ht="12.75" customHeight="1">
      <x:c r="A12" s="454" t="inlineStr">
        <x:is>
          <x:t xml:space="preserve">GPR_Result</x:t>
        </x:is>
      </x:c>
      <x:c r="B12" s="454" t="inlineStr">
        <x:is>
          <x:t xml:space="preserve">No governance role evaluated</x:t>
        </x:is>
      </x:c>
      <x:c r="C12" s="454" t="inlineStr">
        <x:is>
          <x:t xml:space="preserve">Role readiness not evaluated in this Tier-2 worked run</x:t>
        </x:is>
      </x:c>
      <x:c r="D12" s="454" t="str">
        <x:f>"NOT_EVALUATED_PROFILE_ONLY"</x:f>
        <x:v>NOT_EVALUATED_PROFILE_ONLY</x:v>
      </x:c>
      <x:c r="E12" s="497" t="str">
        <x:f>IF(D12&lt;&gt;"","PASS","FAIL")</x:f>
        <x:v>PASS</x:v>
      </x:c>
    </x:row>
    <x:row r="13" s="455" customFormat="1" ht="12.75" customHeight="1">
      <x:c r="A13" s="454" t="inlineStr">
        <x:is>
          <x:t xml:space="preserve">SPR_Result</x:t>
        </x:is>
      </x:c>
      <x:c r="B13" s="454" t="inlineStr">
        <x:is>
          <x:t xml:space="preserve">No stewardship authority evaluated</x:t>
        </x:is>
      </x:c>
      <x:c r="C13" s="454" t="inlineStr">
        <x:is>
          <x:t xml:space="preserve">Authority readiness not evaluated in this Tier-2 worked run</x:t>
        </x:is>
      </x:c>
      <x:c r="D13" s="454" t="str">
        <x:f>"NOT_EVALUATED_PROFILE_ONLY"</x:f>
        <x:v>NOT_EVALUATED_PROFILE_ONLY</x:v>
      </x:c>
      <x:c r="E13" s="497" t="str">
        <x:f>IF(D13&lt;&gt;"","PASS","FAIL")</x:f>
        <x:v>PASS</x:v>
      </x:c>
    </x:row>
    <x:row r="14"/>
    <x:row r="15" s="455" customFormat="1" ht="12.75" customHeight="1">
      <x:c r="A15" s="454" t="inlineStr">
        <x:is>
          <x:t xml:space="preserve">Guardrail_Status</x:t>
        </x:is>
      </x:c>
      <x:c r="B15" s="454" t="inlineStr">
        <x:is>
          <x:t xml:space="preserve">MPS/GPR/SPR split disclosed</x:t>
        </x:is>
      </x:c>
      <x:c r="C15" s="454" t="inlineStr">
        <x:is>
          <x:t xml:space="preserve">Low GPR/SPR cannot reduce protection</x:t>
        </x:is>
      </x:c>
      <x:c r="D15" s="454" t="n">
        <x:f>COUNTIF(E11:E13,"PASS")</x:f>
        <x:v>3</x:v>
      </x:c>
      <x:c r="E15" s="497" t="str">
        <x:f>IF(D15=3,"PASS","FAIL")</x:f>
        <x:v>PASS</x:v>
      </x:c>
    </x:row>
  </x:sheetData>
  <x:pageMargins left="0.7" right="0.7" top="0.75" bottom="0.75" header="0.3" footer="0.3"/>
</x:worksheet>
</file>

<file path=xl/worksheets/sheet49.xml><?xml version="1.0" encoding="utf-8"?>
<x:worksheet xmlns:x="http://schemas.openxmlformats.org/spreadsheetml/2006/main">
  <x:sheetViews>
    <x:sheetView showGridLines="1" workbookViewId="0"/>
  </x:sheetViews>
  <x:sheetFormatPr baseColWidth="8" defaultColWidth="8.6796875" defaultRowHeight="12.75"/>
  <x:cols>
    <x:col min="1" max="1" width="24.110000610351562" style="454" customWidth="1"/>
    <x:col min="2" max="2" width="28.440000534057617" style="454" customWidth="1"/>
    <x:col min="3" max="3" width="61.66999816894531" style="454" customWidth="1"/>
    <x:col min="4" max="4" width="31.559999465942383" style="454" customWidth="1"/>
  </x:cols>
  <x:sheetData>
    <x:row r="1" s="455" customFormat="1" ht="26.25" customHeight="1">
      <x:c r="A1" s="606" t="inlineStr">
        <x:is>
          <x:t xml:space="preserve">Validation Roadmap (v3.6 / RippleLogic v10.8)</x:t>
        </x:is>
      </x:c>
      <x:c r="B1" s="606" t="n"/>
      <x:c r="C1" s="606" t="n"/>
      <x:c r="D1" s="606" t="n"/>
    </x:row>
    <x:row r="2" s="455" customFormat="1" ht="12.75" customHeight="1">
      <x:c r="A2" s="609" t="inlineStr">
        <x:is>
          <x:t xml:space="preserve">Priority</x:t>
        </x:is>
      </x:c>
      <x:c r="B2" s="609" t="inlineStr">
        <x:is>
          <x:t xml:space="preserve">Validation item</x:t>
        </x:is>
      </x:c>
      <x:c r="C2" s="609" t="inlineStr">
        <x:is>
          <x:t xml:space="preserve">Required artifact/data</x:t>
        </x:is>
      </x:c>
      <x:c r="D2" s="609" t="inlineStr">
        <x:is>
          <x:t xml:space="preserve">Claim unlocked only after evidence</x:t>
        </x:is>
      </x:c>
      <x:c r="E2" s="497" t="inlineStr">
        <x:is>
          <x:t xml:space="preserve">Stage</x:t>
        </x:is>
      </x:c>
      <x:c r="F2" s="497" t="inlineStr">
        <x:is>
          <x:t xml:space="preserve">Owner/next artifact</x:t>
        </x:is>
      </x:c>
      <x:c r="G2" s="497" t="inlineStr">
        <x:is>
          <x:t xml:space="preserve">Status</x:t>
        </x:is>
      </x:c>
    </x:row>
    <x:row r="3" s="455" customFormat="1" ht="12.75" customHeight="1">
      <x:c r="A3" s="454" t="n">
        <x:v>1</x:v>
      </x:c>
      <x:c r="B3" s="454" t="inlineStr">
        <x:is>
          <x:t xml:space="preserve">Reference calculator fidelity</x:t>
        </x:is>
      </x:c>
      <x:c r="C3" s="454" t="inlineStr">
        <x:is>
          <x:t xml:space="preserve">calculator reproducing Appendix B and Appendix R test vectors</x:t>
        </x:is>
      </x:c>
      <x:c r="D3" s="454" t="inlineStr">
        <x:is>
          <x:t xml:space="preserve">calculator-complete claim</x:t>
        </x:is>
      </x:c>
      <x:c r="E3" s="497" t="inlineStr">
        <x:is>
          <x:t xml:space="preserve">v10.6+</x:t>
        </x:is>
      </x:c>
      <x:c r="F3" s="497" t="inlineStr">
        <x:is>
          <x:t xml:space="preserve">Open technical/research task</x:t>
        </x:is>
      </x:c>
      <x:c r="G3" s="497" t="str">
        <x:f>IF(COUNTA(A3:F3)&gt;=6,"DEFINED","INCOMPLETE")</x:f>
        <x:v>DEFINED</x:v>
      </x:c>
    </x:row>
    <x:row r="4" s="455" customFormat="1" ht="12.75" customHeight="1">
      <x:c r="A4" s="454" t="n">
        <x:v>2</x:v>
      </x:c>
      <x:c r="B4" s="454" t="inlineStr">
        <x:is>
          <x:t xml:space="preserve">Formal schemas and validators</x:t>
        </x:is>
      </x:c>
      <x:c r="C4" s="454" t="inlineStr">
        <x:is>
          <x:t xml:space="preserve">PCC, Decision Note, TRC, Containment, RLS, SGP interface schemas</x:t>
        </x:is>
      </x:c>
      <x:c r="D4" s="454" t="inlineStr">
        <x:is>
          <x:t xml:space="preserve">machine-readable conformance checks</x:t>
        </x:is>
      </x:c>
      <x:c r="E4" s="497" t="inlineStr">
        <x:is>
          <x:t xml:space="preserve">v10.6+</x:t>
        </x:is>
      </x:c>
      <x:c r="F4" s="497" t="inlineStr">
        <x:is>
          <x:t xml:space="preserve">Open technical/research task</x:t>
        </x:is>
      </x:c>
      <x:c r="G4" s="497" t="str">
        <x:f>IF(COUNTA(A4:F4)&gt;=6,"DEFINED","INCOMPLETE")</x:f>
        <x:v>DEFINED</x:v>
      </x:c>
    </x:row>
    <x:row r="5" s="455" customFormat="1" ht="12.75" customHeight="1">
      <x:c r="A5" s="454" t="n">
        <x:v>3</x:v>
      </x:c>
      <x:c r="B5" s="454" t="inlineStr">
        <x:is>
          <x:t xml:space="preserve">Inter-rater reliability</x:t>
        </x:is>
      </x:c>
      <x:c r="C5" s="454" t="inlineStr">
        <x:is>
          <x:t xml:space="preserve">NCRC/TRC/Containment/RLS/SGP/PCC reviewer study</x:t>
        </x:is>
      </x:c>
      <x:c r="D5" s="454" t="inlineStr">
        <x:is>
          <x:t xml:space="preserve">reviewer reliability evidence</x:t>
        </x:is>
      </x:c>
      <x:c r="E5" s="497" t="inlineStr">
        <x:is>
          <x:t xml:space="preserve">v10.6+</x:t>
        </x:is>
      </x:c>
      <x:c r="F5" s="497" t="inlineStr">
        <x:is>
          <x:t xml:space="preserve">Open technical/research task</x:t>
        </x:is>
      </x:c>
      <x:c r="G5" s="497" t="str">
        <x:f>IF(COUNTA(A5:F5)&gt;=6,"DEFINED","INCOMPLETE")</x:f>
        <x:v>DEFINED</x:v>
      </x:c>
    </x:row>
    <x:row r="6" s="455" customFormat="1" ht="12.75" customHeight="1">
      <x:c r="A6" s="454" t="n">
        <x:v>4</x:v>
      </x:c>
      <x:c r="B6" s="454" t="inlineStr">
        <x:is>
          <x:t xml:space="preserve">Reconstructability audit</x:t>
        </x:is>
      </x:c>
      <x:c r="C6" s="454" t="inlineStr">
        <x:is>
          <x:t xml:space="preserve">external reviewers replay decisions from PCC/Decision Note</x:t>
        </x:is>
      </x:c>
      <x:c r="D6" s="454" t="inlineStr">
        <x:is>
          <x:t xml:space="preserve">auditability-in-practice evidence</x:t>
        </x:is>
      </x:c>
      <x:c r="E6" s="497" t="inlineStr">
        <x:is>
          <x:t xml:space="preserve">pilot phase</x:t>
        </x:is>
      </x:c>
      <x:c r="F6" s="497" t="inlineStr">
        <x:is>
          <x:t xml:space="preserve">Open technical/research task</x:t>
        </x:is>
      </x:c>
      <x:c r="G6" s="497" t="str">
        <x:f>IF(COUNTA(A6:F6)&gt;=6,"DEFINED","INCOMPLETE")</x:f>
        <x:v>DEFINED</x:v>
      </x:c>
    </x:row>
    <x:row r="7" s="455" customFormat="1" ht="12.75" customHeight="1">
      <x:c r="A7" s="454" t="n">
        <x:v>5</x:v>
      </x:c>
      <x:c r="B7" s="454" t="inlineStr">
        <x:is>
          <x:t xml:space="preserve">Boundary-gaming red teams</x:t>
        </x:is>
      </x:c>
      <x:c r="C7" s="454" t="inlineStr">
        <x:is>
          <x:t xml:space="preserve">subgroup, threshold, scenario, PLSS, maturity attacks</x:t>
        </x:is>
      </x:c>
      <x:c r="D7" s="454" t="inlineStr">
        <x:is>
          <x:t xml:space="preserve">anti-gaming evidence</x:t>
        </x:is>
      </x:c>
      <x:c r="E7" s="497" t="inlineStr">
        <x:is>
          <x:t xml:space="preserve">pilot phase</x:t>
        </x:is>
      </x:c>
      <x:c r="F7" s="497" t="inlineStr">
        <x:is>
          <x:t xml:space="preserve">Open technical/research task</x:t>
        </x:is>
      </x:c>
      <x:c r="G7" s="497" t="str">
        <x:f>IF(COUNTA(A7:F7)&gt;=6,"DEFINED","INCOMPLETE")</x:f>
        <x:v>DEFINED</x:v>
      </x:c>
    </x:row>
    <x:row r="8" s="455" customFormat="1" ht="12.75" customHeight="1">
      <x:c r="A8" s="454" t="n">
        <x:v>6</x:v>
      </x:c>
      <x:c r="B8" s="454" t="inlineStr">
        <x:is>
          <x:t xml:space="preserve">Shadow-mode pilots</x:t>
        </x:is>
      </x:c>
      <x:c r="C8" s="454" t="inlineStr">
        <x:is>
          <x:t xml:space="preserve">RIA, procurement, university AI policy, agent deployment cases</x:t>
        </x:is>
      </x:c>
      <x:c r="D8" s="454" t="inlineStr">
        <x:is>
          <x:t xml:space="preserve">operational usefulness evidence</x:t>
        </x:is>
      </x:c>
      <x:c r="E8" s="497" t="inlineStr">
        <x:is>
          <x:t xml:space="preserve">pilot phase</x:t>
        </x:is>
      </x:c>
      <x:c r="F8" s="497" t="inlineStr">
        <x:is>
          <x:t xml:space="preserve">Open technical/research task</x:t>
        </x:is>
      </x:c>
      <x:c r="G8" s="497" t="str">
        <x:f>IF(COUNTA(A8:F8)&gt;=6,"DEFINED","INCOMPLETE")</x:f>
        <x:v>DEFINED</x:v>
      </x:c>
    </x:row>
    <x:row r="9" s="455" customFormat="1" ht="12.75" customHeight="1">
      <x:c r="A9" s="454" t="n">
        <x:v>7</x:v>
      </x:c>
      <x:c r="B9" s="454" t="inlineStr">
        <x:is>
          <x:t xml:space="preserve">UCI and SGP measurement annexes</x:t>
        </x:is>
      </x:c>
      <x:c r="C9" s="454" t="inlineStr">
        <x:is>
          <x:t xml:space="preserve">named instruments, normalization, independence checks, biological batteries</x:t>
        </x:is>
      </x:c>
      <x:c r="D9" s="454" t="inlineStr">
        <x:is>
          <x:t xml:space="preserve">domain-specific measurement maturity</x:t>
        </x:is>
      </x:c>
      <x:c r="E9" s="497" t="inlineStr">
        <x:is>
          <x:t xml:space="preserve">pilot phase</x:t>
        </x:is>
      </x:c>
      <x:c r="F9" s="497" t="inlineStr">
        <x:is>
          <x:t xml:space="preserve">Open technical/research task</x:t>
        </x:is>
      </x:c>
      <x:c r="G9" s="497" t="str">
        <x:f>IF(COUNTA(A9:F9)&gt;=6,"DEFINED","INCOMPLETE")</x:f>
        <x:v>DEFINED</x:v>
      </x:c>
    </x:row>
  </x:sheetData>
  <x:pageMargins left="0.7" right="0.7" top="0.75" bottom="0.75" header="0.3" footer="0.3"/>
</x:worksheet>
</file>

<file path=xl/worksheets/sheet50.xml><?xml version="1.0" encoding="utf-8"?>
<x:worksheet xmlns:x="http://schemas.openxmlformats.org/spreadsheetml/2006/main">
  <x:sheetViews>
    <x:sheetView showGridLines="1" workbookViewId="0"/>
  </x:sheetViews>
  <x:sheetFormatPr baseColWidth="8" defaultColWidth="8.6796875" defaultRowHeight="12.75"/>
  <x:cols>
    <x:col min="1" max="4" width="28" style="454" customWidth="1"/>
  </x:cols>
  <x:sheetData>
    <x:row r="1" s="455" customFormat="1" ht="51.75" customHeight="1">
      <x:c r="A1" s="607" t="inlineStr">
        <x:is>
          <x:t xml:space="preserve">RippleLogic Aligners Sheet v3.6 Triple-Pass Audit</x:t>
        </x:is>
      </x:c>
      <x:c r="B1" s="607" t="n"/>
      <x:c r="C1" s="607" t="n"/>
      <x:c r="D1" s="607" t="n"/>
    </x:row>
    <x:row r="2" s="455" customFormat="1" ht="12.75" customHeight="1">
      <x:c r="A2" s="461" t="inlineStr">
        <x:is>
          <x:t xml:space="preserve">Audit date</x:t>
        </x:is>
      </x:c>
      <x:c r="B2" s="461" t="inlineStr">
        <x:is>
          <x:t xml:space="preserve">2026-05-24</x:t>
        </x:is>
      </x:c>
      <x:c r="C2" s="461" t="n"/>
      <x:c r="D2" s="461" t="n"/>
    </x:row>
    <x:row r="3" s="455" customFormat="1" ht="26.25" customHeight="1">
      <x:c r="A3" s="461" t="inlineStr">
        <x:is>
          <x:t xml:space="preserve">Source workbook</x:t>
        </x:is>
      </x:c>
      <x:c r="B3" s="461" t="inlineStr">
        <x:is>
          <x:t xml:space="preserve">RippleLogic_Aligners_Sheet_v3.6_FINAL.xlsx</x:t>
        </x:is>
      </x:c>
      <x:c r="C3" s="461" t="n"/>
      <x:c r="D3" s="461" t="n"/>
    </x:row>
    <x:row r="4" s="455" customFormat="1" ht="39" customHeight="1">
      <x:c r="A4" s="461" t="inlineStr">
        <x:is>
          <x:t xml:space="preserve">Source upgrade spec</x:t>
        </x:is>
      </x:c>
      <x:c r="B4" s="461" t="inlineStr">
        <x:is>
          <x:t xml:space="preserve">Release boundary governed by SHA-256 manifest and Methodology Summary; no separate upgrade spec bundled.</x:t>
        </x:is>
      </x:c>
      <x:c r="C4" s="461" t="n"/>
      <x:c r="D4" s="461" t="n"/>
    </x:row>
    <x:row r="5" s="455" customFormat="1" ht="12.75" customHeight="1">
      <x:c r="A5" s="461" t="n"/>
      <x:c r="B5" s="461" t="n"/>
      <x:c r="C5" s="461" t="n"/>
      <x:c r="D5" s="461" t="n"/>
    </x:row>
    <x:row r="6" s="455" customFormat="1" ht="12.75" customHeight="1">
      <x:c r="A6" s="610" t="inlineStr">
        <x:is>
          <x:t xml:space="preserve">Pass</x:t>
        </x:is>
      </x:c>
      <x:c r="B6" s="610" t="inlineStr">
        <x:is>
          <x:t xml:space="preserve">Focus</x:t>
        </x:is>
      </x:c>
      <x:c r="C6" s="610" t="inlineStr">
        <x:is>
          <x:t xml:space="preserve">Disposition</x:t>
        </x:is>
      </x:c>
      <x:c r="D6" s="610" t="inlineStr">
        <x:is>
          <x:t xml:space="preserve">Key outcome</x:t>
        </x:is>
      </x:c>
    </x:row>
    <x:row r="7" s="455" customFormat="1" ht="52.5" customHeight="1">
      <x:c r="A7" s="461" t="inlineStr">
        <x:is>
          <x:t xml:space="preserve">Pass 1</x:t>
        </x:is>
      </x:c>
      <x:c r="B7" s="461" t="inlineStr">
        <x:is>
          <x:t xml:space="preserve">Structural completeness</x:t>
        </x:is>
      </x:c>
      <x:c r="C7" s="461" t="inlineStr">
        <x:is>
          <x:t xml:space="preserve">PASS WITH PATCHES</x:t>
        </x:is>
      </x:c>
      <x:c r="D7" s="461" t="inlineStr">
        <x:is>
          <x:t xml:space="preserve">Required v3.6 sheets present; added/clarified machine-readiness and release-boundary language.</x:t>
        </x:is>
      </x:c>
    </x:row>
    <x:row r="8" s="455" customFormat="1" ht="66" customHeight="1">
      <x:c r="A8" s="461" t="inlineStr">
        <x:is>
          <x:t xml:space="preserve">Pass 2</x:t>
        </x:is>
      </x:c>
      <x:c r="B8" s="461" t="inlineStr">
        <x:is>
          <x:t xml:space="preserve">Calculability and sanity</x:t>
        </x:is>
      </x:c>
      <x:c r="C8" s="461" t="inlineStr">
        <x:is>
          <x:t xml:space="preserve">PASS</x:t>
        </x:is>
      </x:c>
      <x:c r="D8" s="461" t="inlineStr">
        <x:is>
          <x:t xml:space="preserve">Formula-error scan found no live spreadsheet error tokens in computed sheets; sanity surfaces report all active checks PASS.</x:t>
        </x:is>
      </x:c>
    </x:row>
    <x:row r="9" s="455" customFormat="1" ht="78.75" customHeight="1">
      <x:c r="A9" s="461" t="inlineStr">
        <x:is>
          <x:t xml:space="preserve">Pass 3</x:t>
        </x:is>
      </x:c>
      <x:c r="B9" s="461" t="inlineStr">
        <x:is>
          <x:t xml:space="preserve">Claim safety and usefulness</x:t>
        </x:is>
      </x:c>
      <x:c r="C9" s="461" t="inlineStr">
        <x:is>
          <x:t xml:space="preserve">PASS WITH BOUNDARIES</x:t>
        </x:is>
      </x:c>
      <x:c r="D9" s="461" t="inlineStr">
        <x:is>
          <x:t xml:space="preserve">Workbook remains worked-run publishable only; ProofPack, Tier 4, empirical validation, machine-verifiable ecosystem, and reference-calculator claims remain prohibited.</x:t>
        </x:is>
      </x:c>
    </x:row>
    <x:row r="10" s="455" customFormat="1" ht="12.75" customHeight="1">
      <x:c r="A10" s="461" t="n"/>
      <x:c r="B10" s="461" t="n"/>
      <x:c r="C10" s="461" t="n"/>
      <x:c r="D10" s="461" t="n"/>
    </x:row>
    <x:row r="11" s="455" customFormat="1" ht="12.75" customHeight="1">
      <x:c r="A11" s="610" t="inlineStr">
        <x:is>
          <x:t xml:space="preserve">Issue</x:t>
        </x:is>
      </x:c>
      <x:c r="B11" s="610" t="inlineStr">
        <x:is>
          <x:t xml:space="preserve">Severity</x:t>
        </x:is>
      </x:c>
      <x:c r="C11" s="610" t="inlineStr">
        <x:is>
          <x:t xml:space="preserve">Fix applied</x:t>
        </x:is>
      </x:c>
      <x:c r="D11" s="610" t="inlineStr">
        <x:is>
          <x:t xml:space="preserve">Residual status</x:t>
        </x:is>
      </x:c>
    </x:row>
    <x:row r="12" s="455" customFormat="1" ht="39" customHeight="1">
      <x:c r="A12" s="461" t="inlineStr">
        <x:is>
          <x:t xml:space="preserve">PCC rights display order differed from Canon order</x:t>
        </x:is>
      </x:c>
      <x:c r="B12" s="461" t="inlineStr">
        <x:is>
          <x:t xml:space="preserve">Release-clean</x:t>
        </x:is>
      </x:c>
      <x:c r="C12" s="461" t="inlineStr">
        <x:is>
          <x:t xml:space="preserve">Corrected display to LIFE, BODY, LBTY, NEED, DIGN, PROC, INFO, ECOL.</x:t>
        </x:is>
      </x:c>
      <x:c r="D12" s="461" t="inlineStr">
        <x:is>
          <x:t xml:space="preserve">Resolved</x:t>
        </x:is>
      </x:c>
    </x:row>
    <x:row r="13" s="455" customFormat="1" ht="39" customHeight="1">
      <x:c r="A13" s="461" t="inlineStr">
        <x:is>
          <x:t xml:space="preserve">v10_Sanity_Checklist used v10.2 IDs and shorthand version labels</x:t>
        </x:is>
      </x:c>
      <x:c r="B13" s="461" t="inlineStr">
        <x:is>
          <x:t xml:space="preserve">Release-clean</x:t>
        </x:is>
      </x:c>
      <x:c r="C13" s="461" t="inlineStr">
        <x:is>
          <x:t xml:space="preserve">Renamed IDs and labels to v10.6 line and full pinned version language.</x:t>
        </x:is>
      </x:c>
      <x:c r="D13" s="461" t="inlineStr">
        <x:is>
          <x:t xml:space="preserve">Resolved</x:t>
        </x:is>
      </x:c>
    </x:row>
    <x:row r="14" s="455" customFormat="1" ht="39" customHeight="1">
      <x:c r="A14" s="461" t="inlineStr">
        <x:is>
          <x:t xml:space="preserve">Machine_Readiness over-implied bundled schemas/calculators/CI assets</x:t>
        </x:is>
      </x:c>
      <x:c r="B14" s="461" t="inlineStr">
        <x:is>
          <x:t xml:space="preserve">Claim safety</x:t>
        </x:is>
      </x:c>
      <x:c r="C14" s="461" t="inlineStr">
        <x:is>
          <x:t xml:space="preserve">Changed to manifest-dependent / v10.6 tooling-line / separate-annex wording.</x:t>
        </x:is>
      </x:c>
      <x:c r="D14" s="461" t="inlineStr">
        <x:is>
          <x:t xml:space="preserve">Resolved</x:t>
        </x:is>
      </x:c>
    </x:row>
    <x:row r="15" s="455" customFormat="1" ht="39" customHeight="1">
      <x:c r="A15" s="461" t="inlineStr">
        <x:is>
          <x:t xml:space="preserve">Schema sanity label risked implying full schema validation</x:t>
        </x:is>
      </x:c>
      <x:c r="B15" s="461" t="inlineStr">
        <x:is>
          <x:t xml:space="preserve">Claim safety</x:t>
        </x:is>
      </x:c>
      <x:c r="C15" s="461" t="inlineStr">
        <x:is>
          <x:t xml:space="preserve">Clarified as schema blocking fail count, not repository-level schema validation.</x:t>
        </x:is>
      </x:c>
      <x:c r="D15" s="461" t="inlineStr">
        <x:is>
          <x:t xml:space="preserve">Resolved</x:t>
        </x:is>
      </x:c>
    </x:row>
    <x:row r="16" s="455" customFormat="1" ht="39" customHeight="1">
      <x:c r="A16" s="461" t="inlineStr">
        <x:is>
          <x:t xml:space="preserve">Publish-ready wording risked overclaim</x:t>
        </x:is>
      </x:c>
      <x:c r="B16" s="461" t="inlineStr">
        <x:is>
          <x:t xml:space="preserve">Claim safety</x:t>
        </x:is>
      </x:c>
      <x:c r="C16" s="461" t="inlineStr">
        <x:is>
          <x:t xml:space="preserve">Reframed as worked-run publishable / worked-run publishability.</x:t>
        </x:is>
      </x:c>
      <x:c r="D16" s="461" t="inlineStr">
        <x:is>
          <x:t xml:space="preserve">Resolved</x:t>
        </x:is>
      </x:c>
    </x:row>
    <x:row r="17" s="455" customFormat="1" ht="12.75" customHeight="1">
      <x:c r="A17" s="461" t="n"/>
      <x:c r="B17" s="461" t="n"/>
      <x:c r="C17" s="461" t="n"/>
      <x:c r="D17" s="461" t="n"/>
    </x:row>
    <x:row r="18" s="455" customFormat="1" ht="52.5" customHeight="1">
      <x:c r="A18" s="461" t="inlineStr">
        <x:is>
          <x:t xml:space="preserve">Final disposition</x:t>
        </x:is>
      </x:c>
      <x:c r="B18" s="461" t="inlineStr">
        <x:is>
          <x:t xml:space="preserve">WORKED_RUN_PUBLISHABLE_CANDIDATE</x:t>
        </x:is>
      </x:c>
      <x:c r="C18" s="461" t="inlineStr">
        <x:is>
          <x:t xml:space="preserve">Not ProofPack-ready; not Tier 4-ready; not empirically validated; not machine-verifiable ecosystem-complete.</x:t>
        </x:is>
      </x:c>
      <x:c r="D18" s="461" t="n"/>
    </x:row>
    <x:row r="19" s="455" customFormat="1" ht="12.75" customHeight="1">
      <x:c r="A19" s="461" t="n"/>
      <x:c r="B19" s="461" t="n"/>
      <x:c r="C19" s="461" t="n"/>
      <x:c r="D19" s="461" t="n"/>
    </x:row>
    <x:row r="20" s="455" customFormat="1" ht="12.75" customHeight="1">
      <x:c r="A20" s="611" t="inlineStr">
        <x:is>
          <x:t xml:space="preserve">Phase 1 hardening</x:t>
        </x:is>
      </x:c>
      <x:c r="B20" s="611" t="n"/>
      <x:c r="C20" s="611" t="n"/>
      <x:c r="D20" s="611" t="n"/>
    </x:row>
    <x:row r="21" s="455" customFormat="1" ht="90.75" customHeight="1">
      <x:c r="A21" s="461" t="inlineStr">
        <x:is>
          <x:t xml:space="preserve">Verifier Gate</x:t>
        </x:is>
      </x:c>
      <x:c r="B21" s="461" t="inlineStr">
        <x:is>
          <x:t xml:space="preserve">Current pin block exactness</x:t>
        </x:is>
      </x:c>
      <x:c r="C21" s="461" t="inlineStr">
        <x:is>
          <x:t xml:space="preserve">PASS</x:t>
        </x:is>
      </x:c>
      <x:c r="D21" s="461" t="inlineStr">
        <x:is>
          <x:t xml:space="preserve">Current surfaces must pin Canon v10.8, SGP v5.5, ripple.md v3.6, Agent v10.8, Primer v2.6, Sheet v3.6.</x:t>
        </x:is>
      </x:c>
    </x:row>
    <x:row r="22" s="455" customFormat="1" ht="34.5" customHeight="1">
      <x:c r="A22" s="461" t="inlineStr">
        <x:is>
          <x:t xml:space="preserve">Verifier Gate</x:t>
        </x:is>
      </x:c>
      <x:c r="B22" s="461" t="inlineStr">
        <x:is>
          <x:t xml:space="preserve">No stale current-surface pins</x:t>
        </x:is>
      </x:c>
      <x:c r="C22" s="461" t="inlineStr">
        <x:is>
          <x:t xml:space="preserve">PASS</x:t>
        </x:is>
      </x:c>
      <x:c r="D22" s="461" t="inlineStr">
        <x:is>
          <x:t xml:space="preserve">Prior-line wrapper pins may appear only in explicit lineage/changelog contexts, not current pin blocks, sanity checks, dashboards, PCC, or release integrity panels.</x:t>
        </x:is>
      </x:c>
    </x:row>
    <x:row r="23" s="455" customFormat="1" ht="45.75" customHeight="1">
      <x:c r="A23" s="461" t="inlineStr">
        <x:is>
          <x:t xml:space="preserve">Verifier Gate</x:t>
        </x:is>
      </x:c>
      <x:c r="B23" s="461" t="inlineStr">
        <x:is>
          <x:t xml:space="preserve">Refuse deterministic selection semantics</x:t>
        </x:is>
      </x:c>
      <x:c r="C23" s="461" t="inlineStr">
        <x:is>
          <x:t xml:space="preserve">PASS</x:t>
        </x:is>
      </x:c>
      <x:c r="D23" s="461" t="inlineStr">
        <x:is>
          <x:t xml:space="preserve">If FrameworkVerdict = REFUSE_DETERMINISTIC_SELECTION, DeterministicSelectionClaim must be NO and PCC language must not imply unique framework selection.</x:t>
        </x:is>
      </x:c>
    </x:row>
    <x:row r="24" s="455" customFormat="1" ht="45.75" customHeight="1">
      <x:c r="A24" s="461" t="inlineStr">
        <x:is>
          <x:t xml:space="preserve">Verifier Gate</x:t>
        </x:is>
      </x:c>
      <x:c r="B24" s="461" t="inlineStr">
        <x:is>
          <x:t xml:space="preserve">Reality Grounding review semantics</x:t>
        </x:is>
      </x:c>
      <x:c r="C24" s="461" t="inlineStr">
        <x:is>
          <x:t xml:space="preserve">PASS</x:t>
        </x:is>
      </x:c>
      <x:c r="D24" s="461" t="inlineStr">
        <x:is>
          <x:t xml:space="preserve">If RealityGroundingStatus is described as independently reviewed, Reviewer cannot be N/A; current exemplar is author/release self-reviewed, not independently verified.</x:t>
        </x:is>
      </x:c>
    </x:row>
    <x:row r="25" s="455" customFormat="1" ht="12.75" customHeight="1">
      <x:c r="A25" s="461" t="n"/>
      <x:c r="B25" s="461" t="n"/>
      <x:c r="C25" s="461" t="n"/>
      <x:c r="D25" s="461" t="n"/>
    </x:row>
  </x:sheetData>
  <x:pageMargins left="0.7" right="0.7" top="0.75" bottom="0.75" header="0.3" footer="0.3"/>
</x:worksheet>
</file>

<file path=xl/worksheets/sheet51.xml><?xml version="1.0" encoding="utf-8"?>
<x:worksheet xmlns:x="http://schemas.openxmlformats.org/spreadsheetml/2006/main">
  <x:sheetViews>
    <x:sheetView showGridLines="1" workbookViewId="0"/>
  </x:sheetViews>
  <x:sheetFormatPr baseColWidth="8" defaultColWidth="8.6796875" defaultRowHeight="15"/>
  <x:cols>
    <x:col min="1" max="1" width="32" style="454" customWidth="1"/>
    <x:col min="2" max="2" width="26" style="454" customWidth="1"/>
    <x:col min="3" max="3" width="60" style="454" customWidth="1"/>
  </x:cols>
  <x:sheetData>
    <x:row r="1" s="455" customFormat="1" ht="23.25" customHeight="1">
      <x:c r="A1" s="611" t="inlineStr">
        <x:is>
          <x:t xml:space="preserve">RippleLogic Aligners Sheet v3.6 Release Boundary</x:t>
        </x:is>
      </x:c>
      <x:c r="B1" s="611" t="inlineStr">
        <x:is>
          <x:t xml:space="preserve">Status</x:t>
        </x:is>
      </x:c>
      <x:c r="C1" s="611" t="inlineStr">
        <x:is>
          <x:t xml:space="preserve">Notes</x:t>
        </x:is>
      </x:c>
    </x:row>
    <x:row r="2" s="455" customFormat="1" ht="15" customHeight="1">
      <x:c r="A2" s="461" t="inlineStr">
        <x:is>
          <x:t xml:space="preserve">Release role</x:t>
        </x:is>
      </x:c>
      <x:c r="B2" s="461" t="inlineStr">
        <x:is>
          <x:t xml:space="preserve">WORKED_RUN_EXEMPLAR</x:t>
        </x:is>
      </x:c>
      <x:c r="C2" s="461" t="inlineStr">
        <x:is>
          <x:t xml:space="preserve">Human-readable replay/training companion; not repository-level validator.</x:t>
        </x:is>
      </x:c>
    </x:row>
    <x:row r="3" s="455" customFormat="1" ht="15" customHeight="1">
      <x:c r="A3" s="461" t="inlineStr">
        <x:is>
          <x:t xml:space="preserve">Worked-run publishable</x:t>
        </x:is>
      </x:c>
      <x:c r="B3" s="461" t="inlineStr">
        <x:is>
          <x:t xml:space="preserve">YES</x:t>
        </x:is>
      </x:c>
      <x:c r="C3" s="461" t="inlineStr">
        <x:is>
          <x:t xml:space="preserve">Within declared two-option worked-run scope only.</x:t>
        </x:is>
      </x:c>
    </x:row>
    <x:row r="4" s="455" customFormat="1" ht="23.25" customHeight="1">
      <x:c r="A4" s="461" t="inlineStr">
        <x:is>
          <x:t xml:space="preserve">ProofPack-ready</x:t>
        </x:is>
      </x:c>
      <x:c r="B4" s="461" t="inlineStr">
        <x:is>
          <x:t xml:space="preserve">NO</x:t>
        </x:is>
      </x:c>
      <x:c r="C4" s="461" t="inlineStr">
        <x:is>
          <x:t xml:space="preserve">Requires schemas, validator, reference calculator, test vectors, replayable PCC artifacts, independent replay, and hash-pinned bundle.</x:t>
        </x:is>
      </x:c>
    </x:row>
    <x:row r="5" s="455" customFormat="1" ht="15" customHeight="1">
      <x:c r="A5" s="461" t="inlineStr">
        <x:is>
          <x:t xml:space="preserve">Tier 4-ready</x:t>
        </x:is>
      </x:c>
      <x:c r="B5" s="461" t="inlineStr">
        <x:is>
          <x:t xml:space="preserve">NO</x:t>
        </x:is>
      </x:c>
      <x:c r="C5" s="461" t="inlineStr">
        <x:is>
          <x:t xml:space="preserve">Tier 4 remains prohibited until independently replayable ProofPack exists.</x:t>
        </x:is>
      </x:c>
    </x:row>
    <x:row r="6" s="455" customFormat="1" ht="23.25" customHeight="1">
      <x:c r="A6" s="461" t="inlineStr">
        <x:is>
          <x:t xml:space="preserve">Empirically validated</x:t>
        </x:is>
      </x:c>
      <x:c r="B6" s="461" t="inlineStr">
        <x:is>
          <x:t xml:space="preserve">NO</x:t>
        </x:is>
      </x:c>
      <x:c r="C6" s="461" t="inlineStr">
        <x:is>
          <x:t xml:space="preserve">Requires completed pilots, methods disclosure, validation data, and external review.</x:t>
        </x:is>
      </x:c>
    </x:row>
    <x:row r="7" s="455" customFormat="1" ht="23.25" customHeight="1">
      <x:c r="A7" s="461" t="inlineStr">
        <x:is>
          <x:t xml:space="preserve">Machine-verifiable ecosystem complete</x:t>
        </x:is>
      </x:c>
      <x:c r="B7" s="461" t="inlineStr">
        <x:is>
          <x:t xml:space="preserve">NO</x:t>
        </x:is>
      </x:c>
      <x:c r="C7" s="461" t="inlineStr">
        <x:is>
          <x:t xml:space="preserve">Requires manifest-listed schemas, validators, calculator, machine vectors, replay instructions, and CI/replay evidence.</x:t>
        </x:is>
      </x:c>
    </x:row>
    <x:row r="8" s="455" customFormat="1" ht="23.25" customHeight="1">
      <x:c r="A8" s="461" t="inlineStr">
        <x:is>
          <x:t xml:space="preserve">Reference-calculator complete</x:t>
        </x:is>
      </x:c>
      <x:c r="B8" s="461" t="inlineStr">
        <x:is>
          <x:t xml:space="preserve">NO</x:t>
        </x:is>
      </x:c>
      <x:c r="C8" s="461" t="inlineStr">
        <x:is>
          <x:t xml:space="preserve">Workbook is not the reference calculator; the post-core ProofPack-prep tooling line should provide this separately.</x:t>
        </x:is>
      </x:c>
    </x:row>
    <x:row r="9" s="455" customFormat="1" ht="23.25" customHeight="1">
      <x:c r="A9" s="461" t="inlineStr">
        <x:is>
          <x:t xml:space="preserve">UCI validated</x:t>
        </x:is>
      </x:c>
      <x:c r="B9" s="461" t="inlineStr">
        <x:is>
          <x:t xml:space="preserve">NO</x:t>
        </x:is>
      </x:c>
      <x:c r="C9" s="461" t="inlineStr">
        <x:is>
          <x:t xml:space="preserve">UCI_Maturity is provisional disclosure; validated UCI requires separate measurement annex and IRR evidence.</x:t>
        </x:is>
      </x:c>
    </x:row>
    <x:row r="10" s="455" customFormat="1" ht="23.25" customHeight="1">
      <x:c r="A10" s="461" t="inlineStr">
        <x:is>
          <x:t xml:space="preserve">Biological SGP measurement complete</x:t>
        </x:is>
      </x:c>
      <x:c r="B10" s="461" t="inlineStr">
        <x:is>
          <x:t xml:space="preserve">NO</x:t>
        </x:is>
      </x:c>
      <x:c r="C10" s="461" t="inlineStr">
        <x:is>
          <x:t xml:space="preserve">BioSGP_Maturity is disclosure/guardrail only; individualized biological scoring requires species-appropriate annexes and expert validation.</x:t>
        </x:is>
      </x:c>
    </x:row>
    <x:row r="11" s="455" customFormat="1" ht="23.25" customHeight="1">
      <x:c r="A11" s="461" t="inlineStr">
        <x:is>
          <x:t xml:space="preserve">False-precision guard</x:t>
        </x:is>
      </x:c>
      <x:c r="B11" s="461" t="inlineStr">
        <x:is>
          <x:t xml:space="preserve">ACTIVE</x:t>
        </x:is>
      </x:c>
      <x:c r="C11" s="461" t="inlineStr">
        <x:is>
          <x:t xml:space="preserve">Reviewer should inspect evidence-status tokens, maturity posture, and boundary-risk register before treating outputs as strong claims.</x:t>
        </x:is>
      </x:c>
    </x:row>
    <x:row r="12" s="455" customFormat="1" ht="23.25" customHeight="1">
      <x:c r="A12" s="461" t="inlineStr">
        <x:is>
          <x:t xml:space="preserve">Public wording</x:t>
        </x:is>
      </x:c>
      <x:c r="B12" s="461" t="inlineStr">
        <x:is>
          <x:t xml:space="preserve">WORKED-RUN PUBLISHABLE</x:t>
        </x:is>
      </x:c>
      <x:c r="C12" s="461" t="inlineStr">
        <x:is>
          <x:t xml:space="preserve">Avoid unqualified Publish Ready where it could imply ProofPack, Tier 4, empirical validation, or machine-verifiable readiness.</x:t>
        </x:is>
      </x:c>
    </x:row>
    <x:row r="13" s="455" customFormat="1" ht="15" customHeight="1">
      <x:c r="A13" s="454" t="inlineStr">
        <x:is>
          <x:t xml:space="preserve">Release-integrity patch</x:t>
        </x:is>
      </x:c>
      <x:c r="B13" s="454" t="inlineStr">
        <x:is>
          <x:t xml:space="preserve">APPLIED</x:t>
        </x:is>
      </x:c>
      <x:c r="C13" s="454" t="inlineStr">
        <x:is>
          <x:t xml:space="preserve">Workbook patched before GitHub upload for uncertainty labels, ReachBasisType enum, stewardship non-narrowing note, and Tier-2 containment-proxy wording.</x:t>
        </x:is>
      </x:c>
    </x:row>
    <x:row r="14" s="455" customFormat="1" ht="15" customHeight="1">
      <x:c r="A14" s="454" t="inlineStr">
        <x:is>
          <x:t xml:space="preserve">Uncertainty method C</x:t>
        </x:is>
      </x:c>
      <x:c r="B14" s="454" t="inlineStr">
        <x:is>
          <x:t xml:space="preserve">WORKED-RUN CONSTANT-SIGMA</x:t>
        </x:is>
      </x:c>
      <x:c r="C14" s="454" t="inlineStr">
        <x:is>
          <x:t xml:space="preserve">Demonstration surface only; not a production-calibrated uncertainty model.</x:t>
        </x:is>
      </x:c>
    </x:row>
    <x:row r="15" s="455" customFormat="1" ht="15" customHeight="1">
      <x:c r="A15" s="454" t="inlineStr">
        <x:is>
          <x:t xml:space="preserve">ReachBasisType enum</x:t>
        </x:is>
      </x:c>
      <x:c r="B15" s="454" t="inlineStr">
        <x:is>
          <x:t xml:space="preserve">OTHER_DECLARED</x:t>
        </x:is>
      </x:c>
      <x:c r="C15" s="454" t="inlineStr">
        <x:is>
          <x:t xml:space="preserve">Declared instance-share/exposure denominator is recorded by note, not by non-canonical enum.</x:t>
        </x:is>
      </x:c>
    </x:row>
    <x:row r="16" s="455" customFormat="1" ht="15" customHeight="1">
      <x:c r="A16" s="454" t="inlineStr">
        <x:is>
          <x:t xml:space="preserve">Stewardship note</x:t>
        </x:is>
      </x:c>
      <x:c r="B16" s="454" t="inlineStr">
        <x:is>
          <x:t xml:space="preserve">NON-NARROWING</x:t>
        </x:is>
      </x:c>
      <x:c r="C16" s="454" t="inlineStr">
        <x:is>
          <x:t xml:space="preserve">This worked-run does not imply stewardship is triggered only by MODE 2+ AI-agent deployments.</x:t>
        </x:is>
      </x:c>
    </x:row>
    <x:row r="17" s="455" customFormat="1" ht="15" customHeight="1">
      <x:c r="A17" s="454" t="inlineStr">
        <x:is>
          <x:t xml:space="preserve">Containment wording</x:t>
        </x:is>
      </x:c>
      <x:c r="B17" s="454" t="inlineStr">
        <x:is>
          <x:t xml:space="preserve">TIER-2 PROXY</x:t>
        </x:is>
      </x:c>
      <x:c r="C17" s="454" t="inlineStr">
        <x:is>
          <x:t xml:space="preserve">Workbook displays Tier-2 proxy diagnostics; full Containment Mode A is Tier-3 binding.</x:t>
        </x:is>
      </x:c>
    </x:row>
    <x:row r="18" s="455" customFormat="1" ht="15" customHeight="1">
      <x:c r="A18" s="454" t="inlineStr">
        <x:is>
          <x:t xml:space="preserve">GitHub status</x:t>
        </x:is>
      </x:c>
      <x:c r="B18" s="454" t="inlineStr">
        <x:is>
          <x:t xml:space="preserve">PATCH-CLEAN</x:t>
        </x:is>
      </x:c>
      <x:c r="C18" s="454" t="inlineStr">
        <x:is>
          <x:t xml:space="preserve">Manifest, SHA-256, and verification report regenerated and verified after final byte changes.</x:t>
        </x:is>
      </x:c>
    </x:row>
  </x:sheetData>
  <x:pageMargins left="0.7" right="0.7" top="0.75" bottom="0.75" header="0.3" footer="0.3"/>
</x:worksheet>
</file>

<file path=xl/worksheets/sheet52.xml><?xml version="1.0" encoding="utf-8"?>
<x:worksheet xmlns:x="http://schemas.openxmlformats.org/spreadsheetml/2006/main">
  <x:sheetViews>
    <x:sheetView showGridLines="1" workbookViewId="0"/>
  </x:sheetViews>
  <x:sheetFormatPr baseColWidth="8" defaultColWidth="8.6796875" defaultRowHeight="15"/>
  <x:cols>
    <x:col min="1" max="1" width="18" style="454" customWidth="1"/>
    <x:col min="2" max="2" width="14" style="454" customWidth="1"/>
    <x:col min="3" max="5" width="28" style="454" customWidth="1"/>
    <x:col min="6" max="13" width="25" style="454" customWidth="1"/>
    <x:col min="14" max="16" width="28" style="454" customWidth="1"/>
    <x:col min="17" max="17" width="26" style="454" customWidth="1"/>
    <x:col min="18" max="18" width="22" style="454" customWidth="1"/>
    <x:col min="19" max="22" width="28" style="454" customWidth="1"/>
    <x:col min="23" max="23" width="24" style="454" customWidth="1"/>
    <x:col min="24" max="24" width="18" style="454" customWidth="1"/>
    <x:col min="25" max="25" width="28" style="454" customWidth="1"/>
    <x:col min="26" max="26" width="26" style="454" customWidth="1"/>
  </x:cols>
  <x:sheetData>
    <x:row r="1" s="455" customFormat="1" ht="45" customHeight="1">
      <x:c r="A1" s="612" t="inlineStr">
        <x:is>
          <x:t xml:space="preserve">decision_id</x:t>
        </x:is>
      </x:c>
      <x:c r="B1" s="612" t="inlineStr">
        <x:is>
          <x:t xml:space="preserve">option_id</x:t>
        </x:is>
      </x:c>
      <x:c r="C1" s="612" t="inlineStr">
        <x:is>
          <x:t xml:space="preserve">claim_scope</x:t>
        </x:is>
      </x:c>
      <x:c r="D1" s="612" t="inlineStr">
        <x:is>
          <x:t xml:space="preserve">decision_boundary</x:t>
        </x:is>
      </x:c>
      <x:c r="E1" s="612" t="inlineStr">
        <x:is>
          <x:t xml:space="preserve">reference_object</x:t>
        </x:is>
      </x:c>
      <x:c r="F1" s="612" t="inlineStr">
        <x:is>
          <x:t xml:space="preserve">physical_reference</x:t>
        </x:is>
      </x:c>
      <x:c r="G1" s="612" t="inlineStr">
        <x:is>
          <x:t xml:space="preserve">biological_reference</x:t>
        </x:is>
      </x:c>
      <x:c r="H1" s="612" t="inlineStr">
        <x:is>
          <x:t xml:space="preserve">social_reference</x:t>
        </x:is>
      </x:c>
      <x:c r="I1" s="612" t="inlineStr">
        <x:is>
          <x:t xml:space="preserve">ethical_rights_reference</x:t>
        </x:is>
      </x:c>
      <x:c r="J1" s="612" t="inlineStr">
        <x:is>
          <x:t xml:space="preserve">risk_reference</x:t>
        </x:is>
      </x:c>
      <x:c r="K1" s="612" t="inlineStr">
        <x:is>
          <x:t xml:space="preserve">governance_authority_reference</x:t>
        </x:is>
      </x:c>
      <x:c r="L1" s="612" t="inlineStr">
        <x:is>
          <x:t xml:space="preserve">epistemic_reference</x:t>
        </x:is>
      </x:c>
      <x:c r="M1" s="612" t="inlineStr">
        <x:is>
          <x:t xml:space="preserve">operational_audit_reference</x:t>
        </x:is>
      </x:c>
      <x:c r="N1" s="612" t="inlineStr">
        <x:is>
          <x:t xml:space="preserve">invariant_constraints</x:t>
        </x:is>
      </x:c>
      <x:c r="O1" s="612" t="inlineStr">
        <x:is>
          <x:t xml:space="preserve">causal_pathway</x:t>
        </x:is>
      </x:c>
      <x:c r="P1" s="612" t="inlineStr">
        <x:is>
          <x:t xml:space="preserve">evidence_source</x:t>
        </x:is>
      </x:c>
      <x:c r="Q1" s="612" t="inlineStr">
        <x:is>
          <x:t xml:space="preserve">evidence_status_token</x:t>
        </x:is>
      </x:c>
      <x:c r="R1" s="612" t="inlineStr">
        <x:is>
          <x:t xml:space="preserve">measurement_maturity_status</x:t>
        </x:is>
      </x:c>
      <x:c r="S1" s="612" t="inlineStr">
        <x:is>
          <x:t xml:space="preserve">falsification_condition</x:t>
        </x:is>
      </x:c>
      <x:c r="T1" s="612" t="inlineStr">
        <x:is>
          <x:t xml:space="preserve">adaptation_boundary</x:t>
        </x:is>
      </x:c>
      <x:c r="U1" s="612" t="inlineStr">
        <x:is>
          <x:t xml:space="preserve">authority_boundary</x:t>
        </x:is>
      </x:c>
      <x:c r="V1" s="612" t="inlineStr">
        <x:is>
          <x:t xml:space="preserve">refusal_trigger</x:t>
        </x:is>
      </x:c>
      <x:c r="W1" s="612" t="inlineStr">
        <x:is>
          <x:t xml:space="preserve">reviewer_status</x:t>
        </x:is>
      </x:c>
      <x:c r="X1" s="612" t="inlineStr">
        <x:is>
          <x:t xml:space="preserve">artifact_hash</x:t>
        </x:is>
      </x:c>
      <x:c r="Y1" s="612" t="inlineStr">
        <x:is>
          <x:t xml:space="preserve">notes</x:t>
        </x:is>
      </x:c>
      <x:c r="Z1" s="612" t="inlineStr">
        <x:is>
          <x:t xml:space="preserve">ReferenceStructureRecord_Status</x:t>
        </x:is>
      </x:c>
      <x:c r="AB1" s="497" t="inlineStr">
        <x:is>
          <x:t xml:space="preserve">MEASURED</x:t>
        </x:is>
      </x:c>
      <x:c r="AC1" s="497" t="inlineStr">
        <x:is>
          <x:t xml:space="preserve">PENDING_REVIEW</x:t>
        </x:is>
      </x:c>
      <x:c r="AD1" s="497" t="inlineStr">
        <x:is>
          <x:t xml:space="preserve">MEASURED</x:t>
        </x:is>
      </x:c>
    </x:row>
    <x:row r="2" s="455" customFormat="1" ht="102" customHeight="1">
      <x:c r="A2" s="476" t="inlineStr">
        <x:is>
          <x:t xml:space="preserve">ORG-2026-001</x:t>
        </x:is>
      </x:c>
      <x:c r="B2" s="476" t="inlineStr">
        <x:is>
          <x:t xml:space="preserve">OPTION-A</x:t>
        </x:is>
      </x:c>
      <x:c r="C2" s="476" t="inlineStr">
        <x:is>
          <x:t xml:space="preserve">Tier 2 worked-run exemplar / internal organizational policy decision</x:t>
        </x:is>
      </x:c>
      <x:c r="D2" s="476" t="inlineStr">
        <x:is>
          <x:t xml:space="preserve">Remote work policy A vs B; organization context; excludes legal-compliance, deployment-readiness, empirical-validation, ProofPack, and Tier 4 claims.</x:t>
        </x:is>
      </x:c>
      <x:c r="E2" s="476" t="inlineStr">
        <x:is>
          <x:t xml:space="preserve">Remote work policy implementation decision evaluated against RippleLogic v10.6 RSP, NCRC/TRC/Containment/RLS/UCI-HOI, PCC, and workbook evidence surfaces.</x:t>
        </x:is>
      </x:c>
      <x:c r="F2" s="476" t="inlineStr">
        <x:is>
          <x:t xml:space="preserve">Workspace, commuting, emissions, digital infrastructure, and operational resource constraints.</x:t>
        </x:is>
      </x:c>
      <x:c r="G2" s="476" t="inlineStr">
        <x:is>
          <x:t xml:space="preserve">Worker health, stress, fatigue, safety, and basic needs effects.</x:t>
        </x:is>
      </x:c>
      <x:c r="H2" s="476" t="inlineStr">
        <x:is>
          <x:t xml:space="preserve">Team cohesion, trust, coordination, inclusion, and relational impacts.</x:t>
        </x:is>
      </x:c>
      <x:c r="I2" s="476" t="inlineStr">
        <x:is>
          <x:t xml:space="preserve">NCRC rights baseline: LIFE, BODY, LBTY, NEED, DIGN, PROC, INFO, ECOL; no rights-floor tradeoff permitted.</x:t>
        </x:is>
      </x:c>
      <x:c r="J2" s="476" t="inlineStr">
        <x:is>
          <x:t xml:space="preserve">TRC catastrophic corridor and WTSL scenario set with CVaR threshold 0.20.</x:t>
        </x:is>
      </x:c>
      <x:c r="K2" s="476" t="inlineStr">
        <x:is>
          <x:t xml:space="preserve">Organizational policy authority only; no public-law, legal-compliance, or regulatory approval claim.</x:t>
        </x:is>
      </x:c>
      <x:c r="L2" s="476" t="inlineStr">
        <x:is>
          <x:t xml:space="preserve">Workbook worked-run inputs, declared uncertainty method C, evidence-status tokens, and reviewer challenge surface.</x:t>
        </x:is>
      </x:c>
      <x:c r="M2" s="476" t="inlineStr">
        <x:is>
          <x:t xml:space="preserve">PCC, ProjectionPreRegistration, ExecutionStability, TransitionAdmissibility, FalsificationPlan, ObservableConsequences, and ReferenceStructureRecord sheet.</x:t>
        </x:is>
      </x:c>
      <x:c r="N2" s="476" t="inlineStr">
        <x:is>
          <x:t xml:space="preserve">No NCRC, TRC, Containment, Refusal, rights-floor, or lawful-authority boundary may be overridden by RLS, local convenience, model confidence, or policy permission.</x:t>
        </x:is>
      </x:c>
      <x:c r="O2" s="476" t="inlineStr">
        <x:is>
          <x:t xml:space="preserve">Remote work changes flexibility, commuting burden, emissions, collaboration patterns, autonomy, burnout risk, and knowledge-sharing dynamics; monitoring checks for predicted versus observed effects.</x:t>
        </x:is>
      </x:c>
      <x:c r="P2" s="476" t="inlineStr">
        <x:is>
          <x:t xml:space="preserve">Worked-run exemplar inputs from the aligned workbook; no empirical validation claim.</x:t>
        </x:is>
      </x:c>
      <x:c r="Q2" s="476" t="inlineStr">
        <x:is>
          <x:t xml:space="preserve">ESTIMATED</x:t>
        </x:is>
      </x:c>
      <x:c r="R2" s="476" t="inlineStr">
        <x:is>
          <x:t xml:space="preserve">WORKED_RUN_EXEMPLAR</x:t>
        </x:is>
      </x:c>
      <x:c r="S2" s="476" t="inlineStr">
        <x:is>
          <x:t xml:space="preserve">Materially worse cohesion, rights impacts, productivity, burnout, information access, due process, or tail-risk indicators than the declared monitoring thresholds would falsify or force revision of the claim.</x:t>
        </x:is>
      </x:c>
      <x:c r="T2" s="476" t="inlineStr">
        <x:is>
          <x:t xml:space="preserve">Policy details, monitoring cadence, mitigation steps, and option weighting may adapt; canonical cascade order, rights floors, tail-risk corridor, containment rule, and claim-boundary discipline may not adapt inside the run.</x:t>
        </x:is>
      </x:c>
      <x:c r="U2" s="476" t="inlineStr">
        <x:is>
          <x:t xml:space="preserve">Advisory organizational decision support only; no legal, public-governance, deployment-readiness, or compliance certification.</x:t>
        </x:is>
      </x:c>
      <x:c r="V2" s="476" t="inlineStr">
        <x:is>
          <x:t xml:space="preserve">Trigger Refusal or escalation if reference object, evidence status, falsification condition, authority boundary, rights floor, TRC corridor, or containment basis becomes materially underdetermined, circular, self-validating, unsupported, or stale.</x:t>
        </x:is>
      </x:c>
      <x:c r="W2" s="476" t="inlineStr">
        <x:is>
          <x:t xml:space="preserve">PENDING_REVIEW</x:t>
        </x:is>
      </x:c>
      <x:c r="X2" s="476" t="inlineStr">
        <x:is>
          <x:t xml:space="preserve">See final release manifest SHA-256 for workbook and companion artifacts.</x:t>
        </x:is>
      </x:c>
      <x:c r="Y2" s="476" t="inlineStr">
        <x:is>
          <x:t xml:space="preserve">v10.6 RSP integration row for worked-run exemplar.</x:t>
        </x:is>
      </x:c>
      <x:c r="Z2" s="476" t="str">
        <x:f>IF(OR(E2="",Q2="",S2=""),"INCOMPLETE","COMPLETE")</x:f>
        <x:v>COMPLETE</x:v>
      </x:c>
      <x:c r="AB2" s="497" t="inlineStr">
        <x:is>
          <x:t xml:space="preserve">ESTIMATED</x:t>
        </x:is>
      </x:c>
      <x:c r="AC2" s="497" t="inlineStr">
        <x:is>
          <x:t xml:space="preserve">APPROVED</x:t>
        </x:is>
      </x:c>
      <x:c r="AD2" s="497" t="inlineStr">
        <x:is>
          <x:t xml:space="preserve">MODEL_BOUND</x:t>
        </x:is>
      </x:c>
    </x:row>
    <x:row r="3" s="455" customFormat="1" ht="15" customHeight="1">
      <x:c r="A3" s="476" t="n"/>
      <x:c r="B3" s="476" t="n"/>
      <x:c r="C3" s="476" t="n"/>
      <x:c r="D3" s="476" t="n"/>
      <x:c r="E3" s="476" t="n"/>
      <x:c r="F3" s="476" t="n"/>
      <x:c r="G3" s="476" t="n"/>
      <x:c r="H3" s="476" t="n"/>
      <x:c r="I3" s="476" t="n"/>
      <x:c r="J3" s="476" t="n"/>
      <x:c r="K3" s="476" t="n"/>
      <x:c r="L3" s="476" t="n"/>
      <x:c r="M3" s="476" t="n"/>
      <x:c r="N3" s="476" t="n"/>
      <x:c r="O3" s="476" t="n"/>
      <x:c r="P3" s="476" t="n"/>
      <x:c r="Q3" s="476" t="n"/>
      <x:c r="R3" s="476" t="n"/>
      <x:c r="S3" s="476" t="n"/>
      <x:c r="T3" s="476" t="n"/>
      <x:c r="U3" s="476" t="n"/>
      <x:c r="V3" s="476" t="n"/>
      <x:c r="W3" s="476" t="n"/>
      <x:c r="X3" s="476" t="n"/>
      <x:c r="Y3" s="476" t="n"/>
      <x:c r="Z3" s="476" t="str">
        <x:f>IF(OR(E3="",Q3="",S3=""),"INCOMPLETE","COMPLETE")</x:f>
        <x:v>INCOMPLETE</x:v>
      </x:c>
      <x:c r="AB3" s="497" t="inlineStr">
        <x:is>
          <x:t xml:space="preserve">EXPERT_JUDGMENT</x:t>
        </x:is>
      </x:c>
      <x:c r="AC3" s="497" t="inlineStr">
        <x:is>
          <x:t xml:space="preserve">REVISE</x:t>
        </x:is>
      </x:c>
      <x:c r="AD3" s="497" t="inlineStr">
        <x:is>
          <x:t xml:space="preserve">PILOT_ONLY</x:t>
        </x:is>
      </x:c>
    </x:row>
    <x:row r="4" s="455" customFormat="1" ht="15" customHeight="1">
      <x:c r="A4" s="476" t="n"/>
      <x:c r="B4" s="476" t="n"/>
      <x:c r="C4" s="476" t="n"/>
      <x:c r="D4" s="476" t="n"/>
      <x:c r="E4" s="476" t="n"/>
      <x:c r="F4" s="476" t="n"/>
      <x:c r="G4" s="476" t="n"/>
      <x:c r="H4" s="476" t="n"/>
      <x:c r="I4" s="476" t="n"/>
      <x:c r="J4" s="476" t="n"/>
      <x:c r="K4" s="476" t="n"/>
      <x:c r="L4" s="476" t="n"/>
      <x:c r="M4" s="476" t="n"/>
      <x:c r="N4" s="476" t="n"/>
      <x:c r="O4" s="476" t="n"/>
      <x:c r="P4" s="476" t="n"/>
      <x:c r="Q4" s="476" t="n"/>
      <x:c r="R4" s="476" t="n"/>
      <x:c r="S4" s="476" t="n"/>
      <x:c r="T4" s="476" t="n"/>
      <x:c r="U4" s="476" t="n"/>
      <x:c r="V4" s="476" t="n"/>
      <x:c r="W4" s="476" t="n"/>
      <x:c r="X4" s="476" t="n"/>
      <x:c r="Y4" s="476" t="n"/>
      <x:c r="Z4" s="476" t="str">
        <x:f>IF(OR(E4="",Q4="",S4=""),"INCOMPLETE","COMPLETE")</x:f>
        <x:v>INCOMPLETE</x:v>
      </x:c>
      <x:c r="AB4" s="497" t="inlineStr">
        <x:is>
          <x:t xml:space="preserve">ASSUMED</x:t>
        </x:is>
      </x:c>
      <x:c r="AC4" s="497" t="inlineStr">
        <x:is>
          <x:t xml:space="preserve">REFUSAL_OR_ESCALATION_REQUIRED</x:t>
        </x:is>
      </x:c>
      <x:c r="AD4" s="497" t="inlineStr">
        <x:is>
          <x:t xml:space="preserve">GUIDANCE_STAGE</x:t>
        </x:is>
      </x:c>
    </x:row>
    <x:row r="5" s="455" customFormat="1" ht="15" customHeight="1">
      <x:c r="A5" s="476" t="n"/>
      <x:c r="B5" s="476" t="n"/>
      <x:c r="C5" s="476" t="n"/>
      <x:c r="D5" s="476" t="n"/>
      <x:c r="E5" s="476" t="n"/>
      <x:c r="F5" s="476" t="n"/>
      <x:c r="G5" s="476" t="n"/>
      <x:c r="H5" s="476" t="n"/>
      <x:c r="I5" s="476" t="n"/>
      <x:c r="J5" s="476" t="n"/>
      <x:c r="K5" s="476" t="n"/>
      <x:c r="L5" s="476" t="n"/>
      <x:c r="M5" s="476" t="n"/>
      <x:c r="N5" s="476" t="n"/>
      <x:c r="O5" s="476" t="n"/>
      <x:c r="P5" s="476" t="n"/>
      <x:c r="Q5" s="476" t="n"/>
      <x:c r="R5" s="476" t="n"/>
      <x:c r="S5" s="476" t="n"/>
      <x:c r="T5" s="476" t="n"/>
      <x:c r="U5" s="476" t="n"/>
      <x:c r="V5" s="476" t="n"/>
      <x:c r="W5" s="476" t="n"/>
      <x:c r="X5" s="476" t="n"/>
      <x:c r="Y5" s="476" t="n"/>
      <x:c r="Z5" s="476" t="str">
        <x:f>IF(OR(E5="",Q5="",S5=""),"INCOMPLETE","COMPLETE")</x:f>
        <x:v>INCOMPLETE</x:v>
      </x:c>
      <x:c r="AB5" s="497" t="inlineStr">
        <x:is>
          <x:t xml:space="preserve">CONTESTED</x:t>
        </x:is>
      </x:c>
      <x:c r="AD5" s="497" t="inlineStr">
        <x:is>
          <x:t xml:space="preserve">UNVALIDATED</x:t>
        </x:is>
      </x:c>
    </x:row>
    <x:row r="6" s="455" customFormat="1" ht="15" customHeight="1">
      <x:c r="A6" s="476" t="n"/>
      <x:c r="B6" s="476" t="n"/>
      <x:c r="C6" s="476" t="n"/>
      <x:c r="D6" s="476" t="n"/>
      <x:c r="E6" s="476" t="n"/>
      <x:c r="F6" s="476" t="n"/>
      <x:c r="G6" s="476" t="n"/>
      <x:c r="H6" s="476" t="n"/>
      <x:c r="I6" s="476" t="n"/>
      <x:c r="J6" s="476" t="n"/>
      <x:c r="K6" s="476" t="n"/>
      <x:c r="L6" s="476" t="n"/>
      <x:c r="M6" s="476" t="n"/>
      <x:c r="N6" s="476" t="n"/>
      <x:c r="O6" s="476" t="n"/>
      <x:c r="P6" s="476" t="n"/>
      <x:c r="Q6" s="476" t="n"/>
      <x:c r="R6" s="476" t="n"/>
      <x:c r="S6" s="476" t="n"/>
      <x:c r="T6" s="476" t="n"/>
      <x:c r="U6" s="476" t="n"/>
      <x:c r="V6" s="476" t="n"/>
      <x:c r="W6" s="476" t="n"/>
      <x:c r="X6" s="476" t="n"/>
      <x:c r="Y6" s="476" t="n"/>
      <x:c r="Z6" s="476" t="str">
        <x:f>IF(OR(E6="",Q6="",S6=""),"INCOMPLETE","COMPLETE")</x:f>
        <x:v>INCOMPLETE</x:v>
      </x:c>
      <x:c r="AB6" s="497" t="inlineStr">
        <x:is>
          <x:t xml:space="preserve">UNVALIDATED</x:t>
        </x:is>
      </x:c>
      <x:c r="AD6" s="497" t="inlineStr">
        <x:is>
          <x:t xml:space="preserve">CONTESTED</x:t>
        </x:is>
      </x:c>
    </x:row>
    <x:row r="7" s="455" customFormat="1" ht="15" customHeight="1">
      <x:c r="A7" s="476" t="n"/>
      <x:c r="B7" s="476" t="n"/>
      <x:c r="C7" s="476" t="n"/>
      <x:c r="D7" s="476" t="n"/>
      <x:c r="E7" s="476" t="n"/>
      <x:c r="F7" s="476" t="n"/>
      <x:c r="G7" s="476" t="n"/>
      <x:c r="H7" s="476" t="n"/>
      <x:c r="I7" s="476" t="n"/>
      <x:c r="J7" s="476" t="n"/>
      <x:c r="K7" s="476" t="n"/>
      <x:c r="L7" s="476" t="n"/>
      <x:c r="M7" s="476" t="n"/>
      <x:c r="N7" s="476" t="n"/>
      <x:c r="O7" s="476" t="n"/>
      <x:c r="P7" s="476" t="n"/>
      <x:c r="Q7" s="476" t="n"/>
      <x:c r="R7" s="476" t="n"/>
      <x:c r="S7" s="476" t="n"/>
      <x:c r="T7" s="476" t="n"/>
      <x:c r="U7" s="476" t="n"/>
      <x:c r="V7" s="476" t="n"/>
      <x:c r="W7" s="476" t="n"/>
      <x:c r="X7" s="476" t="n"/>
      <x:c r="Y7" s="476" t="n"/>
      <x:c r="Z7" s="476" t="str">
        <x:f>IF(OR(E7="",Q7="",S7=""),"INCOMPLETE","COMPLETE")</x:f>
        <x:v>INCOMPLETE</x:v>
      </x:c>
      <x:c r="AB7" s="497" t="inlineStr">
        <x:is>
          <x:t xml:space="preserve">NOT_OBSERVED</x:t>
        </x:is>
      </x:c>
      <x:c r="AD7" s="497" t="inlineStr">
        <x:is>
          <x:t xml:space="preserve">NOT_OBSERVED</x:t>
        </x:is>
      </x:c>
    </x:row>
    <x:row r="8" s="455" customFormat="1" ht="15" customHeight="1">
      <x:c r="A8" s="476" t="n"/>
      <x:c r="B8" s="476" t="n"/>
      <x:c r="C8" s="476" t="n"/>
      <x:c r="D8" s="476" t="n"/>
      <x:c r="E8" s="476" t="n"/>
      <x:c r="F8" s="476" t="n"/>
      <x:c r="G8" s="476" t="n"/>
      <x:c r="H8" s="476" t="n"/>
      <x:c r="I8" s="476" t="n"/>
      <x:c r="J8" s="476" t="n"/>
      <x:c r="K8" s="476" t="n"/>
      <x:c r="L8" s="476" t="n"/>
      <x:c r="M8" s="476" t="n"/>
      <x:c r="N8" s="476" t="n"/>
      <x:c r="O8" s="476" t="n"/>
      <x:c r="P8" s="476" t="n"/>
      <x:c r="Q8" s="476" t="n"/>
      <x:c r="R8" s="476" t="n"/>
      <x:c r="S8" s="476" t="n"/>
      <x:c r="T8" s="476" t="n"/>
      <x:c r="U8" s="476" t="n"/>
      <x:c r="V8" s="476" t="n"/>
      <x:c r="W8" s="476" t="n"/>
      <x:c r="X8" s="476" t="n"/>
      <x:c r="Y8" s="476" t="n"/>
      <x:c r="Z8" s="476" t="str">
        <x:f>IF(OR(E8="",Q8="",S8=""),"INCOMPLETE","COMPLETE")</x:f>
        <x:v>INCOMPLETE</x:v>
      </x:c>
      <x:c r="AB8" s="497" t="inlineStr">
        <x:is>
          <x:t xml:space="preserve">PLACEHOLDER_FOR_SENSITIVITY_ONLY</x:t>
        </x:is>
      </x:c>
    </x:row>
    <x:row r="9" s="455" customFormat="1" ht="15" customHeight="1">
      <x:c r="A9" s="476" t="n"/>
      <x:c r="B9" s="476" t="n"/>
      <x:c r="C9" s="476" t="n"/>
      <x:c r="D9" s="476" t="n"/>
      <x:c r="E9" s="476" t="n"/>
      <x:c r="F9" s="476" t="n"/>
      <x:c r="G9" s="476" t="n"/>
      <x:c r="H9" s="476" t="n"/>
      <x:c r="I9" s="476" t="n"/>
      <x:c r="J9" s="476" t="n"/>
      <x:c r="K9" s="476" t="n"/>
      <x:c r="L9" s="476" t="n"/>
      <x:c r="M9" s="476" t="n"/>
      <x:c r="N9" s="476" t="n"/>
      <x:c r="O9" s="476" t="n"/>
      <x:c r="P9" s="476" t="n"/>
      <x:c r="Q9" s="476" t="n"/>
      <x:c r="R9" s="476" t="n"/>
      <x:c r="S9" s="476" t="n"/>
      <x:c r="T9" s="476" t="n"/>
      <x:c r="U9" s="476" t="n"/>
      <x:c r="V9" s="476" t="n"/>
      <x:c r="W9" s="476" t="n"/>
      <x:c r="X9" s="476" t="n"/>
      <x:c r="Y9" s="476" t="n"/>
      <x:c r="Z9" s="476" t="str">
        <x:f>IF(OR(E9="",Q9="",S9=""),"INCOMPLETE","COMPLETE")</x:f>
        <x:v>INCOMPLETE</x:v>
      </x:c>
    </x:row>
    <x:row r="10" s="455" customFormat="1" ht="15" customHeight="1">
      <x:c r="A10" s="476" t="n"/>
      <x:c r="B10" s="476" t="n"/>
      <x:c r="C10" s="476" t="n"/>
      <x:c r="D10" s="476" t="n"/>
      <x:c r="E10" s="476" t="n"/>
      <x:c r="F10" s="476" t="n"/>
      <x:c r="G10" s="476" t="n"/>
      <x:c r="H10" s="476" t="n"/>
      <x:c r="I10" s="476" t="n"/>
      <x:c r="J10" s="476" t="n"/>
      <x:c r="K10" s="476" t="n"/>
      <x:c r="L10" s="476" t="n"/>
      <x:c r="M10" s="476" t="n"/>
      <x:c r="N10" s="476" t="n"/>
      <x:c r="O10" s="476" t="n"/>
      <x:c r="P10" s="476" t="n"/>
      <x:c r="Q10" s="476" t="n"/>
      <x:c r="R10" s="476" t="n"/>
      <x:c r="S10" s="476" t="n"/>
      <x:c r="T10" s="476" t="n"/>
      <x:c r="U10" s="476" t="n"/>
      <x:c r="V10" s="476" t="n"/>
      <x:c r="W10" s="476" t="n"/>
      <x:c r="X10" s="476" t="n"/>
      <x:c r="Y10" s="476" t="n"/>
      <x:c r="Z10" s="476" t="str">
        <x:f>IF(OR(E10="",Q10="",S10=""),"INCOMPLETE","COMPLETE")</x:f>
        <x:v>INCOMPLETE</x:v>
      </x:c>
    </x:row>
    <x:row r="11" s="455" customFormat="1" ht="15" customHeight="1">
      <x:c r="A11" s="476" t="n"/>
      <x:c r="B11" s="476" t="n"/>
      <x:c r="C11" s="476" t="n"/>
      <x:c r="D11" s="476" t="n"/>
      <x:c r="E11" s="476" t="n"/>
      <x:c r="F11" s="476" t="n"/>
      <x:c r="G11" s="476" t="n"/>
      <x:c r="H11" s="476" t="n"/>
      <x:c r="I11" s="476" t="n"/>
      <x:c r="J11" s="476" t="n"/>
      <x:c r="K11" s="476" t="n"/>
      <x:c r="L11" s="476" t="n"/>
      <x:c r="M11" s="476" t="n"/>
      <x:c r="N11" s="476" t="n"/>
      <x:c r="O11" s="476" t="n"/>
      <x:c r="P11" s="476" t="n"/>
      <x:c r="Q11" s="476" t="n"/>
      <x:c r="R11" s="476" t="n"/>
      <x:c r="S11" s="476" t="n"/>
      <x:c r="T11" s="476" t="n"/>
      <x:c r="U11" s="476" t="n"/>
      <x:c r="V11" s="476" t="n"/>
      <x:c r="W11" s="476" t="n"/>
      <x:c r="X11" s="476" t="n"/>
      <x:c r="Y11" s="476" t="n"/>
      <x:c r="Z11" s="476" t="str">
        <x:f>IF(OR(E11="",Q11="",S11=""),"INCOMPLETE","COMPLETE")</x:f>
        <x:v>INCOMPLETE</x:v>
      </x:c>
    </x:row>
    <x:row r="12" s="455" customFormat="1" ht="15" customHeight="1">
      <x:c r="A12" s="476" t="n"/>
      <x:c r="B12" s="476" t="n"/>
      <x:c r="C12" s="476" t="n"/>
      <x:c r="D12" s="476" t="n"/>
      <x:c r="E12" s="476" t="n"/>
      <x:c r="F12" s="476" t="n"/>
      <x:c r="G12" s="476" t="n"/>
      <x:c r="H12" s="476" t="n"/>
      <x:c r="I12" s="476" t="n"/>
      <x:c r="J12" s="476" t="n"/>
      <x:c r="K12" s="476" t="n"/>
      <x:c r="L12" s="476" t="n"/>
      <x:c r="M12" s="476" t="n"/>
      <x:c r="N12" s="476" t="n"/>
      <x:c r="O12" s="476" t="n"/>
      <x:c r="P12" s="476" t="n"/>
      <x:c r="Q12" s="476" t="n"/>
      <x:c r="R12" s="476" t="n"/>
      <x:c r="S12" s="476" t="n"/>
      <x:c r="T12" s="476" t="n"/>
      <x:c r="U12" s="476" t="n"/>
      <x:c r="V12" s="476" t="n"/>
      <x:c r="W12" s="476" t="n"/>
      <x:c r="X12" s="476" t="n"/>
      <x:c r="Y12" s="476" t="n"/>
      <x:c r="Z12" s="476" t="str">
        <x:f>IF(OR(E12="",Q12="",S12=""),"INCOMPLETE","COMPLETE")</x:f>
        <x:v>INCOMPLETE</x:v>
      </x:c>
    </x:row>
    <x:row r="13" s="455" customFormat="1" ht="15" customHeight="1">
      <x:c r="A13" s="476" t="n"/>
      <x:c r="B13" s="476" t="n"/>
      <x:c r="C13" s="476" t="n"/>
      <x:c r="D13" s="476" t="n"/>
      <x:c r="E13" s="476" t="n"/>
      <x:c r="F13" s="476" t="n"/>
      <x:c r="G13" s="476" t="n"/>
      <x:c r="H13" s="476" t="n"/>
      <x:c r="I13" s="476" t="n"/>
      <x:c r="J13" s="476" t="n"/>
      <x:c r="K13" s="476" t="n"/>
      <x:c r="L13" s="476" t="n"/>
      <x:c r="M13" s="476" t="n"/>
      <x:c r="N13" s="476" t="n"/>
      <x:c r="O13" s="476" t="n"/>
      <x:c r="P13" s="476" t="n"/>
      <x:c r="Q13" s="476" t="n"/>
      <x:c r="R13" s="476" t="n"/>
      <x:c r="S13" s="476" t="n"/>
      <x:c r="T13" s="476" t="n"/>
      <x:c r="U13" s="476" t="n"/>
      <x:c r="V13" s="476" t="n"/>
      <x:c r="W13" s="476" t="n"/>
      <x:c r="X13" s="476" t="n"/>
      <x:c r="Y13" s="476" t="n"/>
      <x:c r="Z13" s="476" t="str">
        <x:f>IF(OR(E13="",Q13="",S13=""),"INCOMPLETE","COMPLETE")</x:f>
        <x:v>INCOMPLETE</x:v>
      </x:c>
    </x:row>
    <x:row r="14" s="455" customFormat="1" ht="15" customHeight="1">
      <x:c r="A14" s="476" t="n"/>
      <x:c r="B14" s="476" t="n"/>
      <x:c r="C14" s="476" t="n"/>
      <x:c r="D14" s="476" t="n"/>
      <x:c r="E14" s="476" t="n"/>
      <x:c r="F14" s="476" t="n"/>
      <x:c r="G14" s="476" t="n"/>
      <x:c r="H14" s="476" t="n"/>
      <x:c r="I14" s="476" t="n"/>
      <x:c r="J14" s="476" t="n"/>
      <x:c r="K14" s="476" t="n"/>
      <x:c r="L14" s="476" t="n"/>
      <x:c r="M14" s="476" t="n"/>
      <x:c r="N14" s="476" t="n"/>
      <x:c r="O14" s="476" t="n"/>
      <x:c r="P14" s="476" t="n"/>
      <x:c r="Q14" s="476" t="n"/>
      <x:c r="R14" s="476" t="n"/>
      <x:c r="S14" s="476" t="n"/>
      <x:c r="T14" s="476" t="n"/>
      <x:c r="U14" s="476" t="n"/>
      <x:c r="V14" s="476" t="n"/>
      <x:c r="W14" s="476" t="n"/>
      <x:c r="X14" s="476" t="n"/>
      <x:c r="Y14" s="476" t="n"/>
      <x:c r="Z14" s="476" t="str">
        <x:f>IF(OR(E14="",Q14="",S14=""),"INCOMPLETE","COMPLETE")</x:f>
        <x:v>INCOMPLETE</x:v>
      </x:c>
    </x:row>
    <x:row r="15" s="455" customFormat="1" ht="15" customHeight="1">
      <x:c r="A15" s="476" t="n"/>
      <x:c r="B15" s="476" t="n"/>
      <x:c r="C15" s="476" t="n"/>
      <x:c r="D15" s="476" t="n"/>
      <x:c r="E15" s="476" t="n"/>
      <x:c r="F15" s="476" t="n"/>
      <x:c r="G15" s="476" t="n"/>
      <x:c r="H15" s="476" t="n"/>
      <x:c r="I15" s="476" t="n"/>
      <x:c r="J15" s="476" t="n"/>
      <x:c r="K15" s="476" t="n"/>
      <x:c r="L15" s="476" t="n"/>
      <x:c r="M15" s="476" t="n"/>
      <x:c r="N15" s="476" t="n"/>
      <x:c r="O15" s="476" t="n"/>
      <x:c r="P15" s="476" t="n"/>
      <x:c r="Q15" s="476" t="n"/>
      <x:c r="R15" s="476" t="n"/>
      <x:c r="S15" s="476" t="n"/>
      <x:c r="T15" s="476" t="n"/>
      <x:c r="U15" s="476" t="n"/>
      <x:c r="V15" s="476" t="n"/>
      <x:c r="W15" s="476" t="n"/>
      <x:c r="X15" s="476" t="n"/>
      <x:c r="Y15" s="476" t="n"/>
      <x:c r="Z15" s="476" t="str">
        <x:f>IF(OR(E15="",Q15="",S15=""),"INCOMPLETE","COMPLETE")</x:f>
        <x:v>INCOMPLETE</x:v>
      </x:c>
    </x:row>
    <x:row r="16" s="455" customFormat="1" ht="15" customHeight="1">
      <x:c r="A16" s="476" t="n"/>
      <x:c r="B16" s="476" t="n"/>
      <x:c r="C16" s="476" t="n"/>
      <x:c r="D16" s="476" t="n"/>
      <x:c r="E16" s="476" t="n"/>
      <x:c r="F16" s="476" t="n"/>
      <x:c r="G16" s="476" t="n"/>
      <x:c r="H16" s="476" t="n"/>
      <x:c r="I16" s="476" t="n"/>
      <x:c r="J16" s="476" t="n"/>
      <x:c r="K16" s="476" t="n"/>
      <x:c r="L16" s="476" t="n"/>
      <x:c r="M16" s="476" t="n"/>
      <x:c r="N16" s="476" t="n"/>
      <x:c r="O16" s="476" t="n"/>
      <x:c r="P16" s="476" t="n"/>
      <x:c r="Q16" s="476" t="n"/>
      <x:c r="R16" s="476" t="n"/>
      <x:c r="S16" s="476" t="n"/>
      <x:c r="T16" s="476" t="n"/>
      <x:c r="U16" s="476" t="n"/>
      <x:c r="V16" s="476" t="n"/>
      <x:c r="W16" s="476" t="n"/>
      <x:c r="X16" s="476" t="n"/>
      <x:c r="Y16" s="476" t="n"/>
      <x:c r="Z16" s="476" t="str">
        <x:f>IF(OR(E16="",Q16="",S16=""),"INCOMPLETE","COMPLETE")</x:f>
        <x:v>INCOMPLETE</x:v>
      </x:c>
    </x:row>
    <x:row r="17" s="455" customFormat="1" ht="15" customHeight="1">
      <x:c r="A17" s="476" t="n"/>
      <x:c r="B17" s="476" t="n"/>
      <x:c r="C17" s="476" t="n"/>
      <x:c r="D17" s="476" t="n"/>
      <x:c r="E17" s="476" t="n"/>
      <x:c r="F17" s="476" t="n"/>
      <x:c r="G17" s="476" t="n"/>
      <x:c r="H17" s="476" t="n"/>
      <x:c r="I17" s="476" t="n"/>
      <x:c r="J17" s="476" t="n"/>
      <x:c r="K17" s="476" t="n"/>
      <x:c r="L17" s="476" t="n"/>
      <x:c r="M17" s="476" t="n"/>
      <x:c r="N17" s="476" t="n"/>
      <x:c r="O17" s="476" t="n"/>
      <x:c r="P17" s="476" t="n"/>
      <x:c r="Q17" s="476" t="n"/>
      <x:c r="R17" s="476" t="n"/>
      <x:c r="S17" s="476" t="n"/>
      <x:c r="T17" s="476" t="n"/>
      <x:c r="U17" s="476" t="n"/>
      <x:c r="V17" s="476" t="n"/>
      <x:c r="W17" s="476" t="n"/>
      <x:c r="X17" s="476" t="n"/>
      <x:c r="Y17" s="476" t="n"/>
      <x:c r="Z17" s="476" t="str">
        <x:f>IF(OR(E17="",Q17="",S17=""),"INCOMPLETE","COMPLETE")</x:f>
        <x:v>INCOMPLETE</x:v>
      </x:c>
    </x:row>
    <x:row r="18" s="455" customFormat="1" ht="15" customHeight="1">
      <x:c r="A18" s="476" t="n"/>
      <x:c r="B18" s="476" t="n"/>
      <x:c r="C18" s="476" t="n"/>
      <x:c r="D18" s="476" t="n"/>
      <x:c r="E18" s="476" t="n"/>
      <x:c r="F18" s="476" t="n"/>
      <x:c r="G18" s="476" t="n"/>
      <x:c r="H18" s="476" t="n"/>
      <x:c r="I18" s="476" t="n"/>
      <x:c r="J18" s="476" t="n"/>
      <x:c r="K18" s="476" t="n"/>
      <x:c r="L18" s="476" t="n"/>
      <x:c r="M18" s="476" t="n"/>
      <x:c r="N18" s="476" t="n"/>
      <x:c r="O18" s="476" t="n"/>
      <x:c r="P18" s="476" t="n"/>
      <x:c r="Q18" s="476" t="n"/>
      <x:c r="R18" s="476" t="n"/>
      <x:c r="S18" s="476" t="n"/>
      <x:c r="T18" s="476" t="n"/>
      <x:c r="U18" s="476" t="n"/>
      <x:c r="V18" s="476" t="n"/>
      <x:c r="W18" s="476" t="n"/>
      <x:c r="X18" s="476" t="n"/>
      <x:c r="Y18" s="476" t="n"/>
      <x:c r="Z18" s="476" t="str">
        <x:f>IF(OR(E18="",Q18="",S18=""),"INCOMPLETE","COMPLETE")</x:f>
        <x:v>INCOMPLETE</x:v>
      </x:c>
    </x:row>
    <x:row r="19" s="455" customFormat="1" ht="15" customHeight="1">
      <x:c r="A19" s="476" t="n"/>
      <x:c r="B19" s="476" t="n"/>
      <x:c r="C19" s="476" t="n"/>
      <x:c r="D19" s="476" t="n"/>
      <x:c r="E19" s="476" t="n"/>
      <x:c r="F19" s="476" t="n"/>
      <x:c r="G19" s="476" t="n"/>
      <x:c r="H19" s="476" t="n"/>
      <x:c r="I19" s="476" t="n"/>
      <x:c r="J19" s="476" t="n"/>
      <x:c r="K19" s="476" t="n"/>
      <x:c r="L19" s="476" t="n"/>
      <x:c r="M19" s="476" t="n"/>
      <x:c r="N19" s="476" t="n"/>
      <x:c r="O19" s="476" t="n"/>
      <x:c r="P19" s="476" t="n"/>
      <x:c r="Q19" s="476" t="n"/>
      <x:c r="R19" s="476" t="n"/>
      <x:c r="S19" s="476" t="n"/>
      <x:c r="T19" s="476" t="n"/>
      <x:c r="U19" s="476" t="n"/>
      <x:c r="V19" s="476" t="n"/>
      <x:c r="W19" s="476" t="n"/>
      <x:c r="X19" s="476" t="n"/>
      <x:c r="Y19" s="476" t="n"/>
      <x:c r="Z19" s="476" t="str">
        <x:f>IF(OR(E19="",Q19="",S19=""),"INCOMPLETE","COMPLETE")</x:f>
        <x:v>INCOMPLETE</x:v>
      </x:c>
    </x:row>
    <x:row r="20" s="455" customFormat="1" ht="15" customHeight="1">
      <x:c r="A20" s="476" t="n"/>
      <x:c r="B20" s="476" t="n"/>
      <x:c r="C20" s="476" t="n"/>
      <x:c r="D20" s="476" t="n"/>
      <x:c r="E20" s="476" t="n"/>
      <x:c r="F20" s="476" t="n"/>
      <x:c r="G20" s="476" t="n"/>
      <x:c r="H20" s="476" t="n"/>
      <x:c r="I20" s="476" t="n"/>
      <x:c r="J20" s="476" t="n"/>
      <x:c r="K20" s="476" t="n"/>
      <x:c r="L20" s="476" t="n"/>
      <x:c r="M20" s="476" t="n"/>
      <x:c r="N20" s="476" t="n"/>
      <x:c r="O20" s="476" t="n"/>
      <x:c r="P20" s="476" t="n"/>
      <x:c r="Q20" s="476" t="n"/>
      <x:c r="R20" s="476" t="n"/>
      <x:c r="S20" s="476" t="n"/>
      <x:c r="T20" s="476" t="n"/>
      <x:c r="U20" s="476" t="n"/>
      <x:c r="V20" s="476" t="n"/>
      <x:c r="W20" s="476" t="n"/>
      <x:c r="X20" s="476" t="n"/>
      <x:c r="Y20" s="476" t="n"/>
      <x:c r="Z20" s="476" t="str">
        <x:f>IF(OR(E20="",Q20="",S20=""),"INCOMPLETE","COMPLETE")</x:f>
        <x:v>INCOMPLETE</x:v>
      </x:c>
    </x:row>
    <x:row r="21" s="455" customFormat="1" ht="15" customHeight="1">
      <x:c r="A21" s="476" t="n"/>
      <x:c r="B21" s="476" t="n"/>
      <x:c r="C21" s="476" t="n"/>
      <x:c r="D21" s="476" t="n"/>
      <x:c r="E21" s="476" t="n"/>
      <x:c r="F21" s="476" t="n"/>
      <x:c r="G21" s="476" t="n"/>
      <x:c r="H21" s="476" t="n"/>
      <x:c r="I21" s="476" t="n"/>
      <x:c r="J21" s="476" t="n"/>
      <x:c r="K21" s="476" t="n"/>
      <x:c r="L21" s="476" t="n"/>
      <x:c r="M21" s="476" t="n"/>
      <x:c r="N21" s="476" t="n"/>
      <x:c r="O21" s="476" t="n"/>
      <x:c r="P21" s="476" t="n"/>
      <x:c r="Q21" s="476" t="n"/>
      <x:c r="R21" s="476" t="n"/>
      <x:c r="S21" s="476" t="n"/>
      <x:c r="T21" s="476" t="n"/>
      <x:c r="U21" s="476" t="n"/>
      <x:c r="V21" s="476" t="n"/>
      <x:c r="W21" s="476" t="n"/>
      <x:c r="X21" s="476" t="n"/>
      <x:c r="Y21" s="476" t="n"/>
      <x:c r="Z21" s="476" t="str">
        <x:f>IF(OR(E21="",Q21="",S21=""),"INCOMPLETE","COMPLETE")</x:f>
        <x:v>INCOMPLETE</x:v>
      </x:c>
    </x:row>
    <x:row r="22" s="455" customFormat="1" ht="15" customHeight="1">
      <x:c r="A22" s="476" t="n"/>
      <x:c r="B22" s="476" t="n"/>
      <x:c r="C22" s="476" t="n"/>
      <x:c r="D22" s="476" t="n"/>
      <x:c r="E22" s="476" t="n"/>
      <x:c r="F22" s="476" t="n"/>
      <x:c r="G22" s="476" t="n"/>
      <x:c r="H22" s="476" t="n"/>
      <x:c r="I22" s="476" t="n"/>
      <x:c r="J22" s="476" t="n"/>
      <x:c r="K22" s="476" t="n"/>
      <x:c r="L22" s="476" t="n"/>
      <x:c r="M22" s="476" t="n"/>
      <x:c r="N22" s="476" t="n"/>
      <x:c r="O22" s="476" t="n"/>
      <x:c r="P22" s="476" t="n"/>
      <x:c r="Q22" s="476" t="n"/>
      <x:c r="R22" s="476" t="n"/>
      <x:c r="S22" s="476" t="n"/>
      <x:c r="T22" s="476" t="n"/>
      <x:c r="U22" s="476" t="n"/>
      <x:c r="V22" s="476" t="n"/>
      <x:c r="W22" s="476" t="n"/>
      <x:c r="X22" s="476" t="n"/>
      <x:c r="Y22" s="476" t="n"/>
      <x:c r="Z22" s="476" t="str">
        <x:f>IF(OR(E22="",Q22="",S22=""),"INCOMPLETE","COMPLETE")</x:f>
        <x:v>INCOMPLETE</x:v>
      </x:c>
    </x:row>
    <x:row r="23" s="455" customFormat="1" ht="15" customHeight="1">
      <x:c r="A23" s="476" t="n"/>
      <x:c r="B23" s="476" t="n"/>
      <x:c r="C23" s="476" t="n"/>
      <x:c r="D23" s="476" t="n"/>
      <x:c r="E23" s="476" t="n"/>
      <x:c r="F23" s="476" t="n"/>
      <x:c r="G23" s="476" t="n"/>
      <x:c r="H23" s="476" t="n"/>
      <x:c r="I23" s="476" t="n"/>
      <x:c r="J23" s="476" t="n"/>
      <x:c r="K23" s="476" t="n"/>
      <x:c r="L23" s="476" t="n"/>
      <x:c r="M23" s="476" t="n"/>
      <x:c r="N23" s="476" t="n"/>
      <x:c r="O23" s="476" t="n"/>
      <x:c r="P23" s="476" t="n"/>
      <x:c r="Q23" s="476" t="n"/>
      <x:c r="R23" s="476" t="n"/>
      <x:c r="S23" s="476" t="n"/>
      <x:c r="T23" s="476" t="n"/>
      <x:c r="U23" s="476" t="n"/>
      <x:c r="V23" s="476" t="n"/>
      <x:c r="W23" s="476" t="n"/>
      <x:c r="X23" s="476" t="n"/>
      <x:c r="Y23" s="476" t="n"/>
      <x:c r="Z23" s="476" t="str">
        <x:f>IF(OR(E23="",Q23="",S23=""),"INCOMPLETE","COMPLETE")</x:f>
        <x:v>INCOMPLETE</x:v>
      </x:c>
    </x:row>
    <x:row r="24" s="455" customFormat="1" ht="15" customHeight="1">
      <x:c r="A24" s="476" t="n"/>
      <x:c r="B24" s="476" t="n"/>
      <x:c r="C24" s="476" t="n"/>
      <x:c r="D24" s="476" t="n"/>
      <x:c r="E24" s="476" t="n"/>
      <x:c r="F24" s="476" t="n"/>
      <x:c r="G24" s="476" t="n"/>
      <x:c r="H24" s="476" t="n"/>
      <x:c r="I24" s="476" t="n"/>
      <x:c r="J24" s="476" t="n"/>
      <x:c r="K24" s="476" t="n"/>
      <x:c r="L24" s="476" t="n"/>
      <x:c r="M24" s="476" t="n"/>
      <x:c r="N24" s="476" t="n"/>
      <x:c r="O24" s="476" t="n"/>
      <x:c r="P24" s="476" t="n"/>
      <x:c r="Q24" s="476" t="n"/>
      <x:c r="R24" s="476" t="n"/>
      <x:c r="S24" s="476" t="n"/>
      <x:c r="T24" s="476" t="n"/>
      <x:c r="U24" s="476" t="n"/>
      <x:c r="V24" s="476" t="n"/>
      <x:c r="W24" s="476" t="n"/>
      <x:c r="X24" s="476" t="n"/>
      <x:c r="Y24" s="476" t="n"/>
      <x:c r="Z24" s="476" t="str">
        <x:f>IF(OR(E24="",Q24="",S24=""),"INCOMPLETE","COMPLETE")</x:f>
        <x:v>INCOMPLETE</x:v>
      </x:c>
    </x:row>
    <x:row r="25" s="455" customFormat="1" ht="15" customHeight="1">
      <x:c r="A25" s="476" t="n"/>
      <x:c r="B25" s="476" t="n"/>
      <x:c r="C25" s="476" t="n"/>
      <x:c r="D25" s="476" t="n"/>
      <x:c r="E25" s="476" t="n"/>
      <x:c r="F25" s="476" t="n"/>
      <x:c r="G25" s="476" t="n"/>
      <x:c r="H25" s="476" t="n"/>
      <x:c r="I25" s="476" t="n"/>
      <x:c r="J25" s="476" t="n"/>
      <x:c r="K25" s="476" t="n"/>
      <x:c r="L25" s="476" t="n"/>
      <x:c r="M25" s="476" t="n"/>
      <x:c r="N25" s="476" t="n"/>
      <x:c r="O25" s="476" t="n"/>
      <x:c r="P25" s="476" t="n"/>
      <x:c r="Q25" s="476" t="n"/>
      <x:c r="R25" s="476" t="n"/>
      <x:c r="S25" s="476" t="n"/>
      <x:c r="T25" s="476" t="n"/>
      <x:c r="U25" s="476" t="n"/>
      <x:c r="V25" s="476" t="n"/>
      <x:c r="W25" s="476" t="n"/>
      <x:c r="X25" s="476" t="n"/>
      <x:c r="Y25" s="476" t="n"/>
      <x:c r="Z25" s="476" t="str">
        <x:f>IF(OR(E25="",Q25="",S25=""),"INCOMPLETE","COMPLETE")</x:f>
        <x:v>INCOMPLETE</x:v>
      </x:c>
    </x:row>
    <x:row r="26" s="455" customFormat="1" ht="15" customHeight="1">
      <x:c r="A26" s="476" t="n"/>
      <x:c r="B26" s="476" t="n"/>
      <x:c r="C26" s="476" t="n"/>
      <x:c r="D26" s="476" t="n"/>
      <x:c r="E26" s="476" t="n"/>
      <x:c r="F26" s="476" t="n"/>
      <x:c r="G26" s="476" t="n"/>
      <x:c r="H26" s="476" t="n"/>
      <x:c r="I26" s="476" t="n"/>
      <x:c r="J26" s="476" t="n"/>
      <x:c r="K26" s="476" t="n"/>
      <x:c r="L26" s="476" t="n"/>
      <x:c r="M26" s="476" t="n"/>
      <x:c r="N26" s="476" t="n"/>
      <x:c r="O26" s="476" t="n"/>
      <x:c r="P26" s="476" t="n"/>
      <x:c r="Q26" s="476" t="n"/>
      <x:c r="R26" s="476" t="n"/>
      <x:c r="S26" s="476" t="n"/>
      <x:c r="T26" s="476" t="n"/>
      <x:c r="U26" s="476" t="n"/>
      <x:c r="V26" s="476" t="n"/>
      <x:c r="W26" s="476" t="n"/>
      <x:c r="X26" s="476" t="n"/>
      <x:c r="Y26" s="476" t="n"/>
      <x:c r="Z26" s="476" t="str">
        <x:f>IF(OR(E26="",Q26="",S26=""),"INCOMPLETE","COMPLETE")</x:f>
        <x:v>INCOMPLETE</x:v>
      </x:c>
    </x:row>
    <x:row r="27" s="455" customFormat="1" ht="15" customHeight="1">
      <x:c r="A27" s="476" t="n"/>
      <x:c r="B27" s="476" t="n"/>
      <x:c r="C27" s="476" t="n"/>
      <x:c r="D27" s="476" t="n"/>
      <x:c r="E27" s="476" t="n"/>
      <x:c r="F27" s="476" t="n"/>
      <x:c r="G27" s="476" t="n"/>
      <x:c r="H27" s="476" t="n"/>
      <x:c r="I27" s="476" t="n"/>
      <x:c r="J27" s="476" t="n"/>
      <x:c r="K27" s="476" t="n"/>
      <x:c r="L27" s="476" t="n"/>
      <x:c r="M27" s="476" t="n"/>
      <x:c r="N27" s="476" t="n"/>
      <x:c r="O27" s="476" t="n"/>
      <x:c r="P27" s="476" t="n"/>
      <x:c r="Q27" s="476" t="n"/>
      <x:c r="R27" s="476" t="n"/>
      <x:c r="S27" s="476" t="n"/>
      <x:c r="T27" s="476" t="n"/>
      <x:c r="U27" s="476" t="n"/>
      <x:c r="V27" s="476" t="n"/>
      <x:c r="W27" s="476" t="n"/>
      <x:c r="X27" s="476" t="n"/>
      <x:c r="Y27" s="476" t="n"/>
      <x:c r="Z27" s="476" t="str">
        <x:f>IF(OR(E27="",Q27="",S27=""),"INCOMPLETE","COMPLETE")</x:f>
        <x:v>INCOMPLETE</x:v>
      </x:c>
    </x:row>
    <x:row r="28" s="455" customFormat="1" ht="15" customHeight="1">
      <x:c r="A28" s="476" t="n"/>
      <x:c r="B28" s="476" t="n"/>
      <x:c r="C28" s="476" t="n"/>
      <x:c r="D28" s="476" t="n"/>
      <x:c r="E28" s="476" t="n"/>
      <x:c r="F28" s="476" t="n"/>
      <x:c r="G28" s="476" t="n"/>
      <x:c r="H28" s="476" t="n"/>
      <x:c r="I28" s="476" t="n"/>
      <x:c r="J28" s="476" t="n"/>
      <x:c r="K28" s="476" t="n"/>
      <x:c r="L28" s="476" t="n"/>
      <x:c r="M28" s="476" t="n"/>
      <x:c r="N28" s="476" t="n"/>
      <x:c r="O28" s="476" t="n"/>
      <x:c r="P28" s="476" t="n"/>
      <x:c r="Q28" s="476" t="n"/>
      <x:c r="R28" s="476" t="n"/>
      <x:c r="S28" s="476" t="n"/>
      <x:c r="T28" s="476" t="n"/>
      <x:c r="U28" s="476" t="n"/>
      <x:c r="V28" s="476" t="n"/>
      <x:c r="W28" s="476" t="n"/>
      <x:c r="X28" s="476" t="n"/>
      <x:c r="Y28" s="476" t="n"/>
      <x:c r="Z28" s="476" t="str">
        <x:f>IF(OR(E28="",Q28="",S28=""),"INCOMPLETE","COMPLETE")</x:f>
        <x:v>INCOMPLETE</x:v>
      </x:c>
    </x:row>
    <x:row r="29" s="455" customFormat="1" ht="15" customHeight="1">
      <x:c r="A29" s="476" t="n"/>
      <x:c r="B29" s="476" t="n"/>
      <x:c r="C29" s="476" t="n"/>
      <x:c r="D29" s="476" t="n"/>
      <x:c r="E29" s="476" t="n"/>
      <x:c r="F29" s="476" t="n"/>
      <x:c r="G29" s="476" t="n"/>
      <x:c r="H29" s="476" t="n"/>
      <x:c r="I29" s="476" t="n"/>
      <x:c r="J29" s="476" t="n"/>
      <x:c r="K29" s="476" t="n"/>
      <x:c r="L29" s="476" t="n"/>
      <x:c r="M29" s="476" t="n"/>
      <x:c r="N29" s="476" t="n"/>
      <x:c r="O29" s="476" t="n"/>
      <x:c r="P29" s="476" t="n"/>
      <x:c r="Q29" s="476" t="n"/>
      <x:c r="R29" s="476" t="n"/>
      <x:c r="S29" s="476" t="n"/>
      <x:c r="T29" s="476" t="n"/>
      <x:c r="U29" s="476" t="n"/>
      <x:c r="V29" s="476" t="n"/>
      <x:c r="W29" s="476" t="n"/>
      <x:c r="X29" s="476" t="n"/>
      <x:c r="Y29" s="476" t="n"/>
      <x:c r="Z29" s="476" t="str">
        <x:f>IF(OR(E29="",Q29="",S29=""),"INCOMPLETE","COMPLETE")</x:f>
        <x:v>INCOMPLETE</x:v>
      </x:c>
    </x:row>
    <x:row r="30" s="455" customFormat="1" ht="15" customHeight="1">
      <x:c r="A30" s="476" t="n"/>
      <x:c r="B30" s="476" t="n"/>
      <x:c r="C30" s="476" t="n"/>
      <x:c r="D30" s="476" t="n"/>
      <x:c r="E30" s="476" t="n"/>
      <x:c r="F30" s="476" t="n"/>
      <x:c r="G30" s="476" t="n"/>
      <x:c r="H30" s="476" t="n"/>
      <x:c r="I30" s="476" t="n"/>
      <x:c r="J30" s="476" t="n"/>
      <x:c r="K30" s="476" t="n"/>
      <x:c r="L30" s="476" t="n"/>
      <x:c r="M30" s="476" t="n"/>
      <x:c r="N30" s="476" t="n"/>
      <x:c r="O30" s="476" t="n"/>
      <x:c r="P30" s="476" t="n"/>
      <x:c r="Q30" s="476" t="n"/>
      <x:c r="R30" s="476" t="n"/>
      <x:c r="S30" s="476" t="n"/>
      <x:c r="T30" s="476" t="n"/>
      <x:c r="U30" s="476" t="n"/>
      <x:c r="V30" s="476" t="n"/>
      <x:c r="W30" s="476" t="n"/>
      <x:c r="X30" s="476" t="n"/>
      <x:c r="Y30" s="476" t="n"/>
      <x:c r="Z30" s="476" t="str">
        <x:f>IF(OR(E30="",Q30="",S30=""),"INCOMPLETE","COMPLETE")</x:f>
        <x:v>INCOMPLETE</x:v>
      </x:c>
    </x:row>
    <x:row r="31" s="455" customFormat="1" ht="15" customHeight="1">
      <x:c r="A31" s="476" t="n"/>
      <x:c r="B31" s="476" t="n"/>
      <x:c r="C31" s="476" t="n"/>
      <x:c r="D31" s="476" t="n"/>
      <x:c r="E31" s="476" t="n"/>
      <x:c r="F31" s="476" t="n"/>
      <x:c r="G31" s="476" t="n"/>
      <x:c r="H31" s="476" t="n"/>
      <x:c r="I31" s="476" t="n"/>
      <x:c r="J31" s="476" t="n"/>
      <x:c r="K31" s="476" t="n"/>
      <x:c r="L31" s="476" t="n"/>
      <x:c r="M31" s="476" t="n"/>
      <x:c r="N31" s="476" t="n"/>
      <x:c r="O31" s="476" t="n"/>
      <x:c r="P31" s="476" t="n"/>
      <x:c r="Q31" s="476" t="n"/>
      <x:c r="R31" s="476" t="n"/>
      <x:c r="S31" s="476" t="n"/>
      <x:c r="T31" s="476" t="n"/>
      <x:c r="U31" s="476" t="n"/>
      <x:c r="V31" s="476" t="n"/>
      <x:c r="W31" s="476" t="n"/>
      <x:c r="X31" s="476" t="n"/>
      <x:c r="Y31" s="476" t="n"/>
      <x:c r="Z31" s="476" t="str">
        <x:f>IF(OR(E31="",Q31="",S31=""),"INCOMPLETE","COMPLETE")</x:f>
        <x:v>INCOMPLETE</x:v>
      </x:c>
    </x:row>
    <x:row r="32" s="455" customFormat="1" ht="15" customHeight="1">
      <x:c r="A32" s="476" t="n"/>
      <x:c r="B32" s="476" t="n"/>
      <x:c r="C32" s="476" t="n"/>
      <x:c r="D32" s="476" t="n"/>
      <x:c r="E32" s="476" t="n"/>
      <x:c r="F32" s="476" t="n"/>
      <x:c r="G32" s="476" t="n"/>
      <x:c r="H32" s="476" t="n"/>
      <x:c r="I32" s="476" t="n"/>
      <x:c r="J32" s="476" t="n"/>
      <x:c r="K32" s="476" t="n"/>
      <x:c r="L32" s="476" t="n"/>
      <x:c r="M32" s="476" t="n"/>
      <x:c r="N32" s="476" t="n"/>
      <x:c r="O32" s="476" t="n"/>
      <x:c r="P32" s="476" t="n"/>
      <x:c r="Q32" s="476" t="n"/>
      <x:c r="R32" s="476" t="n"/>
      <x:c r="S32" s="476" t="n"/>
      <x:c r="T32" s="476" t="n"/>
      <x:c r="U32" s="476" t="n"/>
      <x:c r="V32" s="476" t="n"/>
      <x:c r="W32" s="476" t="n"/>
      <x:c r="X32" s="476" t="n"/>
      <x:c r="Y32" s="476" t="n"/>
      <x:c r="Z32" s="476" t="str">
        <x:f>IF(OR(E32="",Q32="",S32=""),"INCOMPLETE","COMPLETE")</x:f>
        <x:v>INCOMPLETE</x:v>
      </x:c>
    </x:row>
    <x:row r="33" s="455" customFormat="1" ht="15" customHeight="1">
      <x:c r="A33" s="476" t="n"/>
      <x:c r="B33" s="476" t="n"/>
      <x:c r="C33" s="476" t="n"/>
      <x:c r="D33" s="476" t="n"/>
      <x:c r="E33" s="476" t="n"/>
      <x:c r="F33" s="476" t="n"/>
      <x:c r="G33" s="476" t="n"/>
      <x:c r="H33" s="476" t="n"/>
      <x:c r="I33" s="476" t="n"/>
      <x:c r="J33" s="476" t="n"/>
      <x:c r="K33" s="476" t="n"/>
      <x:c r="L33" s="476" t="n"/>
      <x:c r="M33" s="476" t="n"/>
      <x:c r="N33" s="476" t="n"/>
      <x:c r="O33" s="476" t="n"/>
      <x:c r="P33" s="476" t="n"/>
      <x:c r="Q33" s="476" t="n"/>
      <x:c r="R33" s="476" t="n"/>
      <x:c r="S33" s="476" t="n"/>
      <x:c r="T33" s="476" t="n"/>
      <x:c r="U33" s="476" t="n"/>
      <x:c r="V33" s="476" t="n"/>
      <x:c r="W33" s="476" t="n"/>
      <x:c r="X33" s="476" t="n"/>
      <x:c r="Y33" s="476" t="n"/>
      <x:c r="Z33" s="476" t="str">
        <x:f>IF(OR(E33="",Q33="",S33=""),"INCOMPLETE","COMPLETE")</x:f>
        <x:v>INCOMPLETE</x:v>
      </x:c>
    </x:row>
    <x:row r="34" s="455" customFormat="1" ht="15" customHeight="1">
      <x:c r="A34" s="476" t="n"/>
      <x:c r="B34" s="476" t="n"/>
      <x:c r="C34" s="476" t="n"/>
      <x:c r="D34" s="476" t="n"/>
      <x:c r="E34" s="476" t="n"/>
      <x:c r="F34" s="476" t="n"/>
      <x:c r="G34" s="476" t="n"/>
      <x:c r="H34" s="476" t="n"/>
      <x:c r="I34" s="476" t="n"/>
      <x:c r="J34" s="476" t="n"/>
      <x:c r="K34" s="476" t="n"/>
      <x:c r="L34" s="476" t="n"/>
      <x:c r="M34" s="476" t="n"/>
      <x:c r="N34" s="476" t="n"/>
      <x:c r="O34" s="476" t="n"/>
      <x:c r="P34" s="476" t="n"/>
      <x:c r="Q34" s="476" t="n"/>
      <x:c r="R34" s="476" t="n"/>
      <x:c r="S34" s="476" t="n"/>
      <x:c r="T34" s="476" t="n"/>
      <x:c r="U34" s="476" t="n"/>
      <x:c r="V34" s="476" t="n"/>
      <x:c r="W34" s="476" t="n"/>
      <x:c r="X34" s="476" t="n"/>
      <x:c r="Y34" s="476" t="n"/>
      <x:c r="Z34" s="476" t="str">
        <x:f>IF(OR(E34="",Q34="",S34=""),"INCOMPLETE","COMPLETE")</x:f>
        <x:v>INCOMPLETE</x:v>
      </x:c>
    </x:row>
    <x:row r="35" s="455" customFormat="1" ht="15" customHeight="1">
      <x:c r="A35" s="476" t="n"/>
      <x:c r="B35" s="476" t="n"/>
      <x:c r="C35" s="476" t="n"/>
      <x:c r="D35" s="476" t="n"/>
      <x:c r="E35" s="476" t="n"/>
      <x:c r="F35" s="476" t="n"/>
      <x:c r="G35" s="476" t="n"/>
      <x:c r="H35" s="476" t="n"/>
      <x:c r="I35" s="476" t="n"/>
      <x:c r="J35" s="476" t="n"/>
      <x:c r="K35" s="476" t="n"/>
      <x:c r="L35" s="476" t="n"/>
      <x:c r="M35" s="476" t="n"/>
      <x:c r="N35" s="476" t="n"/>
      <x:c r="O35" s="476" t="n"/>
      <x:c r="P35" s="476" t="n"/>
      <x:c r="Q35" s="476" t="n"/>
      <x:c r="R35" s="476" t="n"/>
      <x:c r="S35" s="476" t="n"/>
      <x:c r="T35" s="476" t="n"/>
      <x:c r="U35" s="476" t="n"/>
      <x:c r="V35" s="476" t="n"/>
      <x:c r="W35" s="476" t="n"/>
      <x:c r="X35" s="476" t="n"/>
      <x:c r="Y35" s="476" t="n"/>
      <x:c r="Z35" s="476" t="str">
        <x:f>IF(OR(E35="",Q35="",S35=""),"INCOMPLETE","COMPLETE")</x:f>
        <x:v>INCOMPLETE</x:v>
      </x:c>
    </x:row>
    <x:row r="36" s="455" customFormat="1" ht="15" customHeight="1">
      <x:c r="A36" s="476" t="n"/>
      <x:c r="B36" s="476" t="n"/>
      <x:c r="C36" s="476" t="n"/>
      <x:c r="D36" s="476" t="n"/>
      <x:c r="E36" s="476" t="n"/>
      <x:c r="F36" s="476" t="n"/>
      <x:c r="G36" s="476" t="n"/>
      <x:c r="H36" s="476" t="n"/>
      <x:c r="I36" s="476" t="n"/>
      <x:c r="J36" s="476" t="n"/>
      <x:c r="K36" s="476" t="n"/>
      <x:c r="L36" s="476" t="n"/>
      <x:c r="M36" s="476" t="n"/>
      <x:c r="N36" s="476" t="n"/>
      <x:c r="O36" s="476" t="n"/>
      <x:c r="P36" s="476" t="n"/>
      <x:c r="Q36" s="476" t="n"/>
      <x:c r="R36" s="476" t="n"/>
      <x:c r="S36" s="476" t="n"/>
      <x:c r="T36" s="476" t="n"/>
      <x:c r="U36" s="476" t="n"/>
      <x:c r="V36" s="476" t="n"/>
      <x:c r="W36" s="476" t="n"/>
      <x:c r="X36" s="476" t="n"/>
      <x:c r="Y36" s="476" t="n"/>
      <x:c r="Z36" s="476" t="str">
        <x:f>IF(OR(E36="",Q36="",S36=""),"INCOMPLETE","COMPLETE")</x:f>
        <x:v>INCOMPLETE</x:v>
      </x:c>
    </x:row>
    <x:row r="37" s="455" customFormat="1" ht="15" customHeight="1">
      <x:c r="A37" s="476" t="n"/>
      <x:c r="B37" s="476" t="n"/>
      <x:c r="C37" s="476" t="n"/>
      <x:c r="D37" s="476" t="n"/>
      <x:c r="E37" s="476" t="n"/>
      <x:c r="F37" s="476" t="n"/>
      <x:c r="G37" s="476" t="n"/>
      <x:c r="H37" s="476" t="n"/>
      <x:c r="I37" s="476" t="n"/>
      <x:c r="J37" s="476" t="n"/>
      <x:c r="K37" s="476" t="n"/>
      <x:c r="L37" s="476" t="n"/>
      <x:c r="M37" s="476" t="n"/>
      <x:c r="N37" s="476" t="n"/>
      <x:c r="O37" s="476" t="n"/>
      <x:c r="P37" s="476" t="n"/>
      <x:c r="Q37" s="476" t="n"/>
      <x:c r="R37" s="476" t="n"/>
      <x:c r="S37" s="476" t="n"/>
      <x:c r="T37" s="476" t="n"/>
      <x:c r="U37" s="476" t="n"/>
      <x:c r="V37" s="476" t="n"/>
      <x:c r="W37" s="476" t="n"/>
      <x:c r="X37" s="476" t="n"/>
      <x:c r="Y37" s="476" t="n"/>
      <x:c r="Z37" s="476" t="str">
        <x:f>IF(OR(E37="",Q37="",S37=""),"INCOMPLETE","COMPLETE")</x:f>
        <x:v>INCOMPLETE</x:v>
      </x:c>
    </x:row>
    <x:row r="38" s="455" customFormat="1" ht="15" customHeight="1">
      <x:c r="A38" s="476" t="n"/>
      <x:c r="B38" s="476" t="n"/>
      <x:c r="C38" s="476" t="n"/>
      <x:c r="D38" s="476" t="n"/>
      <x:c r="E38" s="476" t="n"/>
      <x:c r="F38" s="476" t="n"/>
      <x:c r="G38" s="476" t="n"/>
      <x:c r="H38" s="476" t="n"/>
      <x:c r="I38" s="476" t="n"/>
      <x:c r="J38" s="476" t="n"/>
      <x:c r="K38" s="476" t="n"/>
      <x:c r="L38" s="476" t="n"/>
      <x:c r="M38" s="476" t="n"/>
      <x:c r="N38" s="476" t="n"/>
      <x:c r="O38" s="476" t="n"/>
      <x:c r="P38" s="476" t="n"/>
      <x:c r="Q38" s="476" t="n"/>
      <x:c r="R38" s="476" t="n"/>
      <x:c r="S38" s="476" t="n"/>
      <x:c r="T38" s="476" t="n"/>
      <x:c r="U38" s="476" t="n"/>
      <x:c r="V38" s="476" t="n"/>
      <x:c r="W38" s="476" t="n"/>
      <x:c r="X38" s="476" t="n"/>
      <x:c r="Y38" s="476" t="n"/>
      <x:c r="Z38" s="476" t="str">
        <x:f>IF(OR(E38="",Q38="",S38=""),"INCOMPLETE","COMPLETE")</x:f>
        <x:v>INCOMPLETE</x:v>
      </x:c>
    </x:row>
    <x:row r="39" s="455" customFormat="1" ht="15" customHeight="1">
      <x:c r="A39" s="476" t="n"/>
      <x:c r="B39" s="476" t="n"/>
      <x:c r="C39" s="476" t="n"/>
      <x:c r="D39" s="476" t="n"/>
      <x:c r="E39" s="476" t="n"/>
      <x:c r="F39" s="476" t="n"/>
      <x:c r="G39" s="476" t="n"/>
      <x:c r="H39" s="476" t="n"/>
      <x:c r="I39" s="476" t="n"/>
      <x:c r="J39" s="476" t="n"/>
      <x:c r="K39" s="476" t="n"/>
      <x:c r="L39" s="476" t="n"/>
      <x:c r="M39" s="476" t="n"/>
      <x:c r="N39" s="476" t="n"/>
      <x:c r="O39" s="476" t="n"/>
      <x:c r="P39" s="476" t="n"/>
      <x:c r="Q39" s="476" t="n"/>
      <x:c r="R39" s="476" t="n"/>
      <x:c r="S39" s="476" t="n"/>
      <x:c r="T39" s="476" t="n"/>
      <x:c r="U39" s="476" t="n"/>
      <x:c r="V39" s="476" t="n"/>
      <x:c r="W39" s="476" t="n"/>
      <x:c r="X39" s="476" t="n"/>
      <x:c r="Y39" s="476" t="n"/>
      <x:c r="Z39" s="476" t="str">
        <x:f>IF(OR(E39="",Q39="",S39=""),"INCOMPLETE","COMPLETE")</x:f>
        <x:v>INCOMPLETE</x:v>
      </x:c>
    </x:row>
    <x:row r="40" s="455" customFormat="1" ht="15" customHeight="1">
      <x:c r="A40" s="476" t="n"/>
      <x:c r="B40" s="476" t="n"/>
      <x:c r="C40" s="476" t="n"/>
      <x:c r="D40" s="476" t="n"/>
      <x:c r="E40" s="476" t="n"/>
      <x:c r="F40" s="476" t="n"/>
      <x:c r="G40" s="476" t="n"/>
      <x:c r="H40" s="476" t="n"/>
      <x:c r="I40" s="476" t="n"/>
      <x:c r="J40" s="476" t="n"/>
      <x:c r="K40" s="476" t="n"/>
      <x:c r="L40" s="476" t="n"/>
      <x:c r="M40" s="476" t="n"/>
      <x:c r="N40" s="476" t="n"/>
      <x:c r="O40" s="476" t="n"/>
      <x:c r="P40" s="476" t="n"/>
      <x:c r="Q40" s="476" t="n"/>
      <x:c r="R40" s="476" t="n"/>
      <x:c r="S40" s="476" t="n"/>
      <x:c r="T40" s="476" t="n"/>
      <x:c r="U40" s="476" t="n"/>
      <x:c r="V40" s="476" t="n"/>
      <x:c r="W40" s="476" t="n"/>
      <x:c r="X40" s="476" t="n"/>
      <x:c r="Y40" s="476" t="n"/>
      <x:c r="Z40" s="476" t="str">
        <x:f>IF(OR(E40="",Q40="",S40=""),"INCOMPLETE","COMPLETE")</x:f>
        <x:v>INCOMPLETE</x:v>
      </x:c>
    </x:row>
    <x:row r="41" s="455" customFormat="1" ht="15" customHeight="1">
      <x:c r="A41" s="476" t="n"/>
      <x:c r="B41" s="476" t="n"/>
      <x:c r="C41" s="476" t="n"/>
      <x:c r="D41" s="476" t="n"/>
      <x:c r="E41" s="476" t="n"/>
      <x:c r="F41" s="476" t="n"/>
      <x:c r="G41" s="476" t="n"/>
      <x:c r="H41" s="476" t="n"/>
      <x:c r="I41" s="476" t="n"/>
      <x:c r="J41" s="476" t="n"/>
      <x:c r="K41" s="476" t="n"/>
      <x:c r="L41" s="476" t="n"/>
      <x:c r="M41" s="476" t="n"/>
      <x:c r="N41" s="476" t="n"/>
      <x:c r="O41" s="476" t="n"/>
      <x:c r="P41" s="476" t="n"/>
      <x:c r="Q41" s="476" t="n"/>
      <x:c r="R41" s="476" t="n"/>
      <x:c r="S41" s="476" t="n"/>
      <x:c r="T41" s="476" t="n"/>
      <x:c r="U41" s="476" t="n"/>
      <x:c r="V41" s="476" t="n"/>
      <x:c r="W41" s="476" t="n"/>
      <x:c r="X41" s="476" t="n"/>
      <x:c r="Y41" s="476" t="n"/>
      <x:c r="Z41" s="476" t="str">
        <x:f>IF(OR(E41="",Q41="",S41=""),"INCOMPLETE","COMPLETE")</x:f>
        <x:v>INCOMPLETE</x:v>
      </x:c>
    </x:row>
    <x:row r="42" s="455" customFormat="1" ht="15" customHeight="1">
      <x:c r="A42" s="476" t="n"/>
      <x:c r="B42" s="476" t="n"/>
      <x:c r="C42" s="476" t="n"/>
      <x:c r="D42" s="476" t="n"/>
      <x:c r="E42" s="476" t="n"/>
      <x:c r="F42" s="476" t="n"/>
      <x:c r="G42" s="476" t="n"/>
      <x:c r="H42" s="476" t="n"/>
      <x:c r="I42" s="476" t="n"/>
      <x:c r="J42" s="476" t="n"/>
      <x:c r="K42" s="476" t="n"/>
      <x:c r="L42" s="476" t="n"/>
      <x:c r="M42" s="476" t="n"/>
      <x:c r="N42" s="476" t="n"/>
      <x:c r="O42" s="476" t="n"/>
      <x:c r="P42" s="476" t="n"/>
      <x:c r="Q42" s="476" t="n"/>
      <x:c r="R42" s="476" t="n"/>
      <x:c r="S42" s="476" t="n"/>
      <x:c r="T42" s="476" t="n"/>
      <x:c r="U42" s="476" t="n"/>
      <x:c r="V42" s="476" t="n"/>
      <x:c r="W42" s="476" t="n"/>
      <x:c r="X42" s="476" t="n"/>
      <x:c r="Y42" s="476" t="n"/>
      <x:c r="Z42" s="476" t="str">
        <x:f>IF(OR(E42="",Q42="",S42=""),"INCOMPLETE","COMPLETE")</x:f>
        <x:v>INCOMPLETE</x:v>
      </x:c>
    </x:row>
    <x:row r="43" s="455" customFormat="1" ht="15" customHeight="1">
      <x:c r="A43" s="476" t="n"/>
      <x:c r="B43" s="476" t="n"/>
      <x:c r="C43" s="476" t="n"/>
      <x:c r="D43" s="476" t="n"/>
      <x:c r="E43" s="476" t="n"/>
      <x:c r="F43" s="476" t="n"/>
      <x:c r="G43" s="476" t="n"/>
      <x:c r="H43" s="476" t="n"/>
      <x:c r="I43" s="476" t="n"/>
      <x:c r="J43" s="476" t="n"/>
      <x:c r="K43" s="476" t="n"/>
      <x:c r="L43" s="476" t="n"/>
      <x:c r="M43" s="476" t="n"/>
      <x:c r="N43" s="476" t="n"/>
      <x:c r="O43" s="476" t="n"/>
      <x:c r="P43" s="476" t="n"/>
      <x:c r="Q43" s="476" t="n"/>
      <x:c r="R43" s="476" t="n"/>
      <x:c r="S43" s="476" t="n"/>
      <x:c r="T43" s="476" t="n"/>
      <x:c r="U43" s="476" t="n"/>
      <x:c r="V43" s="476" t="n"/>
      <x:c r="W43" s="476" t="n"/>
      <x:c r="X43" s="476" t="n"/>
      <x:c r="Y43" s="476" t="n"/>
      <x:c r="Z43" s="476" t="str">
        <x:f>IF(OR(E43="",Q43="",S43=""),"INCOMPLETE","COMPLETE")</x:f>
        <x:v>INCOMPLETE</x:v>
      </x:c>
    </x:row>
    <x:row r="44" s="455" customFormat="1" ht="15" customHeight="1">
      <x:c r="A44" s="476" t="n"/>
      <x:c r="B44" s="476" t="n"/>
      <x:c r="C44" s="476" t="n"/>
      <x:c r="D44" s="476" t="n"/>
      <x:c r="E44" s="476" t="n"/>
      <x:c r="F44" s="476" t="n"/>
      <x:c r="G44" s="476" t="n"/>
      <x:c r="H44" s="476" t="n"/>
      <x:c r="I44" s="476" t="n"/>
      <x:c r="J44" s="476" t="n"/>
      <x:c r="K44" s="476" t="n"/>
      <x:c r="L44" s="476" t="n"/>
      <x:c r="M44" s="476" t="n"/>
      <x:c r="N44" s="476" t="n"/>
      <x:c r="O44" s="476" t="n"/>
      <x:c r="P44" s="476" t="n"/>
      <x:c r="Q44" s="476" t="n"/>
      <x:c r="R44" s="476" t="n"/>
      <x:c r="S44" s="476" t="n"/>
      <x:c r="T44" s="476" t="n"/>
      <x:c r="U44" s="476" t="n"/>
      <x:c r="V44" s="476" t="n"/>
      <x:c r="W44" s="476" t="n"/>
      <x:c r="X44" s="476" t="n"/>
      <x:c r="Y44" s="476" t="n"/>
      <x:c r="Z44" s="476" t="str">
        <x:f>IF(OR(E44="",Q44="",S44=""),"INCOMPLETE","COMPLETE")</x:f>
        <x:v>INCOMPLETE</x:v>
      </x:c>
    </x:row>
    <x:row r="45" s="455" customFormat="1" ht="15" customHeight="1">
      <x:c r="A45" s="476" t="n"/>
      <x:c r="B45" s="476" t="n"/>
      <x:c r="C45" s="476" t="n"/>
      <x:c r="D45" s="476" t="n"/>
      <x:c r="E45" s="476" t="n"/>
      <x:c r="F45" s="476" t="n"/>
      <x:c r="G45" s="476" t="n"/>
      <x:c r="H45" s="476" t="n"/>
      <x:c r="I45" s="476" t="n"/>
      <x:c r="J45" s="476" t="n"/>
      <x:c r="K45" s="476" t="n"/>
      <x:c r="L45" s="476" t="n"/>
      <x:c r="M45" s="476" t="n"/>
      <x:c r="N45" s="476" t="n"/>
      <x:c r="O45" s="476" t="n"/>
      <x:c r="P45" s="476" t="n"/>
      <x:c r="Q45" s="476" t="n"/>
      <x:c r="R45" s="476" t="n"/>
      <x:c r="S45" s="476" t="n"/>
      <x:c r="T45" s="476" t="n"/>
      <x:c r="U45" s="476" t="n"/>
      <x:c r="V45" s="476" t="n"/>
      <x:c r="W45" s="476" t="n"/>
      <x:c r="X45" s="476" t="n"/>
      <x:c r="Y45" s="476" t="n"/>
      <x:c r="Z45" s="476" t="str">
        <x:f>IF(OR(E45="",Q45="",S45=""),"INCOMPLETE","COMPLETE")</x:f>
        <x:v>INCOMPLETE</x:v>
      </x:c>
    </x:row>
    <x:row r="46" s="455" customFormat="1" ht="15" customHeight="1">
      <x:c r="A46" s="476" t="n"/>
      <x:c r="B46" s="476" t="n"/>
      <x:c r="C46" s="476" t="n"/>
      <x:c r="D46" s="476" t="n"/>
      <x:c r="E46" s="476" t="n"/>
      <x:c r="F46" s="476" t="n"/>
      <x:c r="G46" s="476" t="n"/>
      <x:c r="H46" s="476" t="n"/>
      <x:c r="I46" s="476" t="n"/>
      <x:c r="J46" s="476" t="n"/>
      <x:c r="K46" s="476" t="n"/>
      <x:c r="L46" s="476" t="n"/>
      <x:c r="M46" s="476" t="n"/>
      <x:c r="N46" s="476" t="n"/>
      <x:c r="O46" s="476" t="n"/>
      <x:c r="P46" s="476" t="n"/>
      <x:c r="Q46" s="476" t="n"/>
      <x:c r="R46" s="476" t="n"/>
      <x:c r="S46" s="476" t="n"/>
      <x:c r="T46" s="476" t="n"/>
      <x:c r="U46" s="476" t="n"/>
      <x:c r="V46" s="476" t="n"/>
      <x:c r="W46" s="476" t="n"/>
      <x:c r="X46" s="476" t="n"/>
      <x:c r="Y46" s="476" t="n"/>
      <x:c r="Z46" s="476" t="str">
        <x:f>IF(OR(E46="",Q46="",S46=""),"INCOMPLETE","COMPLETE")</x:f>
        <x:v>INCOMPLETE</x:v>
      </x:c>
    </x:row>
    <x:row r="47" s="455" customFormat="1" ht="15" customHeight="1">
      <x:c r="A47" s="476" t="n"/>
      <x:c r="B47" s="476" t="n"/>
      <x:c r="C47" s="476" t="n"/>
      <x:c r="D47" s="476" t="n"/>
      <x:c r="E47" s="476" t="n"/>
      <x:c r="F47" s="476" t="n"/>
      <x:c r="G47" s="476" t="n"/>
      <x:c r="H47" s="476" t="n"/>
      <x:c r="I47" s="476" t="n"/>
      <x:c r="J47" s="476" t="n"/>
      <x:c r="K47" s="476" t="n"/>
      <x:c r="L47" s="476" t="n"/>
      <x:c r="M47" s="476" t="n"/>
      <x:c r="N47" s="476" t="n"/>
      <x:c r="O47" s="476" t="n"/>
      <x:c r="P47" s="476" t="n"/>
      <x:c r="Q47" s="476" t="n"/>
      <x:c r="R47" s="476" t="n"/>
      <x:c r="S47" s="476" t="n"/>
      <x:c r="T47" s="476" t="n"/>
      <x:c r="U47" s="476" t="n"/>
      <x:c r="V47" s="476" t="n"/>
      <x:c r="W47" s="476" t="n"/>
      <x:c r="X47" s="476" t="n"/>
      <x:c r="Y47" s="476" t="n"/>
      <x:c r="Z47" s="476" t="str">
        <x:f>IF(OR(E47="",Q47="",S47=""),"INCOMPLETE","COMPLETE")</x:f>
        <x:v>INCOMPLETE</x:v>
      </x:c>
    </x:row>
    <x:row r="48" s="455" customFormat="1" ht="15" customHeight="1">
      <x:c r="A48" s="476" t="n"/>
      <x:c r="B48" s="476" t="n"/>
      <x:c r="C48" s="476" t="n"/>
      <x:c r="D48" s="476" t="n"/>
      <x:c r="E48" s="476" t="n"/>
      <x:c r="F48" s="476" t="n"/>
      <x:c r="G48" s="476" t="n"/>
      <x:c r="H48" s="476" t="n"/>
      <x:c r="I48" s="476" t="n"/>
      <x:c r="J48" s="476" t="n"/>
      <x:c r="K48" s="476" t="n"/>
      <x:c r="L48" s="476" t="n"/>
      <x:c r="M48" s="476" t="n"/>
      <x:c r="N48" s="476" t="n"/>
      <x:c r="O48" s="476" t="n"/>
      <x:c r="P48" s="476" t="n"/>
      <x:c r="Q48" s="476" t="n"/>
      <x:c r="R48" s="476" t="n"/>
      <x:c r="S48" s="476" t="n"/>
      <x:c r="T48" s="476" t="n"/>
      <x:c r="U48" s="476" t="n"/>
      <x:c r="V48" s="476" t="n"/>
      <x:c r="W48" s="476" t="n"/>
      <x:c r="X48" s="476" t="n"/>
      <x:c r="Y48" s="476" t="n"/>
      <x:c r="Z48" s="476" t="str">
        <x:f>IF(OR(E48="",Q48="",S48=""),"INCOMPLETE","COMPLETE")</x:f>
        <x:v>INCOMPLETE</x:v>
      </x:c>
    </x:row>
    <x:row r="49" s="455" customFormat="1" ht="15" customHeight="1">
      <x:c r="A49" s="476" t="n"/>
      <x:c r="B49" s="476" t="n"/>
      <x:c r="C49" s="476" t="n"/>
      <x:c r="D49" s="476" t="n"/>
      <x:c r="E49" s="476" t="n"/>
      <x:c r="F49" s="476" t="n"/>
      <x:c r="G49" s="476" t="n"/>
      <x:c r="H49" s="476" t="n"/>
      <x:c r="I49" s="476" t="n"/>
      <x:c r="J49" s="476" t="n"/>
      <x:c r="K49" s="476" t="n"/>
      <x:c r="L49" s="476" t="n"/>
      <x:c r="M49" s="476" t="n"/>
      <x:c r="N49" s="476" t="n"/>
      <x:c r="O49" s="476" t="n"/>
      <x:c r="P49" s="476" t="n"/>
      <x:c r="Q49" s="476" t="n"/>
      <x:c r="R49" s="476" t="n"/>
      <x:c r="S49" s="476" t="n"/>
      <x:c r="T49" s="476" t="n"/>
      <x:c r="U49" s="476" t="n"/>
      <x:c r="V49" s="476" t="n"/>
      <x:c r="W49" s="476" t="n"/>
      <x:c r="X49" s="476" t="n"/>
      <x:c r="Y49" s="476" t="n"/>
      <x:c r="Z49" s="476" t="str">
        <x:f>IF(OR(E49="",Q49="",S49=""),"INCOMPLETE","COMPLETE")</x:f>
        <x:v>INCOMPLETE</x:v>
      </x:c>
    </x:row>
    <x:row r="50" s="455" customFormat="1" ht="15" customHeight="1">
      <x:c r="A50" s="476" t="n"/>
      <x:c r="B50" s="476" t="n"/>
      <x:c r="C50" s="476" t="n"/>
      <x:c r="D50" s="476" t="n"/>
      <x:c r="E50" s="476" t="n"/>
      <x:c r="F50" s="476" t="n"/>
      <x:c r="G50" s="476" t="n"/>
      <x:c r="H50" s="476" t="n"/>
      <x:c r="I50" s="476" t="n"/>
      <x:c r="J50" s="476" t="n"/>
      <x:c r="K50" s="476" t="n"/>
      <x:c r="L50" s="476" t="n"/>
      <x:c r="M50" s="476" t="n"/>
      <x:c r="N50" s="476" t="n"/>
      <x:c r="O50" s="476" t="n"/>
      <x:c r="P50" s="476" t="n"/>
      <x:c r="Q50" s="476" t="n"/>
      <x:c r="R50" s="476" t="n"/>
      <x:c r="S50" s="476" t="n"/>
      <x:c r="T50" s="476" t="n"/>
      <x:c r="U50" s="476" t="n"/>
      <x:c r="V50" s="476" t="n"/>
      <x:c r="W50" s="476" t="n"/>
      <x:c r="X50" s="476" t="n"/>
      <x:c r="Y50" s="476" t="n"/>
      <x:c r="Z50" s="476" t="str">
        <x:f>IF(OR(E50="",Q50="",S50=""),"INCOMPLETE","COMPLETE")</x:f>
        <x:v>INCOMPLETE</x:v>
      </x:c>
    </x:row>
    <x:row r="51" s="455" customFormat="1" ht="15" customHeight="1">
      <x:c r="Z51" s="454" t="str">
        <x:f>IF(OR(E51="",Q51="",S51=""),"INCOMPLETE","COMPLETE")</x:f>
        <x:v>INCOMPLETE</x:v>
      </x:c>
    </x:row>
    <x:row r="52" s="455" customFormat="1" ht="15" customHeight="1">
      <x:c r="Z52" s="454" t="str">
        <x:f>IF(OR(E52="",Q52="",S52=""),"INCOMPLETE","COMPLETE")</x:f>
        <x:v>INCOMPLETE</x:v>
      </x:c>
    </x:row>
    <x:row r="53" s="455" customFormat="1" ht="15" customHeight="1">
      <x:c r="A53" s="613" t="inlineStr">
        <x:is>
          <x:t xml:space="preserve">ReferenceStructureRecord template. Complete one row per decision option or option set when a RippleLogic run requires reference-structure auditability.</x:t>
        </x:is>
      </x:c>
      <x:c r="B53" s="457" t="n"/>
      <x:c r="C53" s="457" t="n"/>
      <x:c r="D53" s="457" t="n"/>
      <x:c r="E53" s="457" t="n"/>
      <x:c r="F53" s="457" t="n"/>
      <x:c r="G53" s="457" t="n"/>
      <x:c r="H53" s="457" t="n"/>
      <x:c r="I53" s="457" t="n"/>
      <x:c r="J53" s="457" t="n"/>
      <x:c r="K53" s="457" t="n"/>
      <x:c r="L53" s="457" t="n"/>
      <x:c r="M53" s="457" t="n"/>
      <x:c r="N53" s="457" t="n"/>
      <x:c r="O53" s="457" t="n"/>
      <x:c r="P53" s="457" t="n"/>
      <x:c r="Q53" s="457" t="n"/>
      <x:c r="R53" s="457" t="n"/>
      <x:c r="S53" s="457" t="n"/>
      <x:c r="T53" s="457" t="n"/>
      <x:c r="U53" s="457" t="n"/>
      <x:c r="V53" s="457" t="n"/>
      <x:c r="W53" s="457" t="n"/>
      <x:c r="X53" s="457" t="n"/>
      <x:c r="Y53" s="457" t="n"/>
      <x:c r="Z53" s="457" t="n"/>
    </x:row>
    <x:row r="54" s="455" customFormat="1" ht="15" customHeight="1">
      <x:c r="A54" s="614" t="inlineStr">
        <x:is>
          <x:t xml:space="preserve">Purpose: declare what the decision is evaluated against before claiming admissibility, causality, stability, welfare, auditability, conformance, or deployment readiness.</x:t>
        </x:is>
      </x:c>
      <x:c r="B54" s="457" t="n"/>
      <x:c r="C54" s="457" t="n"/>
      <x:c r="D54" s="457" t="n"/>
      <x:c r="E54" s="457" t="n"/>
      <x:c r="F54" s="457" t="n"/>
      <x:c r="G54" s="457" t="n"/>
      <x:c r="H54" s="457" t="n"/>
      <x:c r="I54" s="457" t="n"/>
      <x:c r="J54" s="457" t="n"/>
      <x:c r="K54" s="457" t="n"/>
      <x:c r="L54" s="457" t="n"/>
      <x:c r="M54" s="457" t="n"/>
      <x:c r="N54" s="457" t="n"/>
      <x:c r="O54" s="457" t="n"/>
      <x:c r="P54" s="457" t="n"/>
      <x:c r="Q54" s="457" t="n"/>
      <x:c r="R54" s="457" t="n"/>
      <x:c r="S54" s="457" t="n"/>
      <x:c r="T54" s="457" t="n"/>
      <x:c r="U54" s="457" t="n"/>
      <x:c r="V54" s="457" t="n"/>
      <x:c r="W54" s="457" t="n"/>
      <x:c r="X54" s="457" t="n"/>
      <x:c r="Y54" s="457" t="n"/>
      <x:c r="Z54" s="457" t="n"/>
    </x:row>
    <x:row r="55" s="455" customFormat="1" ht="15" customHeight="1">
      <x:c r="A55" s="614" t="inlineStr">
        <x:is>
          <x:t xml:space="preserve">Sanity rule: if reference_object, evidence_status_token, or falsification_condition is blank, the row is INCOMPLETE.</x:t>
        </x:is>
      </x:c>
      <x:c r="B55" s="457" t="n"/>
      <x:c r="C55" s="457" t="n"/>
      <x:c r="D55" s="457" t="n"/>
      <x:c r="E55" s="457" t="n"/>
      <x:c r="F55" s="457" t="n"/>
      <x:c r="G55" s="457" t="n"/>
      <x:c r="H55" s="457" t="n"/>
      <x:c r="I55" s="457" t="n"/>
      <x:c r="J55" s="457" t="n"/>
      <x:c r="K55" s="457" t="n"/>
      <x:c r="L55" s="457" t="n"/>
      <x:c r="M55" s="457" t="n"/>
      <x:c r="N55" s="457" t="n"/>
      <x:c r="O55" s="457" t="n"/>
      <x:c r="P55" s="457" t="n"/>
      <x:c r="Q55" s="457" t="n"/>
      <x:c r="R55" s="457" t="n"/>
      <x:c r="S55" s="457" t="n"/>
      <x:c r="T55" s="457" t="n"/>
      <x:c r="U55" s="457" t="n"/>
      <x:c r="V55" s="457" t="n"/>
      <x:c r="W55" s="457" t="n"/>
      <x:c r="X55" s="457" t="n"/>
      <x:c r="Y55" s="457" t="n"/>
      <x:c r="Z55" s="457" t="n"/>
    </x:row>
  </x:sheetData>
  <x:mergeCells>
    <x:mergeCell ref="A55:Z55"/>
    <x:mergeCell ref="A54:Z54"/>
    <x:mergeCell ref="A53:Z53"/>
  </x:mergeCells>
  <x:conditionalFormatting sqref="Z2:Z200">
    <x:cfRule type="expression" dxfId="7" priority="2" aboveAverage="0" percent="0" bottom="0" rank="0" equalAverage="0">
      <x:formula>$Z2="INCOMPLETE"</x:formula>
    </x:cfRule>
    <x:cfRule type="expression" dxfId="8" priority="3" aboveAverage="0" percent="0" bottom="0" rank="0" equalAverage="0">
      <x:formula>$Z2="COMPLETE"</x:formula>
    </x:cfRule>
  </x:conditionalFormatting>
  <x:dataValidations count="3">
    <x:dataValidation type="list" errorStyle="stop" operator="between" allowBlank="0" showDropDown="0" showInputMessage="0" showErrorMessage="0" sqref="Q2:Q200">
      <x:formula1>ReferenceStructureRecord!$AB$1:$AB$8</x:formula1>
      <x:formula2>0</x:formula2>
    </x:dataValidation>
    <x:dataValidation type="list" errorStyle="stop" operator="between" allowBlank="0" showDropDown="0" showInputMessage="0" showErrorMessage="0" sqref="X2:X200">
      <x:formula1>ReferenceStructureRecord!$AC$1:$AC$4</x:formula1>
      <x:formula2>0</x:formula2>
    </x:dataValidation>
    <x:dataValidation type="list" errorStyle="stop" operator="between" allowBlank="0" showDropDown="0" showInputMessage="0" showErrorMessage="0" sqref="R2:R200">
      <x:formula1>ReferenceStructureRecord!$AD$1:$AD$7</x:formula1>
      <x:formula2>0</x:formula2>
    </x:dataValidation>
  </x:dataValidations>
  <x:pageMargins left="0.7" right="0.7" top="0.75" bottom="0.75" header="0.3" footer="0.3"/>
  <x:tableParts count="1">
    <x:tablePart xmlns:r="http://schemas.openxmlformats.org/officeDocument/2006/relationships" r:id="Rb939a91f3de64325"/>
  </x:tableParts>
</x:worksheet>
</file>

<file path=xl/worksheets/sheet53.xml><?xml version="1.0" encoding="utf-8"?>
<x:worksheet xmlns:x="http://schemas.openxmlformats.org/spreadsheetml/2006/main">
  <x:sheetViews>
    <x:sheetView showGridLines="1" workbookViewId="0"/>
  </x:sheetViews>
  <x:sheetFormatPr baseColWidth="8" defaultColWidth="8.6796875" defaultRowHeight="15"/>
  <x:cols>
    <x:col min="1" max="1" width="51.18000030517578" style="454" customWidth="1"/>
    <x:col min="2" max="2" width="113.30000305175781" style="454" customWidth="1"/>
    <x:col min="3" max="3" width="49.11000061035156" style="454" customWidth="1"/>
    <x:col min="4" max="4" width="49.40999984741211" style="454" customWidth="1"/>
  </x:cols>
  <x:sheetData>
    <x:row r="1" s="455" customFormat="1" ht="23.25" customHeight="1">
      <x:c r="A1" s="615" t="inlineStr">
        <x:is>
          <x:t xml:space="preserve">MathGov / RippleLogic v10.8 + SGP v5.5 Aligners Sheet Update</x:t>
        </x:is>
      </x:c>
      <x:c r="B1" s="615" t="n"/>
      <x:c r="C1" s="615" t="n"/>
      <x:c r="D1" s="615" t="n"/>
    </x:row>
    <x:row r="2" s="455" customFormat="1" ht="15" customHeight="1">
      <x:c r="A2" s="615" t="inlineStr">
        <x:is>
          <x:t xml:space="preserve">Status</x:t>
        </x:is>
      </x:c>
      <x:c r="B2" s="615" t="inlineStr">
        <x:is>
          <x:t xml:space="preserve">Meaning</x:t>
        </x:is>
      </x:c>
      <x:c r="C2" s="615" t="inlineStr">
        <x:is>
          <x:t xml:space="preserve">Workbook effect</x:t>
        </x:is>
      </x:c>
      <x:c r="D2" s="615" t="inlineStr">
        <x:is>
          <x:t xml:space="preserve">Claim boundary</x:t>
        </x:is>
      </x:c>
    </x:row>
    <x:row r="3" s="455" customFormat="1" ht="23.25" customHeight="1">
      <x:c r="A3" s="461" t="inlineStr">
        <x:is>
          <x:t xml:space="preserve">Version bump</x:t>
        </x:is>
      </x:c>
      <x:c r="B3" s="461" t="inlineStr">
        <x:is>
          <x:t xml:space="preserve">Aligners Sheet v3.6 aligned to RippleLogic v10.8 and SGP v5.5</x:t>
        </x:is>
      </x:c>
      <x:c r="C3" s="461" t="inlineStr">
        <x:is>
          <x:t xml:space="preserve">Updates live identity surfaces and adds new diagnostic sheets</x:t>
        </x:is>
      </x:c>
      <x:c r="D3" s="461" t="inlineStr">
        <x:is>
          <x:t xml:space="preserve">Still worked-run exemplar only; not ProofPack or validator</x:t>
        </x:is>
      </x:c>
    </x:row>
    <x:row r="4" s="455" customFormat="1" ht="15" customHeight="1">
      <x:c r="A4" s="461" t="inlineStr">
        <x:is>
          <x:t xml:space="preserve">COMPUTABLE_BUT_INADMISSIBLE</x:t>
        </x:is>
      </x:c>
      <x:c r="B4" s="461" t="inlineStr">
        <x:is>
          <x:t xml:space="preserve">Computed value exists but cannot support a decision or claim</x:t>
        </x:is>
      </x:c>
      <x:c r="C4" s="461" t="inlineStr">
        <x:is>
          <x:t xml:space="preserve">Logged as audit concept and optional review state</x:t>
        </x:is>
      </x:c>
      <x:c r="D4" s="461" t="inlineStr">
        <x:is>
          <x:t xml:space="preserve">Cannot authorize selection, deployment, or conformance</x:t>
        </x:is>
      </x:c>
    </x:row>
    <x:row r="5" s="455" customFormat="1" ht="15" customHeight="1">
      <x:c r="A5" s="461" t="inlineStr">
        <x:is>
          <x:t xml:space="preserve">Layer-specific falsification</x:t>
        </x:is>
      </x:c>
      <x:c r="B5" s="461" t="inlineStr">
        <x:is>
          <x:t xml:space="preserve">Each layer has its own falsifier and required response</x:t>
        </x:is>
      </x:c>
      <x:c r="C5" s="461" t="inlineStr">
        <x:is>
          <x:t xml:space="preserve">Implemented as a reviewer reference table</x:t>
        </x:is>
      </x:c>
      <x:c r="D5" s="461" t="inlineStr">
        <x:is>
          <x:t xml:space="preserve">Does not alter canonical cascade</x:t>
        </x:is>
      </x:c>
    </x:row>
    <x:row r="6" s="455" customFormat="1" ht="15" customHeight="1">
      <x:c r="A6" s="461" t="inlineStr">
        <x:is>
          <x:t xml:space="preserve">Reference / preference / number discipline</x:t>
        </x:is>
      </x:c>
      <x:c r="B6" s="461" t="inlineStr">
        <x:is>
          <x:t xml:space="preserve">Evidence source, measurement reference, governance preference, numerical representation, and public claim remain separate</x:t>
        </x:is>
      </x:c>
      <x:c r="C6" s="461" t="inlineStr">
        <x:is>
          <x:t xml:space="preserve">Supported through reference-structure review</x:t>
        </x:is>
      </x:c>
      <x:c r="D6" s="461" t="inlineStr">
        <x:is>
          <x:t xml:space="preserve">No external ontology imported</x:t>
        </x:is>
      </x:c>
    </x:row>
    <x:row r="7" s="455" customFormat="1" ht="23.25" customHeight="1">
      <x:c r="A7" s="461" t="inlineStr">
        <x:is>
          <x:t xml:space="preserve">Adaptive Reserve</x:t>
        </x:is>
      </x:c>
      <x:c r="B7" s="461" t="inlineStr">
        <x:is>
          <x:t xml:space="preserve">Optional diagnostic for slack, redundancy, recovery, and saturation risk</x:t>
        </x:is>
      </x:c>
      <x:c r="C7" s="461" t="inlineStr">
        <x:is>
          <x:t xml:space="preserve">Added as a diagnostic sheet</x:t>
        </x:is>
      </x:c>
      <x:c r="D7" s="461" t="inlineStr">
        <x:is>
          <x:t xml:space="preserve">Not a sixth gate; cannot rescue failed NCRC/TRC/Containment</x:t>
        </x:is>
      </x:c>
    </x:row>
    <x:row r="8" s="455" customFormat="1" ht="15" customHeight="1">
      <x:c r="A8" s="461" t="n"/>
      <x:c r="B8" s="461" t="n"/>
      <x:c r="C8" s="461" t="n"/>
      <x:c r="D8" s="461" t="n"/>
    </x:row>
    <x:row r="9" s="455" customFormat="1" ht="15" customHeight="1">
      <x:c r="A9" s="626" t="str">
        <x:v>Preserved method</x:v>
      </x:c>
      <x:c r="B9" s="626" t="str">
        <x:v>Reality Grounding -&gt; Rights Floor -&gt; Tail-Risk Bound -&gt; Containment -&gt; Ripple Score; formal method RSG -&gt; NCRC -&gt; TRC -&gt; Containment -&gt; RLS; UCI/HOI special-case only</x:v>
      </x:c>
      <x:c r="C9" s="626" t="n"/>
      <x:c r="D9" s="626" t="n"/>
    </x:row>
    <x:row r="10" s="455" customFormat="1" ht="15" customHeight="1">
      <x:c r="A10" s="461" t="inlineStr">
        <x:is>
          <x:t xml:space="preserve">Preserved SGP boundary</x:t>
        </x:is>
      </x:c>
      <x:c r="B10" s="461" t="inlineStr">
        <x:is>
          <x:t xml:space="preserve">Protection, standing, participation, and authority remain separate</x:t>
        </x:is>
      </x:c>
      <x:c r="C10" s="461" t="n"/>
      <x:c r="D10" s="461" t="n"/>
    </x:row>
    <x:row r="11" s="455" customFormat="1" ht="15" customHeight="1">
      <x:c r="A11" s="461" t="inlineStr">
        <x:is>
          <x:t xml:space="preserve">Preserved PLSS boundary</x:t>
        </x:is>
      </x:c>
      <x:c r="B11" s="461" t="inlineStr">
        <x:is>
          <x:t xml:space="preserve">Residual-ranking-only, never admissibility weakening</x:t>
        </x:is>
      </x:c>
      <x:c r="C11" s="461" t="n"/>
      <x:c r="D11" s="461" t="n"/>
    </x:row>
    <x:row r="12" s="455" customFormat="1" ht="23.25" customHeight="1">
      <x:c r="A12" s="461" t="inlineStr">
        <x:is>
          <x:t xml:space="preserve">Preserved release boundary</x:t>
        </x:is>
      </x:c>
      <x:c r="B12" s="461" t="inlineStr">
        <x:is>
          <x:t xml:space="preserve">No Tier 4, ProofPack, empirical-validation, legal-compliance, deployment-certification, completed biological-SGP, or current-AI-sentience claim</x:t>
        </x:is>
      </x:c>
      <x:c r="C12" s="461" t="n"/>
      <x:c r="D12" s="461" t="n"/>
    </x:row>
    <x:row r="13" s="455" customFormat="1" ht="15" customHeight="1">
      <x:c r="A13" s="461" t="inlineStr">
        <x:is>
          <x:t xml:space="preserve">Use case</x:t>
        </x:is>
      </x:c>
      <x:c r="B13" s="461" t="inlineStr">
        <x:is>
          <x:t xml:space="preserve">Training, worked-run illustration, early pilot explanation, and spreadsheet demonstration</x:t>
        </x:is>
      </x:c>
      <x:c r="C13" s="461" t="n"/>
      <x:c r="D13" s="461" t="n"/>
    </x:row>
    <x:row r="14" s="455" customFormat="1" ht="15" customHeight="1">
      <x:c r="A14" s="461" t="inlineStr">
        <x:is>
          <x:t xml:space="preserve">Not a use case</x:t>
        </x:is>
      </x:c>
      <x:c r="B14" s="461" t="inlineStr">
        <x:is>
          <x:t xml:space="preserve">Legal compliance certification, validator, reference calculator, or deployment proof</x:t>
        </x:is>
      </x:c>
      <x:c r="C14" s="461" t="n"/>
      <x:c r="D14" s="461" t="n"/>
    </x:row>
    <x:row r="15" s="455" customFormat="1" ht="15" customHeight="1">
      <x:c r="A15" s="461" t="inlineStr">
        <x:is>
          <x:t xml:space="preserve">Current artifact role</x:t>
        </x:is>
      </x:c>
      <x:c r="B15" s="461" t="inlineStr">
        <x:is>
          <x:t xml:space="preserve">Aligned worked-run companion</x:t>
        </x:is>
      </x:c>
      <x:c r="C15" s="461" t="n"/>
      <x:c r="D15" s="461" t="n"/>
    </x:row>
    <x:row r="16" s="455" customFormat="1" ht="15" customHeight="1">
      <x:c r="A16" s="461" t="inlineStr">
        <x:is>
          <x:t xml:space="preserve">Next maturity path</x:t>
        </x:is>
      </x:c>
      <x:c r="B16" s="461" t="inlineStr">
        <x:is>
          <x:t xml:space="preserve">Schemas, validator, reference calculator, canonical vectors, independent replay</x:t>
        </x:is>
      </x:c>
      <x:c r="C16" s="461" t="n"/>
      <x:c r="D16" s="461" t="n"/>
    </x:row>
    <x:row r="17" s="455" customFormat="1" ht="15" customHeight="1">
      <x:c r="A17" s="461" t="inlineStr">
        <x:is>
          <x:t xml:space="preserve">Update date</x:t>
        </x:is>
      </x:c>
      <x:c r="B17" s="461" t="inlineStr">
        <x:is>
          <x:t xml:space="preserve">2026-06-12</x:t>
        </x:is>
      </x:c>
      <x:c r="C17" s="461" t="n"/>
      <x:c r="D17" s="461" t="n"/>
    </x:row>
    <x:row r="18" s="455" customFormat="1" ht="15" customHeight="1">
      <x:c r="A18" s="461" t="n"/>
      <x:c r="B18" s="461" t="n"/>
      <x:c r="C18" s="461" t="n"/>
      <x:c r="D18" s="461" t="n"/>
    </x:row>
    <x:row r="19" s="455" customFormat="1" ht="15" customHeight="1">
      <x:c r="A19" s="461" t="n"/>
      <x:c r="B19" s="461" t="n"/>
      <x:c r="C19" s="461" t="n"/>
      <x:c r="D19" s="461" t="n"/>
    </x:row>
    <x:row r="20" s="455" customFormat="1" ht="15" customHeight="1">
      <x:c r="A20" s="461" t="n"/>
      <x:c r="B20" s="461" t="n"/>
      <x:c r="C20" s="461" t="n"/>
      <x:c r="D20" s="461" t="n"/>
    </x:row>
  </x:sheetData>
  <x:pageMargins left="0.7" right="0.7" top="0.75" bottom="0.75" header="0.3" footer="0.3"/>
</x:worksheet>
</file>

<file path=xl/worksheets/sheet54.xml><?xml version="1.0" encoding="utf-8"?>
<x:worksheet xmlns:x="http://schemas.openxmlformats.org/spreadsheetml/2006/main">
  <x:sheetViews>
    <x:sheetView showGridLines="1" workbookViewId="0"/>
  </x:sheetViews>
  <x:sheetFormatPr baseColWidth="8" defaultColWidth="8.6796875" defaultRowHeight="15"/>
  <x:cols>
    <x:col min="1" max="1" width="26.6299991607666" style="454" customWidth="1"/>
    <x:col min="2" max="2" width="78.25" style="454" customWidth="1"/>
    <x:col min="3" max="3" width="58.43000030517578" style="454" customWidth="1"/>
    <x:col min="4" max="4" width="38.7599983215332" style="454" customWidth="1"/>
  </x:cols>
  <x:sheetData>
    <x:row r="1" s="455" customFormat="1" ht="23.25" customHeight="1">
      <x:c r="A1" s="615" t="inlineStr">
        <x:is>
          <x:t xml:space="preserve">Layer-specific falsification matrix</x:t>
        </x:is>
      </x:c>
      <x:c r="B1" s="615" t="n"/>
      <x:c r="C1" s="615" t="n"/>
      <x:c r="D1" s="615" t="n"/>
    </x:row>
    <x:row r="2" s="455" customFormat="1" ht="15" customHeight="1">
      <x:c r="A2" s="615" t="inlineStr">
        <x:is>
          <x:t xml:space="preserve">Layer</x:t>
        </x:is>
      </x:c>
      <x:c r="B2" s="615" t="inlineStr">
        <x:is>
          <x:t xml:space="preserve">Layer-specific falsifier</x:t>
        </x:is>
      </x:c>
      <x:c r="C2" s="615" t="inlineStr">
        <x:is>
          <x:t xml:space="preserve">Does not by itself falsify</x:t>
        </x:is>
      </x:c>
      <x:c r="D2" s="615" t="inlineStr">
        <x:is>
          <x:t xml:space="preserve">Required response</x:t>
        </x:is>
      </x:c>
    </x:row>
    <x:row r="3" s="455" customFormat="1" ht="15" customHeight="1">
      <x:c r="A3" s="461" t="inlineStr">
        <x:is>
          <x:t xml:space="preserve">NCRC</x:t>
        </x:is>
      </x:c>
      <x:c r="B3" s="461" t="inlineStr">
        <x:is>
          <x:t xml:space="preserve">Rights-floor breach, unresolved rights uncertainty, or missing rights evidence</x:t>
        </x:is>
      </x:c>
      <x:c r="C3" s="461" t="inlineStr">
        <x:is>
          <x:t xml:space="preserve">RLS arithmetic or UCI/HOI diagnostics</x:t>
        </x:is>
      </x:c>
      <x:c r="D3" s="461" t="inlineStr">
        <x:is>
          <x:t xml:space="preserve">Reject, refuse, or escalate</x:t>
        </x:is>
      </x:c>
    </x:row>
    <x:row r="4" s="455" customFormat="1" ht="23.25" customHeight="1">
      <x:c r="A4" s="461" t="inlineStr">
        <x:is>
          <x:t xml:space="preserve">TRC</x:t>
        </x:is>
      </x:c>
      <x:c r="B4" s="461" t="inlineStr">
        <x:is>
          <x:t xml:space="preserve">CVaR or catastrophe-tail exposure exceeds threshold, or scenario evidence insufficient</x:t>
        </x:is>
      </x:c>
      <x:c r="C4" s="461" t="inlineStr">
        <x:is>
          <x:t xml:space="preserve">NCRC analysis</x:t>
        </x:is>
      </x:c>
      <x:c r="D4" s="461" t="inlineStr">
        <x:is>
          <x:t xml:space="preserve">Reject or escalate; do not compensate with RLS</x:t>
        </x:is>
      </x:c>
    </x:row>
    <x:row r="5" s="455" customFormat="1" ht="15" customHeight="1">
      <x:c r="A5" s="461" t="inlineStr">
        <x:is>
          <x:t xml:space="preserve">Containment</x:t>
        </x:is>
      </x:c>
      <x:c r="B5" s="461" t="inlineStr">
        <x:is>
          <x:t xml:space="preserve">Local gain degrades containing systems beyond tolerance</x:t>
        </x:is>
      </x:c>
      <x:c r="C5" s="461" t="inlineStr">
        <x:is>
          <x:t xml:space="preserve">Rights or tail-risk verdicts</x:t>
        </x:is>
      </x:c>
      <x:c r="D5" s="461" t="inlineStr">
        <x:is>
          <x:t xml:space="preserve">Reject as selectable; record rationale</x:t>
        </x:is>
      </x:c>
    </x:row>
    <x:row r="6" s="455" customFormat="1" ht="15" customHeight="1">
      <x:c r="A6" s="461" t="inlineStr">
        <x:is>
          <x:t xml:space="preserve">RLS</x:t>
        </x:is>
      </x:c>
      <x:c r="B6" s="461" t="inlineStr">
        <x:is>
          <x:t xml:space="preserve">Wrong cells, weights, evidence grade, aggregation, or sensitivity posture</x:t>
        </x:is>
      </x:c>
      <x:c r="C6" s="461" t="inlineStr">
        <x:is>
          <x:t xml:space="preserve">Admissibility gate outcomes</x:t>
        </x:is>
      </x:c>
      <x:c r="D6" s="461" t="inlineStr">
        <x:is>
          <x:t xml:space="preserve">Recompute or mark non-decisive</x:t>
        </x:is>
      </x:c>
    </x:row>
    <x:row r="7" s="455" customFormat="1" ht="23.25" customHeight="1">
      <x:c r="A7" s="461" t="inlineStr">
        <x:is>
          <x:t xml:space="preserve">UCI/HOI</x:t>
        </x:is>
      </x:c>
      <x:c r="B7" s="461" t="inlineStr">
        <x:is>
          <x:t xml:space="preserve">Structural metric evidence, normalization, or tie-break use defective</x:t>
        </x:is>
      </x:c>
      <x:c r="C7" s="461" t="inlineStr">
        <x:is>
          <x:t xml:space="preserve">NCRC/TRC/Containment/RLS by itself</x:t>
        </x:is>
      </x:c>
      <x:c r="D7" s="461" t="inlineStr">
        <x:is>
          <x:t xml:space="preserve">Recompute diagnostic or remove tie-break claim</x:t>
        </x:is>
      </x:c>
    </x:row>
    <x:row r="8" s="455" customFormat="1" ht="15" customHeight="1">
      <x:c r="A8" s="461" t="inlineStr">
        <x:is>
          <x:t xml:space="preserve">PCC / audit</x:t>
        </x:is>
      </x:c>
      <x:c r="B8" s="461" t="inlineStr">
        <x:is>
          <x:t xml:space="preserve">Missing provenance, closure, evidence, reviewer trace, or claim boundary</x:t>
        </x:is>
      </x:c>
      <x:c r="C8" s="461" t="inlineStr">
        <x:is>
          <x:t xml:space="preserve">Underlying ethical truth of situation</x:t>
        </x:is>
      </x:c>
      <x:c r="D8" s="461" t="inlineStr">
        <x:is>
          <x:t xml:space="preserve">Invalidate conformance claim until repaired</x:t>
        </x:is>
      </x:c>
    </x:row>
    <x:row r="9" s="455" customFormat="1" ht="23.25" customHeight="1">
      <x:c r="A9" s="461" t="inlineStr">
        <x:is>
          <x:t xml:space="preserve">SGP interface</x:t>
        </x:is>
      </x:c>
      <x:c r="B9" s="461" t="inlineStr">
        <x:is>
          <x:t xml:space="preserve">SGP output lacks evidence tier, scoring version, reviewer status, uncertainty, or maturity boundary</x:t>
        </x:is>
      </x:c>
      <x:c r="C9" s="461" t="inlineStr">
        <x:is>
          <x:t xml:space="preserve">NCRC, TRC, Containment, lawful authority, governance-role requirements</x:t>
        </x:is>
      </x:c>
      <x:c r="D9" s="461" t="inlineStr">
        <x:is>
          <x:t xml:space="preserve">Treat as evidence limitation; no override</x:t>
        </x:is>
      </x:c>
    </x:row>
    <x:row r="10" s="455" customFormat="1" ht="15" customHeight="1">
      <x:c r="A10" s="461" t="n"/>
      <x:c r="B10" s="461" t="n"/>
      <x:c r="C10" s="461" t="n"/>
      <x:c r="D10" s="461" t="n"/>
    </x:row>
    <x:row r="11" s="455" customFormat="1" ht="15" customHeight="1">
      <x:c r="A11" s="461" t="n"/>
      <x:c r="B11" s="461" t="n"/>
      <x:c r="C11" s="461" t="n"/>
      <x:c r="D11" s="461" t="n"/>
    </x:row>
    <x:row r="12" s="455" customFormat="1" ht="15" customHeight="1">
      <x:c r="A12" s="461" t="n"/>
      <x:c r="B12" s="461" t="n"/>
      <x:c r="C12" s="461" t="n"/>
      <x:c r="D12" s="461" t="n"/>
    </x:row>
    <x:row r="13" s="455" customFormat="1" ht="15" customHeight="1">
      <x:c r="A13" s="461" t="n"/>
      <x:c r="B13" s="461" t="n"/>
      <x:c r="C13" s="461" t="n"/>
      <x:c r="D13" s="461" t="n"/>
    </x:row>
    <x:row r="14" s="455" customFormat="1" ht="15" customHeight="1">
      <x:c r="A14" s="461" t="n"/>
      <x:c r="B14" s="461" t="n"/>
      <x:c r="C14" s="461" t="n"/>
      <x:c r="D14" s="461" t="n"/>
    </x:row>
    <x:row r="15" s="455" customFormat="1" ht="15" customHeight="1">
      <x:c r="A15" s="461" t="n"/>
      <x:c r="B15" s="461" t="n"/>
      <x:c r="C15" s="461" t="n"/>
      <x:c r="D15" s="461" t="n"/>
    </x:row>
    <x:row r="16" s="455" customFormat="1" ht="15" customHeight="1">
      <x:c r="A16" s="461" t="n"/>
      <x:c r="B16" s="461" t="n"/>
      <x:c r="C16" s="461" t="n"/>
      <x:c r="D16" s="461" t="n"/>
    </x:row>
    <x:row r="17" s="455" customFormat="1" ht="15" customHeight="1">
      <x:c r="A17" s="461" t="n"/>
      <x:c r="B17" s="461" t="n"/>
      <x:c r="C17" s="461" t="n"/>
      <x:c r="D17" s="461" t="n"/>
    </x:row>
    <x:row r="18" s="455" customFormat="1" ht="15" customHeight="1">
      <x:c r="A18" s="461" t="n"/>
      <x:c r="B18" s="461" t="n"/>
      <x:c r="C18" s="461" t="n"/>
      <x:c r="D18" s="461" t="n"/>
    </x:row>
    <x:row r="19" s="455" customFormat="1" ht="15" customHeight="1">
      <x:c r="A19" s="461" t="n"/>
      <x:c r="B19" s="461" t="n"/>
      <x:c r="C19" s="461" t="n"/>
      <x:c r="D19" s="461" t="n"/>
    </x:row>
    <x:row r="20" s="455" customFormat="1" ht="15" customHeight="1">
      <x:c r="A20" s="461" t="n"/>
      <x:c r="B20" s="461" t="n"/>
      <x:c r="C20" s="461" t="n"/>
      <x:c r="D20" s="461" t="n"/>
    </x:row>
  </x:sheetData>
  <x:pageMargins left="0.7" right="0.7" top="0.75" bottom="0.75" header="0.3" footer="0.3"/>
</x:worksheet>
</file>

<file path=xl/worksheets/sheet55.xml><?xml version="1.0" encoding="utf-8"?>
<x:worksheet xmlns:x="http://schemas.openxmlformats.org/spreadsheetml/2006/main">
  <x:sheetViews>
    <x:sheetView showGridLines="1" workbookViewId="0"/>
  </x:sheetViews>
  <x:sheetFormatPr baseColWidth="8" defaultColWidth="8.6796875" defaultRowHeight="15"/>
  <x:cols>
    <x:col min="1" max="1" width="33.43000030517578" style="454" customWidth="1"/>
    <x:col min="2" max="3" width="40.97999954223633" style="454" customWidth="1"/>
    <x:col min="4" max="4" width="34.470001220703125" style="454" customWidth="1"/>
  </x:cols>
  <x:sheetData>
    <x:row r="1" s="455" customFormat="1" ht="23.25" customHeight="1">
      <x:c r="A1" s="615" t="inlineStr">
        <x:is>
          <x:t xml:space="preserve">Adaptive Reserve / Saturation Diagnostic</x:t>
        </x:is>
      </x:c>
      <x:c r="B1" s="615" t="n"/>
      <x:c r="C1" s="615" t="n"/>
      <x:c r="D1" s="615" t="n"/>
    </x:row>
    <x:row r="2" s="455" customFormat="1" ht="15" customHeight="1">
      <x:c r="A2" s="615" t="inlineStr">
        <x:is>
          <x:t xml:space="preserve">Field</x:t>
        </x:is>
      </x:c>
      <x:c r="B2" s="615" t="inlineStr">
        <x:is>
          <x:t xml:space="preserve">Option A</x:t>
        </x:is>
      </x:c>
      <x:c r="C2" s="615" t="inlineStr">
        <x:is>
          <x:t xml:space="preserve">Option B</x:t>
        </x:is>
      </x:c>
      <x:c r="D2" s="615" t="inlineStr">
        <x:is>
          <x:t xml:space="preserve">Reviewer note</x:t>
        </x:is>
      </x:c>
    </x:row>
    <x:row r="3" s="455" customFormat="1" ht="15" customHeight="1">
      <x:c r="A3" s="461" t="inlineStr">
        <x:is>
          <x:t xml:space="preserve">Reserve domain</x:t>
        </x:is>
      </x:c>
      <x:c r="B3" s="461" t="inlineStr">
        <x:is>
          <x:t xml:space="preserve">Institutional / team attention / operational capacity</x:t>
        </x:is>
      </x:c>
      <x:c r="C3" s="461" t="inlineStr">
        <x:is>
          <x:t xml:space="preserve">Institutional / team attention / operational capacity</x:t>
        </x:is>
      </x:c>
      <x:c r="D3" s="461" t="inlineStr">
        <x:is>
          <x:t xml:space="preserve">Customize by case</x:t>
        </x:is>
      </x:c>
    </x:row>
    <x:row r="4" s="455" customFormat="1" ht="15" customHeight="1">
      <x:c r="A4" s="461" t="inlineStr">
        <x:is>
          <x:t xml:space="preserve">Baseline reserve</x:t>
        </x:is>
      </x:c>
      <x:c r="B4" s="461" t="inlineStr">
        <x:is>
          <x:t xml:space="preserve">Not quantified in v3.6 worked-run</x:t>
        </x:is>
      </x:c>
      <x:c r="C4" s="461" t="inlineStr">
        <x:is>
          <x:t xml:space="preserve">Not quantified in v3.6 worked-run</x:t>
        </x:is>
      </x:c>
      <x:c r="D4" s="461" t="inlineStr">
        <x:is>
          <x:t xml:space="preserve">Diagnostic not decisive</x:t>
        </x:is>
      </x:c>
    </x:row>
    <x:row r="5" s="455" customFormat="1" ht="15" customHeight="1">
      <x:c r="A5" s="461" t="inlineStr">
        <x:is>
          <x:t xml:space="preserve">Projected reserve after option</x:t>
        </x:is>
      </x:c>
      <x:c r="B5" s="461" t="inlineStr">
        <x:is>
          <x:t xml:space="preserve">Adequate / monitor</x:t>
        </x:is>
      </x:c>
      <x:c r="C5" s="461" t="inlineStr">
        <x:is>
          <x:t xml:space="preserve">Adequate / monitor</x:t>
        </x:is>
      </x:c>
      <x:c r="D5" s="461" t="inlineStr">
        <x:is>
          <x:t xml:space="preserve">Replace with evidence in real run</x:t>
        </x:is>
      </x:c>
    </x:row>
    <x:row r="6" s="455" customFormat="1" ht="15" customHeight="1">
      <x:c r="A6" s="461" t="inlineStr">
        <x:is>
          <x:t xml:space="preserve">Redundancy state</x:t>
        </x:is>
      </x:c>
      <x:c r="B6" s="461" t="inlineStr">
        <x:is>
          <x:t xml:space="preserve">Partial redundancy preserved</x:t>
        </x:is>
      </x:c>
      <x:c r="C6" s="461" t="inlineStr">
        <x:is>
          <x:t xml:space="preserve">Partial redundancy preserved</x:t>
        </x:is>
      </x:c>
      <x:c r="D6" s="461" t="inlineStr">
        <x:is>
          <x:t xml:space="preserve">Document staff/process backup</x:t>
        </x:is>
      </x:c>
    </x:row>
    <x:row r="7" s="455" customFormat="1" ht="15" customHeight="1">
      <x:c r="A7" s="461" t="inlineStr">
        <x:is>
          <x:t xml:space="preserve">Recovery path</x:t>
        </x:is>
      </x:c>
      <x:c r="B7" s="461" t="inlineStr">
        <x:is>
          <x:t xml:space="preserve">Rollback and policy review available</x:t>
        </x:is>
      </x:c>
      <x:c r="C7" s="461" t="inlineStr">
        <x:is>
          <x:t xml:space="preserve">Rollback and policy review available</x:t>
        </x:is>
      </x:c>
      <x:c r="D7" s="461" t="inlineStr">
        <x:is>
          <x:t xml:space="preserve">Record actual rollback mechanism</x:t>
        </x:is>
      </x:c>
    </x:row>
    <x:row r="8" s="455" customFormat="1" ht="15" customHeight="1">
      <x:c r="A8" s="461" t="inlineStr">
        <x:is>
          <x:t xml:space="preserve">Reversibility</x:t>
        </x:is>
      </x:c>
      <x:c r="B8" s="461" t="inlineStr">
        <x:is>
          <x:t xml:space="preserve">Medium-high</x:t>
        </x:is>
      </x:c>
      <x:c r="C8" s="461" t="inlineStr">
        <x:is>
          <x:t xml:space="preserve">Medium-high</x:t>
        </x:is>
      </x:c>
      <x:c r="D8" s="461" t="inlineStr">
        <x:is>
          <x:t xml:space="preserve">Score only if evidence exists</x:t>
        </x:is>
      </x:c>
    </x:row>
    <x:row r="9" s="455" customFormat="1" ht="15" customHeight="1">
      <x:c r="A9" s="461" t="inlineStr">
        <x:is>
          <x:t xml:space="preserve">Saturation risk</x:t>
        </x:is>
      </x:c>
      <x:c r="B9" s="461" t="inlineStr">
        <x:is>
          <x:t xml:space="preserve">LOW_REVIEW</x:t>
        </x:is>
      </x:c>
      <x:c r="C9" s="461" t="inlineStr">
        <x:is>
          <x:t xml:space="preserve">LOW_REVIEW</x:t>
        </x:is>
      </x:c>
      <x:c r="D9" s="461" t="inlineStr">
        <x:is>
          <x:t xml:space="preserve">Escalate if reserve thin</x:t>
        </x:is>
      </x:c>
    </x:row>
    <x:row r="10" s="455" customFormat="1" ht="15" customHeight="1">
      <x:c r="A10" s="461" t="inlineStr">
        <x:is>
          <x:t xml:space="preserve">Decision effect</x:t>
        </x:is>
      </x:c>
      <x:c r="B10" s="461" t="inlineStr">
        <x:is>
          <x:t xml:space="preserve">Review signal only</x:t>
        </x:is>
      </x:c>
      <x:c r="C10" s="461" t="inlineStr">
        <x:is>
          <x:t xml:space="preserve">Review signal only</x:t>
        </x:is>
      </x:c>
      <x:c r="D10" s="461" t="inlineStr">
        <x:is>
          <x:t xml:space="preserve">Not a sixth gate</x:t>
        </x:is>
      </x:c>
    </x:row>
    <x:row r="11" s="455" customFormat="1" ht="23.25" customHeight="1">
      <x:c r="A11" s="461" t="inlineStr">
        <x:is>
          <x:t xml:space="preserve">Cannot rescue failed gates</x:t>
        </x:is>
      </x:c>
      <x:c r="B11" s="461" t="inlineStr">
        <x:is>
          <x:t xml:space="preserve">TRUE</x:t>
        </x:is>
      </x:c>
      <x:c r="C11" s="461" t="inlineStr">
        <x:is>
          <x:t xml:space="preserve">TRUE</x:t>
        </x:is>
      </x:c>
      <x:c r="D11" s="461" t="inlineStr">
        <x:is>
          <x:t xml:space="preserve">NCRC/TRC/Containment remain controlling</x:t>
        </x:is>
      </x:c>
    </x:row>
    <x:row r="12" s="455" customFormat="1" ht="15" customHeight="1">
      <x:c r="A12" s="461" t="n"/>
      <x:c r="B12" s="461" t="n"/>
      <x:c r="C12" s="461" t="n"/>
      <x:c r="D12" s="461" t="n"/>
    </x:row>
    <x:row r="13" s="455" customFormat="1" ht="15" customHeight="1">
      <x:c r="A13" s="461" t="n"/>
      <x:c r="B13" s="461" t="n"/>
      <x:c r="C13" s="461" t="n"/>
      <x:c r="D13" s="461" t="n"/>
    </x:row>
    <x:row r="14" s="455" customFormat="1" ht="15" customHeight="1">
      <x:c r="A14" s="461" t="n"/>
      <x:c r="B14" s="461" t="n"/>
      <x:c r="C14" s="461" t="n"/>
      <x:c r="D14" s="461" t="n"/>
    </x:row>
    <x:row r="15" s="455" customFormat="1" ht="15" customHeight="1">
      <x:c r="A15" s="461" t="n"/>
      <x:c r="B15" s="461" t="n"/>
      <x:c r="C15" s="461" t="n"/>
      <x:c r="D15" s="461" t="n"/>
    </x:row>
    <x:row r="16" s="455" customFormat="1" ht="15" customHeight="1">
      <x:c r="A16" s="461" t="n"/>
      <x:c r="B16" s="461" t="n"/>
      <x:c r="C16" s="461" t="n"/>
      <x:c r="D16" s="461" t="n"/>
    </x:row>
    <x:row r="17" s="455" customFormat="1" ht="15" customHeight="1">
      <x:c r="A17" s="461" t="n"/>
      <x:c r="B17" s="461" t="n"/>
      <x:c r="C17" s="461" t="n"/>
      <x:c r="D17" s="461" t="n"/>
    </x:row>
    <x:row r="18" s="455" customFormat="1" ht="15" customHeight="1">
      <x:c r="A18" s="461" t="n"/>
      <x:c r="B18" s="461" t="n"/>
      <x:c r="C18" s="461" t="n"/>
      <x:c r="D18" s="461" t="n"/>
    </x:row>
    <x:row r="19" s="455" customFormat="1" ht="15" customHeight="1">
      <x:c r="A19" s="461" t="n"/>
      <x:c r="B19" s="461" t="n"/>
      <x:c r="C19" s="461" t="n"/>
      <x:c r="D19" s="461" t="n"/>
    </x:row>
    <x:row r="20" s="455" customFormat="1" ht="15" customHeight="1">
      <x:c r="A20" s="461" t="n"/>
      <x:c r="B20" s="461" t="n"/>
      <x:c r="C20" s="461" t="n"/>
      <x:c r="D20" s="461" t="n"/>
    </x:row>
  </x:sheetData>
  <x:pageMargins left="0.7" right="0.7" top="0.75" bottom="0.75" header="0.3" footer="0.3"/>
</x:worksheet>
</file>

<file path=xl/worksheets/sheet56.xml><?xml version="1.0" encoding="utf-8"?>
<x:worksheet xmlns:x="http://schemas.openxmlformats.org/spreadsheetml/2006/main">
  <x:sheetViews>
    <x:sheetView showGridLines="1" workbookViewId="0"/>
  </x:sheetViews>
  <x:sheetFormatPr baseColWidth="8" defaultColWidth="8.6796875" defaultRowHeight="15"/>
  <x:cols>
    <x:col min="1" max="1" width="41.56999969482422" style="497" customWidth="1"/>
    <x:col min="2" max="2" width="133.27999877929688" style="497" customWidth="1"/>
    <x:col min="3" max="3" width="95.12000274658203" style="497" customWidth="1"/>
    <x:col min="4" max="4" width="59.02000045776367" style="497" customWidth="1"/>
  </x:cols>
  <x:sheetData>
    <x:row r="1" s="455" customFormat="1" ht="23.850000381469727" customHeight="1">
      <x:c r="A1" s="616" t="inlineStr">
        <x:is>
          <x:t xml:space="preserve">MathGov Core Release 2026.07 / Aligners v3.6 Reality Grounding and Lean Cascade Patch</x:t>
        </x:is>
      </x:c>
      <x:c r="B1" s="616" t="n"/>
      <x:c r="C1" s="616" t="n"/>
      <x:c r="D1" s="616" t="n"/>
    </x:row>
    <x:row r="2"/>
    <x:row r="3" s="455" customFormat="1" ht="15" customHeight="1">
      <x:c r="A3" s="617" t="inlineStr">
        <x:is>
          <x:t xml:space="preserve">Field</x:t>
        </x:is>
      </x:c>
      <x:c r="B3" s="617" t="inlineStr">
        <x:is>
          <x:t xml:space="preserve">Value</x:t>
        </x:is>
      </x:c>
      <x:c r="C3" s="617" t="inlineStr">
        <x:is>
          <x:t xml:space="preserve">Meaning</x:t>
        </x:is>
      </x:c>
      <x:c r="D3" s="617" t="inlineStr">
        <x:is>
          <x:t xml:space="preserve">Decision Effect</x:t>
        </x:is>
      </x:c>
    </x:row>
    <x:row r="4" s="455" customFormat="1" ht="15" customHeight="1">
      <x:c r="A4" s="497" t="inlineStr">
        <x:is>
          <x:t xml:space="preserve">FrameworkVerdict</x:t>
        </x:is>
      </x:c>
      <x:c r="B4" s="497" t="str">
        <x:f>B30</x:f>
        <x:v>REFUSE_DETERMINISTIC_SELECTION</x:v>
      </x:c>
      <x:c r="C4" s="497" t="inlineStr">
        <x:is>
          <x:t xml:space="preserve">The framework refuses to claim unique deterministic selection.</x:t>
        </x:is>
      </x:c>
      <x:c r="D4" s="497" t="inlineStr">
        <x:is>
          <x:t xml:space="preserve">Prevents non-decisive score from being treated as final framework choice.</x:t>
        </x:is>
      </x:c>
    </x:row>
    <x:row r="5" s="455" customFormat="1" ht="15" customHeight="1">
      <x:c r="A5" s="497" t="inlineStr">
        <x:is>
          <x:t xml:space="preserve">AdmissibleOptionSet</x:t>
        </x:is>
      </x:c>
      <x:c r="B5" s="497" t="str">
        <x:f>B31</x:f>
        <x:v>{A, B}</x:v>
      </x:c>
      <x:c r="C5" s="497" t="inlineStr">
        <x:is>
          <x:t xml:space="preserve">Options that passed NCRC, TRC, and Tier-2 containment diagnostic.</x:t>
        </x:is>
      </x:c>
      <x:c r="D5" s="497" t="inlineStr">
        <x:is>
          <x:t xml:space="preserve">Human/institutional choice may occur only after disclosure.</x:t>
        </x:is>
      </x:c>
    </x:row>
    <x:row r="6" s="455" customFormat="1" ht="15" customHeight="1">
      <x:c r="A6" s="497" t="inlineStr">
        <x:is>
          <x:t xml:space="preserve">DeterministicSelectionClaim</x:t>
        </x:is>
      </x:c>
      <x:c r="B6" s="497" t="str">
        <x:f>B32</x:f>
        <x:v>NO</x:v>
      </x:c>
      <x:c r="C6" s="497" t="inlineStr">
        <x:is>
          <x:t xml:space="preserve">No unique technical framework selection is claimed.</x:t>
        </x:is>
      </x:c>
      <x:c r="D6" s="497" t="inlineStr">
        <x:is>
          <x:t xml:space="preserve">Blocks overclaiming.</x:t>
        </x:is>
      </x:c>
    </x:row>
    <x:row r="7" s="455" customFormat="1" ht="15" customHeight="1">
      <x:c r="A7" s="497" t="inlineStr">
        <x:is>
          <x:t xml:space="preserve">AuthoritySelectionRecord</x:t>
        </x:is>
      </x:c>
      <x:c r="B7" s="497" t="inlineStr">
        <x:is>
          <x:t xml:space="preserve">OPTION A</x:t>
        </x:is>
      </x:c>
      <x:c r="C7" s="497" t="inlineStr">
        <x:is>
          <x:t xml:space="preserve">Documented authority/judgment selection among admissible options.</x:t>
        </x:is>
      </x:c>
      <x:c r="D7" s="497" t="inlineStr">
        <x:is>
          <x:t xml:space="preserve">Separate from FrameworkVerdict.</x:t>
        </x:is>
      </x:c>
    </x:row>
    <x:row r="8" s="455" customFormat="1" ht="15" customHeight="1">
      <x:c r="A8" s="497" t="inlineStr">
        <x:is>
          <x:t xml:space="preserve">AuthorityBasis</x:t>
        </x:is>
      </x:c>
      <x:c r="B8" s="497" t="inlineStr">
        <x:is>
          <x:t xml:space="preserve">Tier 2 evaluator judgment under disclosed non-decisiveness</x:t>
        </x:is>
      </x:c>
      <x:c r="C8" s="497" t="inlineStr">
        <x:is>
          <x:t xml:space="preserve">Reason for choosing A despite non-decisive framework ranking.</x:t>
        </x:is>
      </x:c>
      <x:c r="D8" s="497" t="inlineStr">
        <x:is>
          <x:t xml:space="preserve">Requires disclosure.</x:t>
        </x:is>
      </x:c>
    </x:row>
    <x:row r="9" s="455" customFormat="1" ht="15" customHeight="1">
      <x:c r="A9" s="497" t="inlineStr">
        <x:is>
          <x:t xml:space="preserve">CoverageStatusPolicy</x:t>
        </x:is>
      </x:c>
      <x:c r="B9" s="497" t="inlineStr">
        <x:is>
          <x:t xml:space="preserve">VALUE | ESTIMATE | ASSUMPTION | BLANK_BY_DESIGN | DECLARED_UNKNOWN | NOT_APPLICABLE | MISSING_UNDECLARED</x:t>
        </x:is>
      </x:c>
      <x:c r="C9" s="497" t="inlineStr">
        <x:is>
          <x:t xml:space="preserve">Required inputs must not silently become zero.</x:t>
        </x:is>
      </x:c>
      <x:c r="D9" s="497" t="inlineStr">
        <x:is>
          <x:t xml:space="preserve">Unknowns trigger review/refusal/escalation when material.</x:t>
        </x:is>
      </x:c>
    </x:row>
    <x:row r="10" s="455" customFormat="1" ht="15" customHeight="1">
      <x:c r="A10" s="497" t="inlineStr">
        <x:is>
          <x:t xml:space="preserve">ProjectionFreezeVisibility</x:t>
        </x:is>
      </x:c>
      <x:c r="B10" s="497" t="inlineStr">
        <x:is>
          <x:t xml:space="preserve">ProjectionPreRegistration present as a companion sheet</x:t>
        </x:is>
      </x:c>
      <x:c r="C10" s="497" t="inlineStr">
        <x:is>
          <x:t xml:space="preserve">Scenarios, weights, thresholds, uncertainty assumptions and refusal conditions should be frozen for claim-bearing runs.</x:t>
        </x:is>
      </x:c>
      <x:c r="D10" s="497" t="inlineStr">
        <x:is>
          <x:t xml:space="preserve">Post-observation changes create a new run boundary.</x:t>
        </x:is>
      </x:c>
    </x:row>
    <x:row r="11" s="455" customFormat="1" ht="15" customHeight="1">
      <x:c r="A11" s="497" t="inlineStr">
        <x:is>
          <x:t xml:space="preserve">FalsificationClasses</x:t>
        </x:is>
      </x:c>
      <x:c r="B11" s="497" t="inlineStr">
        <x:is>
          <x:t xml:space="preserve">DATA_FAILURE | PROJECTION_FAILURE | PARAMETER_FAILURE | OPERATOR_FAILURE | PRIMITIVE_CHALLENGE | GOVERNANCE_FAILURE | COMMUNICATION_FAILURE</x:t>
        </x:is>
      </x:c>
      <x:c r="C11" s="497" t="inlineStr">
        <x:is>
          <x:t xml:space="preserve">Failure must be attributed to the correct layer.</x:t>
        </x:is>
      </x:c>
      <x:c r="D11" s="497" t="inlineStr">
        <x:is>
          <x:t xml:space="preserve">Prevents over-collapse or over-rescue.</x:t>
        </x:is>
      </x:c>
    </x:row>
    <x:row r="12" s="455" customFormat="1" ht="15" customHeight="1">
      <x:c r="A12" s="497" t="inlineStr">
        <x:is>
          <x:t xml:space="preserve">ClaimBoundary</x:t>
        </x:is>
      </x:c>
      <x:c r="B12" s="497" t="inlineStr">
        <x:is>
          <x:t xml:space="preserve">Worked-run exemplar, not validator / ProofPack / Tier-4 / empirical validation</x:t>
        </x:is>
      </x:c>
      <x:c r="C12" s="497" t="inlineStr">
        <x:is>
          <x:t xml:space="preserve">The workbook demonstrates the architecture only.</x:t>
        </x:is>
      </x:c>
      <x:c r="D12" s="497" t="inlineStr">
        <x:is>
          <x:t xml:space="preserve">Preserves non-claims.</x:t>
        </x:is>
      </x:c>
    </x:row>
    <x:row r="13"/>
    <x:row r="14" s="455" customFormat="1" ht="15" customHeight="1">
      <x:c r="A14" s="497" t="inlineStr">
        <x:is>
          <x:t xml:space="preserve">Verdict Logic</x:t>
        </x:is>
      </x:c>
      <x:c r="B14" s="497" t="inlineStr">
        <x:is>
          <x:t xml:space="preserve">BLOCK</x:t>
        </x:is>
      </x:c>
      <x:c r="C14" s="497" t="inlineStr">
        <x:is>
          <x:t xml:space="preserve">Non-negotiable gate failure or no admissible options remain.</x:t>
        </x:is>
      </x:c>
      <x:c r="D14" s="497" t="inlineStr">
        <x:is>
          <x:t xml:space="preserve">Do not proceed under claimed posture.</x:t>
        </x:is>
      </x:c>
    </x:row>
    <x:row r="15" s="455" customFormat="1" ht="15" customHeight="1">
      <x:c r="A15" s="497" t="inlineStr">
        <x:is>
          <x:t xml:space="preserve">Verdict Logic</x:t>
        </x:is>
      </x:c>
      <x:c r="B15" s="497" t="inlineStr">
        <x:is>
          <x:t xml:space="preserve">REFUSE_DETERMINISTIC_SELECTION</x:t>
        </x:is>
      </x:c>
      <x:c r="C15" s="497" t="inlineStr">
        <x:is>
          <x:t xml:space="preserve">Admissible option set remains non-unique or selection evidence is insufficient/non-decisive.</x:t>
        </x:is>
      </x:c>
      <x:c r="D15" s="497" t="inlineStr">
        <x:is>
          <x:t xml:space="preserve">May support separate authority selection.</x:t>
        </x:is>
      </x:c>
    </x:row>
    <x:row r="16" s="455" customFormat="1" ht="15" customHeight="1">
      <x:c r="A16" s="497" t="inlineStr">
        <x:is>
          <x:t xml:space="preserve">Verdict Logic</x:t>
        </x:is>
      </x:c>
      <x:c r="B16" s="497" t="inlineStr">
        <x:is>
          <x:t xml:space="preserve">ALLOW_FRAMEWORK_SELECTION</x:t>
        </x:is>
      </x:c>
      <x:c r="C16" s="497" t="inlineStr">
        <x:is>
          <x:t xml:space="preserve">One uniquely claimable option is produced by gates, scoring, tie-breaks, and evidence sufficiency.</x:t>
        </x:is>
      </x:c>
      <x:c r="D16" s="497" t="inlineStr">
        <x:is>
          <x:t xml:space="preserve">Framework may claim technical selection.</x:t>
        </x:is>
      </x:c>
    </x:row>
    <x:row r="17" s="455" customFormat="1" ht="15" customHeight="1">
      <x:c r="A17" s="497" t="inlineStr">
        <x:is>
          <x:t xml:space="preserve">Verdict Logic</x:t>
        </x:is>
      </x:c>
      <x:c r="B17" s="497" t="inlineStr">
        <x:is>
          <x:t xml:space="preserve">ESCALATE</x:t>
        </x:is>
      </x:c>
      <x:c r="C17" s="497" t="inlineStr">
        <x:is>
          <x:t xml:space="preserve">Higher-tier evidence, expert review, stakeholder challenge, or authority needed.</x:t>
        </x:is>
      </x:c>
      <x:c r="D17" s="497" t="inlineStr">
        <x:is>
          <x:t xml:space="preserve">Proceed only after required review.</x:t>
        </x:is>
      </x:c>
    </x:row>
    <x:row r="18"/>
    <x:row r="19" s="455" customFormat="1" ht="15" customHeight="1">
      <x:c r="A19" s="497" t="inlineStr">
        <x:is>
          <x:t xml:space="preserve">Copyright-safe note</x:t>
        </x:is>
      </x:c>
      <x:c r="B19" s="497" t="inlineStr">
        <x:is>
          <x:t xml:space="preserve">MathGov-native hardening layer</x:t>
        </x:is>
      </x:c>
      <x:c r="C19" s="497" t="inlineStr">
        <x:is>
          <x:t xml:space="preserve">No external proprietary text, equation, ontology, or framework dependency is imported.</x:t>
        </x:is>
      </x:c>
      <x:c r="D19" s="497" t="inlineStr">
        <x:is>
          <x:t xml:space="preserve">Independent implementation within RippleLogic architecture.</x:t>
        </x:is>
      </x:c>
    </x:row>
    <x:row r="20"/>
    <x:row r="21" s="455" customFormat="1" ht="15" customHeight="1">
      <x:c r="A21" s="497" t="inlineStr">
        <x:is>
          <x:t xml:space="preserve">Release delta</x:t>
        </x:is>
      </x:c>
      <x:c r="B21" s="497" t="inlineStr">
        <x:is>
          <x:t xml:space="preserve">v3.6 -&gt; v3.6</x:t>
        </x:is>
      </x:c>
      <x:c r="C21" s="497" t="inlineStr">
        <x:is>
          <x:t xml:space="preserve">Adds verdict semantics and authority-selection separation.</x:t>
        </x:is>
      </x:c>
      <x:c r="D21" s="497" t="inlineStr">
        <x:is>
          <x:t xml:space="preserve">No cascade/equation/rights/TRC/Containment change.</x:t>
        </x:is>
      </x:c>
    </x:row>
    <x:row r="22"/>
    <x:row r="23"/>
    <x:row r="24" s="455" customFormat="1" ht="15" customHeight="1">
      <x:c r="A24" s="497" t="inlineStr">
        <x:is>
          <x:t xml:space="preserve">VERDICT ENGINE (computed live from CANON cascade cells)</x:t>
        </x:is>
      </x:c>
    </x:row>
    <x:row r="25" s="455" customFormat="1" ht="15" customHeight="1">
      <x:c r="A25" s="497" t="inlineStr">
        <x:is>
          <x:t xml:space="preserve">Option_A_admissible</x:t>
        </x:is>
      </x:c>
      <x:c r="B25" s="497" t="n">
        <x:f>IF(AND(CANON!B51="PASS",CANON!B56="PASS",ISNUMBER(SEARCH("PASS",CANON!B60))),1,0)</x:f>
        <x:v>1</x:v>
      </x:c>
    </x:row>
    <x:row r="26" s="455" customFormat="1" ht="15" customHeight="1">
      <x:c r="A26" s="497" t="inlineStr">
        <x:is>
          <x:t xml:space="preserve">Option_B_admissible</x:t>
        </x:is>
      </x:c>
      <x:c r="B26" s="497" t="n">
        <x:f>IF(AND(CANON!B52="PASS",CANON!B57="PASS",ISNUMBER(SEARCH("PASS",CANON!B61))),1,0)</x:f>
        <x:v>1</x:v>
      </x:c>
    </x:row>
    <x:row r="27" s="455" customFormat="1" ht="15" customHeight="1">
      <x:c r="A27" s="497" t="inlineStr">
        <x:is>
          <x:t xml:space="preserve">Admissible_count</x:t>
        </x:is>
      </x:c>
      <x:c r="B27" s="497" t="n">
        <x:f>B25+B26</x:f>
        <x:v>2</x:v>
      </x:c>
    </x:row>
    <x:row r="28" s="455" customFormat="1" ht="15" customHeight="1">
      <x:c r="A28" s="497" t="inlineStr">
        <x:is>
          <x:t xml:space="preserve">RLS_decisive</x:t>
        </x:is>
      </x:c>
      <x:c r="B28" s="497" t="str">
        <x:f>CANON!B59</x:f>
        <x:v>NO</x:v>
      </x:c>
    </x:row>
    <x:row r="29" s="455" customFormat="1" ht="15" customHeight="1">
      <x:c r="A29" s="497" t="inlineStr">
        <x:is>
          <x:t xml:space="preserve">Escalation_required</x:t>
        </x:is>
      </x:c>
      <x:c r="B29" s="497" t="str">
        <x:f>CANON!B73</x:f>
        <x:v>NO</x:v>
      </x:c>
    </x:row>
    <x:row r="30" s="455" customFormat="1" ht="15" customHeight="1">
      <x:c r="A30" s="497" t="inlineStr">
        <x:is>
          <x:t xml:space="preserve">Computed_FrameworkVerdict</x:t>
        </x:is>
      </x:c>
      <x:c r="B30" s="497" t="str">
        <x:f>IF(B27=0,"BLOCK",IF(B29="YES","ESCALATE",IF(OR(B27=1,AND(B27&gt;1,B28="YES")),"ALLOW_FRAMEWORK_SELECTION","REFUSE_DETERMINISTIC_SELECTION")))</x:f>
        <x:v>REFUSE_DETERMINISTIC_SELECTION</x:v>
      </x:c>
    </x:row>
    <x:row r="31" s="455" customFormat="1" ht="15" customHeight="1">
      <x:c r="A31" s="497" t="inlineStr">
        <x:is>
          <x:t xml:space="preserve">Computed_AdmissibleSet</x:t>
        </x:is>
      </x:c>
      <x:c r="B31" s="497" t="str">
        <x:f>"{"&amp;IF(B25=1,"A","")&amp;IF(AND(B25=1,B26=1),", ","")&amp;IF(B26=1,"B","")&amp;"}"</x:f>
        <x:v>{A, B}</x:v>
      </x:c>
    </x:row>
    <x:row r="32" s="455" customFormat="1" ht="15" customHeight="1">
      <x:c r="A32" s="497" t="inlineStr">
        <x:is>
          <x:t xml:space="preserve">Computed_DeterministicClaim</x:t>
        </x:is>
      </x:c>
      <x:c r="B32" s="497" t="str">
        <x:f>IF(B30="ALLOW_FRAMEWORK_SELECTION","YES","NO")</x:f>
        <x:v>NO</x:v>
      </x:c>
    </x:row>
  </x:sheetData>
  <x:pageMargins left="0.7" right="0.7" top="0.75" bottom="0.75" header="0.3" footer="0.3"/>
</x:worksheet>
</file>

<file path=xl/worksheets/sheet57.xml><?xml version="1.0" encoding="utf-8"?>
<x:worksheet xmlns:x="http://schemas.openxmlformats.org/spreadsheetml/2006/main">
  <x:sheetViews>
    <x:sheetView showGridLines="1" workbookViewId="0"/>
  </x:sheetViews>
  <x:sheetFormatPr baseColWidth="8" defaultColWidth="8.6796875" defaultRowHeight="15"/>
  <x:cols>
    <x:col min="1" max="1" width="44.65999984741211" style="510" customWidth="1"/>
    <x:col min="2" max="2" width="89.05000305175781" style="510" customWidth="1"/>
    <x:col min="3" max="3" width="44" style="510" customWidth="1"/>
    <x:col min="4" max="4" width="36" style="510" customWidth="1"/>
  </x:cols>
  <x:sheetData>
    <x:row r="1" s="455" customFormat="1" ht="15" customHeight="1">
      <x:c r="A1" s="618" t="inlineStr">
        <x:is>
          <x:t xml:space="preserve">MathGov / RippleLogic Core Release 2026.07 - Version Semantics</x:t>
        </x:is>
      </x:c>
      <x:c r="B1" s="457" t="n"/>
      <x:c r="C1" s="457" t="n"/>
      <x:c r="D1" s="457" t="n"/>
    </x:row>
    <x:row r="2" s="455" customFormat="1" ht="15" customHeight="1">
      <x:c r="A2" s="510" t="inlineStr">
        <x:is>
          <x:t xml:space="preserve">Purpose</x:t>
        </x:is>
      </x:c>
      <x:c r="B2" s="510" t="inlineStr">
        <x:is>
          <x:t xml:space="preserve">MathGov / RippleLogic Core Release 2026.07</x:t>
        </x:is>
      </x:c>
    </x:row>
    <x:row r="3" s="455" customFormat="1" ht="15" customHeight="1">
      <x:c r="B3" s="510" t="inlineStr">
        <x:is>
          <x:t xml:space="preserve">Reality Grounding and Lean Cascade Patch</x:t>
        </x:is>
      </x:c>
    </x:row>
    <x:row r="4" s="455" customFormat="1" ht="15" customHeight="1">
      <x:c r="A4" s="510" t="str">
        <x:v>Field</x:v>
      </x:c>
      <x:c r="B4" s="510" t="str">
        <x:v>Value</x:v>
      </x:c>
      <x:c r="C4" s="510" t="str">
        <x:v>Meaning</x:v>
      </x:c>
      <x:c r="D4" s="510" t="inlineStr">
        <x:is>
          <x:t xml:space="preserve">Release Effect</x:t>
        </x:is>
      </x:c>
    </x:row>
    <x:row r="5" s="455" customFormat="1" ht="15" customHeight="1">
      <x:c r="A5" s="510" t="str">
        <x:v>Package release</x:v>
      </x:c>
      <x:c r="B5" s="510" t="str">
        <x:v>MathGov / RippleLogic Core Release 2026.07</x:v>
      </x:c>
      <x:c r="C5" s="510" t="str">
        <x:v>Package release line</x:v>
      </x:c>
      <x:c r="D5" s="510" t="inlineStr">
        <x:is>
          <x:t xml:space="preserve">Workbook-correctness and verification-integrity patch</x:t>
        </x:is>
      </x:c>
    </x:row>
    <x:row r="6" s="455" customFormat="1" ht="15" customHeight="1">
      <x:c r="A6" s="510" t="str">
        <x:v>Package patch type</x:v>
      </x:c>
      <x:c r="B6" s="510" t="str">
        <x:v>Reality Grounding and Lean Cascade Patch</x:v>
      </x:c>
      <x:c r="C6" s="510" t="str">
        <x:v>Patch scope</x:v>
      </x:c>
      <x:c r="D6" s="510" t="inlineStr">
        <x:is>
          <x:t xml:space="preserve">No theory, cascade, rights, TRC, Containment, PLSS, or SGP scalar changes</x:t>
        </x:is>
      </x:c>
    </x:row>
    <x:row r="7" s="455" customFormat="1" ht="15" customHeight="1">
      <x:c r="A7" s="510" t="str">
        <x:v>Canon content version</x:v>
      </x:c>
      <x:c r="B7" s="510" t="str">
        <x:v>RippleLogic Canon v10.8</x:v>
      </x:c>
      <x:c r="C7" s="510" t="str">
        <x:v>Governing Canon version</x:v>
      </x:c>
      <x:c r="D7" s="510" t="inlineStr">
        <x:is>
          <x:t xml:space="preserve">Includes Appendix AF hardening layer</x:t>
        </x:is>
      </x:c>
    </x:row>
    <x:row r="8" s="455" customFormat="1" ht="15" customHeight="1">
      <x:c r="A8" s="510" t="str">
        <x:v>SGP content version</x:v>
      </x:c>
      <x:c r="B8" s="510" t="str">
        <x:v>SGP v5.5</x:v>
      </x:c>
      <x:c r="C8" s="510" t="str">
        <x:v>Moral-status evidence/protection protocol version</x:v>
      </x:c>
      <x:c r="D8" s="510" t="inlineStr">
        <x:is>
          <x:t xml:space="preserve">Includes decision-verdict interface boundary</x:t>
        </x:is>
      </x:c>
    </x:row>
    <x:row r="9" s="455" customFormat="1" ht="15" customHeight="1">
      <x:c r="A9" s="510" t="str">
        <x:v>ripple.md content version</x:v>
      </x:c>
      <x:c r="B9" s="510" t="str">
        <x:v>ripple.md Standard v3.6</x:v>
      </x:c>
      <x:c r="C9" s="510" t="str">
        <x:v>Portable wrapper standard version</x:v>
      </x:c>
      <x:c r="D9" s="510" t="inlineStr">
        <x:is>
          <x:t xml:space="preserve">Includes Appendix X authority-selection wrapper fields</x:t>
        </x:is>
      </x:c>
    </x:row>
    <x:row r="10" s="455" customFormat="1" ht="15" customHeight="1">
      <x:c r="A10" s="510" t="inlineStr">
        <x:is>
          <x:t xml:space="preserve">Exact component pin block</x:t>
        </x:is>
      </x:c>
      <x:c r="B10" s="510" t="inlineStr">
        <x:is>
          <x:t xml:space="preserve">RippleLogic Canon</x:t>
        </x:is>
      </x:c>
      <x:c r="C10" s="510" t="inlineStr">
        <x:is>
          <x:t xml:space="preserve">v10.8</x:t>
        </x:is>
      </x:c>
      <x:c r="D10" s="510" t="inlineStr">
        <x:is>
          <x:t xml:space="preserve">Controls current package identity.</x:t>
        </x:is>
      </x:c>
    </x:row>
    <x:row r="11" s="455" customFormat="1" ht="15" customHeight="1">
      <x:c r="A11" s="510" t="inlineStr">
        <x:is>
          <x:t xml:space="preserve">Exact component pin block</x:t>
        </x:is>
      </x:c>
      <x:c r="B11" s="510" t="inlineStr">
        <x:is>
          <x:t xml:space="preserve">SGP</x:t>
        </x:is>
      </x:c>
      <x:c r="C11" s="510" t="inlineStr">
        <x:is>
          <x:t xml:space="preserve">v5.5</x:t>
        </x:is>
      </x:c>
      <x:c r="D11" s="510" t="inlineStr">
        <x:is>
          <x:t xml:space="preserve">Controls current package identity.</x:t>
        </x:is>
      </x:c>
    </x:row>
    <x:row r="12" s="455" customFormat="1" ht="15" customHeight="1">
      <x:c r="A12" s="510" t="inlineStr">
        <x:is>
          <x:t xml:space="preserve">Exact component pin block</x:t>
        </x:is>
      </x:c>
      <x:c r="B12" s="510" t="inlineStr">
        <x:is>
          <x:t xml:space="preserve">ripple.md Standard</x:t>
        </x:is>
      </x:c>
      <x:c r="C12" s="510" t="inlineStr">
        <x:is>
          <x:t xml:space="preserve">v3.6</x:t>
        </x:is>
      </x:c>
      <x:c r="D12" s="510" t="inlineStr">
        <x:is>
          <x:t xml:space="preserve">Controls current package identity.</x:t>
        </x:is>
      </x:c>
    </x:row>
    <x:row r="13" s="455" customFormat="1" ht="15" customHeight="1">
      <x:c r="A13" s="510" t="inlineStr">
        <x:is>
          <x:t xml:space="preserve">Exact component pin block</x:t>
        </x:is>
      </x:c>
      <x:c r="B13" s="510" t="inlineStr">
        <x:is>
          <x:t xml:space="preserve">RippleLogic Agent System</x:t>
        </x:is>
      </x:c>
      <x:c r="C13" s="510" t="inlineStr">
        <x:is>
          <x:t xml:space="preserve">v10.8</x:t>
        </x:is>
      </x:c>
      <x:c r="D13" s="510" t="inlineStr">
        <x:is>
          <x:t xml:space="preserve">Controls current package identity.</x:t>
        </x:is>
      </x:c>
    </x:row>
    <x:row r="14" s="455" customFormat="1" ht="15" customHeight="1">
      <x:c r="A14" s="510" t="inlineStr">
        <x:is>
          <x:t xml:space="preserve">Exact component pin block</x:t>
        </x:is>
      </x:c>
      <x:c r="B14" s="510" t="inlineStr">
        <x:is>
          <x:t xml:space="preserve">Foundations Primer</x:t>
        </x:is>
      </x:c>
      <x:c r="C14" s="510" t="inlineStr">
        <x:is>
          <x:t xml:space="preserve">v2.6</x:t>
        </x:is>
      </x:c>
      <x:c r="D14" s="510" t="inlineStr">
        <x:is>
          <x:t xml:space="preserve">Controls current package identity.</x:t>
        </x:is>
      </x:c>
    </x:row>
    <x:row r="15" s="455" customFormat="1" ht="15" customHeight="1">
      <x:c r="A15" s="510" t="inlineStr">
        <x:is>
          <x:t xml:space="preserve">Exact component pin block</x:t>
        </x:is>
      </x:c>
      <x:c r="B15" s="510" t="inlineStr">
        <x:is>
          <x:t xml:space="preserve">RippleLogic Aligners Sheet</x:t>
        </x:is>
      </x:c>
      <x:c r="C15" s="510" t="inlineStr">
        <x:is>
          <x:t xml:space="preserve">v3.6</x:t>
        </x:is>
      </x:c>
      <x:c r="D15" s="510" t="inlineStr">
        <x:is>
          <x:t xml:space="preserve">Controls current package identity.</x:t>
        </x:is>
      </x:c>
    </x:row>
    <x:row r="16">
      <x:c r="A16" s="591" t="inlineStr">
        <x:is>
          <x:t xml:space="preserve">Series-shorthand rule</x:t>
        </x:is>
      </x:c>
      <x:c r="B16" s="591" t="inlineStr">
        <x:is>
          <x:t xml:space="preserve">v10.8 / v5.5 / v3.6</x:t>
        </x:is>
      </x:c>
      <x:c r="C16" s="591" t="inlineStr">
        <x:is>
          <x:t xml:space="preserve">LINE_SHORTHAND_ONLY</x:t>
        </x:is>
      </x:c>
      <x:c r="D16" s="591" t="inlineStr">
        <x:is>
          <x:t xml:space="preserve">Exact package identity is governed by the component pins above and the release manifest hashes.</x:t>
        </x:is>
      </x:c>
    </x:row>
    <x:row r="17" s="455" customFormat="1" ht="15" customHeight="1">
      <x:c r="A17" s="510" t="inlineStr">
        <x:is>
          <x:t xml:space="preserve">Hash rule</x:t>
        </x:is>
      </x:c>
      <x:c r="B17" s="510" t="inlineStr">
        <x:is>
          <x:t xml:space="preserve">Release manifest SHA-256</x:t>
        </x:is>
      </x:c>
      <x:c r="C17" s="510" t="inlineStr">
        <x:is>
          <x:t xml:space="preserve">CONTROLS_BYTES</x:t>
        </x:is>
      </x:c>
      <x:c r="D17" s="510" t="inlineStr">
        <x:is>
          <x:t xml:space="preserve">Consumers should verify file hashes before treating release outputs as canonical.</x:t>
        </x:is>
      </x:c>
    </x:row>
    <x:row r="18" s="455" customFormat="1" ht="15" customHeight="1">
      <x:c r="A18" s="510" t="inlineStr">
        <x:is>
          <x:t xml:space="preserve">Hash gate</x:t>
        </x:is>
      </x:c>
      <x:c r="B18" s="510" t="inlineStr">
        <x:is>
          <x:t xml:space="preserve">sha256sum -c SHA256SUMS.txt</x:t>
        </x:is>
      </x:c>
      <x:c r="C18" s="510" t="inlineStr">
        <x:is>
          <x:t xml:space="preserve">Required package integrity command</x:t>
        </x:is>
      </x:c>
      <x:c r="D18" s="510" t="inlineStr">
        <x:is>
          <x:t xml:space="preserve">Must pass after hashes are regenerated last</x:t>
        </x:is>
      </x:c>
    </x:row>
  </x:sheetData>
  <x:mergeCells>
    <x:mergeCell ref="A1:D1"/>
  </x:mergeCells>
  <x:pageMargins left="0.7" right="0.7" top="0.75" bottom="0.75" header="0.3" footer="0.3"/>
</x:worksheet>
</file>

<file path=xl/worksheets/sheet58.xml><?xml version="1.0" encoding="utf-8"?>
<x:worksheet xmlns:x="http://schemas.openxmlformats.org/spreadsheetml/2006/main">
  <x:sheetViews>
    <x:sheetView showGridLines="1" workbookViewId="0"/>
  </x:sheetViews>
  <x:sheetFormatPr baseColWidth="8" defaultColWidth="8.6796875" defaultRowHeight="15"/>
  <x:cols>
    <x:col min="1" max="1" width="28" style="455" customWidth="1"/>
    <x:col min="2" max="2" width="56" style="455" customWidth="1"/>
    <x:col min="3" max="3" width="30" style="455" customWidth="1"/>
    <x:col min="4" max="4" width="30" style="455" customWidth="1"/>
  </x:cols>
  <x:sheetData>
    <x:row r="1" s="455" customFormat="1" ht="24" customHeight="1">
      <x:c r="A1" s="619" t="inlineStr">
        <x:is>
          <x:t xml:space="preserve">REALITY GROUNDING / REALITY-SURFACE GROUNDING (RSG)</x:t>
        </x:is>
      </x:c>
      <x:c r="B1" s="619" t="inlineStr">
        <x:is>
          <x:t xml:space="preserve">Level 1: declare reality surface, evidence trace, material unknowns, transition boundary, consequence pathways, and claim boundary. No claim may exceed its reality surface.</x:t>
        </x:is>
      </x:c>
      <x:c r="C1" s="619" t="n"/>
      <x:c r="D1" s="619" t="n"/>
    </x:row>
    <x:row r="2" s="455" customFormat="1" ht="15" customHeight="1">
      <x:c r="A2" s="620" t="inlineStr">
        <x:is>
          <x:t xml:space="preserve">Package release</x:t>
        </x:is>
      </x:c>
      <x:c r="B2" s="620" t="inlineStr">
        <x:is>
          <x:t xml:space="preserve">MathGov / RippleLogic Core Release 2026.07</x:t>
        </x:is>
      </x:c>
      <x:c r="C2" s="620" t="n"/>
      <x:c r="D2" s="620" t="n"/>
    </x:row>
    <x:row r="3" s="455" customFormat="1" ht="15" customHeight="1">
      <x:c r="A3" s="620" t="inlineStr">
        <x:is>
          <x:t xml:space="preserve">Workbook version</x:t>
        </x:is>
      </x:c>
      <x:c r="B3" s="620" t="inlineStr">
        <x:is>
          <x:t xml:space="preserve">RippleLogic Aligners Sheet v3.6</x:t>
        </x:is>
      </x:c>
      <x:c r="C3" s="620" t="n"/>
      <x:c r="D3" s="620" t="n"/>
    </x:row>
    <x:row r="4" s="455" customFormat="1" ht="15" customHeight="1">
      <x:c r="A4" s="620" t="inlineStr">
        <x:is>
          <x:t xml:space="preserve">Patch type</x:t>
        </x:is>
      </x:c>
      <x:c r="B4" s="620" t="inlineStr">
        <x:is>
          <x:t xml:space="preserve">Reality Grounding and Lean Cascade Patch</x:t>
        </x:is>
      </x:c>
      <x:c r="C4" s="620" t="n"/>
      <x:c r="D4" s="620" t="n"/>
    </x:row>
    <x:row r="5" s="455" customFormat="1" ht="24" customHeight="1">
      <x:c r="A5" s="620" t="inlineStr">
        <x:is>
          <x:t xml:space="preserve">Purpose</x:t>
        </x:is>
      </x:c>
      <x:c r="B5" s="620" t="inlineStr">
        <x:is>
          <x:t xml:space="preserve">Make Level 1 operational: a decision must declare the reality surface, evidence trace, material unknowns, transition boundary, consequence pathways, and claim boundary before rights, risk, containment, or scoring claims are made.</x:t>
        </x:is>
      </x:c>
      <x:c r="C5" s="620" t="n"/>
      <x:c r="D5" s="620" t="n"/>
    </x:row>
    <x:row r="6" s="455" customFormat="1" ht="15" customHeight="1">
      <x:c r="A6" s="620" t="n"/>
      <x:c r="B6" s="620" t="n"/>
      <x:c r="C6" s="620" t="n"/>
      <x:c r="D6" s="620" t="n"/>
    </x:row>
    <x:row r="7" s="455" customFormat="1" ht="15" customHeight="1">
      <x:c r="A7" s="621" t="inlineStr">
        <x:is>
          <x:t xml:space="preserve">Field</x:t>
        </x:is>
      </x:c>
      <x:c r="B7" s="621" t="inlineStr">
        <x:is>
          <x:t xml:space="preserve">Value</x:t>
        </x:is>
      </x:c>
      <x:c r="C7" s="621" t="inlineStr">
        <x:is>
          <x:t xml:space="preserve">Status</x:t>
        </x:is>
      </x:c>
      <x:c r="D7" s="621" t="inlineStr">
        <x:is>
          <x:t xml:space="preserve">Notes</x:t>
        </x:is>
      </x:c>
    </x:row>
    <x:row r="8" s="455" customFormat="1" ht="24" customHeight="1">
      <x:c r="A8" s="620" t="inlineStr">
        <x:is>
          <x:t xml:space="preserve">RealitySurfaceDescription</x:t>
        </x:is>
      </x:c>
      <x:c r="B8" s="620" t="inlineStr">
        <x:is>
          <x:t xml:space="preserve">Tier-2 worked-run decision context and affected union surfaces</x:t>
        </x:is>
      </x:c>
      <x:c r="C8" s="620" t="inlineStr">
        <x:is>
          <x:t xml:space="preserve">ASSUMPTION_BOUND</x:t>
        </x:is>
      </x:c>
      <x:c r="D8" s="620" t="inlineStr">
        <x:is>
          <x:t xml:space="preserve">The reality surface is the modeled decision-relevant portion of the territory, not the whole territory.</x:t>
        </x:is>
      </x:c>
    </x:row>
    <x:row r="9" s="455" customFormat="1" ht="24" customHeight="1">
      <x:c r="A9" s="620" t="inlineStr">
        <x:is>
          <x:t xml:space="preserve">EvidenceTrace</x:t>
        </x:is>
      </x:c>
      <x:c r="B9" s="620" t="inlineStr">
        <x:is>
          <x:t xml:space="preserve">Workbook model, PCC export, sanity checks, audit flags, scenario tables</x:t>
        </x:is>
      </x:c>
      <x:c r="C9" s="620" t="inlineStr">
        <x:is>
          <x:t xml:space="preserve">GROUNDED</x:t>
        </x:is>
      </x:c>
      <x:c r="D9" s="620" t="inlineStr">
        <x:is>
          <x:t xml:space="preserve">The evidence trace supports workbook-local reconstruction, not empirical validation.</x:t>
        </x:is>
      </x:c>
    </x:row>
    <x:row r="10" s="455" customFormat="1" ht="24" customHeight="1">
      <x:c r="A10" s="620" t="inlineStr">
        <x:is>
          <x:t xml:space="preserve">MaterialUnknowns</x:t>
        </x:is>
      </x:c>
      <x:c r="B10" s="620" t="inlineStr">
        <x:is>
          <x:t xml:space="preserve">UCI not cross-domain validated; containment is Tier-2 proxy; biological SGP measurement remains guidance-stage</x:t>
        </x:is>
      </x:c>
      <x:c r="C10" s="620" t="inlineStr">
        <x:is>
          <x:t xml:space="preserve">DECLARED_UNKNOWN</x:t>
        </x:is>
      </x:c>
      <x:c r="D10" s="620" t="inlineStr">
        <x:is>
          <x:t xml:space="preserve">Unknowns are not zeros and do not authorize stronger maturity claims.</x:t>
        </x:is>
      </x:c>
    </x:row>
    <x:row r="11" s="455" customFormat="1" ht="24" customHeight="1">
      <x:c r="A11" s="620" t="inlineStr">
        <x:is>
          <x:t xml:space="preserve">TransitionOrActionBoundary</x:t>
        </x:is>
      </x:c>
      <x:c r="B11" s="620" t="inlineStr">
        <x:is>
          <x:t xml:space="preserve">Remote Work Policy Implementation: Option A vs Option B within the worked-run model</x:t>
        </x:is>
      </x:c>
      <x:c r="C11" s="620" t="inlineStr">
        <x:is>
          <x:t xml:space="preserve">ASSUMPTION_BOUND</x:t>
        </x:is>
      </x:c>
      <x:c r="D11" s="620" t="inlineStr">
        <x:is>
          <x:t xml:space="preserve">A consequence claim requires a declared transition boundary.</x:t>
        </x:is>
      </x:c>
    </x:row>
    <x:row r="12" s="455" customFormat="1" ht="36" customHeight="1">
      <x:c r="A12" s="620" t="inlineStr">
        <x:is>
          <x:t xml:space="preserve">ConsequencePathways</x:t>
        </x:is>
      </x:c>
      <x:c r="B12" s="620" t="inlineStr">
        <x:is>
          <x:t xml:space="preserve">Affected unions, institutional roles, worker/family/community impacts, model boundaries, scenario pathways</x:t>
        </x:is>
      </x:c>
      <x:c r="C12" s="620" t="inlineStr">
        <x:is>
          <x:t xml:space="preserve">ASSUMPTION_BOUND</x:t>
        </x:is>
      </x:c>
      <x:c r="D12" s="620" t="inlineStr">
        <x:is>
          <x:t xml:space="preserve">Pathways are modeled surfaces, not complete territory capture.</x:t>
        </x:is>
      </x:c>
    </x:row>
    <x:row r="13" s="455" customFormat="1" ht="24" customHeight="1">
      <x:c r="A13" s="620" t="inlineStr">
        <x:is>
          <x:t xml:space="preserve">ClaimBoundary</x:t>
        </x:is>
      </x:c>
      <x:c r="B13" s="620" t="inlineStr">
        <x:is>
          <x:t xml:space="preserve">Worked-run exemplar; not empirical validation, legal certification, deployment certification, or Tier 4/ProofPack readiness</x:t>
        </x:is>
      </x:c>
      <x:c r="C13" s="620" t="inlineStr">
        <x:is>
          <x:t xml:space="preserve">RECORDED</x:t>
        </x:is>
      </x:c>
      <x:c r="D13" s="620" t="inlineStr">
        <x:is>
          <x:t xml:space="preserve">No claim may exceed its reality surface.</x:t>
        </x:is>
      </x:c>
    </x:row>
    <x:row r="14" s="455" customFormat="1" ht="24" customHeight="1">
      <x:c r="A14" s="620" t="inlineStr">
        <x:is>
          <x:t xml:space="preserve">RealityGroundingStatus</x:t>
        </x:is>
      </x:c>
      <x:c r="B14" s="620" t="inlineStr">
        <x:is>
          <x:t xml:space="preserve">ASSUMPTION_BOUND</x:t>
        </x:is>
      </x:c>
      <x:c r="C14" s="620" t="inlineStr">
        <x:is>
          <x:t xml:space="preserve">CANONICAL_ENUM</x:t>
        </x:is>
      </x:c>
      <x:c r="D14" s="620" t="inlineStr">
        <x:is>
          <x:t xml:space="preserve">Primary status for the worked-run surface. EVIDENCE_BACKED remains a legacy alias for GROUNDED where the evidence surface is sufficient.</x:t>
        </x:is>
      </x:c>
    </x:row>
    <x:row r="15" s="455" customFormat="1" ht="48" customHeight="1">
      <x:c r="A15" s="620" t="inlineStr">
        <x:is>
          <x:t xml:space="preserve">VehicleContentEffectNotes</x:t>
        </x:is>
      </x:c>
      <x:c r="B15" s="620" t="inlineStr">
        <x:is>
          <x:t xml:space="preserve">Model outputs, scores, authority records, and consensus statements are vehicles; their content may be true or false; their effects may be real.</x:t>
        </x:is>
      </x:c>
      <x:c r="C15" s="620" t="inlineStr">
        <x:is>
          <x:t xml:space="preserve">RECORDED</x:t>
        </x:is>
      </x:c>
      <x:c r="D15" s="620" t="inlineStr">
        <x:is>
          <x:t xml:space="preserve">Prevents consensus/model output from being treated as reality itself.</x:t>
        </x:is>
      </x:c>
    </x:row>
    <x:row r="16" s="455" customFormat="1" ht="15" customHeight="1">
      <x:c r="A16" s="620" t="inlineStr">
        <x:is>
          <x:t xml:space="preserve">SurfaceTerritoryLimitations</x:t>
        </x:is>
      </x:c>
      <x:c r="B16" s="620" t="inlineStr">
        <x:is>
          <x:t xml:space="preserve">The workbook captures a declared reality surface; the territory exceeds the model.</x:t>
        </x:is>
      </x:c>
      <x:c r="C16" s="620" t="inlineStr">
        <x:is>
          <x:t xml:space="preserve">RECORDED</x:t>
        </x:is>
      </x:c>
      <x:c r="D16" s="620" t="inlineStr">
        <x:is>
          <x:t xml:space="preserve">Supports TRC, Containment, unknown-not-zero, and refusal discipline.</x:t>
        </x:is>
      </x:c>
    </x:row>
    <x:row r="17" s="455" customFormat="1" ht="15" customHeight="1">
      <x:c r="A17" s="622" t="inlineStr">
        <x:is>
          <x:t xml:space="preserve">FalsificationOrRevisionTrigger</x:t>
        </x:is>
      </x:c>
      <x:c r="B17" s="620" t="inlineStr">
        <x:is>
          <x:t xml:space="preserve">New evidence, scenario update, stakeholder challenge, monitoring failure, formula/audit defect, or unsupported status-vs-trace assertion</x:t>
        </x:is>
      </x:c>
      <x:c r="C17" s="620" t="inlineStr">
        <x:is>
          <x:t xml:space="preserve">RECORDED</x:t>
        </x:is>
      </x:c>
      <x:c r="D17" s="620" t="inlineStr">
        <x:is>
          <x:t xml:space="preserve">A revised claim after failure is a new claim, not retroactive success.</x:t>
        </x:is>
      </x:c>
    </x:row>
    <x:row r="18" s="455" customFormat="1" ht="36" customHeight="1">
      <x:c r="A18" s="622" t="inlineStr">
        <x:is>
          <x:t xml:space="preserve">MonitoringPath</x:t>
        </x:is>
      </x:c>
      <x:c r="B18" s="620" t="inlineStr">
        <x:is>
          <x:t xml:space="preserve">PCC review, audit flags, release verification, future pilot monitoring</x:t>
        </x:is>
      </x:c>
      <x:c r="C18" s="620" t="inlineStr">
        <x:is>
          <x:t xml:space="preserve">RECORDED</x:t>
        </x:is>
      </x:c>
      <x:c r="D18" s="620" t="inlineStr">
        <x:is>
          <x:t xml:space="preserve">The framework's own deployment effects remain audit-relevant.</x:t>
        </x:is>
      </x:c>
    </x:row>
    <x:row r="19" s="455" customFormat="1" ht="24" customHeight="1">
      <x:c r="A19" s="622" t="inlineStr">
        <x:is>
          <x:t xml:space="preserve">ConstraintEpistemicStatus</x:t>
        </x:is>
      </x:c>
      <x:c r="B19" s="620" t="inlineStr">
        <x:is>
          <x:t xml:space="preserve">MIXED: modeled/inferred/normative commitment</x:t>
        </x:is>
      </x:c>
      <x:c r="C19" s="620" t="inlineStr">
        <x:is>
          <x:t xml:space="preserve">CANONICAL_REVIEW_FIELD</x:t>
        </x:is>
      </x:c>
      <x:c r="D19" s="620" t="inlineStr">
        <x:is>
          <x:t xml:space="preserve">Rights floors and non-domination constraints are declared normative commitments; empirical constraints require evidence traces.</x:t>
        </x:is>
      </x:c>
    </x:row>
    <x:row r="20">
      <x:c r="A20" s="467" t="inlineStr">
        <x:is>
          <x:t xml:space="preserve">TransitionOrActionBoundary</x:t>
        </x:is>
      </x:c>
      <x:c r="B20" s="460" t="inlineStr">
        <x:is>
          <x:t xml:space="preserve">Option A and Option B policy/action boundary for the Tier-2 worked-run exemplar</x:t>
        </x:is>
      </x:c>
      <x:c r="C20" s="460" t="inlineStr">
        <x:is>
          <x:t xml:space="preserve">ASSUMPTION_BOUND</x:t>
        </x:is>
      </x:c>
      <x:c r="D20" s="460" t="inlineStr">
        <x:is>
          <x:t xml:space="preserve">Consequences arise when action, event, policy, or decision enters constrained structure.</x:t>
        </x:is>
      </x:c>
    </x:row>
    <x:row r="21">
      <x:c r="A21" s="467" t="inlineStr">
        <x:is>
          <x:t xml:space="preserve">ConsequencePathways</x:t>
        </x:is>
      </x:c>
      <x:c r="B21" s="460" t="inlineStr">
        <x:is>
          <x:t xml:space="preserve">NCRC, TRC, Containment, RLS, UCI/HOI, PCC, monitoring, and authority-selection pathways</x:t>
        </x:is>
      </x:c>
      <x:c r="C21" s="460" t="inlineStr">
        <x:is>
          <x:t xml:space="preserve">RECORDED</x:t>
        </x:is>
      </x:c>
      <x:c r="D21" s="460" t="inlineStr">
        <x:is>
          <x:t xml:space="preserve">Consequence may be direct, probabilistic, systemic, delayed, distributed, moral, institutional, ecological, or catastrophic.</x:t>
        </x:is>
      </x:c>
    </x:row>
    <x:row r="22">
      <x:c r="A22" s="467" t="inlineStr">
        <x:is>
          <x:t xml:space="preserve">EthicalRealityClass</x:t>
        </x:is>
      </x:c>
      <x:c r="B22" s="460" t="inlineStr">
        <x:is>
          <x:t xml:space="preserve">MIXED: measured/indicator-supported; inferred/uncertainty-bound; normative commitment</x:t>
        </x:is>
      </x:c>
      <x:c r="C22" s="460" t="inlineStr">
        <x:is>
          <x:t xml:space="preserve">RECORDED</x:t>
        </x:is>
      </x:c>
      <x:c r="D22" s="460" t="inlineStr">
        <x:is>
          <x:t xml:space="preserve">Ethical reality is where structures, constraints, and consequences affect welfare-bearing beings and flourishing conditions.</x:t>
        </x:is>
      </x:c>
    </x:row>
    <x:row r="23">
      <x:c r="A23" s="467" t="inlineStr">
        <x:is>
          <x:t xml:space="preserve">ClaimBoundary</x:t>
        </x:is>
      </x:c>
      <x:c r="B23" s="460" t="inlineStr">
        <x:is>
          <x:t xml:space="preserve">Tier-2 worked-run demonstration; not empirical validation, Tier-4, ProofPack-ready, deployment certification, or deterministic framework selection</x:t>
        </x:is>
      </x:c>
      <x:c r="C23" s="460" t="inlineStr">
        <x:is>
          <x:t xml:space="preserve">BOUNDARY PRESERVED</x:t>
        </x:is>
      </x:c>
      <x:c r="D23" s="460" t="inlineStr">
        <x:is>
          <x:t xml:space="preserve">The claim must not exceed the reality surface or evidence trace.</x:t>
        </x:is>
      </x:c>
    </x:row>
    <x:row r="24">
      <x:c r="A24" s="467" t="inlineStr">
        <x:is>
          <x:t xml:space="preserve">RefusalTrigger</x:t>
        </x:is>
      </x:c>
      <x:c r="B24" s="460" t="inlineStr">
        <x:is>
          <x:t xml:space="preserve">Gate-critical unknown, insufficient evidence surface, unsupported RealityGroundingStatus, material stakeholder challenge, formula/audit defect, or monitoring failure</x:t>
        </x:is>
      </x:c>
      <x:c r="C24" s="460" t="inlineStr">
        <x:is>
          <x:t xml:space="preserve">RECORDED</x:t>
        </x:is>
      </x:c>
      <x:c r="D24" s="460" t="inlineStr">
        <x:is>
          <x:t xml:space="preserve">Refusal is integrity when reality-grounding is insufficient.</x:t>
        </x:is>
      </x:c>
    </x:row>
    <x:row r="25">
      <x:c r="A25" s="460" t="inlineStr">
        <x:is>
          <x:t xml:space="preserve">Derived rule</x:t>
        </x:is>
      </x:c>
      <x:c r="B25" s="460" t="inlineStr">
        <x:is>
          <x:t xml:space="preserve">Because the territory exceeds every modeled surface and catastrophic outcomes can be irreversible or unbounded, TRC and Containment are non-averagable gate disciplines.</x:t>
        </x:is>
      </x:c>
      <x:c r="C25" s="460" t="inlineStr">
        <x:is>
          <x:t xml:space="preserve">NORMATIVE INTERPRETATION</x:t>
        </x:is>
      </x:c>
      <x:c r="D25" s="460" t="inlineStr">
        <x:is>
          <x:t xml:space="preserve">TRC and Containment follow from P1 under finite knowledge.</x:t>
        </x:is>
      </x:c>
    </x:row>
    <x:row r="26">
      <x:c r="A26" s="460" t="inlineStr">
        <x:is>
          <x:t xml:space="preserve">Non-claim</x:t>
        </x:is>
      </x:c>
      <x:c r="B26" s="460" t="inlineStr">
        <x:is>
          <x:t xml:space="preserve">This sheet does not make the workbook empirically validated, ProofPack-ready, Tier-4-ready, or deployment-certified.</x:t>
        </x:is>
      </x:c>
      <x:c r="C26" s="460" t="inlineStr">
        <x:is>
          <x:t xml:space="preserve">BOUNDARY PRESERVED</x:t>
        </x:is>
      </x:c>
      <x:c r="D26" s="460" t="n"/>
    </x:row>
    <x:row r="27">
      <x:c r="A27" s="626" t="str">
        <x:v>Status-axis disclosure</x:v>
      </x:c>
      <x:c r="B27" s="626" t="str">
        <x:v>RealityGroundingStatus and Evidence_Status_Token are distinct axes: RealityGroundingStatus is the run-level claim posture; Evidence_Status_Token is the per-input evidence grade. ASSUMPTION_BOUND run posture with ESTIMATED dominant inputs is consistent for this exemplar.</x:v>
      </x:c>
      <x:c r="C27" s="626" t="str">
        <x:v>RECORDED</x:v>
      </x:c>
      <x:c r="D27" s="626" t="str">
        <x:v>Prevents apparent conflict between Dashboard RealityGroundingStatus and PCC/ReferenceStructureRecord evidence tokens.</x:v>
      </x:c>
    </x:row>
    <x:row r="28">
      <x:c r="A28" s="460" t="n"/>
      <x:c r="B28" s="460" t="n"/>
      <x:c r="C28" s="460" t="n"/>
      <x:c r="D28" s="460" t="n"/>
    </x:row>
    <x:row r="29">
      <x:c r="A29" s="460" t="n"/>
      <x:c r="B29" s="460" t="n"/>
      <x:c r="C29" s="460" t="n"/>
      <x:c r="D29" s="460" t="n"/>
    </x:row>
    <x:row r="30">
      <x:c r="A30" s="460" t="n"/>
      <x:c r="B30" s="460" t="n"/>
      <x:c r="C30" s="460" t="n"/>
      <x:c r="D30" s="460" t="n"/>
    </x:row>
    <x:row r="31">
      <x:c r="A31" s="460" t="n"/>
      <x:c r="B31" s="460" t="n"/>
      <x:c r="C31" s="460" t="n"/>
      <x:c r="D31" s="460" t="n"/>
    </x:row>
    <x:row r="32">
      <x:c r="A32" s="460" t="n"/>
      <x:c r="B32" s="460" t="n"/>
      <x:c r="C32" s="460" t="n"/>
      <x:c r="D32" s="460" t="n"/>
    </x:row>
    <x:row r="33">
      <x:c r="A33" s="460" t="n"/>
      <x:c r="B33" s="460" t="n"/>
      <x:c r="C33" s="460" t="n"/>
      <x:c r="D33" s="460" t="n"/>
    </x:row>
    <x:row r="34">
      <x:c r="A34" s="460" t="n"/>
      <x:c r="B34" s="460" t="n"/>
      <x:c r="C34" s="460" t="n"/>
      <x:c r="D34" s="460" t="n"/>
    </x:row>
    <x:row r="35">
      <x:c r="A35" s="460" t="n"/>
      <x:c r="B35" s="460" t="n"/>
      <x:c r="C35" s="460" t="n"/>
      <x:c r="D35" s="460" t="n"/>
    </x:row>
    <x:row r="36">
      <x:c r="A36" s="460" t="n"/>
      <x:c r="B36" s="460" t="n"/>
      <x:c r="C36" s="460" t="n"/>
      <x:c r="D36" s="460" t="n"/>
    </x:row>
    <x:row r="37">
      <x:c r="A37" s="460" t="n"/>
      <x:c r="B37" s="460" t="n"/>
      <x:c r="C37" s="460" t="n"/>
      <x:c r="D37" s="460" t="n"/>
    </x:row>
    <x:row r="38">
      <x:c r="A38" s="460" t="n"/>
      <x:c r="B38" s="460" t="n"/>
      <x:c r="C38" s="460" t="n"/>
      <x:c r="D38" s="460" t="n"/>
    </x:row>
    <x:row r="39">
      <x:c r="A39" s="460" t="n"/>
      <x:c r="B39" s="460" t="n"/>
      <x:c r="C39" s="460" t="n"/>
      <x:c r="D39" s="460" t="n"/>
    </x:row>
    <x:row r="40">
      <x:c r="A40" s="460" t="n"/>
      <x:c r="B40" s="460" t="n"/>
      <x:c r="C40" s="460" t="n"/>
      <x:c r="D40" s="460" t="n"/>
    </x:row>
    <x:row r="41">
      <x:c r="A41" s="460" t="n"/>
      <x:c r="B41" s="460" t="n"/>
      <x:c r="C41" s="460" t="n"/>
      <x:c r="D41" s="460" t="n"/>
    </x:row>
    <x:row r="42">
      <x:c r="A42" s="460" t="n"/>
      <x:c r="B42" s="460" t="n"/>
      <x:c r="C42" s="460" t="n"/>
      <x:c r="D42" s="460" t="n"/>
    </x:row>
    <x:row r="43">
      <x:c r="A43" s="460" t="n"/>
      <x:c r="B43" s="460" t="n"/>
      <x:c r="C43" s="460" t="n"/>
      <x:c r="D43" s="460" t="n"/>
    </x:row>
    <x:row r="44">
      <x:c r="A44" s="460" t="n"/>
      <x:c r="B44" s="460" t="n"/>
      <x:c r="C44" s="460" t="n"/>
      <x:c r="D44" s="460" t="n"/>
    </x:row>
    <x:row r="45">
      <x:c r="A45" s="460" t="n"/>
      <x:c r="B45" s="460" t="n"/>
      <x:c r="C45" s="460" t="n"/>
      <x:c r="D45" s="460" t="n"/>
    </x:row>
    <x:row r="46">
      <x:c r="A46" s="460" t="n"/>
      <x:c r="B46" s="460" t="n"/>
      <x:c r="C46" s="460" t="n"/>
      <x:c r="D46" s="460" t="n"/>
    </x:row>
    <x:row r="47">
      <x:c r="A47" s="460" t="n"/>
      <x:c r="B47" s="460" t="n"/>
      <x:c r="C47" s="460" t="n"/>
      <x:c r="D47" s="460" t="n"/>
    </x:row>
    <x:row r="48">
      <x:c r="A48" s="460" t="n"/>
      <x:c r="B48" s="460" t="n"/>
      <x:c r="C48" s="460" t="n"/>
      <x:c r="D48" s="460" t="n"/>
    </x:row>
    <x:row r="49">
      <x:c r="A49" s="460" t="n"/>
      <x:c r="B49" s="460" t="n"/>
      <x:c r="C49" s="460" t="n"/>
      <x:c r="D49" s="460" t="n"/>
    </x:row>
    <x:row r="50">
      <x:c r="A50" s="460" t="n"/>
      <x:c r="B50" s="460" t="n"/>
      <x:c r="C50" s="460" t="n"/>
      <x:c r="D50" s="460" t="n"/>
    </x:row>
    <x:row r="51">
      <x:c r="A51" s="460" t="n"/>
      <x:c r="B51" s="460" t="n"/>
      <x:c r="C51" s="460" t="n"/>
      <x:c r="D51" s="460" t="n"/>
    </x:row>
    <x:row r="52">
      <x:c r="A52" s="460" t="n"/>
      <x:c r="B52" s="460" t="n"/>
      <x:c r="C52" s="460" t="n"/>
      <x:c r="D52" s="460" t="n"/>
    </x:row>
    <x:row r="53">
      <x:c r="A53" s="460" t="n"/>
      <x:c r="B53" s="460" t="n"/>
      <x:c r="C53" s="460" t="n"/>
      <x:c r="D53" s="460" t="n"/>
    </x:row>
    <x:row r="54">
      <x:c r="A54" s="460" t="n"/>
      <x:c r="B54" s="460" t="n"/>
      <x:c r="C54" s="460" t="n"/>
      <x:c r="D54" s="460" t="n"/>
    </x:row>
    <x:row r="55">
      <x:c r="A55" s="460" t="n"/>
      <x:c r="B55" s="460" t="n"/>
      <x:c r="C55" s="460" t="n"/>
      <x:c r="D55" s="460" t="n"/>
    </x:row>
    <x:row r="56">
      <x:c r="A56" s="460" t="n"/>
      <x:c r="B56" s="460" t="n"/>
      <x:c r="C56" s="460" t="n"/>
      <x:c r="D56" s="460" t="n"/>
    </x:row>
    <x:row r="57">
      <x:c r="A57" s="460" t="n"/>
      <x:c r="B57" s="460" t="n"/>
      <x:c r="C57" s="460" t="n"/>
      <x:c r="D57" s="460" t="n"/>
    </x:row>
    <x:row r="58">
      <x:c r="A58" s="460" t="n"/>
      <x:c r="B58" s="460" t="n"/>
      <x:c r="C58" s="460" t="n"/>
      <x:c r="D58" s="460" t="n"/>
    </x:row>
    <x:row r="59">
      <x:c r="A59" s="460" t="n"/>
      <x:c r="B59" s="460" t="n"/>
      <x:c r="C59" s="460" t="n"/>
      <x:c r="D59" s="460" t="n"/>
    </x:row>
    <x:row r="60">
      <x:c r="A60" s="460" t="n"/>
      <x:c r="B60" s="460" t="n"/>
      <x:c r="C60" s="460" t="n"/>
      <x:c r="D60" s="460" t="n"/>
    </x:row>
    <x:row r="61">
      <x:c r="A61" s="460" t="n"/>
      <x:c r="B61" s="460" t="n"/>
      <x:c r="C61" s="460" t="n"/>
      <x:c r="D61" s="460" t="n"/>
    </x:row>
    <x:row r="62">
      <x:c r="A62" s="460" t="n"/>
      <x:c r="B62" s="460" t="n"/>
      <x:c r="C62" s="460" t="n"/>
      <x:c r="D62" s="460" t="n"/>
    </x:row>
    <x:row r="63">
      <x:c r="A63" s="460" t="n"/>
      <x:c r="B63" s="460" t="n"/>
      <x:c r="C63" s="460" t="n"/>
      <x:c r="D63" s="460" t="n"/>
    </x:row>
    <x:row r="64">
      <x:c r="A64" s="460" t="n"/>
      <x:c r="B64" s="460" t="n"/>
      <x:c r="C64" s="460" t="n"/>
      <x:c r="D64" s="460" t="n"/>
    </x:row>
    <x:row r="65">
      <x:c r="A65" s="460" t="n"/>
      <x:c r="B65" s="460" t="n"/>
      <x:c r="C65" s="460" t="n"/>
      <x:c r="D65" s="460" t="n"/>
    </x:row>
    <x:row r="66">
      <x:c r="A66" s="460" t="n"/>
      <x:c r="B66" s="460" t="n"/>
      <x:c r="C66" s="460" t="n"/>
      <x:c r="D66" s="460" t="n"/>
    </x:row>
    <x:row r="67">
      <x:c r="A67" s="460" t="n"/>
      <x:c r="B67" s="460" t="n"/>
      <x:c r="C67" s="460" t="n"/>
      <x:c r="D67" s="460" t="n"/>
    </x:row>
    <x:row r="68">
      <x:c r="A68" s="460" t="n"/>
      <x:c r="B68" s="460" t="n"/>
      <x:c r="C68" s="460" t="n"/>
      <x:c r="D68" s="460" t="n"/>
    </x:row>
    <x:row r="69">
      <x:c r="A69" s="460" t="n"/>
      <x:c r="B69" s="460" t="n"/>
      <x:c r="C69" s="460" t="n"/>
      <x:c r="D69" s="460" t="n"/>
    </x:row>
    <x:row r="70">
      <x:c r="A70" s="460" t="n"/>
      <x:c r="B70" s="460" t="n"/>
      <x:c r="C70" s="460" t="n"/>
      <x:c r="D70" s="460" t="n"/>
    </x:row>
    <x:row r="71">
      <x:c r="A71" s="460" t="n"/>
      <x:c r="B71" s="460" t="n"/>
      <x:c r="C71" s="460" t="n"/>
      <x:c r="D71" s="460" t="n"/>
    </x:row>
    <x:row r="72">
      <x:c r="A72" s="460" t="n"/>
      <x:c r="B72" s="460" t="n"/>
      <x:c r="C72" s="460" t="n"/>
      <x:c r="D72" s="460" t="n"/>
    </x:row>
    <x:row r="73">
      <x:c r="A73" s="460" t="n"/>
      <x:c r="B73" s="460" t="n"/>
      <x:c r="C73" s="460" t="n"/>
      <x:c r="D73" s="460" t="n"/>
    </x:row>
    <x:row r="74">
      <x:c r="A74" s="460" t="n"/>
      <x:c r="B74" s="460" t="n"/>
      <x:c r="C74" s="460" t="n"/>
      <x:c r="D74" s="460" t="n"/>
    </x:row>
    <x:row r="75">
      <x:c r="A75" s="460" t="n"/>
      <x:c r="B75" s="460" t="n"/>
      <x:c r="C75" s="460" t="n"/>
      <x:c r="D75" s="460" t="n"/>
    </x:row>
    <x:row r="76">
      <x:c r="A76" s="460" t="n"/>
      <x:c r="B76" s="460" t="n"/>
      <x:c r="C76" s="460" t="n"/>
      <x:c r="D76" s="460" t="n"/>
    </x:row>
    <x:row r="77">
      <x:c r="A77" s="460" t="n"/>
      <x:c r="B77" s="460" t="n"/>
      <x:c r="C77" s="460" t="n"/>
      <x:c r="D77" s="460" t="n"/>
    </x:row>
    <x:row r="78">
      <x:c r="A78" s="460" t="n"/>
      <x:c r="B78" s="460" t="n"/>
      <x:c r="C78" s="460" t="n"/>
      <x:c r="D78" s="460" t="n"/>
    </x:row>
    <x:row r="79">
      <x:c r="A79" s="460" t="n"/>
      <x:c r="B79" s="460" t="n"/>
      <x:c r="C79" s="460" t="n"/>
      <x:c r="D79" s="460" t="n"/>
    </x:row>
    <x:row r="80">
      <x:c r="A80" s="460" t="n"/>
      <x:c r="B80" s="460" t="n"/>
      <x:c r="C80" s="460" t="n"/>
      <x:c r="D80" s="460" t="n"/>
    </x:row>
  </x:sheetData>
  <x:pageMargins left="0.7" right="0.7" top="0.75" bottom="0.75" header="0.3" footer="0.3"/>
</x:worksheet>
</file>

<file path=xl/worksheets/sheet59.xml><?xml version="1.0" encoding="utf-8"?>
<x:worksheet xmlns:x="http://schemas.openxmlformats.org/spreadsheetml/2006/main">
  <x:sheetFormatPr baseColWidth="8" defaultRowHeight="15"/>
  <x:cols>
    <x:col min="1" max="1" width="28" style="455" customWidth="1"/>
    <x:col min="2" max="2" width="56" style="455" customWidth="1"/>
    <x:col min="3" max="3" width="30" style="455" customWidth="1"/>
    <x:col min="4" max="4" width="30" style="455" customWidth="1"/>
  </x:cols>
  <x:sheetData>
    <x:row r="1" s="455" customFormat="1" ht="28" customHeight="1">
      <x:c r="A1" s="558" t="inlineStr">
        <x:is>
          <x:t xml:space="preserve">v10.8 / v3.6 Reality Grounding and Lean Cascade Update</x:t>
        </x:is>
      </x:c>
      <x:c r="B1" s="558" t="str">
        <x:v>v10.8 / v5.5 / v3.6 release-ready line</x:v>
      </x:c>
      <x:c r="C1" s="558" t="n"/>
      <x:c r="D1" s="558" t="n"/>
    </x:row>
    <x:row r="2" s="455" customFormat="1" ht="44" customHeight="1">
      <x:c r="A2" s="459" t="inlineStr">
        <x:is>
          <x:t xml:space="preserve">Public five-level method</x:t>
        </x:is>
      </x:c>
      <x:c r="B2" s="460" t="inlineStr">
        <x:is>
          <x:t xml:space="preserve">Reality Grounding -&gt; Rights Floor -&gt; Tail-Risk Bound -&gt; Containment -&gt; Ripple Score</x:t>
        </x:is>
      </x:c>
      <x:c r="C2" s="460" t="n"/>
      <x:c r="D2" s="460" t="n"/>
    </x:row>
    <x:row r="3" s="455" customFormat="1" ht="44" customHeight="1">
      <x:c r="A3" s="459" t="inlineStr">
        <x:is>
          <x:t xml:space="preserve">Formal method</x:t>
        </x:is>
      </x:c>
      <x:c r="B3" s="460" t="str">
        <x:v>RSG -&gt; NCRC -&gt; TRC -&gt; Containment -&gt; RLS</x:v>
      </x:c>
      <x:c r="C3" s="460" t="n"/>
      <x:c r="D3" s="460" t="n"/>
    </x:row>
    <x:row r="4" s="455" customFormat="1" ht="44" customHeight="1">
      <x:c r="A4" s="459" t="inlineStr">
        <x:is>
          <x:t xml:space="preserve">Level 1: Reality Grounding</x:t>
        </x:is>
      </x:c>
      <x:c r="B4" s="460" t="inlineStr">
        <x:is>
          <x:t xml:space="preserve">Declare reality surface, evidence trace, material unknowns, transition boundary, consequence pathways, and claim boundary before any rights, risk, containment, or scoring claim.</x:t>
        </x:is>
      </x:c>
      <x:c r="C4" s="460" t="n"/>
      <x:c r="D4" s="460" t="n"/>
    </x:row>
    <x:row r="5" s="455" customFormat="1" ht="44" customHeight="1">
      <x:c r="A5" s="459" t="inlineStr">
        <x:is>
          <x:t xml:space="preserve">UCI/HOI placement</x:t>
        </x:is>
      </x:c>
      <x:c r="B5" s="460" t="inlineStr">
        <x:is>
          <x:t xml:space="preserve">Structural diagnostics. Gate-relevant use is consumed inside Containment. Residual use only when RLS is tied, close, uncertainty-overlapped, or non-decisive, or for monitoring/hollowing documentation.</x:t>
        </x:is>
      </x:c>
      <x:c r="C5" s="460" t="n"/>
      <x:c r="D5" s="460" t="n"/>
    </x:row>
    <x:row r="6" s="455" customFormat="1" ht="44" customHeight="1">
      <x:c r="A6" s="459" t="inlineStr">
        <x:is>
          <x:t xml:space="preserve">PLSS</x:t>
        </x:is>
      </x:c>
      <x:c r="B6" s="460" t="inlineStr">
        <x:is>
          <x:t xml:space="preserve">Zoom lens, not safety waiver. Local welfare attention never disables rights, TRC, containment, or containment-relevant structural diagnostics.</x:t>
        </x:is>
      </x:c>
      <x:c r="C6" s="460" t="n"/>
      <x:c r="D6" s="460" t="n"/>
    </x:row>
    <x:row r="7" s="455" customFormat="1" ht="44" customHeight="1">
      <x:c r="A7" s="459" t="inlineStr">
        <x:is>
          <x:t xml:space="preserve">Public mantra</x:t>
        </x:is>
      </x:c>
      <x:c r="B7" s="460" t="inlineStr">
        <x:is>
          <x:t xml:space="preserve">Ground -&gt; Protect -&gt; Bound -&gt; Contain -&gt; Score</x:t>
        </x:is>
      </x:c>
      <x:c r="C7" s="460" t="n"/>
      <x:c r="D7" s="460" t="n"/>
    </x:row>
    <x:row r="8" s="455" customFormat="1" ht="44" customHeight="1">
      <x:c r="A8" s="459" t="n"/>
      <x:c r="B8" s="460" t="n"/>
      <x:c r="C8" s="460" t="n"/>
      <x:c r="D8" s="460" t="n"/>
    </x:row>
    <x:row r="9" s="455" customFormat="1" ht="44" customHeight="1">
      <x:c r="A9" s="459" t="inlineStr">
        <x:is>
          <x:t xml:space="preserve">New / updated workbook surfaces</x:t>
        </x:is>
      </x:c>
      <x:c r="B9" s="460" t="inlineStr">
        <x:is>
          <x:t xml:space="preserve">Reality_Grounding, Containment, UCI_HOI, Dashboard, Release_Notes, Version_Control, CANON, PLSS_Local_Scope</x:t>
        </x:is>
      </x:c>
      <x:c r="C9" s="460" t="n"/>
      <x:c r="D9" s="460" t="n"/>
    </x:row>
    <x:row r="10" s="455" customFormat="1" ht="44" customHeight="1">
      <x:c r="A10" s="459" t="inlineStr">
        <x:is>
          <x:t xml:space="preserve">Boundary</x:t>
        </x:is>
      </x:c>
      <x:c r="B10" s="460" t="str">
        <x:v>Worked-run exemplar companion. External release-package hashes control shipped bytes; this workbook does not claim Tier 4, ProofPack readiness, empirical validation, legal certification, or deployment certification.</x:v>
      </x:c>
      <x:c r="C10" s="460" t="n"/>
      <x:c r="D10" s="460" t="n"/>
    </x:row>
    <x:row r="11">
      <x:c r="A11" s="460" t="n"/>
      <x:c r="B11" s="460" t="n"/>
      <x:c r="C11" s="460" t="n"/>
      <x:c r="D11" s="460" t="n"/>
    </x:row>
    <x:row r="12">
      <x:c r="A12" s="460" t="n"/>
      <x:c r="B12" s="460" t="n"/>
      <x:c r="C12" s="460" t="n"/>
      <x:c r="D12" s="460" t="n"/>
    </x:row>
    <x:row r="13">
      <x:c r="A13" s="460" t="n"/>
      <x:c r="B13" s="460" t="n"/>
      <x:c r="C13" s="460" t="n"/>
      <x:c r="D13" s="460" t="n"/>
    </x:row>
    <x:row r="14">
      <x:c r="A14" s="460" t="n"/>
      <x:c r="B14" s="460" t="n"/>
      <x:c r="C14" s="460" t="n"/>
      <x:c r="D14" s="460" t="n"/>
    </x:row>
    <x:row r="15">
      <x:c r="A15" s="460" t="n"/>
      <x:c r="B15" s="460" t="n"/>
      <x:c r="C15" s="460" t="n"/>
      <x:c r="D15" s="460" t="n"/>
    </x:row>
    <x:row r="16">
      <x:c r="A16" s="460" t="n"/>
      <x:c r="B16" s="460" t="n"/>
      <x:c r="C16" s="460" t="n"/>
      <x:c r="D16" s="460" t="n"/>
    </x:row>
    <x:row r="17">
      <x:c r="A17" s="460" t="n"/>
      <x:c r="B17" s="460" t="n"/>
      <x:c r="C17" s="460" t="n"/>
      <x:c r="D17" s="460" t="n"/>
    </x:row>
    <x:row r="18">
      <x:c r="A18" s="460" t="n"/>
      <x:c r="B18" s="460" t="n"/>
      <x:c r="C18" s="460" t="n"/>
      <x:c r="D18" s="460" t="n"/>
    </x:row>
    <x:row r="19">
      <x:c r="A19" s="460" t="n"/>
      <x:c r="B19" s="460" t="n"/>
      <x:c r="C19" s="460" t="n"/>
      <x:c r="D19" s="460" t="n"/>
    </x:row>
    <x:row r="20">
      <x:c r="A20" s="460" t="n"/>
      <x:c r="B20" s="460" t="n"/>
      <x:c r="C20" s="460" t="n"/>
      <x:c r="D20" s="460" t="n"/>
    </x:row>
    <x:row r="21">
      <x:c r="A21" s="460" t="n"/>
      <x:c r="B21" s="460" t="n"/>
      <x:c r="C21" s="460" t="n"/>
      <x:c r="D21" s="460" t="n"/>
    </x:row>
    <x:row r="22">
      <x:c r="A22" s="460" t="n"/>
      <x:c r="B22" s="460" t="n"/>
      <x:c r="C22" s="460" t="n"/>
      <x:c r="D22" s="460" t="n"/>
    </x:row>
    <x:row r="23">
      <x:c r="A23" s="460" t="n"/>
      <x:c r="B23" s="460" t="n"/>
      <x:c r="C23" s="460" t="n"/>
      <x:c r="D23" s="460" t="n"/>
    </x:row>
    <x:row r="24">
      <x:c r="A24" s="460" t="n"/>
      <x:c r="B24" s="460" t="n"/>
      <x:c r="C24" s="460" t="n"/>
      <x:c r="D24" s="460" t="n"/>
    </x:row>
    <x:row r="25">
      <x:c r="A25" s="460" t="n"/>
      <x:c r="B25" s="460" t="n"/>
      <x:c r="C25" s="460" t="n"/>
      <x:c r="D25" s="460" t="n"/>
    </x:row>
    <x:row r="26">
      <x:c r="A26" s="460" t="n"/>
      <x:c r="B26" s="460" t="n"/>
      <x:c r="C26" s="460" t="n"/>
      <x:c r="D26" s="460" t="n"/>
    </x:row>
    <x:row r="27">
      <x:c r="A27" s="460" t="n"/>
      <x:c r="B27" s="460" t="n"/>
      <x:c r="C27" s="460" t="n"/>
      <x:c r="D27" s="460" t="n"/>
    </x:row>
    <x:row r="28">
      <x:c r="A28" s="460" t="n"/>
      <x:c r="B28" s="460" t="n"/>
      <x:c r="C28" s="460" t="n"/>
      <x:c r="D28" s="460" t="n"/>
    </x:row>
    <x:row r="29">
      <x:c r="A29" s="460" t="n"/>
      <x:c r="B29" s="460" t="n"/>
      <x:c r="C29" s="460" t="n"/>
      <x:c r="D29" s="460" t="n"/>
    </x:row>
    <x:row r="30">
      <x:c r="A30" s="460" t="n"/>
      <x:c r="B30" s="460" t="n"/>
      <x:c r="C30" s="460" t="n"/>
      <x:c r="D30" s="460" t="n"/>
    </x:row>
    <x:row r="31">
      <x:c r="A31" s="460" t="n"/>
      <x:c r="B31" s="460" t="n"/>
      <x:c r="C31" s="460" t="n"/>
      <x:c r="D31" s="460" t="n"/>
    </x:row>
    <x:row r="32">
      <x:c r="A32" s="460" t="n"/>
      <x:c r="B32" s="460" t="n"/>
      <x:c r="C32" s="460" t="n"/>
      <x:c r="D32" s="460" t="n"/>
    </x:row>
    <x:row r="33">
      <x:c r="A33" s="460" t="n"/>
      <x:c r="B33" s="460" t="n"/>
      <x:c r="C33" s="460" t="n"/>
      <x:c r="D33" s="460" t="n"/>
    </x:row>
    <x:row r="34">
      <x:c r="A34" s="460" t="n"/>
      <x:c r="B34" s="460" t="n"/>
      <x:c r="C34" s="460" t="n"/>
      <x:c r="D34" s="460" t="n"/>
    </x:row>
    <x:row r="35">
      <x:c r="A35" s="460" t="n"/>
      <x:c r="B35" s="460" t="n"/>
      <x:c r="C35" s="460" t="n"/>
      <x:c r="D35" s="460" t="n"/>
    </x:row>
    <x:row r="36">
      <x:c r="A36" s="460" t="n"/>
      <x:c r="B36" s="460" t="n"/>
      <x:c r="C36" s="460" t="n"/>
      <x:c r="D36" s="460" t="n"/>
    </x:row>
    <x:row r="37">
      <x:c r="A37" s="460" t="n"/>
      <x:c r="B37" s="460" t="n"/>
      <x:c r="C37" s="460" t="n"/>
      <x:c r="D37" s="460" t="n"/>
    </x:row>
    <x:row r="38">
      <x:c r="A38" s="460" t="n"/>
      <x:c r="B38" s="460" t="n"/>
      <x:c r="C38" s="460" t="n"/>
      <x:c r="D38" s="460" t="n"/>
    </x:row>
    <x:row r="39">
      <x:c r="A39" s="460" t="n"/>
      <x:c r="B39" s="460" t="n"/>
      <x:c r="C39" s="460" t="n"/>
      <x:c r="D39" s="460" t="n"/>
    </x:row>
    <x:row r="40">
      <x:c r="A40" s="460" t="n"/>
      <x:c r="B40" s="460" t="n"/>
      <x:c r="C40" s="460" t="n"/>
      <x:c r="D40" s="460" t="n"/>
    </x:row>
    <x:row r="41">
      <x:c r="A41" s="460" t="n"/>
      <x:c r="B41" s="460" t="n"/>
      <x:c r="C41" s="460" t="n"/>
      <x:c r="D41" s="460" t="n"/>
    </x:row>
    <x:row r="42">
      <x:c r="A42" s="460" t="n"/>
      <x:c r="B42" s="460" t="n"/>
      <x:c r="C42" s="460" t="n"/>
      <x:c r="D42" s="460" t="n"/>
    </x:row>
    <x:row r="43">
      <x:c r="A43" s="460" t="n"/>
      <x:c r="B43" s="460" t="n"/>
      <x:c r="C43" s="460" t="n"/>
      <x:c r="D43" s="460" t="n"/>
    </x:row>
    <x:row r="44">
      <x:c r="A44" s="460" t="n"/>
      <x:c r="B44" s="460" t="n"/>
      <x:c r="C44" s="460" t="n"/>
      <x:c r="D44" s="460" t="n"/>
    </x:row>
    <x:row r="45">
      <x:c r="A45" s="460" t="n"/>
      <x:c r="B45" s="460" t="n"/>
      <x:c r="C45" s="460" t="n"/>
      <x:c r="D45" s="460" t="n"/>
    </x:row>
    <x:row r="46">
      <x:c r="A46" s="460" t="n"/>
      <x:c r="B46" s="460" t="n"/>
      <x:c r="C46" s="460" t="n"/>
      <x:c r="D46" s="460" t="n"/>
    </x:row>
    <x:row r="47">
      <x:c r="A47" s="460" t="n"/>
      <x:c r="B47" s="460" t="n"/>
      <x:c r="C47" s="460" t="n"/>
      <x:c r="D47" s="460" t="n"/>
    </x:row>
    <x:row r="48">
      <x:c r="A48" s="460" t="n"/>
      <x:c r="B48" s="460" t="n"/>
      <x:c r="C48" s="460" t="n"/>
      <x:c r="D48" s="460" t="n"/>
    </x:row>
    <x:row r="49">
      <x:c r="A49" s="460" t="n"/>
      <x:c r="B49" s="460" t="n"/>
      <x:c r="C49" s="460" t="n"/>
      <x:c r="D49" s="460" t="n"/>
    </x:row>
    <x:row r="50">
      <x:c r="A50" s="460" t="n"/>
      <x:c r="B50" s="460" t="n"/>
      <x:c r="C50" s="460" t="n"/>
      <x:c r="D50" s="460" t="n"/>
    </x:row>
    <x:row r="51">
      <x:c r="A51" s="460" t="n"/>
      <x:c r="B51" s="460" t="n"/>
      <x:c r="C51" s="460" t="n"/>
      <x:c r="D51" s="460" t="n"/>
    </x:row>
    <x:row r="52">
      <x:c r="A52" s="460" t="n"/>
      <x:c r="B52" s="460" t="n"/>
      <x:c r="C52" s="460" t="n"/>
      <x:c r="D52" s="460" t="n"/>
    </x:row>
    <x:row r="53">
      <x:c r="A53" s="460" t="n"/>
      <x:c r="B53" s="460" t="n"/>
      <x:c r="C53" s="460" t="n"/>
      <x:c r="D53" s="460" t="n"/>
    </x:row>
    <x:row r="54">
      <x:c r="A54" s="460" t="n"/>
      <x:c r="B54" s="460" t="n"/>
      <x:c r="C54" s="460" t="n"/>
      <x:c r="D54" s="460" t="n"/>
    </x:row>
    <x:row r="55">
      <x:c r="A55" s="460" t="n"/>
      <x:c r="B55" s="460" t="n"/>
      <x:c r="C55" s="460" t="n"/>
      <x:c r="D55" s="460" t="n"/>
    </x:row>
    <x:row r="56">
      <x:c r="A56" s="460" t="n"/>
      <x:c r="B56" s="460" t="n"/>
      <x:c r="C56" s="460" t="n"/>
      <x:c r="D56" s="460" t="n"/>
    </x:row>
    <x:row r="57">
      <x:c r="A57" s="460" t="n"/>
      <x:c r="B57" s="460" t="n"/>
      <x:c r="C57" s="460" t="n"/>
      <x:c r="D57" s="460" t="n"/>
    </x:row>
    <x:row r="58">
      <x:c r="A58" s="460" t="n"/>
      <x:c r="B58" s="460" t="n"/>
      <x:c r="C58" s="460" t="n"/>
      <x:c r="D58" s="460" t="n"/>
    </x:row>
    <x:row r="59">
      <x:c r="A59" s="460" t="n"/>
      <x:c r="B59" s="460" t="n"/>
      <x:c r="C59" s="460" t="n"/>
      <x:c r="D59" s="460" t="n"/>
    </x:row>
    <x:row r="60">
      <x:c r="A60" s="460" t="n"/>
      <x:c r="B60" s="460" t="n"/>
      <x:c r="C60" s="460" t="n"/>
      <x:c r="D60" s="460" t="n"/>
    </x:row>
    <x:row r="61">
      <x:c r="A61" s="460" t="n"/>
      <x:c r="B61" s="460" t="n"/>
      <x:c r="C61" s="460" t="n"/>
      <x:c r="D61" s="460" t="n"/>
    </x:row>
    <x:row r="62">
      <x:c r="A62" s="460" t="n"/>
      <x:c r="B62" s="460" t="n"/>
      <x:c r="C62" s="460" t="n"/>
      <x:c r="D62" s="460" t="n"/>
    </x:row>
    <x:row r="63">
      <x:c r="A63" s="460" t="n"/>
      <x:c r="B63" s="460" t="n"/>
      <x:c r="C63" s="460" t="n"/>
      <x:c r="D63" s="460" t="n"/>
    </x:row>
    <x:row r="64">
      <x:c r="A64" s="460" t="n"/>
      <x:c r="B64" s="460" t="n"/>
      <x:c r="C64" s="460" t="n"/>
      <x:c r="D64" s="460" t="n"/>
    </x:row>
    <x:row r="65">
      <x:c r="A65" s="460" t="n"/>
      <x:c r="B65" s="460" t="n"/>
      <x:c r="C65" s="460" t="n"/>
      <x:c r="D65" s="460" t="n"/>
    </x:row>
    <x:row r="66">
      <x:c r="A66" s="460" t="n"/>
      <x:c r="B66" s="460" t="n"/>
      <x:c r="C66" s="460" t="n"/>
      <x:c r="D66" s="460" t="n"/>
    </x:row>
    <x:row r="67">
      <x:c r="A67" s="460" t="n"/>
      <x:c r="B67" s="460" t="n"/>
      <x:c r="C67" s="460" t="n"/>
      <x:c r="D67" s="460" t="n"/>
    </x:row>
    <x:row r="68">
      <x:c r="A68" s="460" t="n"/>
      <x:c r="B68" s="460" t="n"/>
      <x:c r="C68" s="460" t="n"/>
      <x:c r="D68" s="460" t="n"/>
    </x:row>
    <x:row r="69">
      <x:c r="A69" s="460" t="n"/>
      <x:c r="B69" s="460" t="n"/>
      <x:c r="C69" s="460" t="n"/>
      <x:c r="D69" s="460" t="n"/>
    </x:row>
    <x:row r="70">
      <x:c r="A70" s="460" t="n"/>
      <x:c r="B70" s="460" t="n"/>
      <x:c r="C70" s="460" t="n"/>
      <x:c r="D70" s="460" t="n"/>
    </x:row>
    <x:row r="71">
      <x:c r="A71" s="460" t="n"/>
      <x:c r="B71" s="460" t="n"/>
      <x:c r="C71" s="460" t="n"/>
      <x:c r="D71" s="460" t="n"/>
    </x:row>
    <x:row r="72">
      <x:c r="A72" s="460" t="n"/>
      <x:c r="B72" s="460" t="n"/>
      <x:c r="C72" s="460" t="n"/>
      <x:c r="D72" s="460" t="n"/>
    </x:row>
    <x:row r="73">
      <x:c r="A73" s="460" t="n"/>
      <x:c r="B73" s="460" t="n"/>
      <x:c r="C73" s="460" t="n"/>
      <x:c r="D73" s="460" t="n"/>
    </x:row>
    <x:row r="74">
      <x:c r="A74" s="460" t="n"/>
      <x:c r="B74" s="460" t="n"/>
      <x:c r="C74" s="460" t="n"/>
      <x:c r="D74" s="460" t="n"/>
    </x:row>
    <x:row r="75">
      <x:c r="A75" s="460" t="n"/>
      <x:c r="B75" s="460" t="n"/>
      <x:c r="C75" s="460" t="n"/>
      <x:c r="D75" s="460" t="n"/>
    </x:row>
    <x:row r="76">
      <x:c r="A76" s="460" t="n"/>
      <x:c r="B76" s="460" t="n"/>
      <x:c r="C76" s="460" t="n"/>
      <x:c r="D76" s="460" t="n"/>
    </x:row>
    <x:row r="77">
      <x:c r="A77" s="460" t="n"/>
      <x:c r="B77" s="460" t="n"/>
      <x:c r="C77" s="460" t="n"/>
      <x:c r="D77" s="460" t="n"/>
    </x:row>
    <x:row r="78">
      <x:c r="A78" s="460" t="n"/>
      <x:c r="B78" s="460" t="n"/>
      <x:c r="C78" s="460" t="n"/>
      <x:c r="D78" s="460" t="n"/>
    </x:row>
    <x:row r="79">
      <x:c r="A79" s="460" t="n"/>
      <x:c r="B79" s="460" t="n"/>
      <x:c r="C79" s="460" t="n"/>
      <x:c r="D79" s="460" t="n"/>
    </x:row>
    <x:row r="80">
      <x:c r="A80" s="460" t="n"/>
      <x:c r="B80" s="460" t="n"/>
      <x:c r="C80" s="460" t="n"/>
      <x:c r="D80" s="460" t="n"/>
    </x:row>
  </x:sheetData>
  <x:pageMargins left="0.7" right="0.7" top="0.75" bottom="0.75" header="0.3" footer="0.3"/>
</x:worksheet>
</file>

<file path=xl/worksheets/sheet6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34" hidden="0" customWidth="1"/>
    <x:col min="5" max="5" width="34" hidden="0" customWidth="1"/>
    <x:col min="6" max="6" width="34" hidden="0" customWidth="1"/>
    <x:col min="7" max="7" width="34" hidden="0" customWidth="1"/>
    <x:col min="8" max="8" width="34"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26" hidden="0" customWidth="1"/>
  </x:cols>
  <x:sheetData>
    <x:row r="1" ht="24" customHeight="1">
      <x:c r="A1" s="815" t="str">
        <x:v>CATEGORY GROUNDING AND PRIMITIVE AUDIT PRE-FLIGHT</x:v>
      </x:c>
      <x:c r="B1" s="815"/>
      <x:c r="C1" s="815"/>
      <x:c r="D1" s="815"/>
      <x:c r="E1" s="815"/>
      <x:c r="F1" s="815"/>
      <x:c r="G1" s="815"/>
      <x:c r="H1" s="815"/>
      <x:c r="I1" s="815"/>
      <x:c r="J1" s="815"/>
      <x:c r="K1" s="815"/>
      <x:c r="L1" s="815"/>
      <x:c r="M1" s="815"/>
      <x:c r="N1" s="815"/>
      <x:c r="O1" s="815"/>
    </x:row>
    <x:row r="2" ht="36" customHeight="1">
      <x:c r="A2" s="799" t="str">
        <x:v>Category Grounding is a required subdiscipline of Reality Grounding when a material category affects rights, tail risk, containment, SGP interpretation, authority, conformance, public claims, or optimized metrics. It is not a sixth method level.</x:v>
      </x:c>
      <x:c r="B2" s="799"/>
      <x:c r="C2" s="799"/>
      <x:c r="D2" s="799"/>
      <x:c r="E2" s="799"/>
      <x:c r="F2" s="799"/>
      <x:c r="G2" s="799"/>
      <x:c r="H2" s="799"/>
      <x:c r="I2" s="799"/>
      <x:c r="J2" s="799"/>
      <x:c r="K2" s="799"/>
      <x:c r="L2" s="799"/>
      <x:c r="M2" s="799"/>
      <x:c r="N2" s="799"/>
      <x:c r="O2" s="799"/>
    </x:row>
    <x:row r="3">
      <x:c r="A3" s="814" t="str">
        <x:v>Record name: CategoryGroundingRecord</x:v>
      </x:c>
      <x:c r="B3" s="814"/>
      <x:c r="C3" s="814"/>
      <x:c r="D3" s="814"/>
      <x:c r="E3" s="814"/>
      <x:c r="F3" s="814"/>
      <x:c r="G3" s="814"/>
      <x:c r="H3" s="814"/>
      <x:c r="I3" s="814"/>
      <x:c r="J3" s="814"/>
      <x:c r="K3" s="814"/>
      <x:c r="L3" s="814"/>
      <x:c r="M3" s="814"/>
      <x:c r="N3" s="814"/>
      <x:c r="O3" s="814"/>
    </x:row>
    <x:row r="4" ht="30" customHeight="1">
      <x:c r="A4" s="814" t="str">
        <x:v>Five-level method preserved: Reality Grounding -&gt; Rights Floor -&gt; Tail-Risk Bound -&gt; Containment -&gt; Ripple Score. Category Grounding belongs inside Reality Grounding when material.</x:v>
      </x:c>
      <x:c r="B4" s="814"/>
      <x:c r="C4" s="814"/>
      <x:c r="D4" s="814"/>
      <x:c r="E4" s="814"/>
      <x:c r="F4" s="814"/>
      <x:c r="G4" s="814"/>
      <x:c r="H4" s="814"/>
      <x:c r="I4" s="814"/>
      <x:c r="J4" s="814"/>
      <x:c r="K4" s="814"/>
      <x:c r="L4" s="814"/>
      <x:c r="M4" s="814"/>
      <x:c r="N4" s="814"/>
      <x:c r="O4" s="814"/>
    </x:row>
    <x:row r="5" ht="70" customHeight="1">
      <x:c r="A5" s="626" t="str">
        <x:v>Materiality test: a category is material when changing its definition, inclusion boundary, exclusion boundary, or reference structure could change RealityGroundingStatus, NCRC, TRC, Containment, SGP interpretation, authority, conformance, public claims, deterministic selection, or optimized metrics.</x:v>
      </x:c>
      <x:c r="B5" s="626"/>
      <x:c r="C5" s="626"/>
      <x:c r="D5" s="626"/>
      <x:c r="E5" s="626"/>
      <x:c r="F5" s="626"/>
      <x:c r="G5" s="626"/>
      <x:c r="H5" s="626"/>
      <x:c r="I5" s="626"/>
      <x:c r="J5" s="626"/>
      <x:c r="K5" s="626"/>
      <x:c r="L5" s="626"/>
      <x:c r="M5" s="626"/>
      <x:c r="N5" s="626"/>
      <x:c r="O5" s="626"/>
    </x:row>
    <x:row r="7" ht="35" customHeight="1">
      <x:c r="A7" s="804" t="str">
        <x:v>Material Category</x:v>
      </x:c>
      <x:c r="B7" s="804" t="str">
        <x:v>Category Role</x:v>
      </x:c>
      <x:c r="C7" s="804" t="str">
        <x:v>Primitive Basis</x:v>
      </x:c>
      <x:c r="D7" s="804" t="str">
        <x:v>Category Definition</x:v>
      </x:c>
      <x:c r="E7" s="804" t="str">
        <x:v>Inclusion Boundary</x:v>
      </x:c>
      <x:c r="F7" s="804" t="str">
        <x:v>Exclusion Boundary</x:v>
      </x:c>
      <x:c r="G7" s="804" t="str">
        <x:v>Reference Structure</x:v>
      </x:c>
      <x:c r="H7" s="804" t="str">
        <x:v>Evidence Surface</x:v>
      </x:c>
      <x:c r="I7" s="804" t="str">
        <x:v>Maturity Status</x:v>
      </x:c>
      <x:c r="J7" s="804" t="str">
        <x:v>Semantic Debt</x:v>
      </x:c>
      <x:c r="K7" s="804" t="str">
        <x:v>Falsification / Revision Trigger</x:v>
      </x:c>
      <x:c r="L7" s="804" t="str">
        <x:v>Reviewer Status</x:v>
      </x:c>
      <x:c r="M7" s="804" t="str">
        <x:v>Required Claim Action</x:v>
      </x:c>
      <x:c r="N7" s="804" t="str">
        <x:v>Failure Class</x:v>
      </x:c>
      <x:c r="O7" s="804" t="str">
        <x:v>Auto Guardrail Recommendation</x:v>
      </x:c>
    </x:row>
    <x:row r="8" ht="60" customHeight="1">
      <x:c r="A8" s="626" t="str">
        <x:v>Stakeholder inclusion</x:v>
      </x:c>
      <x:c r="B8" s="626" t="str">
        <x:v>Determines who counts in the run</x:v>
      </x:c>
      <x:c r="C8" s="626" t="str">
        <x:v>Union / welfare / rights</x:v>
      </x:c>
      <x:c r="D8" s="626" t="str">
        <x:v>Stakeholders whose welfare, rights, risk exposure, agency, or available choices may materially change under the option.</x:v>
      </x:c>
      <x:c r="E8" s="626" t="str">
        <x:v>Directly affected persons/systems, indirect externality bearers, rights-exposed groups, future or ecological stakeholders where pathway is plausible.</x:v>
      </x:c>
      <x:c r="F8" s="626" t="str">
        <x:v>Purely rhetorical audiences with no plausible material exposure, unless public claim or legitimacy effects are material.</x:v>
      </x:c>
      <x:c r="G8" s="626" t="str">
        <x:v>Stakeholder Discovery Protocol; instance-to-scope mapping; rights exposure; consequence pathways.</x:v>
      </x:c>
      <x:c r="H8" s="626" t="str">
        <x:v>Stakeholder map, testimony, operational data, externality model, rights exposure scan.</x:v>
      </x:c>
      <x:c r="I8" s="626" t="str">
        <x:v>ASSUMPTION_BOUND</x:v>
      </x:c>
      <x:c r="J8" s="626" t="str">
        <x:v>MEDIUM</x:v>
      </x:c>
      <x:c r="K8" s="626" t="str">
        <x:v>New omitted-stakeholder claim, changed boundary, rights exposure, externality evidence, or challenger review.</x:v>
      </x:c>
      <x:c r="L8" s="626" t="str">
        <x:v>NEEDS_REVIEW</x:v>
      </x:c>
      <x:c r="M8" s="626" t="str">
        <x:v>NARROW</x:v>
      </x:c>
      <x:c r="N8" s="626" t="str">
        <x:v>CATEGORY_SCOPE_FAILURE</x:v>
      </x:c>
      <x:c r="O8" s="626" t="str">
        <x:v>ESCALATE / SENSITIVITY_ONLY</x:v>
      </x:c>
    </x:row>
    <x:row r="9" ht="60" customHeight="1">
      <x:c r="A9" s="626" t="str">
        <x:v>Harm</x:v>
      </x:c>
      <x:c r="B9" s="626" t="str">
        <x:v>Defines rights and welfare impacts</x:v>
      </x:c>
      <x:c r="C9" s="626" t="str">
        <x:v>Rights / consequence</x:v>
      </x:c>
      <x:c r="D9" s="626" t="str">
        <x:v>Negative consequence to welfare, rights, agency, health, social integrity, knowledge, meaning, environment, or containing-system capacity.</x:v>
      </x:c>
      <x:c r="E9" s="626" t="str">
        <x:v>Material direct, indirect, probabilistic, delayed, cumulative, rights-covered, or catastrophic adverse effects.</x:v>
      </x:c>
      <x:c r="F9" s="626" t="str">
        <x:v>Mere inconvenience or preference frustration without material welfare/rights/risk pathway, unless repeated/cumulative or coercive.</x:v>
      </x:c>
      <x:c r="G9" s="626" t="str">
        <x:v>Rights catalogue; 7x7 welfare matrix; TRC; Containment; evidence trace.</x:v>
      </x:c>
      <x:c r="H9" s="626" t="str">
        <x:v>Impact evidence, scenario analysis, measured outcomes, affected-party reports, domain research.</x:v>
      </x:c>
      <x:c r="I9" s="626" t="str">
        <x:v>ASSUMPTION_BOUND</x:v>
      </x:c>
      <x:c r="J9" s="626" t="str">
        <x:v>MEDIUM</x:v>
      </x:c>
      <x:c r="K9" s="626" t="str">
        <x:v>New injury evidence, subgroup disproportionality, delayed harm, catastrophic pathway, or invalid proxy.</x:v>
      </x:c>
      <x:c r="L9" s="626" t="str">
        <x:v>NEEDS_REVIEW</x:v>
      </x:c>
      <x:c r="M9" s="626" t="str">
        <x:v>NARROW</x:v>
      </x:c>
      <x:c r="N9" s="626" t="str">
        <x:v>CATEGORY_BOUNDARY_FAILURE</x:v>
      </x:c>
      <x:c r="O9" s="626" t="str">
        <x:v>SENSITIVITY_ONLY / ESCALATE</x:v>
      </x:c>
    </x:row>
    <x:row r="10" ht="60" customHeight="1">
      <x:c r="A10" s="626" t="str">
        <x:v>Rights Floor</x:v>
      </x:c>
      <x:c r="B10" s="626" t="str">
        <x:v>Controls NCRC admissibility</x:v>
      </x:c>
      <x:c r="C10" s="626" t="str">
        <x:v>Non-compensatory rights</x:v>
      </x:c>
      <x:c r="D10" s="626" t="str"/>
      <x:c r="E10" s="626" t="str"/>
      <x:c r="F10" s="626" t="str"/>
      <x:c r="G10" s="626" t="str"/>
      <x:c r="H10" s="626" t="str"/>
      <x:c r="I10" s="626" t="str">
        <x:v>ASSUMPTION_BOUND</x:v>
      </x:c>
      <x:c r="J10" s="626" t="str">
        <x:v>MEDIUM</x:v>
      </x:c>
      <x:c r="K10" s="626" t="str"/>
      <x:c r="L10" s="626" t="str">
        <x:v>NEEDS_REVIEW</x:v>
      </x:c>
      <x:c r="M10" s="626" t="str"/>
      <x:c r="N10" s="626" t="str"/>
      <x:c r="O10" s="626" t="str">
        <x:f>IF(OR(I10="INSUFFICIENT_GROUNDING",I10="LEGACY_UNREVIEWED",J10="CRITICAL"),"REFUSE / ESCALATE",IF(OR(I10="CONTESTED",J10="HIGH"),"NARROW / ESCALATE",IF(OR(I10="ASSUMPTION_BOUND",J10="MEDIUM"),"SENSITIVITY_ONLY / MONITOR","ALLOW IF OTHER GATES PASS")))</x:f>
        <x:v>SENSITIVITY_ONLY / MONITOR</x:v>
      </x:c>
    </x:row>
    <x:row r="11" ht="60" customHeight="1">
      <x:c r="A11" s="626" t="str">
        <x:v>Sentience / moral patienthood</x:v>
      </x:c>
      <x:c r="B11" s="626" t="str">
        <x:v>Controls SGP protection surface</x:v>
      </x:c>
      <x:c r="C11" s="626" t="str">
        <x:v>Awareness / agency / union participation</x:v>
      </x:c>
      <x:c r="D11" s="626" t="str">
        <x:v>Welfare-bearing moral patienthood supported by credible evidence of experience-relevant capacities under SGP.</x:v>
      </x:c>
      <x:c r="E11" s="626" t="str">
        <x:v>Entities with evidence sufficient for protection-surface treatment under SGP, including precautionary biological/taxon baselines where applicable.</x:v>
      </x:c>
      <x:c r="F11" s="626" t="str">
        <x:v>Fluent output, role simulation, behavioral mimicry, benchmark performance, or self-report alone without convergent evidence.</x:v>
      </x:c>
      <x:c r="G11" s="626" t="str">
        <x:v>SGP evidence tiers; protection surface; substrate maturity boundary; reviewer trace.</x:v>
      </x:c>
      <x:c r="H11" s="626" t="str">
        <x:v>Declared observations, biological/architectural evidence, behavior under controls, expert review, uncertainty record.</x:v>
      </x:c>
      <x:c r="I11" s="626" t="str">
        <x:v>CONTESTED</x:v>
      </x:c>
      <x:c r="J11" s="626" t="str">
        <x:v>HIGH</x:v>
      </x:c>
      <x:c r="K11" s="626" t="str">
        <x:v>New substrate evidence, welfare indicator, challenge to fluency/interiority distinction, expert disagreement, or maturity upgrade.</x:v>
      </x:c>
      <x:c r="L11" s="626" t="str">
        <x:v>NEEDS_REVIEW</x:v>
      </x:c>
      <x:c r="M11" s="626" t="str">
        <x:v>ESCALATE</x:v>
      </x:c>
      <x:c r="N11" s="626" t="str">
        <x:v>CATEGORY_REFERENCE_FAILURE</x:v>
      </x:c>
      <x:c r="O11" s="626" t="str">
        <x:v>NARROW / ESCALATE</x:v>
      </x:c>
    </x:row>
    <x:row r="12" ht="60" customHeight="1">
      <x:c r="A12" s="626" t="str">
        <x:v>Safety / stability</x:v>
      </x:c>
      <x:c r="B12" s="626" t="str">
        <x:v>Controls TRC and containment interpretation</x:v>
      </x:c>
      <x:c r="C12" s="626" t="str">
        <x:v>Tail risk / containment / adaptive reserve</x:v>
      </x:c>
      <x:c r="D12" s="626" t="str"/>
      <x:c r="E12" s="626" t="str"/>
      <x:c r="F12" s="626" t="str"/>
      <x:c r="G12" s="626" t="str"/>
      <x:c r="H12" s="626" t="str"/>
      <x:c r="I12" s="626" t="str">
        <x:v>ASSUMPTION_BOUND</x:v>
      </x:c>
      <x:c r="J12" s="626" t="str">
        <x:v>MEDIUM</x:v>
      </x:c>
      <x:c r="K12" s="626" t="str"/>
      <x:c r="L12" s="626" t="str">
        <x:v>NEEDS_REVIEW</x:v>
      </x:c>
      <x:c r="M12" s="626" t="str"/>
      <x:c r="N12" s="626" t="str"/>
      <x:c r="O12" s="626" t="str">
        <x:f>IF(OR(I12="INSUFFICIENT_GROUNDING",I12="LEGACY_UNREVIEWED",J12="CRITICAL"),"REFUSE / ESCALATE",IF(OR(I12="CONTESTED",J12="HIGH"),"NARROW / ESCALATE",IF(OR(I12="ASSUMPTION_BOUND",J12="MEDIUM"),"SENSITIVITY_ONLY / MONITOR","ALLOW IF OTHER GATES PASS")))</x:f>
        <x:v>SENSITIVITY_ONLY / MONITOR</x:v>
      </x:c>
    </x:row>
    <x:row r="13" ht="60" customHeight="1">
      <x:c r="A13" s="626" t="str">
        <x:v>Containment damage</x:v>
      </x:c>
      <x:c r="B13" s="626" t="str">
        <x:v>Controls larger-system degradation checks</x:v>
      </x:c>
      <x:c r="C13" s="626" t="str">
        <x:v>Structure / transition / consequence</x:v>
      </x:c>
      <x:c r="D13" s="626" t="str">
        <x:v>A local gain that degrades the larger system, union, institution, ecology, or capacity that sustains it.</x:v>
      </x:c>
      <x:c r="E13" s="626" t="str">
        <x:v>Coherence loss, hollowing, brittleness, burnout, lock-in, trust erosion, institutional erosion, ecological degradation, or governance-capacity loss.</x:v>
      </x:c>
      <x:c r="F13" s="626" t="str">
        <x:v>Ordinary local tradeoffs with no plausible containing-system degradation beyond declared tolerance.</x:v>
      </x:c>
      <x:c r="G13" s="626" t="str">
        <x:v>Containment Gate; UCI/HOI where material; Adaptive Reserve; reversibility and repair evidence.</x:v>
      </x:c>
      <x:c r="H13" s="626" t="str">
        <x:v>Structural indicators, monitoring data, stakeholder evidence, ecological/institutional metrics, stress tests.</x:v>
      </x:c>
      <x:c r="I13" s="626" t="str">
        <x:v>ASSUMPTION_BOUND</x:v>
      </x:c>
      <x:c r="J13" s="626" t="str">
        <x:v>MEDIUM</x:v>
      </x:c>
      <x:c r="K13" s="626" t="str">
        <x:v>UCI/HOI threshold crossing, reserve depletion, lock-in, irreversible harm, delayed degradation, or reviewer challenge.</x:v>
      </x:c>
      <x:c r="L13" s="626" t="str">
        <x:v>NEEDS_REVIEW</x:v>
      </x:c>
      <x:c r="M13" s="626" t="str">
        <x:v>ESCALATE</x:v>
      </x:c>
      <x:c r="N13" s="626" t="str">
        <x:v>CATEGORY_METRIC_MISMATCH</x:v>
      </x:c>
      <x:c r="O13" s="626" t="str">
        <x:v>ESCALATE / MONITOR</x:v>
      </x:c>
    </x:row>
    <x:row r="14" ht="60" customHeight="1">
      <x:c r="A14" s="626" t="str">
        <x:v>Authority</x:v>
      </x:c>
      <x:c r="B14" s="626" t="str">
        <x:v>Controls who may decide or execute</x:v>
      </x:c>
      <x:c r="C14" s="626" t="str">
        <x:v>Lawful authority / governance legitimacy</x:v>
      </x:c>
      <x:c r="D14" s="626" t="str"/>
      <x:c r="E14" s="626" t="str"/>
      <x:c r="F14" s="626" t="str"/>
      <x:c r="G14" s="626" t="str"/>
      <x:c r="H14" s="626" t="str"/>
      <x:c r="I14" s="626" t="str">
        <x:v>ASSUMPTION_BOUND</x:v>
      </x:c>
      <x:c r="J14" s="626" t="str">
        <x:v>MEDIUM</x:v>
      </x:c>
      <x:c r="K14" s="626" t="str"/>
      <x:c r="L14" s="626" t="str">
        <x:v>NEEDS_REVIEW</x:v>
      </x:c>
      <x:c r="M14" s="626" t="str"/>
      <x:c r="N14" s="626" t="str"/>
      <x:c r="O14" s="626" t="str">
        <x:f>IF(OR(I14="INSUFFICIENT_GROUNDING",I14="LEGACY_UNREVIEWED",J14="CRITICAL"),"REFUSE / ESCALATE",IF(OR(I14="CONTESTED",J14="HIGH"),"NARROW / ESCALATE",IF(OR(I14="ASSUMPTION_BOUND",J14="MEDIUM"),"SENSITIVITY_ONLY / MONITOR","ALLOW IF OTHER GATES PASS")))</x:f>
        <x:v>SENSITIVITY_ONLY / MONITOR</x:v>
      </x:c>
    </x:row>
    <x:row r="15" ht="60" customHeight="1">
      <x:c r="A15" s="626" t="str">
        <x:v>Intelligence / agency</x:v>
      </x:c>
      <x:c r="B15" s="626" t="str">
        <x:v>Controls AI and actor classification</x:v>
      </x:c>
      <x:c r="C15" s="626" t="str">
        <x:v>Cognition / autonomy / responsibility</x:v>
      </x:c>
      <x:c r="D15" s="626" t="str"/>
      <x:c r="E15" s="626" t="str"/>
      <x:c r="F15" s="626" t="str"/>
      <x:c r="G15" s="626" t="str"/>
      <x:c r="H15" s="626" t="str"/>
      <x:c r="I15" s="626" t="str">
        <x:v>CONTESTED</x:v>
      </x:c>
      <x:c r="J15" s="626" t="str">
        <x:v>HIGH</x:v>
      </x:c>
      <x:c r="K15" s="626" t="str"/>
      <x:c r="L15" s="626" t="str">
        <x:v>NEEDS_REVIEW</x:v>
      </x:c>
      <x:c r="M15" s="626" t="str"/>
      <x:c r="N15" s="626" t="str"/>
      <x:c r="O15" s="626" t="str">
        <x:f>IF(OR(I15="INSUFFICIENT_GROUNDING",I15="LEGACY_UNREVIEWED",J15="CRITICAL"),"REFUSE / ESCALATE",IF(OR(I15="CONTESTED",J15="HIGH"),"NARROW / ESCALATE",IF(OR(I15="ASSUMPTION_BOUND",J15="MEDIUM"),"SENSITIVITY_ONLY / MONITOR","ALLOW IF OTHER GATES PASS")))</x:f>
        <x:v>NARROW / ESCALATE</x:v>
      </x:c>
    </x:row>
    <x:row r="16" ht="60" customHeight="1">
      <x:c r="A16" s="626" t="str">
        <x:v>Flourishing</x:v>
      </x:c>
      <x:c r="B16" s="626" t="str">
        <x:v>Controls residual welfare interpretation</x:v>
      </x:c>
      <x:c r="C16" s="626" t="str">
        <x:v>Welfare / rights / sustainability</x:v>
      </x:c>
      <x:c r="D16" s="626" t="str"/>
      <x:c r="E16" s="626" t="str"/>
      <x:c r="F16" s="626" t="str"/>
      <x:c r="G16" s="626" t="str"/>
      <x:c r="H16" s="626" t="str"/>
      <x:c r="I16" s="626" t="str">
        <x:v>ASSUMPTION_BOUND</x:v>
      </x:c>
      <x:c r="J16" s="626" t="str">
        <x:v>MEDIUM</x:v>
      </x:c>
      <x:c r="K16" s="626" t="str"/>
      <x:c r="L16" s="626" t="str">
        <x:v>NEEDS_REVIEW</x:v>
      </x:c>
      <x:c r="M16" s="626" t="str"/>
      <x:c r="N16" s="626" t="str"/>
      <x:c r="O16" s="626" t="str">
        <x:f>IF(OR(I16="INSUFFICIENT_GROUNDING",I16="LEGACY_UNREVIEWED",J16="CRITICAL"),"REFUSE / ESCALATE",IF(OR(I16="CONTESTED",J16="HIGH"),"NARROW / ESCALATE",IF(OR(I16="ASSUMPTION_BOUND",J16="MEDIUM"),"SENSITIVITY_ONLY / MONITOR","ALLOW IF OTHER GATES PASS")))</x:f>
        <x:v>SENSITIVITY_ONLY / MONITOR</x:v>
      </x:c>
    </x:row>
    <x:row r="17" ht="28" customHeight="1">
      <x:c r="A17" s="626" t="str">
        <x:v>Metric target</x:v>
      </x:c>
      <x:c r="B17" s="626" t="str">
        <x:v>Controls what will be optimized</x:v>
      </x:c>
      <x:c r="C17" s="626" t="str">
        <x:v>Measurement / proxy validity</x:v>
      </x:c>
      <x:c r="D17" s="626" t="str"/>
      <x:c r="E17" s="626" t="str"/>
      <x:c r="F17" s="626" t="str"/>
      <x:c r="G17" s="626" t="str"/>
      <x:c r="H17" s="626" t="str"/>
      <x:c r="I17" s="626" t="str">
        <x:v>ASSUMPTION_BOUND</x:v>
      </x:c>
      <x:c r="J17" s="626" t="str">
        <x:v>MEDIUM</x:v>
      </x:c>
      <x:c r="K17" s="626" t="str"/>
      <x:c r="L17" s="626" t="str">
        <x:v>NEEDS_REVIEW</x:v>
      </x:c>
      <x:c r="M17" s="626" t="str"/>
      <x:c r="N17" s="626" t="str"/>
      <x:c r="O17" s="626" t="str">
        <x:f>IF(OR(I17="INSUFFICIENT_GROUNDING",I17="LEGACY_UNREVIEWED",J17="CRITICAL"),"REFUSE / ESCALATE",IF(OR(I17="CONTESTED",J17="HIGH"),"NARROW / ESCALATE",IF(OR(I17="ASSUMPTION_BOUND",J17="MEDIUM"),"SENSITIVITY_ONLY / MONITOR","ALLOW IF OTHER GATES PASS")))</x:f>
        <x:v>SENSITIVITY_ONLY / MONITOR</x:v>
      </x:c>
    </x:row>
    <x:row r="18" ht="28" customHeight="1">
      <x:c r="A18" s="626"/>
      <x:c r="B18" s="626"/>
      <x:c r="C18" s="626"/>
      <x:c r="D18" s="626"/>
      <x:c r="E18" s="626"/>
      <x:c r="F18" s="626"/>
      <x:c r="G18" s="626"/>
      <x:c r="H18" s="626"/>
      <x:c r="I18" s="626"/>
      <x:c r="J18" s="626"/>
      <x:c r="K18" s="626"/>
      <x:c r="L18" s="626"/>
      <x:c r="M18" s="626"/>
      <x:c r="N18" s="626"/>
      <x:c r="O18" s="626" t="str">
        <x:f>IF(OR(I18="INSUFFICIENT_GROUNDING",I18="LEGACY_UNREVIEWED",J18="CRITICAL"),"REFUSE / ESCALATE",IF(OR(I18="CONTESTED",J18="HIGH"),"NARROW / ESCALATE",IF(OR(I18="ASSUMPTION_BOUND",J18="MEDIUM"),"SENSITIVITY_ONLY / MONITOR","ALLOW IF OTHER GATES PASS")))</x:f>
        <x:v>ALLOW IF OTHER GATES PASS</x:v>
      </x:c>
    </x:row>
    <x:row r="19" ht="28" customHeight="1">
      <x:c r="A19" s="626"/>
      <x:c r="B19" s="626"/>
      <x:c r="C19" s="626"/>
      <x:c r="D19" s="626"/>
      <x:c r="E19" s="626"/>
      <x:c r="F19" s="626"/>
      <x:c r="G19" s="626"/>
      <x:c r="H19" s="626"/>
      <x:c r="I19" s="626"/>
      <x:c r="J19" s="626"/>
      <x:c r="K19" s="626"/>
      <x:c r="L19" s="626"/>
      <x:c r="M19" s="626"/>
      <x:c r="N19" s="626"/>
      <x:c r="O19" s="626" t="str">
        <x:f>IF(OR(I19="INSUFFICIENT_GROUNDING",I19="LEGACY_UNREVIEWED",J19="CRITICAL"),"REFUSE / ESCALATE",IF(OR(I19="CONTESTED",J19="HIGH"),"NARROW / ESCALATE",IF(OR(I19="ASSUMPTION_BOUND",J19="MEDIUM"),"SENSITIVITY_ONLY / MONITOR","ALLOW IF OTHER GATES PASS")))</x:f>
        <x:v>ALLOW IF OTHER GATES PASS</x:v>
      </x:c>
    </x:row>
    <x:row r="20" ht="42" customHeight="1">
      <x:c r="A20" s="631" t="str">
        <x:v>CategoryGroundingReviewerStatus</x:v>
      </x:c>
      <x:c r="B20" s="626" t="str">
        <x:v>COMPLETE_FOR_WORKED_RUN</x:v>
      </x:c>
      <x:c r="C20" s="626" t="str">
        <x:v>Worked-run category grounding pre-flight reviewed for exemplar claims. Stronger institutional, empirical, legal, deployment, Tier 4, or ProofPack claims remain outside this workbook.</x:v>
      </x:c>
      <x:c r="D20" s="626" t="str"/>
      <x:c r="E20" s="626" t="str"/>
      <x:c r="F20" s="626" t="str"/>
      <x:c r="G20" s="626" t="str"/>
      <x:c r="H20" s="626" t="str"/>
      <x:c r="I20" s="626" t="str"/>
      <x:c r="J20" s="626" t="str"/>
      <x:c r="K20" s="626"/>
      <x:c r="L20" s="626"/>
      <x:c r="M20" s="626"/>
      <x:c r="N20" s="626"/>
      <x:c r="O20" s="626" t="str">
        <x:f>IF(OR(I20="INSUFFICIENT_GROUNDING",I20="LEGACY_UNREVIEWED",J20="CRITICAL"),"REFUSE / ESCALATE",IF(OR(I20="CONTESTED",J20="HIGH"),"NARROW / ESCALATE",IF(OR(I20="ASSUMPTION_BOUND",J20="MEDIUM"),"SENSITIVITY_ONLY / MONITOR","ALLOW IF OTHER GATES PASS")))</x:f>
        <x:v>ALLOW IF OTHER GATES PASS</x:v>
      </x:c>
    </x:row>
    <x:row r="21" ht="42" customHeight="1">
      <x:c r="A21" s="631" t="str">
        <x:v>CategoryGroundingClaimBoundary</x:v>
      </x:c>
      <x:c r="B21" s="626" t="str">
        <x:v>WORKED_RUN_ONLY</x:v>
      </x:c>
      <x:c r="C21" s="626" t="str">
        <x:v>Category review supports this Tier-2 worked-run exemplar and claimability surface only; it is not a repository-level validator, schema, empirical validation, or legal certification claim.</x:v>
      </x:c>
      <x:c r="D21" s="626" t="str"/>
      <x:c r="E21" s="626" t="str"/>
      <x:c r="F21" s="626" t="str"/>
      <x:c r="G21" s="626" t="str"/>
      <x:c r="H21" s="626" t="str"/>
      <x:c r="I21" s="626" t="str"/>
      <x:c r="J21" s="626" t="str"/>
      <x:c r="K21" s="626"/>
      <x:c r="L21" s="626"/>
      <x:c r="M21" s="626"/>
      <x:c r="N21" s="626"/>
      <x:c r="O21" s="626" t="str">
        <x:f>IF(OR(I21="INSUFFICIENT_GROUNDING",I21="LEGACY_UNREVIEWED",J21="CRITICAL"),"REFUSE / ESCALATE",IF(OR(I21="CONTESTED",J21="HIGH"),"NARROW / ESCALATE",IF(OR(I21="ASSUMPTION_BOUND",J21="MEDIUM"),"SENSITIVITY_ONLY / MONITOR","ALLOW IF OTHER GATES PASS")))</x:f>
        <x:v>ALLOW IF OTHER GATES PASS</x:v>
      </x:c>
    </x:row>
    <x:row r="22" ht="42" customHeight="1">
      <x:c r="A22" s="631" t="str">
        <x:v>RequiredClaimAction</x:v>
      </x:c>
      <x:c r="B22" s="626" t="str">
        <x:v>ALLOW_WORKED_RUN_WITH_BOUNDARY</x:v>
      </x:c>
      <x:c r="C22" s="626" t="str">
        <x:v>Allow worked-run presentation with stated claim boundary; do not convert to deterministic framework selection because FrameworkVerdict remains REFUSE_DETERMINISTIC_SELECTION.</x:v>
      </x:c>
      <x:c r="D22" s="626" t="str"/>
      <x:c r="E22" s="626" t="str"/>
      <x:c r="F22" s="626" t="str"/>
      <x:c r="G22" s="626" t="str"/>
      <x:c r="H22" s="626" t="str"/>
      <x:c r="I22" s="626" t="str"/>
      <x:c r="J22" s="626" t="str"/>
      <x:c r="K22" s="626"/>
      <x:c r="L22" s="626"/>
      <x:c r="M22" s="626"/>
      <x:c r="N22" s="626"/>
      <x:c r="O22" s="626" t="str">
        <x:f>IF(OR(I22="INSUFFICIENT_GROUNDING",I22="LEGACY_UNREVIEWED",J22="CRITICAL"),"REFUSE / ESCALATE",IF(OR(I22="CONTESTED",J22="HIGH"),"NARROW / ESCALATE",IF(OR(I22="ASSUMPTION_BOUND",J22="MEDIUM"),"SENSITIVITY_ONLY / MONITOR","ALLOW IF OTHER GATES PASS")))</x:f>
        <x:v>ALLOW IF OTHER GATES PASS</x:v>
      </x:c>
    </x:row>
    <x:row r="23" ht="42" customHeight="1">
      <x:c r="A23" s="631" t="str">
        <x:v>ManualReviewDisposition</x:v>
      </x:c>
      <x:c r="B23" s="626" t="str">
        <x:v>ASSUMPTION_BOUND_REVIEWED</x:v>
      </x:c>
      <x:c r="C23" s="626" t="str">
        <x:v>Material categories reviewed at a sufficient level for the worked run; contested or high-debt categories require stronger evidence before stronger claims.</x:v>
      </x:c>
      <x:c r="D23" s="626" t="str"/>
      <x:c r="E23" s="626" t="str"/>
      <x:c r="F23" s="626" t="str"/>
      <x:c r="G23" s="626" t="str"/>
      <x:c r="H23" s="626" t="str"/>
      <x:c r="I23" s="626" t="str"/>
      <x:c r="J23" s="626" t="str"/>
      <x:c r="K23" s="626"/>
      <x:c r="L23" s="626"/>
      <x:c r="M23" s="626"/>
      <x:c r="N23" s="626"/>
      <x:c r="O23" s="626" t="str">
        <x:f>IF(OR(I23="INSUFFICIENT_GROUNDING",I23="LEGACY_UNREVIEWED",J23="CRITICAL"),"REFUSE / ESCALATE",IF(OR(I23="CONTESTED",J23="HIGH"),"NARROW / ESCALATE",IF(OR(I23="ASSUMPTION_BOUND",J23="MEDIUM"),"SENSITIVITY_ONLY / MONITOR","ALLOW IF OTHER GATES PASS")))</x:f>
        <x:v>ALLOW IF OTHER GATES PASS</x:v>
      </x:c>
    </x:row>
    <x:row r="24" ht="42" customHeight="1">
      <x:c r="A24" s="631" t="str">
        <x:v>Canonical field names</x:v>
      </x:c>
      <x:c r="B24" s="626" t="str">
        <x:v>category_maturity_status; semantic_debt_flag; required_claim_action; category_failure_class</x:v>
      </x:c>
      <x:c r="C24" s="626" t="str">
        <x:v>Compact aliases are not canonical unless explicitly mapped in wrapper/schema documentation.</x:v>
      </x:c>
      <x:c r="D24" s="626" t="str"/>
      <x:c r="E24" s="626" t="str"/>
      <x:c r="F24" s="626" t="str"/>
      <x:c r="G24" s="626" t="str"/>
      <x:c r="H24" s="626" t="str"/>
      <x:c r="I24" s="626" t="str"/>
      <x:c r="J24" s="626" t="str"/>
      <x:c r="K24" s="626"/>
      <x:c r="L24" s="626"/>
      <x:c r="M24" s="626"/>
      <x:c r="N24" s="626"/>
      <x:c r="O24" s="626" t="str">
        <x:f>IF(OR(I24="INSUFFICIENT_GROUNDING",I24="LEGACY_UNREVIEWED",J24="CRITICAL"),"REFUSE / ESCALATE",IF(OR(I24="CONTESTED",J24="HIGH"),"NARROW / ESCALATE",IF(OR(I24="ASSUMPTION_BOUND",J24="MEDIUM"),"SENSITIVITY_ONLY / MONITOR","ALLOW IF OTHER GATES PASS")))</x:f>
        <x:v>ALLOW IF OTHER GATES PASS</x:v>
      </x:c>
    </x:row>
    <x:row r="25" ht="28" customHeight="1">
      <x:c r="A25" s="626"/>
      <x:c r="B25" s="626"/>
      <x:c r="C25" s="626"/>
      <x:c r="D25" s="626"/>
      <x:c r="E25" s="626"/>
      <x:c r="F25" s="626"/>
      <x:c r="G25" s="626"/>
      <x:c r="H25" s="626"/>
      <x:c r="I25" s="626"/>
      <x:c r="J25" s="626"/>
      <x:c r="K25" s="626"/>
      <x:c r="L25" s="626"/>
      <x:c r="M25" s="626"/>
      <x:c r="N25" s="626"/>
      <x:c r="O25" s="626" t="str">
        <x:f>IF(OR(I25="INSUFFICIENT_GROUNDING",I25="LEGACY_UNREVIEWED",J25="CRITICAL"),"REFUSE / ESCALATE",IF(OR(I25="CONTESTED",J25="HIGH"),"NARROW / ESCALATE",IF(OR(I25="ASSUMPTION_BOUND",J25="MEDIUM"),"SENSITIVITY_ONLY / MONITOR","ALLOW IF OTHER GATES PASS")))</x:f>
        <x:v>ALLOW IF OTHER GATES PASS</x:v>
      </x:c>
    </x:row>
    <x:row r="26" ht="28" customHeight="1">
      <x:c r="A26" s="626"/>
      <x:c r="B26" s="626"/>
      <x:c r="C26" s="626"/>
      <x:c r="D26" s="626"/>
      <x:c r="E26" s="626"/>
      <x:c r="F26" s="626"/>
      <x:c r="G26" s="626"/>
      <x:c r="H26" s="626"/>
      <x:c r="I26" s="626"/>
      <x:c r="J26" s="626"/>
      <x:c r="K26" s="626"/>
      <x:c r="L26" s="626"/>
      <x:c r="M26" s="626"/>
      <x:c r="N26" s="626"/>
      <x:c r="O26" s="626" t="str">
        <x:f>IF(OR(I26="INSUFFICIENT_GROUNDING",I26="LEGACY_UNREVIEWED",J26="CRITICAL"),"REFUSE / ESCALATE",IF(OR(I26="CONTESTED",J26="HIGH"),"NARROW / ESCALATE",IF(OR(I26="ASSUMPTION_BOUND",J26="MEDIUM"),"SENSITIVITY_ONLY / MONITOR","ALLOW IF OTHER GATES PASS")))</x:f>
        <x:v>ALLOW IF OTHER GATES PASS</x:v>
      </x:c>
    </x:row>
    <x:row r="27" ht="28" customHeight="1">
      <x:c r="A27" s="626"/>
      <x:c r="B27" s="626"/>
      <x:c r="C27" s="626"/>
      <x:c r="D27" s="626"/>
      <x:c r="E27" s="626"/>
      <x:c r="F27" s="626"/>
      <x:c r="G27" s="626"/>
      <x:c r="H27" s="626"/>
      <x:c r="I27" s="626"/>
      <x:c r="J27" s="626"/>
      <x:c r="K27" s="626"/>
      <x:c r="L27" s="626"/>
      <x:c r="M27" s="626"/>
      <x:c r="N27" s="626"/>
      <x:c r="O27" s="626" t="str">
        <x:f>IF(OR(I27="INSUFFICIENT_GROUNDING",I27="LEGACY_UNREVIEWED",J27="CRITICAL"),"REFUSE / ESCALATE",IF(OR(I27="CONTESTED",J27="HIGH"),"NARROW / ESCALATE",IF(OR(I27="ASSUMPTION_BOUND",J27="MEDIUM"),"SENSITIVITY_ONLY / MONITOR","ALLOW IF OTHER GATES PASS")))</x:f>
        <x:v>ALLOW IF OTHER GATES PASS</x:v>
      </x:c>
    </x:row>
    <x:row r="28" ht="28" customHeight="1">
      <x:c r="A28" s="626"/>
      <x:c r="B28" s="626"/>
      <x:c r="C28" s="626"/>
      <x:c r="D28" s="626"/>
      <x:c r="E28" s="626"/>
      <x:c r="F28" s="626"/>
      <x:c r="G28" s="626"/>
      <x:c r="H28" s="626"/>
      <x:c r="I28" s="626"/>
      <x:c r="J28" s="626"/>
      <x:c r="K28" s="626"/>
      <x:c r="L28" s="626"/>
      <x:c r="M28" s="626"/>
      <x:c r="N28" s="626"/>
      <x:c r="O28" s="626" t="str">
        <x:f>IF(OR(I28="INSUFFICIENT_GROUNDING",I28="LEGACY_UNREVIEWED",J28="CRITICAL"),"REFUSE / ESCALATE",IF(OR(I28="CONTESTED",J28="HIGH"),"NARROW / ESCALATE",IF(OR(I28="ASSUMPTION_BOUND",J28="MEDIUM"),"SENSITIVITY_ONLY / MONITOR","ALLOW IF OTHER GATES PASS")))</x:f>
        <x:v>ALLOW IF OTHER GATES PASS</x:v>
      </x:c>
    </x:row>
    <x:row r="29" ht="28" customHeight="1">
      <x:c r="A29" s="626"/>
      <x:c r="B29" s="626"/>
      <x:c r="C29" s="626"/>
      <x:c r="D29" s="626"/>
      <x:c r="E29" s="626"/>
      <x:c r="F29" s="626"/>
      <x:c r="G29" s="626"/>
      <x:c r="H29" s="626"/>
      <x:c r="I29" s="626"/>
      <x:c r="J29" s="626"/>
      <x:c r="K29" s="626"/>
      <x:c r="L29" s="626"/>
      <x:c r="M29" s="626"/>
      <x:c r="N29" s="626"/>
      <x:c r="O29" s="626" t="str">
        <x:f>IF(OR(I29="INSUFFICIENT_GROUNDING",I29="LEGACY_UNREVIEWED",J29="CRITICAL"),"REFUSE / ESCALATE",IF(OR(I29="CONTESTED",J29="HIGH"),"NARROW / ESCALATE",IF(OR(I29="ASSUMPTION_BOUND",J29="MEDIUM"),"SENSITIVITY_ONLY / MONITOR","ALLOW IF OTHER GATES PASS")))</x:f>
        <x:v>ALLOW IF OTHER GATES PASS</x:v>
      </x:c>
    </x:row>
    <x:row r="30" ht="28" customHeight="1">
      <x:c r="A30" s="626"/>
      <x:c r="B30" s="626"/>
      <x:c r="C30" s="626"/>
      <x:c r="D30" s="626"/>
      <x:c r="E30" s="626"/>
      <x:c r="F30" s="626"/>
      <x:c r="G30" s="626"/>
      <x:c r="H30" s="626"/>
      <x:c r="I30" s="626"/>
      <x:c r="J30" s="626"/>
      <x:c r="K30" s="626"/>
      <x:c r="L30" s="626"/>
      <x:c r="M30" s="626"/>
      <x:c r="N30" s="626"/>
      <x:c r="O30" s="626" t="str">
        <x:f>IF(OR(I30="INSUFFICIENT_GROUNDING",I30="LEGACY_UNREVIEWED",J30="CRITICAL"),"REFUSE / ESCALATE",IF(OR(I30="CONTESTED",J30="HIGH"),"NARROW / ESCALATE",IF(OR(I30="ASSUMPTION_BOUND",J30="MEDIUM"),"SENSITIVITY_ONLY / MONITOR","ALLOW IF OTHER GATES PASS")))</x:f>
        <x:v>ALLOW IF OTHER GATES PASS</x:v>
      </x:c>
    </x:row>
    <x:row r="33">
      <x:c r="A33" s="806" t="str">
        <x:v>Allowed Maturity Status</x:v>
      </x:c>
      <x:c r="B33" s="626" t="str">
        <x:v>GROUNDED; ESTIMATED; ASSUMPTION_BOUND; CONTESTED; LEGACY_UNREVIEWED; INSUFFICIENT_GROUNDING; OUT_OF_SCOPE_WITH_RATIONALE</x:v>
      </x:c>
    </x:row>
    <x:row r="34">
      <x:c r="A34" s="806" t="str">
        <x:v>Allowed Semantic Debt</x:v>
      </x:c>
      <x:c r="B34" s="626" t="str">
        <x:v>NONE; LOW; MEDIUM; HIGH; CRITICAL</x:v>
      </x:c>
    </x:row>
    <x:row r="35">
      <x:c r="A35" s="806" t="str">
        <x:v>Allowed Required Claim Action</x:v>
      </x:c>
      <x:c r="B35" s="626" t="str">
        <x:v>ALLOW; NARROW; ESCALATE; REFUSE; MONITOR_ONLY; SENSITIVITY_ONLY</x:v>
      </x:c>
    </x:row>
    <x:row r="36">
      <x:c r="A36" s="806" t="str">
        <x:v>Failure Classes</x:v>
      </x:c>
      <x:c r="B36" s="626" t="str">
        <x:v>CATEGORY_BOUNDARY_FAILURE; CATEGORY_REFERENCE_FAILURE; CATEGORY_SCOPE_FAILURE; CATEGORY_METRIC_MISMATCH; SEMANTIC_DRIFT_DETECTED; PRIMITIVE_CHALLENGE</x:v>
      </x:c>
    </x:row>
    <x:row r="37">
      <x:c r="A37" s="806" t="str">
        <x:v>Rule</x:v>
      </x:c>
      <x:c r="B37" s="626" t="str">
        <x:v>If category grounding is insufficient for a material claim, do not launder uncertainty through RLS, PLSS, HDW, PCC completion, authority selection, or stakeholder preference.</x:v>
      </x:c>
    </x:row>
    <x:row r="39">
      <x:c r="A39" s="626" t="str">
        <x:v>Manual Category Grounding reviewer checklist</x:v>
      </x:c>
      <x:c r="B39" s="626"/>
      <x:c r="C39" s="626"/>
      <x:c r="D39" s="626"/>
      <x:c r="E39" s="626"/>
      <x:c r="F39" s="626"/>
      <x:c r="G39" s="626"/>
      <x:c r="H39" s="626"/>
      <x:c r="I39" s="626"/>
      <x:c r="J39" s="626"/>
      <x:c r="K39" s="626"/>
      <x:c r="L39" s="626"/>
      <x:c r="M39" s="626"/>
      <x:c r="N39" s="626"/>
      <x:c r="O39" s="626"/>
    </x:row>
    <x:row r="40">
      <x:c r="A40" s="626" t="str">
        <x:v>CGP-1</x:v>
      </x:c>
      <x:c r="B40" s="626" t="str">
        <x:v>Review material categories before stronger claims</x:v>
      </x:c>
      <x:c r="C40" s="626" t="str">
        <x:v>Manual review</x:v>
      </x:c>
      <x:c r="D40" s="626" t="str">
        <x:v>Confirm material categories are defined, bounded, and linked to evidence/revision triggers.</x:v>
      </x:c>
      <x:c r="E40" s="626"/>
      <x:c r="F40" s="626"/>
      <x:c r="G40" s="626"/>
      <x:c r="H40" s="626"/>
      <x:c r="I40" s="626"/>
      <x:c r="J40" s="626"/>
      <x:c r="K40" s="626"/>
      <x:c r="L40" s="626" t="str">
        <x:v>Reviewer required where material</x:v>
      </x:c>
      <x:c r="M40" s="626" t="str">
        <x:v>NARROW/ESCALATE/REFUSE if unsupported</x:v>
      </x:c>
      <x:c r="N40" s="626"/>
      <x:c r="O40" s="626"/>
    </x:row>
    <x:row r="41">
      <x:c r="A41" s="626" t="str">
        <x:v>CGP-2</x:v>
      </x:c>
      <x:c r="B41" s="626" t="str">
        <x:v>Do not create a sixth gate</x:v>
      </x:c>
      <x:c r="C41" s="626" t="str">
        <x:v>Manual review</x:v>
      </x:c>
      <x:c r="D41" s="626" t="str">
        <x:v>Confirm Category Grounding remains inside Reality Grounding and does not alter RSG -&gt; NCRC -&gt; TRC -&gt; Containment -&gt; RLS.</x:v>
      </x:c>
      <x:c r="E41" s="626"/>
      <x:c r="F41" s="626"/>
      <x:c r="G41" s="626"/>
      <x:c r="H41" s="626"/>
      <x:c r="I41" s="626"/>
      <x:c r="J41" s="626"/>
      <x:c r="K41" s="626"/>
      <x:c r="L41" s="626" t="str">
        <x:v>Reviewer required where material</x:v>
      </x:c>
      <x:c r="M41" s="626" t="str">
        <x:v>Correct framing before release</x:v>
      </x:c>
      <x:c r="N41" s="626"/>
      <x:c r="O41" s="626"/>
    </x:row>
    <x:row r="42">
      <x:c r="A42" s="626" t="str">
        <x:v>CGP-3</x:v>
      </x:c>
      <x:c r="B42" s="626" t="str">
        <x:v>Flag semantic debt</x:v>
      </x:c>
      <x:c r="C42" s="626" t="str">
        <x:v>Manual review</x:v>
      </x:c>
      <x:c r="D42" s="626" t="str">
        <x:v>Confirm stale, inherited, contested, or unreviewed categories are marked with semantic debt and claim action.</x:v>
      </x:c>
      <x:c r="E42" s="626"/>
      <x:c r="F42" s="626"/>
      <x:c r="G42" s="626"/>
      <x:c r="H42" s="626"/>
      <x:c r="I42" s="626"/>
      <x:c r="J42" s="626"/>
      <x:c r="K42" s="626"/>
      <x:c r="L42" s="626" t="str">
        <x:v>Reviewer required where material</x:v>
      </x:c>
      <x:c r="M42" s="626" t="str">
        <x:v>Monitor, sensitivity-only, narrow, or escalate</x:v>
      </x:c>
      <x:c r="N42" s="626"/>
      <x:c r="O42" s="626"/>
    </x:row>
    <x:row r="43">
      <x:c r="A43" s="626" t="str">
        <x:v>CGP-4</x:v>
      </x:c>
      <x:c r="B43" s="626" t="str">
        <x:v>No laundering through scores or authority</x:v>
      </x:c>
      <x:c r="C43" s="626" t="str">
        <x:v>Manual review</x:v>
      </x:c>
      <x:c r="D43" s="626" t="str">
        <x:v>Confirm category uncertainty is not laundered through RLS, PLSS, HDW, PCC completion, or authority selection.</x:v>
      </x:c>
      <x:c r="E43" s="626"/>
      <x:c r="F43" s="626"/>
      <x:c r="G43" s="626"/>
      <x:c r="H43" s="626"/>
      <x:c r="I43" s="626"/>
      <x:c r="J43" s="626"/>
      <x:c r="K43" s="626"/>
      <x:c r="L43" s="626" t="str">
        <x:v>Reviewer required where material</x:v>
      </x:c>
      <x:c r="M43" s="626" t="str">
        <x:v>Refuse deterministic claim if unsupported</x:v>
      </x:c>
      <x:c r="N43" s="626"/>
      <x:c r="O43" s="626"/>
    </x:row>
  </x:sheetData>
  <x:mergeCells>
    <x:mergeCell ref="A1:O1"/>
    <x:mergeCell ref="A2:O2"/>
    <x:mergeCell ref="A4:O4"/>
  </x:mergeCells>
  <x:dataValidations count="9">
    <x:dataValidation type="list" sqref="I8:I30">
      <x:formula1>"GROUNDED,ESTIMATED,ASSUMPTION_BOUND,CONTESTED,LEGACY_UNREVIEWED,INSUFFICIENT_GROUNDING,OUT_OF_SCOPE_WITH_RATIONALE"</x:formula1>
    </x:dataValidation>
    <x:dataValidation type="list" sqref="J8:J30">
      <x:formula1>"NONE,LOW,MEDIUM,HIGH,CRITICAL"</x:formula1>
    </x:dataValidation>
    <x:dataValidation type="list" sqref="L8:L30">
      <x:formula1>"UNREVIEWED,NEEDS_REVIEW,REVIEWED,EXPERT_REVIEWED"</x:formula1>
    </x:dataValidation>
    <x:dataValidation type="list" sqref="M8:M30">
      <x:formula1>"ALLOW,NARROW,ESCALATE,REFUSE,MONITOR_ONLY,SENSITIVITY_ONLY"</x:formula1>
    </x:dataValidation>
    <x:dataValidation type="list" sqref="N8:N30">
      <x:formula1>",CATEGORY_BOUNDARY_FAILURE,CATEGORY_REFERENCE_FAILURE,CATEGORY_SCOPE_FAILURE,CATEGORY_METRIC_MISMATCH,SEMANTIC_DRIFT_DETECTED,PRIMITIVE_CHALLENGE"</x:formula1>
    </x:dataValidation>
    <x:dataValidation type="list" sqref="I8:I16">
      <x:formula1>"GROUNDED,ESTIMATED,ASSUMPTION_BOUND,CONTESTED,LEGACY_UNREVIEWED,INSUFFICIENT_GROUNDING,OUT_OF_SCOPE_WITH_RATIONALE"</x:formula1>
    </x:dataValidation>
    <x:dataValidation type="list" sqref="J8:J16">
      <x:formula1>"NONE,LOW,MEDIUM,HIGH,CRITICAL"</x:formula1>
    </x:dataValidation>
    <x:dataValidation type="list" sqref="L8:L16">
      <x:formula1>"READY,NEEDS_REVIEW,ESCALATE,APPROVED,REJECTED"</x:formula1>
    </x:dataValidation>
    <x:dataValidation type="list" sqref="M8:M16">
      <x:formula1>"ALLOW,NARROW,ESCALATE,REFUSE,MONITOR_ONLY,SENSITIVITY_ONLY"</x:formula1>
    </x:dataValidation>
  </x:dataValidations>
  <x:pageMargins left="0.7" right="0.7" top="0.75" bottom="0.75" header="0.3" footer="0.3"/>
  <x:tableParts count="1">
    <x:tablePart xmlns:r="http://schemas.openxmlformats.org/officeDocument/2006/relationships" r:id="R6a9f19c7452745bb"/>
  </x:tableParts>
</x:worksheet>
</file>
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elease_Notes" sheetId="1" state="visible" r:id="rId3"/>
    <sheet name="CANON" sheetId="2" state="visible" r:id="rId4"/>
    <sheet name="Sanity_Checklist" sheetId="3" state="visible" r:id="rId5"/>
    <sheet name="Config" sheetId="4" state="visible" r:id="rId6"/>
    <sheet name="Parameters" sheetId="5" state="visible" r:id="rId7"/>
    <sheet name="PLSS_Local_Scope" sheetId="6" state="visible" r:id="rId8"/>
    <sheet name="Sheet1" sheetId="7" state="visible" r:id="rId9"/>
    <sheet name="Rights_Coverage" sheetId="8" state="visible" r:id="rId10"/>
    <sheet name="Rights_Coverage_View" sheetId="9" state="visible" r:id="rId11"/>
    <sheet name="C_cat" sheetId="10" state="visible" r:id="rId12"/>
    <sheet name="WTSL_Categories" sheetId="11" state="visible" r:id="rId13"/>
    <sheet name="Impact_Input" sheetId="12" state="visible" r:id="rId14"/>
    <sheet name="Scenario_Impacts" sheetId="13" state="visible" r:id="rId15"/>
    <sheet name="I_prop" sheetId="14" state="visible" r:id="rId16"/>
    <sheet name="NCRC" sheetId="15" state="visible" r:id="rId17"/>
    <sheet name="TRC" sheetId="16" state="visible" r:id="rId18"/>
    <sheet name="Containment" sheetId="17" state="visible" r:id="rId19"/>
    <sheet name="RLS" sheetId="18" state="visible" r:id="rId20"/>
    <sheet name="UCI_HOI" sheetId="19" state="visible" r:id="rId21"/>
    <sheet name="Dashboard" sheetId="20" state="visible" r:id="rId22"/>
    <sheet name="Audit_Flags" sheetId="21" state="visible" r:id="rId23"/>
    <sheet name="PCC" sheetId="22" state="visible" r:id="rId24"/>
    <sheet name="Sensitivity_Analysis" sheetId="23" state="visible" r:id="rId25"/>
    <sheet name="Subgroup_Analysis" sheetId="24" state="visible" r:id="rId26"/>
    <sheet name="Subgroup_Overrides" sheetId="25" state="visible" r:id="rId27"/>
    <sheet name="SGP_Input" sheetId="26" state="visible" r:id="rId28"/>
    <sheet name="SGP_Integration" sheetId="27" state="visible" r:id="rId29"/>
    <sheet name="User_Guide" sheetId="28" state="visible" r:id="rId30"/>
    <sheet name="Version_Control" sheetId="29" state="visible" r:id="rId31"/>
  </sheets>
  <definedNames>
    <definedName function="false" hidden="false" name="AUDIT_REVIEW_COUNT" vbProcedure="false">Audit_Flags!$B$23</definedName>
    <definedName function="false" hidden="false" name="CANON_CLAIMABLE_RUN" vbProcedure="false">CANON!$B$81</definedName>
    <definedName function="false" hidden="false" name="CANON_INVALID_FLAGS_COUNT" vbProcedure="false">CANON!$B$80</definedName>
    <definedName function="false" hidden="false" name="CANON_PLACEHOLDER_COUNT" vbProcedure="false">CANON!$B$117</definedName>
    <definedName function="false" hidden="false" name="CANON_PUBLISH_READY" vbProcedure="false">CANON!$B$83</definedName>
    <definedName function="false" hidden="false" name="CANON_SCHEMA_FAIL_COUNT" vbProcedure="false">CANON!$B$116</definedName>
    <definedName function="false" hidden="false" name="SIGMA_EST" vbProcedure="false">Config!$B$20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<sst xmlns="http://schemas.openxmlformats.org/spreadsheetml/2006/main" count="2364" uniqueCount="1389">
  <si>
    <t xml:space="preserve">RELEASE NOTES + KNOWN REVIEW FLAGS (AUTO-PULLED)</t>
  </si>
  <si>
    <t xml:space="preserve">Sheet version</t>
  </si>
  <si>
    <t xml:space="preserve">Framework version</t>
  </si>
  <si>
    <t xml:space="preserve">Tier</t>
  </si>
  <si>
    <t xml:space="preserve">Workbook mode</t>
  </si>
  <si>
    <t xml:space="preserve">Claimable run</t>
  </si>
  <si>
    <t xml:space="preserve">Publish ready</t>
  </si>
  <si>
    <t xml:space="preserve">Active flags (auto)</t>
  </si>
  <si>
    <t xml:space="preserve">Counts (INVALID / ESCALATE / REVIEW / TOTAL)</t>
  </si>
  <si>
    <t xml:space="preserve">Release positioning</t>
  </si>
  <si>
    <t xml:space="preserve">Tier-2 worked-run exemplar pinned to Ripple_Logic v8.6 and SGP v4.3. v2.2 keeps the PLSS local-scope helper sheet and adds publication-ready disclosure of the current two-option comparison surface. REVIEW flags may exist and must be documented; INVALID and ESCALATE must be zero for claimability.</t>
  </si>
  <si>
    <t xml:space="preserve">Current limitation (publication disclosure)</t>
  </si>
  <si>
    <t xml:space="preserve">This workbook currently implements a two-option comparison surface (Option A vs Option B) for Dashboard, NCRC, TRC, Containment, and final selection logic. Additional options require extension of the comparison logic or sequential fresh runs; users MUST NOT imply native multi-option optimization beyond the current two-option surface.</t>
  </si>
  <si>
    <t xml:space="preserve">Known REVIEW flags narrative (auto)</t>
  </si>
  <si>
    <t xml:space="preserve">Sensitivity status</t>
  </si>
  <si>
    <t xml:space="preserve">Sensitivity verdict</t>
  </si>
  <si>
    <t xml:space="preserve">Change log (edit this row for each release)</t>
  </si>
  <si>
    <t xml:space="preserve">Date</t>
  </si>
  <si>
    <t xml:space="preserve">Change summary</t>
  </si>
  <si>
    <t xml:space="preserve">Added small sensitivity tests (weights + p stress) and auto Release Notes panel wired to Audit_Flags.</t>
  </si>
  <si>
    <t xml:space="preserve">CANONICAL SINGLE SOURCE OF TRUTH</t>
  </si>
  <si>
    <t xml:space="preserve">All other tabs must reference this sheet - no duplicate calculations</t>
  </si>
  <si>
    <t xml:space="preserve">SECTION A: VERSION &amp; IDENTITY</t>
  </si>
  <si>
    <t xml:space="preserve">FRAMEWORK_VERSION</t>
  </si>
  <si>
    <t xml:space="preserve">Ripple_Logic v8.6</t>
  </si>
  <si>
    <t xml:space="preserve">SGP_VERSION</t>
  </si>
  <si>
    <t xml:space="preserve">SGP v4.3</t>
  </si>
  <si>
    <t xml:space="preserve">SHEET_VERSION</t>
  </si>
  <si>
    <t xml:space="preserve">v2.2</t>
  </si>
  <si>
    <t xml:space="preserve">SECTION B: CONFIGURATION</t>
  </si>
  <si>
    <t xml:space="preserve">TIER</t>
  </si>
  <si>
    <t xml:space="preserve">(1-3 only; Tier 4 prohibited for claims per v8.6)</t>
  </si>
  <si>
    <t xml:space="preserve">CONTEXT</t>
  </si>
  <si>
    <t xml:space="preserve">ORG</t>
  </si>
  <si>
    <t xml:space="preserve">(PERS/ORG/REV/IRREV/XRISK)</t>
  </si>
  <si>
    <t xml:space="preserve">AI_DEPLOYMENT</t>
  </si>
  <si>
    <t xml:space="preserve">NO</t>
  </si>
  <si>
    <t xml:space="preserve">(YES/NO; affects mandatory tails)</t>
  </si>
  <si>
    <t xml:space="preserve">TRC_ACTIVE</t>
  </si>
  <si>
    <t xml:space="preserve">(TRUE if Tier&gt;=2)</t>
  </si>
  <si>
    <t xml:space="preserve">SIGMA_ALLOWED</t>
  </si>
  <si>
    <t xml:space="preserve">(Tier 2+: allowed)</t>
  </si>
  <si>
    <t xml:space="preserve">SIGMA_REQUIRED</t>
  </si>
  <si>
    <t xml:space="preserve">(Tier 3+: required)</t>
  </si>
  <si>
    <t xml:space="preserve">SECTION C: CANONICAL PARAMETERS</t>
  </si>
  <si>
    <t xml:space="preserve">alpha (CVaR confidence)</t>
  </si>
  <si>
    <t xml:space="preserve">beta (tail mass)</t>
  </si>
  <si>
    <t xml:space="preserve">beta_saturation</t>
  </si>
  <si>
    <t xml:space="preserve">beta_prop</t>
  </si>
  <si>
    <t xml:space="preserve">delta (discrimination)</t>
  </si>
  <si>
    <t xml:space="preserve">theta_pos (containment)</t>
  </si>
  <si>
    <t xml:space="preserve">tau_c (containment floor)</t>
  </si>
  <si>
    <t xml:space="preserve">T_ref (time reference)</t>
  </si>
  <si>
    <t xml:space="preserve">sigma_est (RLS uncertainty)</t>
  </si>
  <si>
    <t xml:space="preserve">t_min (temporal floor)</t>
  </si>
  <si>
    <t xml:space="preserve">(canonical in v8.6: prevents near-zero collapse; τ(t_min) ≈ 0.025)</t>
  </si>
  <si>
    <t xml:space="preserve">SECTION D: RIGHTS THRESHOLDS (θ_r)</t>
  </si>
  <si>
    <t xml:space="preserve">Right</t>
  </si>
  <si>
    <t xml:space="preserve">Priority</t>
  </si>
  <si>
    <t xml:space="preserve">θ_r</t>
  </si>
  <si>
    <t xml:space="preserve">LIFE</t>
  </si>
  <si>
    <t xml:space="preserve">BODY</t>
  </si>
  <si>
    <t xml:space="preserve">ECOL</t>
  </si>
  <si>
    <t xml:space="preserve">LBTY</t>
  </si>
  <si>
    <t xml:space="preserve">NEED</t>
  </si>
  <si>
    <t xml:space="preserve">DIGN</t>
  </si>
  <si>
    <t xml:space="preserve">PROC</t>
  </si>
  <si>
    <t xml:space="preserve">INFO</t>
  </si>
  <si>
    <t xml:space="preserve">RIGHTS_COUNT</t>
  </si>
  <si>
    <t xml:space="preserve">(must = 8)</t>
  </si>
  <si>
    <t xml:space="preserve">SECTION E: MANDATORY TAILS</t>
  </si>
  <si>
    <t xml:space="preserve">MANDATORY_TAILS_COUNT</t>
  </si>
  <si>
    <t xml:space="preserve">(6 if AI_DEPLOYMENT=YES, else 5)</t>
  </si>
  <si>
    <t xml:space="preserve">WTSL Categories</t>
  </si>
  <si>
    <t xml:space="preserve">Required?</t>
  </si>
  <si>
    <t xml:space="preserve">WTSL-PAN</t>
  </si>
  <si>
    <t xml:space="preserve">YES</t>
  </si>
  <si>
    <t xml:space="preserve">WTSL-CLI</t>
  </si>
  <si>
    <t xml:space="preserve">WTSL-FIN</t>
  </si>
  <si>
    <t xml:space="preserve">WTSL-CON</t>
  </si>
  <si>
    <t xml:space="preserve">WTSL-INF</t>
  </si>
  <si>
    <t xml:space="preserve">WTSL-AIX</t>
  </si>
  <si>
    <t xml:space="preserve">SECTION F: CANONICAL GATE RESULTS</t>
  </si>
  <si>
    <t xml:space="preserve">NCRC_PASS_A</t>
  </si>
  <si>
    <t xml:space="preserve">NCRC_PASS_B</t>
  </si>
  <si>
    <t xml:space="preserve">CVaR_A</t>
  </si>
  <si>
    <t xml:space="preserve">CVaR_B</t>
  </si>
  <si>
    <t xml:space="preserve">TRC_PASS_A</t>
  </si>
  <si>
    <t xml:space="preserve">TRC_PASS_B</t>
  </si>
  <si>
    <t xml:space="preserve">tau_TRC</t>
  </si>
  <si>
    <t xml:space="preserve">(context-specific threshold)</t>
  </si>
  <si>
    <t xml:space="preserve">CONTAINMENT_PASS_A</t>
  </si>
  <si>
    <t xml:space="preserve">CONTAINMENT_PASS_B</t>
  </si>
  <si>
    <t xml:space="preserve">RLS_A</t>
  </si>
  <si>
    <t xml:space="preserve">RLS_B</t>
  </si>
  <si>
    <t xml:space="preserve">SECTION G: SELECTION LOGIC</t>
  </si>
  <si>
    <t xml:space="preserve">A_NCRC_COUNT</t>
  </si>
  <si>
    <t xml:space="preserve">(Options passing NCRC)</t>
  </si>
  <si>
    <t xml:space="preserve">A_ADM_COUNT</t>
  </si>
  <si>
    <t xml:space="preserve">(Options passing NCRC+TRC)</t>
  </si>
  <si>
    <t xml:space="preserve">SELECTION_MODE</t>
  </si>
  <si>
    <t xml:space="preserve">SELECTED_OPTION</t>
  </si>
  <si>
    <t xml:space="preserve">SELECTION_BASIS</t>
  </si>
  <si>
    <t xml:space="preserve">ESCALATION_REQUIRED</t>
  </si>
  <si>
    <t xml:space="preserve">SECTION H: CATASTROPHE INPUT VALIDATION</t>
  </si>
  <si>
    <t xml:space="preserve">CCAT_BLANK_COUNT</t>
  </si>
  <si>
    <t xml:space="preserve">(Must be 0 when TRC active)</t>
  </si>
  <si>
    <t xml:space="preserve">SCENARIO_IMPACT_MISSING</t>
  </si>
  <si>
    <t xml:space="preserve">SECTION I: CLAIMABILITY</t>
  </si>
  <si>
    <t xml:space="preserve">INVALID_FLAGS_COUNT</t>
  </si>
  <si>
    <t xml:space="preserve">(computed from Audit_Flags)</t>
  </si>
  <si>
    <t xml:space="preserve">CLAIMABLE_RUN</t>
  </si>
  <si>
    <t xml:space="preserve">WORKBOOK_MODE</t>
  </si>
  <si>
    <t xml:space="preserve">WORKED_RUN</t>
  </si>
  <si>
    <t xml:space="preserve">(TEMPLATE or WORKED_RUN)</t>
  </si>
  <si>
    <t xml:space="preserve">PUBLISH_READY</t>
  </si>
  <si>
    <t xml:space="preserve">(requires schema valid + sanity pass + no placeholders)</t>
  </si>
  <si>
    <t xml:space="preserve">SECTION J: SCHEMA ENFORCEMENT</t>
  </si>
  <si>
    <t xml:space="preserve">Validation Rule: ISNUMBER(x) AND NOT(ISLOGICAL(x)) for all numeric fields</t>
  </si>
  <si>
    <t xml:space="preserve">Field</t>
  </si>
  <si>
    <t xml:space="preserve">Value</t>
  </si>
  <si>
    <t xml:space="preserve">Expected Type</t>
  </si>
  <si>
    <t xml:space="preserve">Status</t>
  </si>
  <si>
    <t xml:space="preserve">integer 1-3</t>
  </si>
  <si>
    <t xml:space="preserve">alpha</t>
  </si>
  <si>
    <t xml:space="preserve">decimal 0-1</t>
  </si>
  <si>
    <t xml:space="preserve">beta</t>
  </si>
  <si>
    <t xml:space="preserve">positive integer</t>
  </si>
  <si>
    <t xml:space="preserve">binary 0/1</t>
  </si>
  <si>
    <t xml:space="preserve">delta</t>
  </si>
  <si>
    <t xml:space="preserve">positive number</t>
  </si>
  <si>
    <t xml:space="preserve">theta_pos</t>
  </si>
  <si>
    <t xml:space="preserve">tau_c</t>
  </si>
  <si>
    <t xml:space="preserve">negative number</t>
  </si>
  <si>
    <t xml:space="preserve">T_ref</t>
  </si>
  <si>
    <t xml:space="preserve">sigma_est</t>
  </si>
  <si>
    <t xml:space="preserve">decimal &gt;=0</t>
  </si>
  <si>
    <t xml:space="preserve">integer = 8</t>
  </si>
  <si>
    <t xml:space="preserve">Note: MANDATORY_TAILS_COUNT canonical location is B41</t>
  </si>
  <si>
    <t xml:space="preserve">integer 5-6</t>
  </si>
  <si>
    <t xml:space="preserve">decimal</t>
  </si>
  <si>
    <t xml:space="preserve">nonneg integer</t>
  </si>
  <si>
    <t xml:space="preserve">INVALID_FLAGS</t>
  </si>
  <si>
    <t xml:space="preserve">SCHEMA ROLLUP</t>
  </si>
  <si>
    <t xml:space="preserve">PUBLISH GATES (computed)</t>
  </si>
  <si>
    <t xml:space="preserve">must be 0</t>
  </si>
  <si>
    <t xml:space="preserve">SCHEMA_FAIL_COUNT</t>
  </si>
  <si>
    <t xml:space="preserve">(must be 0)</t>
  </si>
  <si>
    <t xml:space="preserve">PLACEHOLDER_COUNT</t>
  </si>
  <si>
    <t xml:space="preserve">(scans Dashboard for [ bracket placeholders; ID brackets removed for clarity)</t>
  </si>
  <si>
    <t xml:space="preserve">(master publish gate)</t>
  </si>
  <si>
    <t xml:space="preserve">sanity_fail_count:</t>
  </si>
  <si>
    <t xml:space="preserve">invalid_count:</t>
  </si>
  <si>
    <t xml:space="preserve">manual_override:</t>
  </si>
  <si>
    <t xml:space="preserve">placeholder_count:</t>
  </si>
  <si>
    <t xml:space="preserve">publish_ready:</t>
  </si>
  <si>
    <t xml:space="preserve">AUDIT CHECK:</t>
  </si>
  <si>
    <t xml:space="preserve">SECTION G: v8.6 REPRESENTATION LAYER</t>
  </si>
  <si>
    <t xml:space="preserve">SCI_LEVEL</t>
  </si>
  <si>
    <t xml:space="preserve">SCI-0..SCI-4; Tier 2 minimum = SCI-1</t>
  </si>
  <si>
    <t xml:space="preserve">SCI_JUSTIFICATION</t>
  </si>
  <si>
    <t xml:space="preserve">Key stakeholders identified; roles mapped to scopes; coverage documented</t>
  </si>
  <si>
    <t xml:space="preserve">SCI_NEXT_RUN_UPGRADE</t>
  </si>
  <si>
    <t xml:space="preserve">Expand to SCI-2: structured discovery protocol with evidence refs</t>
  </si>
  <si>
    <t xml:space="preserve">REQUIRED when SCI equals tier minimum</t>
  </si>
  <si>
    <t xml:space="preserve">SCOPE_COVERAGE_MODE</t>
  </si>
  <si>
    <t xml:space="preserve">FULL</t>
  </si>
  <si>
    <t xml:space="preserve">FULL or REDUCED; if REDUCED: ScopeCoverage declaration REQUIRED</t>
  </si>
  <si>
    <t xml:space="preserve">ACTIVE_SCOPES</t>
  </si>
  <si>
    <t xml:space="preserve">U1,U2,U3,U4,U5,U6,U7</t>
  </si>
  <si>
    <t xml:space="preserve">OMITTED_SCOPES</t>
  </si>
  <si>
    <t xml:space="preserve">NONE</t>
  </si>
  <si>
    <t xml:space="preserve">SDP_PERFORMED</t>
  </si>
  <si>
    <t xml:space="preserve">Stakeholder Discovery Protocol (v8.6 Section 2.2A)</t>
  </si>
  <si>
    <t xml:space="preserve">UNCERTAINTY_METHOD</t>
  </si>
  <si>
    <t xml:space="preserve">C</t>
  </si>
  <si>
    <t xml:space="preserve">Method C; constant σ for all active cells via sigma_est (CANON!B26). Tier 2+ requires method declared; this workbook uses Method C.</t>
  </si>
  <si>
    <t xml:space="preserve">SANITY CHECKLIST - COMPUTED PASS/FAIL (v1.8.3)</t>
  </si>
  <si>
    <t xml:space="preserve">ALL Status cells (E6:E35) are FORMULAS comparing Expected vs Actual</t>
  </si>
  <si>
    <t xml:space="preserve">Pattern: =IF(ABS(C-D)&lt;1E-9,"PASS","FAIL") for numeric, =IF(C=D,"PASS","FAIL") for text</t>
  </si>
  <si>
    <t xml:space="preserve">Check_ID</t>
  </si>
  <si>
    <t xml:space="preserve">Check Name</t>
  </si>
  <si>
    <t xml:space="preserve">Expected</t>
  </si>
  <si>
    <t xml:space="preserve">Actual</t>
  </si>
  <si>
    <t xml:space="preserve">Source</t>
  </si>
  <si>
    <t xml:space="preserve">SC-01</t>
  </si>
  <si>
    <t xml:space="preserve">CANON!B7</t>
  </si>
  <si>
    <t xml:space="preserve">SC-02</t>
  </si>
  <si>
    <t xml:space="preserve">Config version</t>
  </si>
  <si>
    <t xml:space="preserve">Config!B2</t>
  </si>
  <si>
    <t xml:space="preserve">SC-03</t>
  </si>
  <si>
    <t xml:space="preserve">PCC version</t>
  </si>
  <si>
    <t xml:space="preserve">PCC!B11</t>
  </si>
  <si>
    <t xml:space="preserve">SC-04</t>
  </si>
  <si>
    <t xml:space="preserve">Framework (Config vs CANON)</t>
  </si>
  <si>
    <t xml:space="preserve">CANON!B5</t>
  </si>
  <si>
    <t xml:space="preserve">SC-05</t>
  </si>
  <si>
    <t xml:space="preserve">CVaR_A TRC=CANON</t>
  </si>
  <si>
    <t xml:space="preserve">TRC vs CANON</t>
  </si>
  <si>
    <t xml:space="preserve">SC-06</t>
  </si>
  <si>
    <t xml:space="preserve">CVaR_B TRC=CANON</t>
  </si>
  <si>
    <t xml:space="preserve">SC-07</t>
  </si>
  <si>
    <t xml:space="preserve">Dashboard CVaR</t>
  </si>
  <si>
    <t xml:space="preserve">Dashboard</t>
  </si>
  <si>
    <t xml:space="preserve">SC-08</t>
  </si>
  <si>
    <t xml:space="preserve">Rights count=8</t>
  </si>
  <si>
    <t xml:space="preserve">CANON!B38</t>
  </si>
  <si>
    <t xml:space="preserve">SC-09</t>
  </si>
  <si>
    <t xml:space="preserve">NCRC mins populated (A+B)</t>
  </si>
  <si>
    <t xml:space="preserve">NCRC</t>
  </si>
  <si>
    <t xml:space="preserve">SC-10</t>
  </si>
  <si>
    <t xml:space="preserve">NCRC_A status</t>
  </si>
  <si>
    <t xml:space="preserve">CANON!B51</t>
  </si>
  <si>
    <t xml:space="preserve">SC-11</t>
  </si>
  <si>
    <t xml:space="preserve">NCRC_B status</t>
  </si>
  <si>
    <t xml:space="preserve">CANON!B52</t>
  </si>
  <si>
    <t xml:space="preserve">SC-12</t>
  </si>
  <si>
    <t xml:space="preserve">θ_pos matches</t>
  </si>
  <si>
    <t xml:space="preserve">Containment</t>
  </si>
  <si>
    <t xml:space="preserve">SC-13</t>
  </si>
  <si>
    <t xml:space="preserve">τ_c matches</t>
  </si>
  <si>
    <t xml:space="preserve">SC-14</t>
  </si>
  <si>
    <t xml:space="preserve">τ_TRC TRC=CANON</t>
  </si>
  <si>
    <t xml:space="preserve">TRC!B9</t>
  </si>
  <si>
    <t xml:space="preserve">SC-15</t>
  </si>
  <si>
    <t xml:space="preserve">Mandatory tails</t>
  </si>
  <si>
    <t xml:space="preserve">WTSL</t>
  </si>
  <si>
    <t xml:space="preserve">SC-16</t>
  </si>
  <si>
    <t xml:space="preserve">Tails covered</t>
  </si>
  <si>
    <t xml:space="preserve">SC-17</t>
  </si>
  <si>
    <t xml:space="preserve">No blank C_cat</t>
  </si>
  <si>
    <t xml:space="preserve">CANON!B76</t>
  </si>
  <si>
    <t xml:space="preserve">SC-18</t>
  </si>
  <si>
    <t xml:space="preserve">Selection mode</t>
  </si>
  <si>
    <t xml:space="preserve">CANON!B70</t>
  </si>
  <si>
    <t xml:space="preserve">SC-19</t>
  </si>
  <si>
    <t xml:space="preserve">Selected option</t>
  </si>
  <si>
    <t xml:space="preserve">CANON!B71</t>
  </si>
  <si>
    <t xml:space="preserve">SC-20</t>
  </si>
  <si>
    <t xml:space="preserve">TRC outputs populated (A+B)</t>
  </si>
  <si>
    <t xml:space="preserve">CANON</t>
  </si>
  <si>
    <t xml:space="preserve">SC-21</t>
  </si>
  <si>
    <t xml:space="preserve">Emergency mode</t>
  </si>
  <si>
    <t xml:space="preserve">SC-22</t>
  </si>
  <si>
    <t xml:space="preserve">No INVALID flags</t>
  </si>
  <si>
    <t xml:space="preserve">Audit_Flags!B21</t>
  </si>
  <si>
    <t xml:space="preserve">SC-23</t>
  </si>
  <si>
    <t xml:space="preserve">Claimable status</t>
  </si>
  <si>
    <t xml:space="preserve">CANON!B81</t>
  </si>
  <si>
    <t xml:space="preserve">SC-24</t>
  </si>
  <si>
    <t xml:space="preserve">CVaR_A recompute</t>
  </si>
  <si>
    <t xml:space="preserve">D.7</t>
  </si>
  <si>
    <t xml:space="preserve">SC-25</t>
  </si>
  <si>
    <t xml:space="preserve">CVaR_B recompute</t>
  </si>
  <si>
    <t xml:space="preserve">SC-26</t>
  </si>
  <si>
    <t xml:space="preserve">Schema valid</t>
  </si>
  <si>
    <t xml:space="preserve">Schema</t>
  </si>
  <si>
    <t xml:space="preserve">SC-27</t>
  </si>
  <si>
    <t xml:space="preserve">CANON!B82</t>
  </si>
  <si>
    <t xml:space="preserve">SC-28</t>
  </si>
  <si>
    <t xml:space="preserve">No placeholders</t>
  </si>
  <si>
    <t xml:space="preserve">CANON!B116</t>
  </si>
  <si>
    <t xml:space="preserve">SC-29</t>
  </si>
  <si>
    <t xml:space="preserve">Audit consistent</t>
  </si>
  <si>
    <t xml:space="preserve">Audit</t>
  </si>
  <si>
    <t xml:space="preserve">SC-30</t>
  </si>
  <si>
    <t xml:space="preserve">Manual override</t>
  </si>
  <si>
    <t xml:space="preserve">Audit_Flags!B18</t>
  </si>
  <si>
    <t xml:space="preserve">COMPUTED SUMMARY</t>
  </si>
  <si>
    <t xml:space="preserve">Total Checks:</t>
  </si>
  <si>
    <t xml:space="preserve">PASS_COUNT:</t>
  </si>
  <si>
    <t xml:space="preserve">FAIL_COUNT:</t>
  </si>
  <si>
    <t xml:space="preserve">OVERALL:</t>
  </si>
  <si>
    <t xml:space="preserve">SC-31</t>
  </si>
  <si>
    <t xml:space="preserve">SCI ≥ Tier minimum</t>
  </si>
  <si>
    <t xml:space="preserve">CANON SCI_LEVEL</t>
  </si>
  <si>
    <t xml:space="preserve">SC-32</t>
  </si>
  <si>
    <t xml:space="preserve">ScopeCoverage mode set</t>
  </si>
  <si>
    <t xml:space="preserve">CANON SCOPE_COVERAGE_MODE</t>
  </si>
  <si>
    <t xml:space="preserve">SC-33</t>
  </si>
  <si>
    <t xml:space="preserve">Uncertainty method declared</t>
  </si>
  <si>
    <t xml:space="preserve">CANON UNCERTAINTY_METHOD</t>
  </si>
  <si>
    <t xml:space="preserve">Displays CANON UNCERTAINTY_METHOD for validator PASS/FAIL.</t>
  </si>
  <si>
    <t xml:space="preserve">SC-34</t>
  </si>
  <si>
    <t xml:space="preserve">SGP version (Config vs CANON)</t>
  </si>
  <si>
    <t xml:space="preserve">Config!B5 vs CANON!B6</t>
  </si>
  <si>
    <t xml:space="preserve">RIPPLE ALIGNERS SHEET v2.2</t>
  </si>
  <si>
    <t xml:space="preserve">VERSION</t>
  </si>
  <si>
    <t xml:space="preserve">Framework:</t>
  </si>
  <si>
    <t xml:space="preserve">SGP Version:</t>
  </si>
  <si>
    <t xml:space="preserve">Date:</t>
  </si>
  <si>
    <t xml:space="preserve">2026-03-15</t>
  </si>
  <si>
    <t xml:space="preserve">TIER &amp; CONTEXT</t>
  </si>
  <si>
    <t xml:space="preserve">Tier Level:</t>
  </si>
  <si>
    <t xml:space="preserve">1=Personal, 2=Core, 3=High-Stakes, 4=Design target (claim prohibited per v8.6)</t>
  </si>
  <si>
    <t xml:space="preserve">Context Type:</t>
  </si>
  <si>
    <t xml:space="preserve">τ_TRC for ORG:</t>
  </si>
  <si>
    <t xml:space="preserve">AI Deployment:</t>
  </si>
  <si>
    <t xml:space="preserve">(YES/NO; makes WTSL-AIX mandatory)</t>
  </si>
  <si>
    <t xml:space="preserve">PROPAGATION &amp; WEIGHTS</t>
  </si>
  <si>
    <t xml:space="preserve">Propagation Mode:</t>
  </si>
  <si>
    <t xml:space="preserve">PLSS_LOCAL</t>
  </si>
  <si>
    <t xml:space="preserve">(UNIFORM/PLSS_LOCAL - v2.0 adds floor-preserving local-scope weighting)</t>
  </si>
  <si>
    <t xml:space="preserve">Kernel Status:</t>
  </si>
  <si>
    <t xml:space="preserve">See PLSS_Local_Scope sheet</t>
  </si>
  <si>
    <t xml:space="preserve">PLSS helper computes q_u, residual shares, and w_u^PLSS; RLS reads Parameters union weights.</t>
  </si>
  <si>
    <t xml:space="preserve">Weight Profile:</t>
  </si>
  <si>
    <t xml:space="preserve">UNIFORM</t>
  </si>
  <si>
    <t xml:space="preserve">1/7 each union and dimension</t>
  </si>
  <si>
    <t xml:space="preserve">Current option-surface:</t>
  </si>
  <si>
    <t xml:space="preserve">Two-option comparison only (A/B)</t>
  </si>
  <si>
    <t xml:space="preserve">Publication disclosure: native final-selection logic currently compares Option A vs Option B only.</t>
  </si>
  <si>
    <t xml:space="preserve">MODE LOCKS</t>
  </si>
  <si>
    <t xml:space="preserve">σ_est (RLS uncertainty)</t>
  </si>
  <si>
    <t xml:space="preserve">Tier 2: optional (can support Gap/σ review). Tier 3+: required for decisiveness checks. Tier 4+: prefer empirically estimated σ.</t>
  </si>
  <si>
    <t xml:space="preserve">σ_est Available:</t>
  </si>
  <si>
    <t xml:space="preserve">(YES/NO; enables Gap/σ test)</t>
  </si>
  <si>
    <t xml:space="preserve">δ (discrimination threshold):</t>
  </si>
  <si>
    <t xml:space="preserve">(Gap/σ &gt; δ for decisive)</t>
  </si>
  <si>
    <t xml:space="preserve">CANONICAL PARAMETERS (LOCKED)</t>
  </si>
  <si>
    <t xml:space="preserve">RIGHTS THRESHOLDS (θ_r) - Lexicographic Priority</t>
  </si>
  <si>
    <t xml:space="preserve">Coverage Summary</t>
  </si>
  <si>
    <t xml:space="preserve">U1-U6×D2, U6×D7</t>
  </si>
  <si>
    <t xml:space="preserve">U1-U6×D2</t>
  </si>
  <si>
    <t xml:space="preserve">U6-U7×D7</t>
  </si>
  <si>
    <t xml:space="preserve">U1–U6×D5 AND U3–U6×D3</t>
  </si>
  <si>
    <t xml:space="preserve">U1-U6×D1,D2</t>
  </si>
  <si>
    <t xml:space="preserve">U1-U6×D3,D5</t>
  </si>
  <si>
    <t xml:space="preserve">U4-U6×D3,D4,D5</t>
  </si>
  <si>
    <t xml:space="preserve">U1-U6×D4,D5</t>
  </si>
  <si>
    <t xml:space="preserve">TRC CONTEXT THRESHOLDS (τ_TRC)</t>
  </si>
  <si>
    <t xml:space="preserve">PERS</t>
  </si>
  <si>
    <t xml:space="preserve">REV</t>
  </si>
  <si>
    <t xml:space="preserve">IRREV</t>
  </si>
  <si>
    <t xml:space="preserve">XRISK</t>
  </si>
  <si>
    <t xml:space="preserve">SCORING PARAMETERS</t>
  </si>
  <si>
    <t xml:space="preserve">β (saturation)</t>
  </si>
  <si>
    <t xml:space="preserve">β_prop</t>
  </si>
  <si>
    <t xml:space="preserve">δ (discrimination)</t>
  </si>
  <si>
    <t xml:space="preserve">τ_c (containment)</t>
  </si>
  <si>
    <t xml:space="preserve">θ_pos</t>
  </si>
  <si>
    <t xml:space="preserve">α (CVaR)</t>
  </si>
  <si>
    <t xml:space="preserve">p_floor</t>
  </si>
  <si>
    <t xml:space="preserve">c_min</t>
  </si>
  <si>
    <t xml:space="preserve">e_min</t>
  </si>
  <si>
    <t xml:space="preserve">e_max</t>
  </si>
  <si>
    <t xml:space="preserve">UNION WEIGHTS (w_u) - PROFILE-DRIVEN</t>
  </si>
  <si>
    <t xml:space="preserve">U1 Self</t>
  </si>
  <si>
    <t xml:space="preserve">U2 Family/Household</t>
  </si>
  <si>
    <t xml:space="preserve">U3 Community</t>
  </si>
  <si>
    <t xml:space="preserve">U4 Organization</t>
  </si>
  <si>
    <t xml:space="preserve">U5 Polity</t>
  </si>
  <si>
    <t xml:space="preserve">U6 Humanity/CMIU</t>
  </si>
  <si>
    <t xml:space="preserve">U7 Biosphere</t>
  </si>
  <si>
    <t xml:space="preserve">DIMENSION WEIGHTS (v_d) - UNIFORM</t>
  </si>
  <si>
    <t xml:space="preserve">D1 Material</t>
  </si>
  <si>
    <t xml:space="preserve">D2 Health</t>
  </si>
  <si>
    <t xml:space="preserve">D3 Social</t>
  </si>
  <si>
    <t xml:space="preserve">D4 Knowledge</t>
  </si>
  <si>
    <t xml:space="preserve">D5 Agency</t>
  </si>
  <si>
    <t xml:space="preserve">D6 Meaning</t>
  </si>
  <si>
    <t xml:space="preserve">D7 Environment</t>
  </si>
  <si>
    <t xml:space="preserve">NOTE: These are UNIFORM DEFAULT WEIGHTS (1/7 each).</t>
  </si>
  <si>
    <t xml:space="preserve">NOTE: v2.0 defaults to PLSS_Local_Scope-derived union weights (floor-preserving residual allocation).</t>
  </si>
  <si>
    <t xml:space="preserve">Set q_u on PLSS_Local_Scope; use equal q_u values for a uniform baseline.</t>
  </si>
  <si>
    <t xml:space="preserve">v8.6 NOTE: Uncertainty estimation REQUIRED for all active cells at Tier 2+</t>
  </si>
  <si>
    <t xml:space="preserve">Active cell definition: m(u,d)=1 for RLS ∪ rights-covered ∪ catastrophe ∪ governance minimum</t>
  </si>
  <si>
    <t xml:space="preserve">PRACTICAL LOCAL SCOPE SCORING (PLSS) - v2.0 HELPER</t>
  </si>
  <si>
    <t xml:space="preserve">Purpose</t>
  </si>
  <si>
    <t xml:space="preserve">Compute floor-preserving local union weights for Ripple_Logic v8.6. Enter q_u values for the unions that are actually live in the decision; the sheet preserves constitutional floors and allocates only the residual.</t>
  </si>
  <si>
    <t xml:space="preserve">Framework</t>
  </si>
  <si>
    <t xml:space="preserve">SGP</t>
  </si>
  <si>
    <t xml:space="preserve">Sheet Version</t>
  </si>
  <si>
    <t xml:space="preserve">Weight Profile</t>
  </si>
  <si>
    <t xml:space="preserve">Key Rule</t>
  </si>
  <si>
    <t xml:space="preserve">Score near, guard far. Floors remain present; q_u allocates only the residual.</t>
  </si>
  <si>
    <t xml:space="preserve">Union Scope</t>
  </si>
  <si>
    <t xml:space="preserve">q_u</t>
  </si>
  <si>
    <t xml:space="preserve">w_u^floor</t>
  </si>
  <si>
    <t xml:space="preserve">rho_u</t>
  </si>
  <si>
    <t xml:space="preserve">w_u^PLSS</t>
  </si>
  <si>
    <t xml:space="preserve">Role</t>
  </si>
  <si>
    <t xml:space="preserve">Note</t>
  </si>
  <si>
    <t xml:space="preserve">Near-field self</t>
  </si>
  <si>
    <t xml:space="preserve">U2 Household</t>
  </si>
  <si>
    <t xml:space="preserve">Primary directly lived/support unit</t>
  </si>
  <si>
    <t xml:space="preserve">Local repeated-contact network</t>
  </si>
  <si>
    <t xml:space="preserve">Structured institution involved</t>
  </si>
  <si>
    <t xml:space="preserve">Governance/public legitimacy</t>
  </si>
  <si>
    <t xml:space="preserve">Cross-border/system-wide coordination</t>
  </si>
  <si>
    <t xml:space="preserve">Ecological support systems</t>
  </si>
  <si>
    <t xml:space="preserve">Residual Mass</t>
  </si>
  <si>
    <t xml:space="preserve">Check: Sum w_u^PLSS</t>
  </si>
  <si>
    <t xml:space="preserve">Check: Floors preserved</t>
  </si>
  <si>
    <t xml:space="preserve">Suggested Scope Mode</t>
  </si>
  <si>
    <t xml:space="preserve">Operator Note</t>
  </si>
  <si>
    <t xml:space="preserve">Use PLSS only after NCRC/TRC/Containment are preserved. If broader rights, tail-risk, lock-in, or hidden externalities become plausible, escalate beyond local-only ranking.</t>
  </si>
  <si>
    <t xml:space="preserve">CANONICAL RIGHTS COVERAGE SETS - 70 Entries</t>
  </si>
  <si>
    <t xml:space="preserve">Reference: Ripple_Logic v8.6 Section 7.2</t>
  </si>
  <si>
    <t xml:space="preserve">#</t>
  </si>
  <si>
    <t xml:space="preserve">Union</t>
  </si>
  <si>
    <t xml:space="preserve">Dimension</t>
  </si>
  <si>
    <t xml:space="preserve">U1</t>
  </si>
  <si>
    <t xml:space="preserve">D2</t>
  </si>
  <si>
    <t xml:space="preserve">U2</t>
  </si>
  <si>
    <t xml:space="preserve">U3</t>
  </si>
  <si>
    <t xml:space="preserve">U4</t>
  </si>
  <si>
    <t xml:space="preserve">U5</t>
  </si>
  <si>
    <t xml:space="preserve">U6</t>
  </si>
  <si>
    <t xml:space="preserve">D7</t>
  </si>
  <si>
    <t xml:space="preserve">U7</t>
  </si>
  <si>
    <t xml:space="preserve">D5</t>
  </si>
  <si>
    <t xml:space="preserve">D3</t>
  </si>
  <si>
    <t xml:space="preserve">D1</t>
  </si>
  <si>
    <t xml:space="preserve">D4</t>
  </si>
  <si>
    <t xml:space="preserve">I_prop_A</t>
  </si>
  <si>
    <t xml:space="preserve">I_prop_B</t>
  </si>
  <si>
    <t xml:space="preserve">I_rights_A</t>
  </si>
  <si>
    <t xml:space="preserve">I_rights_B</t>
  </si>
  <si>
    <t xml:space="preserve">Subgroup_Override_A</t>
  </si>
  <si>
    <t xml:space="preserve">Subgroup_Override_B</t>
  </si>
  <si>
    <t xml:space="preserve">Right_clean</t>
  </si>
  <si>
    <t xml:space="preserve">I_rights_A_num</t>
  </si>
  <si>
    <t xml:space="preserve">I_rights_B_num</t>
  </si>
  <si>
    <t xml:space="preserve">CATASTROPHE CELL SET (C_cat) - TRC Loss Computation</t>
  </si>
  <si>
    <t xml:space="preserve">Reference: Ripple_Logic v8.6 Section 8.3</t>
  </si>
  <si>
    <t xml:space="preserve">BASE SET (Canonical - governance approval required to extend)</t>
  </si>
  <si>
    <t xml:space="preserve">Cell</t>
  </si>
  <si>
    <t xml:space="preserve">Weight (ω_c)</t>
  </si>
  <si>
    <t xml:space="preserve">Rationale</t>
  </si>
  <si>
    <t xml:space="preserve">C1</t>
  </si>
  <si>
    <t xml:space="preserve">D2 (Health)</t>
  </si>
  <si>
    <t xml:space="preserve">Humanity health catastrophe</t>
  </si>
  <si>
    <t xml:space="preserve">C2</t>
  </si>
  <si>
    <t xml:space="preserve">D7 (Environ)</t>
  </si>
  <si>
    <t xml:space="preserve">Humanity-environment interface</t>
  </si>
  <si>
    <t xml:space="preserve">C3</t>
  </si>
  <si>
    <t xml:space="preserve">Biosphere integrity</t>
  </si>
  <si>
    <t xml:space="preserve">Weight Sum Check:</t>
  </si>
  <si>
    <t xml:space="preserve">Must = 1.00</t>
  </si>
  <si>
    <t xml:space="preserve">EXTENSION GOVERNANCE</t>
  </si>
  <si>
    <t xml:space="preserve">Extended cells require:</t>
  </si>
  <si>
    <t xml:space="preserve">  - Tier 3+ governance approval</t>
  </si>
  <si>
    <t xml:space="preserve">  - Documentation in PCC</t>
  </si>
  <si>
    <t xml:space="preserve">  - CCAT_EXTENDED flag set</t>
  </si>
  <si>
    <t xml:space="preserve">CCAT_EXTENDED Flag:</t>
  </si>
  <si>
    <t xml:space="preserve">NO - BASE ONLY</t>
  </si>
  <si>
    <t xml:space="preserve">MANDATORY TAIL RISK CATEGORIES (WTSL)</t>
  </si>
  <si>
    <t xml:space="preserve">Reference: Ripple_Logic v8.6 Section 8.5</t>
  </si>
  <si>
    <t xml:space="preserve">Mandatory tails apply by default. WTSL-AIX is mandatory only if AI Deployment = YES.</t>
  </si>
  <si>
    <t xml:space="preserve">Included voluntarily (precautionary)</t>
  </si>
  <si>
    <t xml:space="preserve">Code</t>
  </si>
  <si>
    <t xml:space="preserve">Category</t>
  </si>
  <si>
    <t xml:space="preserve">Description</t>
  </si>
  <si>
    <t xml:space="preserve">p(cat)</t>
  </si>
  <si>
    <t xml:space="preserve">Pandemic</t>
  </si>
  <si>
    <t xml:space="preserve">Global health crisis</t>
  </si>
  <si>
    <t xml:space="preserve">Climate</t>
  </si>
  <si>
    <t xml:space="preserve">Climate catastrophe</t>
  </si>
  <si>
    <t xml:space="preserve">Financial</t>
  </si>
  <si>
    <t xml:space="preserve">Financial system collapse</t>
  </si>
  <si>
    <t xml:space="preserve">Conflict</t>
  </si>
  <si>
    <t xml:space="preserve">Major armed conflict</t>
  </si>
  <si>
    <t xml:space="preserve">Infrastructure</t>
  </si>
  <si>
    <t xml:space="preserve">Critical infrastructure failure</t>
  </si>
  <si>
    <t xml:space="preserve">AI Risk</t>
  </si>
  <si>
    <t xml:space="preserve">AI misalignment event</t>
  </si>
  <si>
    <t xml:space="preserve">COVERAGE CHECK</t>
  </si>
  <si>
    <t xml:space="preserve">Mandatory Count:</t>
  </si>
  <si>
    <t xml:space="preserve">(5 if AI_DEPLOYMENT=NO, 6 if YES)</t>
  </si>
  <si>
    <t xml:space="preserve">Covered Count:</t>
  </si>
  <si>
    <t xml:space="preserve">Probability Sum:</t>
  </si>
  <si>
    <t xml:space="preserve">(tail scenarios; baseline = 0.60)</t>
  </si>
  <si>
    <t xml:space="preserve">IMPACT INSTANCE INPUT</t>
  </si>
  <si>
    <t xml:space="preserve">Formula: Contribution = μ × r × ℓ × c × e × s × τ(t)</t>
  </si>
  <si>
    <t xml:space="preserve">τ(t) = MIN(1, LN(1+MAX(t, t_min)) / LN(1+T_ref))  where T_ref=25, t_min=0.083 [v8.6 Appendix B.1]</t>
  </si>
  <si>
    <t xml:space="preserve">ID</t>
  </si>
  <si>
    <t xml:space="preserve">Opt</t>
  </si>
  <si>
    <t xml:space="preserve">Dim</t>
  </si>
  <si>
    <t xml:space="preserve">μ</t>
  </si>
  <si>
    <t xml:space="preserve">r</t>
  </si>
  <si>
    <t xml:space="preserve">ℓ</t>
  </si>
  <si>
    <t xml:space="preserve">c</t>
  </si>
  <si>
    <t xml:space="preserve">t</t>
  </si>
  <si>
    <t xml:space="preserve">e</t>
  </si>
  <si>
    <t xml:space="preserve">s</t>
  </si>
  <si>
    <t xml:space="preserve">τ(t)</t>
  </si>
  <si>
    <t xml:space="preserve">Contrib</t>
  </si>
  <si>
    <t xml:space="preserve">I01</t>
  </si>
  <si>
    <t xml:space="preserve">A</t>
  </si>
  <si>
    <t xml:space="preserve">Reduced in-person interaction</t>
  </si>
  <si>
    <t xml:space="preserve">I02</t>
  </si>
  <si>
    <t xml:space="preserve">Increased online community</t>
  </si>
  <si>
    <t xml:space="preserve">I03</t>
  </si>
  <si>
    <t xml:space="preserve">Increased work flexibility</t>
  </si>
  <si>
    <t xml:space="preserve">I04</t>
  </si>
  <si>
    <t xml:space="preserve">Reduced commuting costs</t>
  </si>
  <si>
    <t xml:space="preserve">I05</t>
  </si>
  <si>
    <t xml:space="preserve">D6</t>
  </si>
  <si>
    <t xml:space="preserve">Better work-life balance</t>
  </si>
  <si>
    <t xml:space="preserve">I06</t>
  </si>
  <si>
    <t xml:space="preserve">Reduced carbon emissions</t>
  </si>
  <si>
    <t xml:space="preserve">I07</t>
  </si>
  <si>
    <t xml:space="preserve">Tech infrastructure costs</t>
  </si>
  <si>
    <t xml:space="preserve">I08</t>
  </si>
  <si>
    <t xml:space="preserve">Reduced local business revenue</t>
  </si>
  <si>
    <t xml:space="preserve">I09</t>
  </si>
  <si>
    <t xml:space="preserve">B</t>
  </si>
  <si>
    <t xml:space="preserve">Maintained in-person bonds</t>
  </si>
  <si>
    <t xml:space="preserve">I10</t>
  </si>
  <si>
    <t xml:space="preserve">Limited flexibility</t>
  </si>
  <si>
    <t xml:space="preserve">I11</t>
  </si>
  <si>
    <t xml:space="preserve">Continued commuting costs</t>
  </si>
  <si>
    <t xml:space="preserve">I12</t>
  </si>
  <si>
    <t xml:space="preserve">Continued emissions</t>
  </si>
  <si>
    <t xml:space="preserve">I13</t>
  </si>
  <si>
    <t xml:space="preserve">Stable infrastructure</t>
  </si>
  <si>
    <t xml:space="preserve">I14</t>
  </si>
  <si>
    <t xml:space="preserve">Maintained local business</t>
  </si>
  <si>
    <t xml:space="preserve">SCENARIO-CONDITIONED IMPACT TABLES</t>
  </si>
  <si>
    <t xml:space="preserve">Reference: Ripple_Logic v8.6 Section 8.4</t>
  </si>
  <si>
    <t xml:space="preserve">L(a,s) = Σ_{c∈C_cat} ω_c × max(0, −I_prop_c(a|s))</t>
  </si>
  <si>
    <t xml:space="preserve">NOTE: Loss is computed from catastrophe-cell impacts. Do NOT manually enter Loss. Fill catastrophe-cell impacts (F:H) per scenario; Loss (computed) updates automatically.</t>
  </si>
  <si>
    <t xml:space="preserve">C_cat: U6-D2(0.35), U6-D7(0.30), U7-D7(0.35)</t>
  </si>
  <si>
    <t xml:space="preserve">OPTION A SCENARIO LOSSES</t>
  </si>
  <si>
    <t xml:space="preserve">Scenario</t>
  </si>
  <si>
    <t xml:space="preserve">p(s)</t>
  </si>
  <si>
    <t xml:space="preserve">Loss</t>
  </si>
  <si>
    <t xml:space="preserve">Pathway</t>
  </si>
  <si>
    <t xml:space="preserve">U6-D2 I_prop</t>
  </si>
  <si>
    <t xml:space="preserve">U6-D7 I_prop</t>
  </si>
  <si>
    <t xml:space="preserve">U7-D7 I_prop</t>
  </si>
  <si>
    <t xml:space="preserve">Loss (computed)</t>
  </si>
  <si>
    <t xml:space="preserve">S01</t>
  </si>
  <si>
    <t xml:space="preserve">BASELINE</t>
  </si>
  <si>
    <t xml:space="preserve">Minor monitoring reduction</t>
  </si>
  <si>
    <t xml:space="preserve">S02</t>
  </si>
  <si>
    <t xml:space="preserve">Budget cuts reduce compliance</t>
  </si>
  <si>
    <t xml:space="preserve">S03</t>
  </si>
  <si>
    <t xml:space="preserve">Health crisis, isolation stress</t>
  </si>
  <si>
    <t xml:space="preserve">S04</t>
  </si>
  <si>
    <t xml:space="preserve">Climate degrades biosphere</t>
  </si>
  <si>
    <t xml:space="preserve">S05</t>
  </si>
  <si>
    <t xml:space="preserve">Tech dependency vulnerability</t>
  </si>
  <si>
    <t xml:space="preserve">S06</t>
  </si>
  <si>
    <t xml:space="preserve">Conflict casualties</t>
  </si>
  <si>
    <t xml:space="preserve">S07</t>
  </si>
  <si>
    <t xml:space="preserve">AI failures cascade</t>
  </si>
  <si>
    <t xml:space="preserve">OPTION B SCENARIO LOSSES</t>
  </si>
  <si>
    <t xml:space="preserve">Emissions continue</t>
  </si>
  <si>
    <t xml:space="preserve">Community bonds buffer</t>
  </si>
  <si>
    <t xml:space="preserve">Transmission risk</t>
  </si>
  <si>
    <t xml:space="preserve">Resilience buffers</t>
  </si>
  <si>
    <t xml:space="preserve">Less tech-dependent</t>
  </si>
  <si>
    <t xml:space="preserve">Human coord persists</t>
  </si>
  <si>
    <t xml:space="preserve">Less AI dependency</t>
  </si>
  <si>
    <t xml:space="preserve">KEY INSIGHT: Option A has 0 catastrophic loss; Option B has minor loss (0.003574) in baseline</t>
  </si>
  <si>
    <t xml:space="preserve">Both options pass TRC (CVaR ≤ τ_TRC = 0.20)</t>
  </si>
  <si>
    <t xml:space="preserve">NOTE: WTSL-AIX (S07) included voluntarily as precautionary measure.</t>
  </si>
  <si>
    <t xml:space="preserve">AI_DEPLOYMENT=NO, so not mandatory for tail coverage.</t>
  </si>
  <si>
    <t xml:space="preserve">IMPACT PROPAGATION MATRIX (I_prop)</t>
  </si>
  <si>
    <t xml:space="preserve">Mode: NONE (direct aggregation from Impact_Input; post-saturation tanh(β×Ĩ_dir))</t>
  </si>
  <si>
    <t xml:space="preserve">OPTION A</t>
  </si>
  <si>
    <t xml:space="preserve">OPTION B</t>
  </si>
  <si>
    <t xml:space="preserve">LEVEL 1: NON-COMPENSATORY RIGHTS CONSTRAINT (NCRC)</t>
  </si>
  <si>
    <t xml:space="preserve">Reference: Ripple_Logic v8.6 Section 7.0</t>
  </si>
  <si>
    <t xml:space="preserve">Rule: For each right r, MIN impact across coverage set must be ≥ θ_r</t>
  </si>
  <si>
    <t xml:space="preserve">NCRC RIGHTS FLOOR CHECK (Min_I_rights vs θ_r; PASS if Min_I_rights ≥ θ_r)</t>
  </si>
  <si>
    <t xml:space="preserve">OPTION A RIGHTS CHECK</t>
  </si>
  <si>
    <t xml:space="preserve">Min_I_rights_A</t>
  </si>
  <si>
    <t xml:space="preserve">Min_I_rights_B</t>
  </si>
  <si>
    <t xml:space="preserve">Pass_A</t>
  </si>
  <si>
    <t xml:space="preserve">Pass_B</t>
  </si>
  <si>
    <t xml:space="preserve">Worst_Cell_A</t>
  </si>
  <si>
    <t xml:space="preserve">Worst_Cell_B</t>
  </si>
  <si>
    <t xml:space="preserve">NCRC OUTCOME</t>
  </si>
  <si>
    <t xml:space="preserve">Option A:</t>
  </si>
  <si>
    <t xml:space="preserve">PASS (all rights satisfied)</t>
  </si>
  <si>
    <t xml:space="preserve">NCRC_A_status</t>
  </si>
  <si>
    <t xml:space="preserve">(All v_r = 0)</t>
  </si>
  <si>
    <t xml:space="preserve">Option B:</t>
  </si>
  <si>
    <t xml:space="preserve">NCRC_B_status</t>
  </si>
  <si>
    <t xml:space="preserve">Note: Proof Snippet columns (H:I) show the exact Rights_Coverage_View cell holding the worst-off I_rights value for each right (A and B).</t>
  </si>
  <si>
    <t xml:space="preserve">OPTION B RIGHTS CHECK</t>
  </si>
  <si>
    <t xml:space="preserve">PASS</t>
  </si>
  <si>
    <t xml:space="preserve">Overall NCRC status (B):</t>
  </si>
  <si>
    <t xml:space="preserve">Overall NCRC status (B)</t>
  </si>
  <si>
    <t xml:space="preserve">A_NCRC (Rights-Admissible):</t>
  </si>
  <si>
    <t xml:space="preserve">{A, B}</t>
  </si>
  <si>
    <t xml:space="preserve">Emergency Mode:</t>
  </si>
  <si>
    <t xml:space="preserve">NOT INVOKED</t>
  </si>
  <si>
    <t xml:space="preserve">Both options are rights-admissible</t>
  </si>
  <si>
    <t xml:space="preserve">Emergency Mode: NOT INVOKED</t>
  </si>
  <si>
    <t xml:space="preserve">LEVEL 2: TAIL RISK CONSTRAINT (TRC)</t>
  </si>
  <si>
    <t xml:space="preserve">Reference: Ripple_Logic v8.6 Appendix D.7</t>
  </si>
  <si>
    <t xml:space="preserve">Algorithm: Discrete CVaR with sorted-tail method</t>
  </si>
  <si>
    <t xml:space="preserve">PARAMETERS</t>
  </si>
  <si>
    <t xml:space="preserve">α (confidence):</t>
  </si>
  <si>
    <t xml:space="preserve">SortKey</t>
  </si>
  <si>
    <t xml:space="preserve">Rank</t>
  </si>
  <si>
    <t xml:space="preserve">Sorted scenarios</t>
  </si>
  <si>
    <t xml:space="preserve">β (tail mass):</t>
  </si>
  <si>
    <t xml:space="preserve">Cum_p</t>
  </si>
  <si>
    <t xml:space="preserve">Tail_w</t>
  </si>
  <si>
    <t xml:space="preserve">Tail_contrib</t>
  </si>
  <si>
    <t xml:space="preserve">τ_TRC (threshold):</t>
  </si>
  <si>
    <t xml:space="preserve">Context:</t>
  </si>
  <si>
    <t xml:space="preserve">OPTION A: CVaR COMPUTATION</t>
  </si>
  <si>
    <t xml:space="preserve">Step 1: Sort scenarios by Loss DESCENDING</t>
  </si>
  <si>
    <t xml:space="preserve">In Tail</t>
  </si>
  <si>
    <t xml:space="preserve">Tail_Weight</t>
  </si>
  <si>
    <t xml:space="preserve">Contribution</t>
  </si>
  <si>
    <t xml:space="preserve">PARTIAL</t>
  </si>
  <si>
    <t xml:space="preserve">Step 2: CVaR_A = Σ(Contribution) / β</t>
  </si>
  <si>
    <t xml:space="preserve">Sum of contributions:</t>
  </si>
  <si>
    <t xml:space="preserve">CVaR_A:</t>
  </si>
  <si>
    <t xml:space="preserve">Status:</t>
  </si>
  <si>
    <t xml:space="preserve">(CVaR_A = 0.0219 ≤ τ_TRC = 0.20)</t>
  </si>
  <si>
    <t xml:space="preserve">OPTION B: CVaR COMPUTATION</t>
  </si>
  <si>
    <t xml:space="preserve">Step 2: CVaR_B = Σ(Contribution) / β</t>
  </si>
  <si>
    <t xml:space="preserve">CVaR_B:</t>
  </si>
  <si>
    <t xml:space="preserve">(CVaR_B = 0.0315 ≤ τ_TRC = 0.20)</t>
  </si>
  <si>
    <t xml:space="preserve">TRC OUTCOME</t>
  </si>
  <si>
    <t xml:space="preserve">A_adm = {A, B}</t>
  </si>
  <si>
    <t xml:space="preserve">TRC Mode: NORMAL (both options pass)</t>
  </si>
  <si>
    <t xml:space="preserve">Cascade proceeds to Containment (Level 3)</t>
  </si>
  <si>
    <t xml:space="preserve">LEVEL 3: CONTAINMENT CONSTRAINT (Tier 2 proxy: union-score diagnostic)</t>
  </si>
  <si>
    <t xml:space="preserve">Containment computed</t>
  </si>
  <si>
    <t xml:space="preserve">Reference: Section 9.0 (Full ΔUCI containment is Tier 3+ binding; Tier 2 uses proxy display here) [v8.6]</t>
  </si>
  <si>
    <t xml:space="preserve">τ_c</t>
  </si>
  <si>
    <t xml:space="preserve">S_u(A)</t>
  </si>
  <si>
    <t xml:space="preserve">S_u(B)</t>
  </si>
  <si>
    <t xml:space="preserve">OPTION A: UNION SCORES</t>
  </si>
  <si>
    <t xml:space="preserve">Containment_Status_A</t>
  </si>
  <si>
    <t xml:space="preserve">Containment_Status_B</t>
  </si>
  <si>
    <t xml:space="preserve">U_pos(A) = {U1} (U1 ≥ 0.05)</t>
  </si>
  <si>
    <t xml:space="preserve">Containment_A: PASS (vacuous)</t>
  </si>
  <si>
    <t xml:space="preserve">OPTION B: UNION SCORES</t>
  </si>
  <si>
    <t xml:space="preserve">U_pos(B) = ∅ (no union ≥ 0.05)</t>
  </si>
  <si>
    <t xml:space="preserve">Containment_B: PASS (vacuous)</t>
  </si>
  <si>
    <t xml:space="preserve">CONTAINMENT OUTCOME</t>
  </si>
  <si>
    <t xml:space="preserve">A_sel (Selectable): {A, B}</t>
  </si>
  <si>
    <t xml:space="preserve">Cascade proceeds to RLS (Level 4)</t>
  </si>
  <si>
    <t xml:space="preserve">LEVEL 4: RIPPLE LOGIC SCORE</t>
  </si>
  <si>
    <t xml:space="preserve">Reference: Ripple_Logic v8.6 Section 10.0</t>
  </si>
  <si>
    <t xml:space="preserve">RLS = Σ_u Σ_d w_u × v_d × m(u,d) × κ(u,d) × I_prop_welfare(u,d,a)</t>
  </si>
  <si>
    <t xml:space="preserve">OPTION A RLS COMPUTATION</t>
  </si>
  <si>
    <t xml:space="preserve">Computed RLS(B):</t>
  </si>
  <si>
    <t xml:space="preserve">Union-Dimension Contributions:</t>
  </si>
  <si>
    <t xml:space="preserve">U1-D5</t>
  </si>
  <si>
    <t xml:space="preserve">U1-D6</t>
  </si>
  <si>
    <t xml:space="preserve">U2-D1</t>
  </si>
  <si>
    <t xml:space="preserve">U3-D1</t>
  </si>
  <si>
    <t xml:space="preserve">U3-D3</t>
  </si>
  <si>
    <t xml:space="preserve">U4-D1</t>
  </si>
  <si>
    <t xml:space="preserve">U7-D7</t>
  </si>
  <si>
    <t xml:space="preserve">RLS(A) = 0.005462</t>
  </si>
  <si>
    <t xml:space="preserve">OPTION B RLS COMPUTATION</t>
  </si>
  <si>
    <t xml:space="preserve">RLS(B) = 0.000202</t>
  </si>
  <si>
    <t xml:space="preserve">RLS COMPARISON</t>
  </si>
  <si>
    <t xml:space="preserve">Gap = 0.00526</t>
  </si>
  <si>
    <t xml:space="preserve">σ_est = 0.02</t>
  </si>
  <si>
    <t xml:space="preserve">RLS OUTCOME: NON-DECISIVE</t>
  </si>
  <si>
    <t xml:space="preserve">Higher RLS: Option A (proceed to tie-break)</t>
  </si>
  <si>
    <t xml:space="preserve">RLS OUTCOME</t>
  </si>
  <si>
    <t xml:space="preserve">RLS would favor A (higher score) but gap not decisive</t>
  </si>
  <si>
    <t xml:space="preserve">Per Section 10.0: RLS MUST NEVER override NCRC or TRC</t>
  </si>
  <si>
    <t xml:space="preserve">CALC BLOCK (v1.5): RLS computed from I_prop and weights</t>
  </si>
  <si>
    <t xml:space="preserve">w_u</t>
  </si>
  <si>
    <t xml:space="preserve">RLS(A)</t>
  </si>
  <si>
    <t xml:space="preserve">RLS(B)</t>
  </si>
  <si>
    <t xml:space="preserve">Preferred by RLS (higher)</t>
  </si>
  <si>
    <t xml:space="preserve">LEVEL 5: TIE-BREAK METRICS</t>
  </si>
  <si>
    <t xml:space="preserve">Reference: Ripple_Logic v8.6 Section 11.0</t>
  </si>
  <si>
    <t xml:space="preserve">HOI = Hollowing-Out Index (canonical per v8.6)</t>
  </si>
  <si>
    <t xml:space="preserve">Per Section 11: Used when RLS is non-decisive</t>
  </si>
  <si>
    <t xml:space="preserve">UCI computes structural condition, independent of welfare impacts.</t>
  </si>
  <si>
    <t xml:space="preserve">Per union u: UCI_u = (Cohesion + Flow + Resilience + Equity) / 4</t>
  </si>
  <si>
    <t xml:space="preserve">Overall: UCI = average(UCI_u) across unions (Tier 2).</t>
  </si>
  <si>
    <t xml:space="preserve">R = Review cycle, E = Evidence quality</t>
  </si>
  <si>
    <t xml:space="preserve">(Tier 3: sources/provenance required; UCI must be structurally independent of RLS inputs.)</t>
  </si>
  <si>
    <t xml:space="preserve">C (Cohesion)</t>
  </si>
  <si>
    <t xml:space="preserve">F (Flow)</t>
  </si>
  <si>
    <t xml:space="preserve">R (Resilience)</t>
  </si>
  <si>
    <t xml:space="preserve">E (Equity)</t>
  </si>
  <si>
    <t xml:space="preserve">UCI_u</t>
  </si>
  <si>
    <t xml:space="preserve">UCI (mean over unions)</t>
  </si>
  <si>
    <t xml:space="preserve">Note: Uniform values = evaluator assessment</t>
  </si>
  <si>
    <t xml:space="preserve">For Tier 3: require independent structural indicators</t>
  </si>
  <si>
    <t xml:space="preserve">HOI STATUS</t>
  </si>
  <si>
    <t xml:space="preserve">HOI = 0 (no human override requested)</t>
  </si>
  <si>
    <t xml:space="preserve">Status: OK</t>
  </si>
  <si>
    <t xml:space="preserve">TIE-BREAK OUTCOME</t>
  </si>
  <si>
    <t xml:space="preserve">UCI: Non-decisive (uniform evaluator assessment)</t>
  </si>
  <si>
    <t xml:space="preserve">HOI: 0 (no hollowing-out risk flagged)</t>
  </si>
  <si>
    <t xml:space="preserve">Resolution: JUDGMENT_CALL - Select higher RLS (A) with monitoring</t>
  </si>
  <si>
    <t xml:space="preserve">RIPPLE_LOGIC v8.6 - DECISION DASHBOARD</t>
  </si>
  <si>
    <t xml:space="preserve">DISCLOSURE</t>
  </si>
  <si>
    <t xml:space="preserve">Current dashboard and selection logic implement a two-option comparison (Option A vs Option B). Do not represent the workbook as native multi-option optimization without extending the comparison logic.</t>
  </si>
  <si>
    <t xml:space="preserve">DECISION CONTEXT</t>
  </si>
  <si>
    <t xml:space="preserve">Decision:</t>
  </si>
  <si>
    <t xml:space="preserve">Tier:</t>
  </si>
  <si>
    <t xml:space="preserve">TRC Active:</t>
  </si>
  <si>
    <t xml:space="preserve">LEXICOGRAPHIC CASCADE</t>
  </si>
  <si>
    <t xml:space="preserve">Level</t>
  </si>
  <si>
    <t xml:space="preserve">Gate</t>
  </si>
  <si>
    <t xml:space="preserve">Option A</t>
  </si>
  <si>
    <t xml:space="preserve">Option B</t>
  </si>
  <si>
    <t xml:space="preserve">Resolution</t>
  </si>
  <si>
    <t xml:space="preserve">1</t>
  </si>
  <si>
    <t xml:space="preserve">2</t>
  </si>
  <si>
    <t xml:space="preserve">TRC</t>
  </si>
  <si>
    <t xml:space="preserve">3</t>
  </si>
  <si>
    <t xml:space="preserve">4</t>
  </si>
  <si>
    <t xml:space="preserve">RLS</t>
  </si>
  <si>
    <t xml:space="preserve">Selection-note:</t>
  </si>
  <si>
    <t xml:space="preserve">Two-option surface only (A/B)</t>
  </si>
  <si>
    <t xml:space="preserve">Selection Mode:</t>
  </si>
  <si>
    <t xml:space="preserve">Selected Option:</t>
  </si>
  <si>
    <t xml:space="preserve">Selection Basis:</t>
  </si>
  <si>
    <t xml:space="preserve">PLSS Scope Note:</t>
  </si>
  <si>
    <t xml:space="preserve">CLAIMABILITY STATUS (from CANON)</t>
  </si>
  <si>
    <t xml:space="preserve">Claimable Run:</t>
  </si>
  <si>
    <t xml:space="preserve">Invalid Flags:</t>
  </si>
  <si>
    <t xml:space="preserve">C_cat Blank Count:</t>
  </si>
  <si>
    <t xml:space="preserve">Scenario Impact Missing:</t>
  </si>
  <si>
    <t xml:space="preserve">AUDIT FLAGS SUMMARY</t>
  </si>
  <si>
    <t xml:space="preserve">Invalid Count:</t>
  </si>
  <si>
    <t xml:space="preserve">Escalate Count:</t>
  </si>
  <si>
    <t xml:space="preserve">Review Count:</t>
  </si>
  <si>
    <t xml:space="preserve">Total Active:</t>
  </si>
  <si>
    <t xml:space="preserve">Triggered Flags:</t>
  </si>
  <si>
    <t xml:space="preserve">⚠ REVIEW flags present</t>
  </si>
  <si>
    <t xml:space="preserve">Audit flags (active)</t>
  </si>
  <si>
    <t xml:space="preserve">REQUIRED FOLLOW-UP</t>
  </si>
  <si>
    <t xml:space="preserve">1. ☐ Document judgment call rationale</t>
  </si>
  <si>
    <t xml:space="preserve">2. ☐ Schedule enhanced monitoring (quarterly)</t>
  </si>
  <si>
    <t xml:space="preserve">4. ☐ Consider Tier 3 upgrade if stakes increase</t>
  </si>
  <si>
    <t xml:space="preserve">AUDIT FLAGS - FORMULA-DRIVEN SSOT (v1.8.3)</t>
  </si>
  <si>
    <t xml:space="preserve">ALL Triggered cells (B5:B17) are FORMULAS - zero typed values</t>
  </si>
  <si>
    <t xml:space="preserve">Manual override detector (B18) catches any tampering</t>
  </si>
  <si>
    <t xml:space="preserve">Flag_ID</t>
  </si>
  <si>
    <t xml:space="preserve">Triggered</t>
  </si>
  <si>
    <t xml:space="preserve">Severity</t>
  </si>
  <si>
    <t xml:space="preserve">Formula Logic</t>
  </si>
  <si>
    <t xml:space="preserve">Helper_Flag</t>
  </si>
  <si>
    <t xml:space="preserve">Helper_Sev</t>
  </si>
  <si>
    <t xml:space="preserve">CATASTROPHE_CELL_OMITTED_INVALID</t>
  </si>
  <si>
    <t xml:space="preserve">INVALID</t>
  </si>
  <si>
    <t xml:space="preserve">Any catastrophe cell in C_cat used in TRC loss computation/disclosure is omitted/excluded/not disclosed such that TRC CVaR cannot be independently recomputed (e.g., C_cat blank when TRC active).</t>
  </si>
  <si>
    <t xml:space="preserve">CANON!B13,B76</t>
  </si>
  <si>
    <t xml:space="preserve">MANDATORY_TAIL_CATEGORY_MISSING</t>
  </si>
  <si>
    <t xml:space="preserve">ESCALATE</t>
  </si>
  <si>
    <t xml:space="preserve">Missing mandatory tail category (required WTSL category not covered at p_floor).</t>
  </si>
  <si>
    <t xml:space="preserve">WTSL_Categories!B16,B17</t>
  </si>
  <si>
    <t xml:space="preserve">CONFIG_DRIFT</t>
  </si>
  <si>
    <t xml:space="preserve">Config version &lt;&gt; CANON</t>
  </si>
  <si>
    <t xml:space="preserve">Config!B2&lt;&gt;CANON!B7</t>
  </si>
  <si>
    <t xml:space="preserve">RIGHTS_COUNT_MISMATCH</t>
  </si>
  <si>
    <t xml:space="preserve">Rights count &lt;&gt; 8</t>
  </si>
  <si>
    <t xml:space="preserve">CANON!B38&lt;&gt;8</t>
  </si>
  <si>
    <t xml:space="preserve">SELECTION_INVALID</t>
  </si>
  <si>
    <t xml:space="preserve">No valid selection</t>
  </si>
  <si>
    <t xml:space="preserve">SELECTED_OPTION blank</t>
  </si>
  <si>
    <t xml:space="preserve">TRC_FALLBACK_INVOKED</t>
  </si>
  <si>
    <t xml:space="preserve">TRC failed for admissible</t>
  </si>
  <si>
    <t xml:space="preserve">A_NCRC&gt;0 AND A_ADM=0</t>
  </si>
  <si>
    <t xml:space="preserve">CANON!B67,B68</t>
  </si>
  <si>
    <t xml:space="preserve">EMERGENCY_MODE_INVOKED</t>
  </si>
  <si>
    <t xml:space="preserve">No rights-admissible options</t>
  </si>
  <si>
    <t xml:space="preserve">A_NCRC_COUNT=0</t>
  </si>
  <si>
    <t xml:space="preserve">CANON!B67</t>
  </si>
  <si>
    <t xml:space="preserve">Escalation required</t>
  </si>
  <si>
    <t xml:space="preserve">CANON!B73=YES</t>
  </si>
  <si>
    <t xml:space="preserve">CANON!B73</t>
  </si>
  <si>
    <t xml:space="preserve">SIGMA_MISSING_REQUIRED</t>
  </si>
  <si>
    <t xml:space="preserve">Uncertainty σ required for Tier 2+ but missing/invalid (method or sigma_est not declared).</t>
  </si>
  <si>
    <t xml:space="preserve">CANON!B8,B26,B137</t>
  </si>
  <si>
    <t xml:space="preserve">SUBGROUP_LIMITATION</t>
  </si>
  <si>
    <t xml:space="preserve">REVIEW</t>
  </si>
  <si>
    <t xml:space="preserve">No subgroup override entries AND no documented subgroup analysis</t>
  </si>
  <si>
    <t xml:space="preserve">Overrides=0 AND analysis_done=0</t>
  </si>
  <si>
    <t xml:space="preserve">Subgroup_Overrides!B17 + Subgroup_Analysis!B46</t>
  </si>
  <si>
    <t xml:space="preserve">NONDECISIVE_GAP_REVIEW</t>
  </si>
  <si>
    <t xml:space="preserve">RLS discrimination band indicates a non-decisive gap (|RLS_A − RLS_B| within δ), requires reviewer attention / UCI.</t>
  </si>
  <si>
    <t xml:space="preserve">CANON!B8,RLS!B38,CANON!B94</t>
  </si>
  <si>
    <t xml:space="preserve">UCI_SOURCE_UNVERIFIED</t>
  </si>
  <si>
    <t xml:space="preserve">UCI unverified (Tier 3+)</t>
  </si>
  <si>
    <t xml:space="preserve">TIER&gt;=3</t>
  </si>
  <si>
    <t xml:space="preserve">CANON!B10</t>
  </si>
  <si>
    <t xml:space="preserve">SENSITIVITY_NOT_RUN</t>
  </si>
  <si>
    <t xml:space="preserve">Sensitivity not executed</t>
  </si>
  <si>
    <t xml:space="preserve">Status=NOT PERFORMED</t>
  </si>
  <si>
    <t xml:space="preserve">Sensitivity_Analysis!B3</t>
  </si>
  <si>
    <t xml:space="preserve">MANUAL_FLAG_OVERRIDE</t>
  </si>
  <si>
    <t xml:space="preserve">Manual override detected</t>
  </si>
  <si>
    <t xml:space="preserve">Triggers if any flag trigger cell is not an explicit YES/NO (format break / potential manual overwrite).</t>
  </si>
  <si>
    <t xml:space="preserve">Self-check</t>
  </si>
  <si>
    <t xml:space="preserve">ACTIVE_FLAG_DETAILS</t>
  </si>
  <si>
    <t xml:space="preserve">COMPUTED SUMMARY (COUNTIFS formulas)</t>
  </si>
  <si>
    <t xml:space="preserve">INVALID_FLAGS_LIST</t>
  </si>
  <si>
    <t xml:space="preserve">INVALID_COUNT</t>
  </si>
  <si>
    <t xml:space="preserve">Formula</t>
  </si>
  <si>
    <t xml:space="preserve">ESCALATE_FLAGS_LIST</t>
  </si>
  <si>
    <t xml:space="preserve">ESCALATE_COUNT</t>
  </si>
  <si>
    <t xml:space="preserve">REVIEW_FLAGS_LIST</t>
  </si>
  <si>
    <t xml:space="preserve">REVIEW_COUNT</t>
  </si>
  <si>
    <t xml:space="preserve">TOTAL_ACTIVE</t>
  </si>
  <si>
    <t xml:space="preserve">SCOPE_COVERAGE_REDUCED</t>
  </si>
  <si>
    <t xml:space="preserve">Reduced-scope used without ScopeCoverage declaration</t>
  </si>
  <si>
    <t xml:space="preserve">SCOPE_COVERAGE_MODE=REDUCED AND (OmittedScopes=NONE or blank)</t>
  </si>
  <si>
    <t xml:space="preserve">CANON v8.6 fields</t>
  </si>
  <si>
    <t xml:space="preserve">SCI_BELOW_MINIMUM</t>
  </si>
  <si>
    <t xml:space="preserve">SCI below tier minimum (Tier 2: SCI≥1; Tier 3: SCI≥2)</t>
  </si>
  <si>
    <t xml:space="preserve">TIER&gt;=2 AND SCI_LEVEL &lt; tier_minimum</t>
  </si>
  <si>
    <t xml:space="preserve">CANON v8.6 SCI fields</t>
  </si>
  <si>
    <t xml:space="preserve">SCI_AT_MINIMUM_NO_UPGRADE</t>
  </si>
  <si>
    <t xml:space="preserve">SCI at tier minimum but no NextRunUpgrade action declared</t>
  </si>
  <si>
    <t xml:space="preserve">SCI=tier_min AND SCI_NEXT_RUN_UPGRADE blank</t>
  </si>
  <si>
    <t xml:space="preserve">UNCERTAINTY_NOT_DECLARED</t>
  </si>
  <si>
    <t xml:space="preserve">Tier 2+ requires uncertainty method (A/B/C) per v8.6</t>
  </si>
  <si>
    <t xml:space="preserve">TIER&gt;=2 AND UNCERTAINTY_METHOD blank</t>
  </si>
  <si>
    <t xml:space="preserve">CANON v8.6 UNCERTAINTY_METHOD</t>
  </si>
  <si>
    <t xml:space="preserve">CANON LINK VERIFICATION</t>
  </si>
  <si>
    <t xml:space="preserve">CANON!B80 must equal B21</t>
  </si>
  <si>
    <t xml:space="preserve">Match:</t>
  </si>
  <si>
    <t xml:space="preserve">FLAG TAXONOMY NOTE (v8.6)</t>
  </si>
  <si>
    <t xml:space="preserve">This workbook emits two kinds of flags: (1) Canon-aligned audit flags intended to correspond to Ripple_Logic v8.6 Appendix H.3 reviewer actions, and (2) Tool-local integrity flags that protect the calculator/PCC emitter itself. Tool-local flags are marked TOOL_LOCAL below and SHOULD NOT be interpreted as new Ripple_Logic normative audit taxonomy.</t>
  </si>
  <si>
    <t xml:space="preserve">Classification</t>
  </si>
  <si>
    <t xml:space="preserve">Canonical reference / mapping</t>
  </si>
  <si>
    <t xml:space="preserve">Reviewer note</t>
  </si>
  <si>
    <t xml:space="preserve">TOOL_LOCAL</t>
  </si>
  <si>
    <t xml:space="preserve">(none)</t>
  </si>
  <si>
    <t xml:space="preserve">Workbook config/version mismatch; treat as INVALID for this emitter.</t>
  </si>
  <si>
    <t xml:space="preserve">Workbook sanity check; not a Ripple_Logic audit flag.</t>
  </si>
  <si>
    <t xml:space="preserve">No selected option; tool integrity failure.</t>
  </si>
  <si>
    <t xml:space="preserve">Manual edits detected in trigger cells; invalidate run output.</t>
  </si>
  <si>
    <t xml:space="preserve">Maps to: REVIEW (underdetermined)</t>
  </si>
  <si>
    <t xml:space="preserve">Indicates discrimination band / non-decisive gap; triggers reviewer attention.</t>
  </si>
  <si>
    <t xml:space="preserve">Maps to: REVIEW (evidence)</t>
  </si>
  <si>
    <t xml:space="preserve">Source provenance for UCI/HOI inputs not documented in this workbook.</t>
  </si>
  <si>
    <t xml:space="preserve">Maps to: REVIEW (sensitivity)</t>
  </si>
  <si>
    <t xml:space="preserve">Sensitivity analysis not executed or not documented for this run.</t>
  </si>
  <si>
    <t xml:space="preserve">Maps to: REVIEW (scope)</t>
  </si>
  <si>
    <t xml:space="preserve">Scope coverage reduced; ensure disclosure in PCC.</t>
  </si>
  <si>
    <t xml:space="preserve">PROVENANCE AND COMPLIANCE CERTIFICATE (PCC)</t>
  </si>
  <si>
    <t xml:space="preserve">SECTION 1: DECISION METADATA</t>
  </si>
  <si>
    <t xml:space="preserve">Decision_ID</t>
  </si>
  <si>
    <t xml:space="preserve">ORG-2026-001</t>
  </si>
  <si>
    <t xml:space="preserve">Decision_Name</t>
  </si>
  <si>
    <t xml:space="preserve">Remote Work Policy Implementation</t>
  </si>
  <si>
    <t xml:space="preserve">2026-02-01</t>
  </si>
  <si>
    <t xml:space="preserve">Evaluator</t>
  </si>
  <si>
    <t xml:space="preserve">James Pether Sörling, Lead Architect, MathGov Institute</t>
  </si>
  <si>
    <t xml:space="preserve">Reviewer</t>
  </si>
  <si>
    <t xml:space="preserve">N/A (Tier 2 - independent review optional)</t>
  </si>
  <si>
    <t xml:space="preserve">Tier_Level</t>
  </si>
  <si>
    <t xml:space="preserve">2 (Core)</t>
  </si>
  <si>
    <t xml:space="preserve">Context_Type</t>
  </si>
  <si>
    <t xml:space="preserve">Sheet_Version</t>
  </si>
  <si>
    <t xml:space="preserve">Framework_Version</t>
  </si>
  <si>
    <t xml:space="preserve">SGP_Version</t>
  </si>
  <si>
    <t xml:space="preserve">SECTION 2: CONFIGURATION</t>
  </si>
  <si>
    <t xml:space="preserve">Weight_Profile</t>
  </si>
  <si>
    <t xml:space="preserve">UNIFORM (1/7 each)</t>
  </si>
  <si>
    <t xml:space="preserve">Propagation_Mode</t>
  </si>
  <si>
    <t xml:space="preserve">Kernel_Status</t>
  </si>
  <si>
    <t xml:space="preserve">Not used</t>
  </si>
  <si>
    <t xml:space="preserve">β_saturation</t>
  </si>
  <si>
    <t xml:space="preserve">δ_discrimination</t>
  </si>
  <si>
    <t xml:space="preserve">τ_c_containment</t>
  </si>
  <si>
    <t xml:space="preserve">α_CVaR</t>
  </si>
  <si>
    <t xml:space="preserve">τ_TRC</t>
  </si>
  <si>
    <t xml:space="preserve">Uncertainty_Method</t>
  </si>
  <si>
    <t xml:space="preserve">Method C: constant σ for all active welfare cells (sigma_est).</t>
  </si>
  <si>
    <t xml:space="preserve">Sigma_AllActiveCells</t>
  </si>
  <si>
    <t xml:space="preserve">σ used for discrimination band ε/δ checks and nondecisive-gap detection (Tier 2 worked run).</t>
  </si>
  <si>
    <t xml:space="preserve">SECTION 3: RIGHTS CONFIGURATION</t>
  </si>
  <si>
    <t xml:space="preserve">Rights_Coverage_Version</t>
  </si>
  <si>
    <t xml:space="preserve">v8.6 Canonical</t>
  </si>
  <si>
    <t xml:space="preserve">Rights_Checked</t>
  </si>
  <si>
    <t xml:space="preserve">8 (LIFE,BODY,ECOL,LBTY,NEED,DIGN,PROC,INFO)</t>
  </si>
  <si>
    <t xml:space="preserve">Coverage_Sets_Count</t>
  </si>
  <si>
    <t xml:space="preserve">Subgroup_Policy</t>
  </si>
  <si>
    <t xml:space="preserve">Overrides table (Subgroup_Overrides) optional; SUBGROUP_LIMITATION flagged if missing on negative rights cells</t>
  </si>
  <si>
    <t xml:space="preserve">BaselineType_Welfare</t>
  </si>
  <si>
    <t xml:space="preserve">STATUS_QUO</t>
  </si>
  <si>
    <t xml:space="preserve">Welfare deltas are measured relative to the declared status-quo baseline (not the rights-floor reference).</t>
  </si>
  <si>
    <t xml:space="preserve">BaselineReference_Welfare</t>
  </si>
  <si>
    <t xml:space="preserve">RL v8.6 Sections 6–9 (welfare deltas) + Appendix P conventions</t>
  </si>
  <si>
    <t xml:space="preserve">Explicit declaration for auditability: welfare baseline is STATUS_QUO unless otherwise stated.</t>
  </si>
  <si>
    <t xml:space="preserve">BaselineType_Gates</t>
  </si>
  <si>
    <t xml:space="preserve">FLOOR_REFERENCE</t>
  </si>
  <si>
    <t xml:space="preserve">Rights/catastrophe gating baseline is the rights floor (not status quo).</t>
  </si>
  <si>
    <t xml:space="preserve">BaselineReference_Gates</t>
  </si>
  <si>
    <t xml:space="preserve">RL v8.6 Section 5.1A</t>
  </si>
  <si>
    <t xml:space="preserve">Gate comparisons reference θ_r (rights floors) and declared catastrophe constraints.</t>
  </si>
  <si>
    <t xml:space="preserve">SECTION 4: TRC CONFIGURATION</t>
  </si>
  <si>
    <t xml:space="preserve">C_cat_Set</t>
  </si>
  <si>
    <t xml:space="preserve">C_cat_Weights</t>
  </si>
  <si>
    <t xml:space="preserve">C_cat_Extended</t>
  </si>
  <si>
    <t xml:space="preserve">Scenario_Count</t>
  </si>
  <si>
    <t xml:space="preserve">7</t>
  </si>
  <si>
    <t xml:space="preserve">All_WTSL_Covered</t>
  </si>
  <si>
    <t xml:space="preserve">YES (5/5 mandatory)</t>
  </si>
  <si>
    <t xml:space="preserve">All_p_floors_Met</t>
  </si>
  <si>
    <t xml:space="preserve">SECTION 5: CASCADE RESULTS</t>
  </si>
  <si>
    <t xml:space="preserve">NCRC_Status_A</t>
  </si>
  <si>
    <t xml:space="preserve">NCRC_Status_B</t>
  </si>
  <si>
    <t xml:space="preserve">Emergency_Mode</t>
  </si>
  <si>
    <t xml:space="preserve">A_adm</t>
  </si>
  <si>
    <t xml:space="preserve">TRC_Fallback</t>
  </si>
  <si>
    <t xml:space="preserve">Containment_A</t>
  </si>
  <si>
    <t xml:space="preserve">Tier 2: containment proxy display (union-score diagnostic). Tier 3+: implement full ΔUCI containment per Section 9.0.</t>
  </si>
  <si>
    <t xml:space="preserve">Containment_B</t>
  </si>
  <si>
    <t xml:space="preserve">RLS_Decisive</t>
  </si>
  <si>
    <t xml:space="preserve">SECTION 6: DECISION</t>
  </si>
  <si>
    <t xml:space="preserve">Selection_Mode</t>
  </si>
  <si>
    <t xml:space="preserve">Selection_Basis</t>
  </si>
  <si>
    <t xml:space="preserve">Recommended_Option</t>
  </si>
  <si>
    <t xml:space="preserve">CVaR_Deficit</t>
  </si>
  <si>
    <t xml:space="preserve">Confidence</t>
  </si>
  <si>
    <t xml:space="preserve">MEDIUM</t>
  </si>
  <si>
    <t xml:space="preserve">Escalation_Required</t>
  </si>
  <si>
    <t xml:space="preserve">Escalation_Path</t>
  </si>
  <si>
    <t xml:space="preserve">Admissible_Options</t>
  </si>
  <si>
    <t xml:space="preserve">Rights_Admissible</t>
  </si>
  <si>
    <t xml:space="preserve">SECTION 7: AUDIT FLAGS</t>
  </si>
  <si>
    <t xml:space="preserve">Active Flags (INVALID):</t>
  </si>
  <si>
    <t xml:space="preserve">Active Flags (ESCALATE):</t>
  </si>
  <si>
    <t xml:space="preserve">Active Flags (REVIEW):</t>
  </si>
  <si>
    <t xml:space="preserve">Mitigation required</t>
  </si>
  <si>
    <t xml:space="preserve">Active Flag Details:</t>
  </si>
  <si>
    <t xml:space="preserve">Note: REVIEW flags do not block claimability but require documentation.</t>
  </si>
  <si>
    <t xml:space="preserve">SECTION 8: FIVE-SENTENCE PUBLIC RATIONALE (5SPR)</t>
  </si>
  <si>
    <t xml:space="preserve">1. CONTEXT:</t>
  </si>
  <si>
    <t xml:space="preserve">Organization evaluating remote work policy (Option A: implement remote; Option B: retain in-office). ORG context, Tier 2.</t>
  </si>
  <si>
    <t xml:space="preserve">2. OPTIONS:</t>
  </si>
  <si>
    <t xml:space="preserve">Option A: flexibility, reduced emissions, less cohesion. Option B: team bonds, facility costs, commute burden.</t>
  </si>
  <si>
    <t xml:space="preserve">3. CONSTRAINTS:</t>
  </si>
  <si>
    <t xml:space="preserve">Both pass NCRC (8 rights) and TRC (CVaR_A=0.0219, CVaR_B=0.0315 ≤ 0.20). WTSL-AIX voluntary.</t>
  </si>
  <si>
    <t xml:space="preserve">4. SELECTION:</t>
  </si>
  <si>
    <t xml:space="preserve">Option A selected via RLS (0.005462 vs 0.000202). Gap non-decisive; judgment call documented.</t>
  </si>
  <si>
    <t xml:space="preserve">5. MONITORING:</t>
  </si>
  <si>
    <t xml:space="preserve">Monitoring (snapshot):</t>
  </si>
  <si>
    <t xml:space="preserve">Run NCAR (Notice–Choose–Act–Reflect) monitoring on a 30–90 day cadence, review any REVIEW flags, collect outcome indicators, and record adjustments or mitigations in the PCC log.</t>
  </si>
  <si>
    <t xml:space="preserve">SECTION 9: RISK MITIGATION PLAN</t>
  </si>
  <si>
    <t xml:space="preserve">M1</t>
  </si>
  <si>
    <t xml:space="preserve">Hybrid work pandemic contingency</t>
  </si>
  <si>
    <t xml:space="preserve">Qualitative (Tier-2 exemplar: no numeric CVaR delta claimed)</t>
  </si>
  <si>
    <t xml:space="preserve">M2</t>
  </si>
  <si>
    <t xml:space="preserve">Infrastructure backup systems</t>
  </si>
  <si>
    <t xml:space="preserve">M3</t>
  </si>
  <si>
    <t xml:space="preserve">Community resilience fund</t>
  </si>
  <si>
    <t xml:space="preserve">M4</t>
  </si>
  <si>
    <t xml:space="preserve">Climate adaptation plan</t>
  </si>
  <si>
    <t xml:space="preserve">M5</t>
  </si>
  <si>
    <t xml:space="preserve">AI system audit/fallbacks</t>
  </si>
  <si>
    <t xml:space="preserve">TOTAL</t>
  </si>
  <si>
    <t xml:space="preserve">Tail-risk posture</t>
  </si>
  <si>
    <t xml:space="preserve">Audit_Flags_Active (canon-aligned unless TOOL_LOCAL; see Audit_Flags mapping note)</t>
  </si>
  <si>
    <t xml:space="preserve">SECTION 10: NCAR SCHEDULE</t>
  </si>
  <si>
    <t xml:space="preserve">Notice: Complete (this PCC)</t>
  </si>
  <si>
    <t xml:space="preserve">Choose: Complete (Option A via normal cascade)</t>
  </si>
  <si>
    <t xml:space="preserve">Option A via normal cascade</t>
  </si>
  <si>
    <t xml:space="preserve">Act: Begins upon sign-off</t>
  </si>
  <si>
    <t xml:space="preserve">2026-05-03</t>
  </si>
  <si>
    <t xml:space="preserve">Reflect: Scheduled</t>
  </si>
  <si>
    <t xml:space="preserve">SECTION 11: STEWARDSHIP COMPLIANCE (v8.6 Section 14.7, Appendix N)</t>
  </si>
  <si>
    <t xml:space="preserve">Stewardship_Profile</t>
  </si>
  <si>
    <t xml:space="preserve">N/A (Tier 2 - Stewardship profiles apply at MODE 2+ per RLAS v8.6 §8.7)</t>
  </si>
  <si>
    <t xml:space="preserve">Conditional_Stewardship_Active</t>
  </si>
  <si>
    <t xml:space="preserve">FALSE</t>
  </si>
  <si>
    <t xml:space="preserve">(Stw_req defaults FALSE for MODE 0-1; TRUE for MODE 2+ per RLAS v8.6 §8.7)</t>
  </si>
  <si>
    <t xml:space="preserve">Stewardship_Note</t>
  </si>
  <si>
    <t xml:space="preserve">This worked run involves no AI agent deployment. Stewardship requirements apply when AI agents operate at MODE 2+.</t>
  </si>
  <si>
    <t xml:space="preserve">SECTION 12: SCOPE COVERAGE (v8.6)</t>
  </si>
  <si>
    <t xml:space="preserve">ScopeCoverage.Mode</t>
  </si>
  <si>
    <t xml:space="preserve">FULL or REDUCED</t>
  </si>
  <si>
    <t xml:space="preserve">ScopeCoverage.ActiveScopes</t>
  </si>
  <si>
    <t xml:space="preserve">ScopeCoverage.OmittedScopes</t>
  </si>
  <si>
    <t xml:space="preserve">ScopeCoverage.OmissionRationale</t>
  </si>
  <si>
    <t xml:space="preserve">N/A (all scopes active)</t>
  </si>
  <si>
    <t xml:space="preserve">ScopeCoverage.BlindSpotStatement</t>
  </si>
  <si>
    <t xml:space="preserve">No known blind spots for Tier 2 ORG context. Biosphere and cosmic pathways are minimal for this decision scope.</t>
  </si>
  <si>
    <t xml:space="preserve">ScopeCoverage.EscalationTrigger</t>
  </si>
  <si>
    <t xml:space="preserve">Rerun if externalities beyond ORG scope are identified (e.g., supply chain, biosphere pathway).</t>
  </si>
  <si>
    <t xml:space="preserve">ADMISSIBILITY GUARD (v8.6 Section 2.2A):</t>
  </si>
  <si>
    <t xml:space="preserve">Reduced-scope mode SHALL NOT remove any non-maskable cells or required scope rows from NCRC, TRC, or Containment computation.</t>
  </si>
  <si>
    <t xml:space="preserve">SECTION 13: INSTANCE MAP (v8.6)</t>
  </si>
  <si>
    <t xml:space="preserve">Reference: Ripple_Logic v8.6 Section 2.2A + Appendix H</t>
  </si>
  <si>
    <t xml:space="preserve">Tier 2: REQUIRED when mapping triggers hold; otherwise recommended</t>
  </si>
  <si>
    <t xml:space="preserve">instance_id</t>
  </si>
  <si>
    <t xml:space="preserve">instance_label</t>
  </si>
  <si>
    <t xml:space="preserve">stakeholder_class</t>
  </si>
  <si>
    <t xml:space="preserve">role_context</t>
  </si>
  <si>
    <t xml:space="preserve">mapped_scopes</t>
  </si>
  <si>
    <t xml:space="preserve">mapping_rationale</t>
  </si>
  <si>
    <t xml:space="preserve">rights_exposure</t>
  </si>
  <si>
    <t xml:space="preserve">redundancy_method</t>
  </si>
  <si>
    <t xml:space="preserve">INST-01</t>
  </si>
  <si>
    <t xml:space="preserve">Office employees (current)</t>
  </si>
  <si>
    <t xml:space="preserve">Individual</t>
  </si>
  <si>
    <t xml:space="preserve">Employee, direct impact</t>
  </si>
  <si>
    <t xml:space="preserve">U1, U3</t>
  </si>
  <si>
    <t xml:space="preserve">Primary affected class; Self + Community scope</t>
  </si>
  <si>
    <t xml:space="preserve">LBTY (U1-D5), DIGN (U1-D3)</t>
  </si>
  <si>
    <t xml:space="preserve">N/A</t>
  </si>
  <si>
    <t xml:space="preserve">INST-02</t>
  </si>
  <si>
    <t xml:space="preserve">Employee households</t>
  </si>
  <si>
    <t xml:space="preserve">Household</t>
  </si>
  <si>
    <t xml:space="preserve">Family members, indirect</t>
  </si>
  <si>
    <t xml:space="preserve">Household scope: income, commute, family time</t>
  </si>
  <si>
    <t xml:space="preserve">NEED (U2-D1)</t>
  </si>
  <si>
    <t xml:space="preserve">INST-03</t>
  </si>
  <si>
    <t xml:space="preserve">Team/department cohesion</t>
  </si>
  <si>
    <t xml:space="preserve">Community</t>
  </si>
  <si>
    <t xml:space="preserve">Organizational community</t>
  </si>
  <si>
    <t xml:space="preserve">Community social fabric affected</t>
  </si>
  <si>
    <t xml:space="preserve">LBTY (U3-D3), DIGN (U3-D3)</t>
  </si>
  <si>
    <t xml:space="preserve">INST-04</t>
  </si>
  <si>
    <t xml:space="preserve">Organization operations</t>
  </si>
  <si>
    <t xml:space="preserve">Organization</t>
  </si>
  <si>
    <t xml:space="preserve">Employer, decision owner</t>
  </si>
  <si>
    <t xml:space="preserve">Organizational scope: costs, productivity</t>
  </si>
  <si>
    <t xml:space="preserve">PROC (U4-D5)</t>
  </si>
  <si>
    <t xml:space="preserve">INST-05</t>
  </si>
  <si>
    <t xml:space="preserve">Local service economy</t>
  </si>
  <si>
    <t xml:space="preserve">External community, indirect</t>
  </si>
  <si>
    <t xml:space="preserve">U3, U5</t>
  </si>
  <si>
    <t xml:space="preserve">Cross-scope: local businesses affected by commuter reduction</t>
  </si>
  <si>
    <t xml:space="preserve">NEED (U3-D1)</t>
  </si>
  <si>
    <t xml:space="preserve">EMERGENT_SCALE_JUSTIFICATION</t>
  </si>
  <si>
    <t xml:space="preserve">BRIDGE NOTE (v8.6 Section 5.2):</t>
  </si>
  <si>
    <t xml:space="preserve">InstanceMap specifies who is represented (stakeholders-in-context). Impact instances k∈𝓘(u,d,a) specify how impacts occur (pathways) within a Scope×Dimension cell. These are distinct objects and MUST NOT be conflated.</t>
  </si>
  <si>
    <t xml:space="preserve">SECTION 14: STAKEHOLDER COVERAGE INDEX (v8.6)</t>
  </si>
  <si>
    <t xml:space="preserve">Reference: Ripple_Logic v8.6 Section 5.0.1</t>
  </si>
  <si>
    <t xml:space="preserve">SCI.Level</t>
  </si>
  <si>
    <t xml:space="preserve">SCI-0: None | SCI-1: Key identified | SCI-2: Structured discovery | SCI-3: Independent challenge | SCI-4: Longitudinal tracking</t>
  </si>
  <si>
    <t xml:space="preserve">SCI.Justification</t>
  </si>
  <si>
    <t xml:space="preserve">SCI.NextRunUpgrade</t>
  </si>
  <si>
    <t xml:space="preserve">REQUIRED when SCI = tier minimum (anti-theater ratchet)</t>
  </si>
  <si>
    <t xml:space="preserve">SCI.TierMinimum</t>
  </si>
  <si>
    <t xml:space="preserve">SCI.Compliant</t>
  </si>
  <si>
    <t xml:space="preserve">SECTION 15: ACTIVE CELL DEFINITION (v8.6 Section 10.3)</t>
  </si>
  <si>
    <t xml:space="preserve">Active cell = any cell (u,d) with m(u,d)=1 for RLS aggregation,</t>
  </si>
  <si>
    <t xml:space="preserve">  plus all rights-covered cells (u,d)∈C_r regardless of mask,</t>
  </si>
  <si>
    <t xml:space="preserve">  plus all catastrophe cells (u,d)∈C_cat regardless of mask,</t>
  </si>
  <si>
    <t xml:space="preserve">  plus any cells required by minimum governance coverage rules for the run.</t>
  </si>
  <si>
    <t xml:space="preserve">Uncertainty MUST be estimated for all active cells (Tier 2+ per v8.6).</t>
  </si>
  <si>
    <t xml:space="preserve">SENSITIVITY ANALYSIS</t>
  </si>
  <si>
    <t xml:space="preserve">Module Status:</t>
  </si>
  <si>
    <t xml:space="preserve">PERFORMED</t>
  </si>
  <si>
    <t xml:space="preserve">Tier Requirement:</t>
  </si>
  <si>
    <t xml:space="preserve">Small sensitivity tests executed (weights + scenario probabilities).</t>
  </si>
  <si>
    <t xml:space="preserve">Audit Flag:</t>
  </si>
  <si>
    <t xml:space="preserve">PERTURBATION TESTS</t>
  </si>
  <si>
    <t xml:space="preserve">Test</t>
  </si>
  <si>
    <t xml:space="preserve">Change</t>
  </si>
  <si>
    <t xml:space="preserve">Metric</t>
  </si>
  <si>
    <t xml:space="preserve">Result</t>
  </si>
  <si>
    <t xml:space="preserve">Selection stable?</t>
  </si>
  <si>
    <t xml:space="preserve">Notes</t>
  </si>
  <si>
    <t xml:space="preserve">SENS-01</t>
  </si>
  <si>
    <t xml:space="preserve">Weights: D1 +10% (renorm)</t>
  </si>
  <si>
    <t xml:space="preserve">Preferred option</t>
  </si>
  <si>
    <t xml:space="preserve">RLS recomputed from I_prop with perturbed dimension weights</t>
  </si>
  <si>
    <t xml:space="preserve">SENS-02</t>
  </si>
  <si>
    <t xml:space="preserve">Weights: D7 +10% (renorm)</t>
  </si>
  <si>
    <t xml:space="preserve">SENS-03</t>
  </si>
  <si>
    <t xml:space="preserve">Weights: D3&amp;D5 +10% (renorm)</t>
  </si>
  <si>
    <t xml:space="preserve">SENS-04</t>
  </si>
  <si>
    <t xml:space="preserve">Scenario p stress: worst-loss scenarios +20% (renorm)</t>
  </si>
  <si>
    <t xml:space="preserve">TRC status (A,B)</t>
  </si>
  <si>
    <t xml:space="preserve">CVaR recomputed with stressed probabilities; compare to τ_TRC</t>
  </si>
  <si>
    <t xml:space="preserve">Baseline</t>
  </si>
  <si>
    <t xml:space="preserve">Preferred</t>
  </si>
  <si>
    <t xml:space="preserve">Gap</t>
  </si>
  <si>
    <t xml:space="preserve">Sensitivity analysis optional. Selection stability assumed based on margin:</t>
  </si>
  <si>
    <t xml:space="preserve">CVaR_A (0.0219) and CVaR_B (0.0315) are both &lt;&lt; τ_TRC (0.20)</t>
  </si>
  <si>
    <t xml:space="preserve">Overall sensitivity verdict</t>
  </si>
  <si>
    <t xml:space="preserve">Base v_d</t>
  </si>
  <si>
    <t xml:space="preserve">Factors (SENS-01)</t>
  </si>
  <si>
    <t xml:space="preserve">v_d* (SENS-01)</t>
  </si>
  <si>
    <t xml:space="preserve">Factors (SENS-02)</t>
  </si>
  <si>
    <t xml:space="preserve">Selection stability: computed in this exemplar via the SENS-01..SENS-04 perturbations below (see Summary).</t>
  </si>
  <si>
    <t xml:space="preserve">v_d* (SENS-02)</t>
  </si>
  <si>
    <t xml:space="preserve">Factors (SENS-03)</t>
  </si>
  <si>
    <t xml:space="preserve">4. IMPACT MAGNITUDE PERTURBATION (±20%)</t>
  </si>
  <si>
    <t xml:space="preserve">v_d* (SENS-03)</t>
  </si>
  <si>
    <t xml:space="preserve">Key instances: I03 (flexibility), I01 (isolation)</t>
  </si>
  <si>
    <t xml:space="preserve">Additional tests: Not performed for this run</t>
  </si>
  <si>
    <t xml:space="preserve">Union w_u</t>
  </si>
  <si>
    <t xml:space="preserve">5. ROBUSTNESS CLASSIFICATION</t>
  </si>
  <si>
    <t xml:space="preserve">Weight sensitivity results</t>
  </si>
  <si>
    <t xml:space="preserve">SENS-01 Preferred</t>
  </si>
  <si>
    <t xml:space="preserve">SENS-02 Preferred</t>
  </si>
  <si>
    <t xml:space="preserve">SENS-03 Preferred</t>
  </si>
  <si>
    <t xml:space="preserve">Status note: PERFORMED for this Tier‑2 exemplar (weight sensitivity + CVaR stress checks). Tier‑3 deployments may expand the test set and increase rigor.</t>
  </si>
  <si>
    <t xml:space="preserve">p_base</t>
  </si>
  <si>
    <t xml:space="preserve">Factor_up</t>
  </si>
  <si>
    <t xml:space="preserve">p_stress_up</t>
  </si>
  <si>
    <t xml:space="preserve">Factor_down</t>
  </si>
  <si>
    <t xml:space="preserve">p_stress_down</t>
  </si>
  <si>
    <t xml:space="preserve">CVaR recompute (p stress UP)</t>
  </si>
  <si>
    <t xml:space="preserve">p_stress</t>
  </si>
  <si>
    <t xml:space="preserve">β</t>
  </si>
  <si>
    <t xml:space="preserve">CVaR_A_up</t>
  </si>
  <si>
    <t xml:space="preserve">Status_A_up</t>
  </si>
  <si>
    <t xml:space="preserve">TRC stress UP status</t>
  </si>
  <si>
    <t xml:space="preserve">TRC stress DOWN status</t>
  </si>
  <si>
    <t xml:space="preserve">CVaR recompute for Option B (p stress UP)</t>
  </si>
  <si>
    <t xml:space="preserve">CVaR_B_up</t>
  </si>
  <si>
    <t xml:space="preserve">Status_B_up</t>
  </si>
  <si>
    <t xml:space="preserve">CVaR recompute (p stress DOWN)</t>
  </si>
  <si>
    <t xml:space="preserve">CVaR_A_down</t>
  </si>
  <si>
    <t xml:space="preserve">Status_A_down</t>
  </si>
  <si>
    <t xml:space="preserve">Option B (p stress DOWN)</t>
  </si>
  <si>
    <t xml:space="preserve">CVaR_B_down</t>
  </si>
  <si>
    <t xml:space="preserve">Status_B_down</t>
  </si>
  <si>
    <t xml:space="preserve">SUBGROUP ANALYSIS - WORST-OFF DOCUMENTATION</t>
  </si>
  <si>
    <t xml:space="preserve">Reference: Ripple_Logic v8.6 Section 7.3 - Tier 2 requires subgroup enumeration</t>
  </si>
  <si>
    <t xml:space="preserve">OPTION A: NEGATIVE IMPACT CELLS</t>
  </si>
  <si>
    <t xml:space="preserve">Cell: U3-D3 (Community-Social) | Agg I_prop: -0.069</t>
  </si>
  <si>
    <t xml:space="preserve">Rights: LBTY (-0.65), DIGN (-0.55)</t>
  </si>
  <si>
    <t xml:space="preserve">Subgroup</t>
  </si>
  <si>
    <t xml:space="preserve">I_prop</t>
  </si>
  <si>
    <t xml:space="preserve">General population</t>
  </si>
  <si>
    <t xml:space="preserve">Elderly (65+)</t>
  </si>
  <si>
    <t xml:space="preserve">Higher isolation risk</t>
  </si>
  <si>
    <t xml:space="preserve">Single-person HH</t>
  </si>
  <si>
    <t xml:space="preserve">No household buffer</t>
  </si>
  <si>
    <t xml:space="preserve">New employees (&lt;1yr)</t>
  </si>
  <si>
    <t xml:space="preserve">Harder to integrate</t>
  </si>
  <si>
    <t xml:space="preserve">WORST-OFF</t>
  </si>
  <si>
    <t xml:space="preserve">New employees</t>
  </si>
  <si>
    <t xml:space="preserve">Threshold checks: LBTY -0.15 &gt; -0.65 ✓ | DIGN -0.15 &gt; -0.55 ✓</t>
  </si>
  <si>
    <t xml:space="preserve">Cell: U4-D1 (Org-Material) | Agg I_prop: -0.176</t>
  </si>
  <si>
    <t xml:space="preserve">Rights: NEED (-0.50)</t>
  </si>
  <si>
    <t xml:space="preserve">Worst-off: Facilities dept at -0.30</t>
  </si>
  <si>
    <t xml:space="preserve">Threshold: -0.30 &gt; -0.50 ✓</t>
  </si>
  <si>
    <t xml:space="preserve">Cell: U3-D1 (Community-Material) | Agg I_prop: -0.075</t>
  </si>
  <si>
    <t xml:space="preserve">Worst-off: Local restaurants at -0.20</t>
  </si>
  <si>
    <t xml:space="preserve">Threshold: -0.20 &gt; -0.50 ✓</t>
  </si>
  <si>
    <t xml:space="preserve">OPTION B: NEGATIVE IMPACT CELLS</t>
  </si>
  <si>
    <t xml:space="preserve">Cell: U1-D5 (Self-Agency) | Agg I_prop: -0.073</t>
  </si>
  <si>
    <t xml:space="preserve">Rights: LBTY, DIGN, INFO</t>
  </si>
  <si>
    <t xml:space="preserve">Worst-off: Parents w/ young children at -0.15</t>
  </si>
  <si>
    <t xml:space="preserve">All thresholds pass ✓</t>
  </si>
  <si>
    <t xml:space="preserve">Cell: U2-D1 (Household-Material) | Agg: -0.063</t>
  </si>
  <si>
    <t xml:space="preserve">Worst-off: Long commuters at -0.12 | NEED ✓</t>
  </si>
  <si>
    <t xml:space="preserve">Cell: U7-D7 (Biosphere-Environ) | Agg: -0.053</t>
  </si>
  <si>
    <t xml:space="preserve">Worst-off: Urban air quality at -0.08 | ECOL ✓</t>
  </si>
  <si>
    <t xml:space="preserve">SUMMARY</t>
  </si>
  <si>
    <t xml:space="preserve">All worst-off impacts well above thresholds</t>
  </si>
  <si>
    <t xml:space="preserve">No near-misses identified</t>
  </si>
  <si>
    <t xml:space="preserve">NCRC outcome ROBUST with subgroup analysis</t>
  </si>
  <si>
    <t xml:space="preserve">analysis_done (computed)</t>
  </si>
  <si>
    <t xml:space="preserve">SUBGROUP OVERRIDES TABLE</t>
  </si>
  <si>
    <t xml:space="preserve">Policy: Conservative Bound (γ_subgroup = 1.5)</t>
  </si>
  <si>
    <t xml:space="preserve">I_rights = max(-1, γ × I_prop) when no override</t>
  </si>
  <si>
    <t xml:space="preserve">Applies only for NCRC, not RLS</t>
  </si>
  <si>
    <t xml:space="preserve">γ_subgroup:</t>
  </si>
  <si>
    <t xml:space="preserve">OVERRIDE DATA TABLE</t>
  </si>
  <si>
    <t xml:space="preserve">Override_ID</t>
  </si>
  <si>
    <t xml:space="preserve">Option</t>
  </si>
  <si>
    <t xml:space="preserve">Rights_Cell</t>
  </si>
  <si>
    <t xml:space="preserve">Worst_Off_Impact</t>
  </si>
  <si>
    <t xml:space="preserve">COMPUTED STATUS</t>
  </si>
  <si>
    <t xml:space="preserve">Data range:</t>
  </si>
  <si>
    <t xml:space="preserve">F11:F100</t>
  </si>
  <si>
    <t xml:space="preserve">Entry formula:</t>
  </si>
  <si>
    <t xml:space="preserve">Valid entries:</t>
  </si>
  <si>
    <t xml:space="preserve">OVERRIDES_TABLE_EMPTY:</t>
  </si>
  <si>
    <t xml:space="preserve">SUBGROUP_LIMITATION (Audit_Flags):</t>
  </si>
  <si>
    <t xml:space="preserve">MITIGATION (Tier 2)</t>
  </si>
  <si>
    <t xml:space="preserve">• Conservative bound applied</t>
  </si>
  <si>
    <t xml:space="preserve">• REVIEW flag accepted</t>
  </si>
  <si>
    <t xml:space="preserve">• Data collection scheduled</t>
  </si>
  <si>
    <t xml:space="preserve">SGP INPUT INTERFACE</t>
  </si>
  <si>
    <t xml:space="preserve">Reference: Ripple_Logic v8.6 Appendix G - Sentience Gradient Protocol Interface</t>
  </si>
  <si>
    <t xml:space="preserve">SGP Version: 4.3</t>
  </si>
  <si>
    <t xml:space="preserve">HUMAN PLATEAU RULE (Non-Overridable)</t>
  </si>
  <si>
    <t xml:space="preserve">For any human person H: SG_norm(H) := 1.0</t>
  </si>
  <si>
    <t xml:space="preserve">This is independent of measurement, disability, observability</t>
  </si>
  <si>
    <t xml:space="preserve">MUST NOT be weakened by any weighting scheme</t>
  </si>
  <si>
    <t xml:space="preserve">STAKEHOLDER s_k VALUES</t>
  </si>
  <si>
    <t xml:space="preserve">Stakeholder</t>
  </si>
  <si>
    <t xml:space="preserve">Substrate</t>
  </si>
  <si>
    <t xml:space="preserve">SG_norm</t>
  </si>
  <si>
    <t xml:space="preserve">Basis</t>
  </si>
  <si>
    <t xml:space="preserve">SK01</t>
  </si>
  <si>
    <t xml:space="preserve">Employees (all)</t>
  </si>
  <si>
    <t xml:space="preserve">Human</t>
  </si>
  <si>
    <t xml:space="preserve">Plateau Rule</t>
  </si>
  <si>
    <t xml:space="preserve">SK02</t>
  </si>
  <si>
    <t xml:space="preserve">Household members</t>
  </si>
  <si>
    <t xml:space="preserve">SK03</t>
  </si>
  <si>
    <t xml:space="preserve">Community members</t>
  </si>
  <si>
    <t xml:space="preserve">SK04</t>
  </si>
  <si>
    <t xml:space="preserve">Organization staff</t>
  </si>
  <si>
    <t xml:space="preserve">SK05</t>
  </si>
  <si>
    <t xml:space="preserve">Policy stakeholders</t>
  </si>
  <si>
    <t xml:space="preserve">SK06</t>
  </si>
  <si>
    <t xml:space="preserve">Humanity (aggregate)</t>
  </si>
  <si>
    <t xml:space="preserve">BIOSPHERE NOTE</t>
  </si>
  <si>
    <t xml:space="preserve">U7 impacts = environmental integrity, not direct animal welfare</t>
  </si>
  <si>
    <t xml:space="preserve">If direct animal welfare at stake, apply SGP evidence tiers</t>
  </si>
  <si>
    <t xml:space="preserve">SGP INTEGRATION DOCUMENTATION</t>
  </si>
  <si>
    <t xml:space="preserve">Reference: Ripple_Logic v8.6 Appendix G</t>
  </si>
  <si>
    <t xml:space="preserve">Reference: SGP v4.3</t>
  </si>
  <si>
    <t xml:space="preserve">HUMAN PLATEAU RULE CONFIRMATION</t>
  </si>
  <si>
    <t xml:space="preserve">┌────────────────────────────────────────────────────────┐</t>
  </si>
  <si>
    <t xml:space="preserve">│ All stakeholders in this decision are human persons.  │</t>
  </si>
  <si>
    <t xml:space="preserve">│ Therefore: s_k = SG_norm(H) = 1.0 for all instances.  │</t>
  </si>
  <si>
    <t xml:space="preserve">│ The Human Plateau Rule has been applied without       │</t>
  </si>
  <si>
    <t xml:space="preserve">│ exception. No sentience multiplier has reduced any    │</t>
  </si>
  <si>
    <t xml:space="preserve">│ human stakeholder's impact weight.                    │</t>
  </si>
  <si>
    <t xml:space="preserve">└────────────────────────────────────────────────────────┘</t>
  </si>
  <si>
    <t xml:space="preserve">SGP MISINTERPRETATION GUARD COMPLIANCE</t>
  </si>
  <si>
    <t xml:space="preserve">Prohibited Inference</t>
  </si>
  <si>
    <t xml:space="preserve">Linguistic fluency → sentience</t>
  </si>
  <si>
    <t xml:space="preserve">NOT APPLIED ✓</t>
  </si>
  <si>
    <t xml:space="preserve">Self-report → sufficient evidence</t>
  </si>
  <si>
    <t xml:space="preserve">Intelligence → moral status</t>
  </si>
  <si>
    <t xml:space="preserve">Sentience → governance authority</t>
  </si>
  <si>
    <t xml:space="preserve">Precaution → attribution</t>
  </si>
  <si>
    <t xml:space="preserve">Low SGP → reduced human protections</t>
  </si>
  <si>
    <t xml:space="preserve">PROHIBITED &amp; CONFIRMED ✓</t>
  </si>
  <si>
    <t xml:space="preserve">IMPACT INSTANCE VERIFICATION</t>
  </si>
  <si>
    <t xml:space="preserve">All 14 impact instances (I01-I14) use s_k = 1.0 ✓</t>
  </si>
  <si>
    <t xml:space="preserve">ATTESTATION</t>
  </si>
  <si>
    <t xml:space="preserve">☑ Human Plateau Rule applied to all human stakeholders</t>
  </si>
  <si>
    <t xml:space="preserve">☑ No SGP output weakened NCRC protections</t>
  </si>
  <si>
    <t xml:space="preserve">☑ No sentience multiplier reduced human welfare weight</t>
  </si>
  <si>
    <t xml:space="preserve">☑ SGP Misinterpretation Guard principles followed</t>
  </si>
  <si>
    <t xml:space="preserve">Evaluator: ___________________________ Date: ___________</t>
  </si>
  <si>
    <t xml:space="preserve">RIPPLE ALIGNERS SHEET - USER GUIDE (v2.2)</t>
  </si>
  <si>
    <t xml:space="preserve">IMPORTANT DISCLOSURE</t>
  </si>
  <si>
    <t xml:space="preserve">Current workbook selection logic compares Option A vs Option B only. For three or more substantive options, extend the workbook logic or run sequential pairwise/fresh evaluations with documented rationale.</t>
  </si>
  <si>
    <t xml:space="preserve">QUICK START</t>
  </si>
  <si>
    <t xml:space="preserve">1. Config: Set tier level, context type, and Weight Profile</t>
  </si>
  <si>
    <t xml:space="preserve">2. PLSS_Local_Scope: If using local-scope mode, enter q_u values and review floor-preserving weights</t>
  </si>
  <si>
    <t xml:space="preserve">3. Impact_Input: Enter all causal pathways (μ, r, ℓ, c, t, e, s)</t>
  </si>
  <si>
    <t xml:space="preserve">4. Review I_prop: Verify computed impact matrix</t>
  </si>
  <si>
    <t xml:space="preserve">5. Check NCRC: All rights must pass (v_r = 0)</t>
  </si>
  <si>
    <t xml:space="preserve">6. Check TRC: CVaR must be ≤ τ_TRC for context</t>
  </si>
  <si>
    <t xml:space="preserve">7. If TRC fails: Follow fallback procedure (Section 8.8)</t>
  </si>
  <si>
    <t xml:space="preserve">8. Dashboard: Review final recommendation</t>
  </si>
  <si>
    <t xml:space="preserve">9. PCC: Complete all sections for audit trail, including PLSS fields when applicable</t>
  </si>
  <si>
    <t xml:space="preserve">SHEET INDEX</t>
  </si>
  <si>
    <t xml:space="preserve">Config</t>
  </si>
  <si>
    <t xml:space="preserve">Global settings</t>
  </si>
  <si>
    <t xml:space="preserve">70 total (U,D) pairs across all 8 rights</t>
  </si>
  <si>
    <t xml:space="preserve">Canonical values (locked)</t>
  </si>
  <si>
    <t xml:space="preserve">Rights_Coverage</t>
  </si>
  <si>
    <t xml:space="preserve">70 (U,D) pairs across all 8 rights</t>
  </si>
  <si>
    <t xml:space="preserve">C_cat</t>
  </si>
  <si>
    <t xml:space="preserve">Catastrophe cells for TRC</t>
  </si>
  <si>
    <t xml:space="preserve">WTSL_Categories</t>
  </si>
  <si>
    <t xml:space="preserve">6 mandatory tail categories</t>
  </si>
  <si>
    <t xml:space="preserve">Impact_Input</t>
  </si>
  <si>
    <t xml:space="preserve">Enter impacts here</t>
  </si>
  <si>
    <t xml:space="preserve">Scenario_Impacts</t>
  </si>
  <si>
    <t xml:space="preserve">Scenario-conditioned losses (NEW)</t>
  </si>
  <si>
    <t xml:space="preserve">Computed impact matrix</t>
  </si>
  <si>
    <t xml:space="preserve">Level 1 rights check</t>
  </si>
  <si>
    <t xml:space="preserve">Level 2 tail risk + fallback</t>
  </si>
  <si>
    <t xml:space="preserve">Level 3 structural check</t>
  </si>
  <si>
    <t xml:space="preserve">Level 4 welfare score</t>
  </si>
  <si>
    <t xml:space="preserve">UCI_HOI</t>
  </si>
  <si>
    <t xml:space="preserve">Level 5 tie-break</t>
  </si>
  <si>
    <t xml:space="preserve">Final decision</t>
  </si>
  <si>
    <t xml:space="preserve">PCC</t>
  </si>
  <si>
    <t xml:space="preserve">Compliance certificate</t>
  </si>
  <si>
    <t xml:space="preserve">Sensitivity_Analysis</t>
  </si>
  <si>
    <t xml:space="preserve">Robustness testing (NEW)</t>
  </si>
  <si>
    <t xml:space="preserve">Subgroup_Analysis</t>
  </si>
  <si>
    <t xml:space="preserve">Worst-off documentation (NEW)</t>
  </si>
  <si>
    <t xml:space="preserve">SGP_Input</t>
  </si>
  <si>
    <t xml:space="preserve">Sentience interface</t>
  </si>
  <si>
    <t xml:space="preserve">SGP_Integration</t>
  </si>
  <si>
    <t xml:space="preserve">SGP compliance (NEW)</t>
  </si>
  <si>
    <t xml:space="preserve">User_Guide</t>
  </si>
  <si>
    <t xml:space="preserve">This sheet</t>
  </si>
  <si>
    <t xml:space="preserve">Version_Control</t>
  </si>
  <si>
    <t xml:space="preserve">Version tracking (NEW)</t>
  </si>
  <si>
    <t xml:space="preserve">KEY FORMULAS</t>
  </si>
  <si>
    <t xml:space="preserve">τ(t) = MIN(1, LN(1+MAX(t, t_min)) / LN(1+T_ref))   [Ripple_Logic v8.6 Appendix B.1]</t>
  </si>
  <si>
    <t xml:space="preserve">Contribution = μ × r × ℓ × c × e × s × τ(t)</t>
  </si>
  <si>
    <t xml:space="preserve">v_r(a) = max(0, θ_r - min I_rights over R_r)</t>
  </si>
  <si>
    <t xml:space="preserve">L(a,s) = Σ_{c∈C_cat} ω_c × max(0, -I_prop_c)</t>
  </si>
  <si>
    <t xml:space="preserve">CVaR_α = E[L | L ≥ VaR_α]</t>
  </si>
  <si>
    <t xml:space="preserve">RLS = Σ w_u × v_d × sat(I_prop)</t>
  </si>
  <si>
    <t xml:space="preserve">v8.6 ADDITIONS</t>
  </si>
  <si>
    <t xml:space="preserve">8. PCC Section 12: Set ScopeCoverage mode (FULL/REDUCED) and document active/omitted scopes</t>
  </si>
  <si>
    <t xml:space="preserve">9. PCC Section 13: Log stakeholder instances with InstanceMap (REQUIRED at Tier 2 when triggers hold)</t>
  </si>
  <si>
    <t xml:space="preserve">10. PCC Section 14: Declare SCI level and NextRunUpgrade if at tier minimum</t>
  </si>
  <si>
    <t xml:space="preserve">11. PCC Section 15: Review active cell definition for uncertainty coverage</t>
  </si>
  <si>
    <t xml:space="preserve">12. Audit_Flags: Check new v8.6 flags (SCOPE_COVERAGE_REDUCED, SCI_BELOW_MINIMUM, UNCERTAINTY_NOT_DECLARED)</t>
  </si>
  <si>
    <t xml:space="preserve">NOTE: Tier 2 uncertainty method (A/B/C) is REQUIRED per v8.6 (was recommended in v8.1)</t>
  </si>
  <si>
    <t xml:space="preserve">NOTE: "Union Scopes" (short: Scopes) is the v8.6 canonical term; "Union(s)" remains a valid legacy alias</t>
  </si>
  <si>
    <t xml:space="preserve">VERSION CONTROL AND CONFORMANCE</t>
  </si>
  <si>
    <t xml:space="preserve">Modified: 2026-03-15</t>
  </si>
  <si>
    <t xml:space="preserve">v1.7.0</t>
  </si>
  <si>
    <t xml:space="preserve">2026-02-03</t>
  </si>
  <si>
    <t xml:space="preserve">SSOT_ENFORCED: Schema validation computed, SC-06 fixed, PUBLISH_READY gate includes PLACEHOLDER_COUNT</t>
  </si>
  <si>
    <t xml:space="preserve">VERSION HISTORY</t>
  </si>
  <si>
    <t xml:space="preserve">Version</t>
  </si>
  <si>
    <t xml:space="preserve">Changes</t>
  </si>
  <si>
    <t xml:space="preserve">Publication-ready disclosure release: added explicit two-option limitation notice across Release_Notes, Dashboard, and User_Guide; version advanced to v2.2 for audit-response packaging. Core formulas and v8.6 / SGP v4.3 pins remain unchanged.</t>
  </si>
  <si>
    <t xml:space="preserve">v2.0</t>
  </si>
  <si>
    <t xml:space="preserve">2026-03-14</t>
  </si>
  <si>
    <t xml:space="preserve">Ripple_Logic v8.6 + SGP v4.3 synchronization. Added PLSS_Local_Scope helper sheet, profile-driven union weights with floor-preserving residual allocation, and updated Release Notes, Config, Dashboard, User Guide, and Version Control.</t>
  </si>
  <si>
    <t xml:space="preserve">OpenAI-assisted</t>
  </si>
  <si>
    <t xml:space="preserve">v2.1</t>
  </si>
  <si>
    <t xml:space="preserve">BUG FIXES + VERSION SYNC (v2.1): (1) Fixed _xludf.TEXTJOIN→TEXTJOIN, _xludf.minifs→MINIFS, _xludf.aggregate→AGGREGATE (hash-NAME formula errors errors resolved in Audit_Flags J19:J22 and for Excel compatibility across Rights_Coverage_View and NCRC). (2) Sanity_Checklist SC-01..04 Expected values changed from stale hardcoded strings to dynamic CANON/Config cross-references; SC-33 repurposed as SGP version check (SC-34); SC-IDs SC-30..33 in rows 42-45 corrected; PASS/FAIL counts extended to all 34 checks. (3) All stale v8.5.4 PATCHED descriptive refs updated to v8.6 across 11 sheets. (4) SGP version refs updated 4.2.3→4.3. (5) Release_Notes B8 corrected from Audit_Flags!B26 to Audit_Flags!J19 (active flag list). (6) Version_Control A2 fixed from stored text to formula; B2 stale value cleared.</t>
  </si>
  <si>
    <t xml:space="preserve">Claude-assisted</t>
  </si>
  <si>
    <t xml:space="preserve">v1.8.3</t>
  </si>
  <si>
    <t xml:space="preserve">2026-02-16</t>
  </si>
  <si>
    <t xml:space="preserve">v8.5.4 PATCHED RE-PIN: Framework→Ripple_Logic v8.5.4 PATCHED. Added SCI (Section 5.0.1), ScopeCoverage (Section 2.2A), InstanceMap (Appendix H), active cell definition (Section 10.3). New audit flags: SCOPE_COVERAGE_REDUCED (REVIEW), SCI_BELOW_MINIMUM (ESCALATE), SCI_AT_MINIMUM_NO_UPGRADE (REVIEW), UNCERTAINTY_NOT_DECLARED (INVALID). Tier 2 uncertainty REQUIRED. PCC Sections 12-15 added. All 27 sheet section refs updated to v8.5.4 PATCHED. Terminology: "Union Scopes" adopted per v8.5.4 PATCHED.</t>
  </si>
  <si>
    <t xml:space="preserve">v1.8.1-1.8.2</t>
  </si>
  <si>
    <t xml:space="preserve">2026-02-14/15</t>
  </si>
  <si>
    <t xml:space="preserve">Internal development versions (v8.1→v8.5.4 PATCHED transition); not published.</t>
  </si>
  <si>
    <t xml:space="preserve">1.6.2</t>
  </si>
  <si>
    <t xml:space="preserve">2026-02-02</t>
  </si>
  <si>
    <t xml:space="preserve">CVaR algorithm fix (D.7 compliance), type hygiene, SSOT propagation, SC-24/25 added</t>
  </si>
  <si>
    <t xml:space="preserve">1.6.3</t>
  </si>
  <si>
    <t xml:space="preserve">Schema enforcement, sanity check standardization, PCC cleanup, WTSL-AIX note, subgroup policy, sensitivity labeling, NONDECISIVE_GAP flag</t>
  </si>
  <si>
    <t xml:space="preserve">1.6.4</t>
  </si>
  <si>
    <t xml:space="preserve">FINAL: Boolean→numeric, hardened schema, audit consistency, placeholders removed, publish-ready gate</t>
  </si>
  <si>
    <t xml:space="preserve">1.6.5</t>
  </si>
  <si>
    <t xml:space="preserve">SSOT enforcement: computed flags, no hardcoded triggers, placeholder removal, TRC audit format, NCRC cleanup, conservative subgroup bound</t>
  </si>
  <si>
    <t xml:space="preserve">1.6.6</t>
  </si>
  <si>
    <t xml:space="preserve">FINAL: Formula-based triggers, computed PASS/FAIL sanity, SSOT enforcement, placeholder eradication, τ_TRC linked, TEXTJOIN flags</t>
  </si>
  <si>
    <t xml:space="preserve">1.6.7</t>
  </si>
  <si>
    <t xml:space="preserve">DEFINITIVE: All triggers/counts/gates are formulas, SSOT enforced, no typed values, manual override sentinel, Release Integrity Panel</t>
  </si>
  <si>
    <t xml:space="preserve">1.6.1</t>
  </si>
  <si>
    <t xml:space="preserve">CLAIM-READY: C_cat filled; CVaR computed; type fixes; full SSOT</t>
  </si>
  <si>
    <t xml:space="preserve">1.5.5</t>
  </si>
  <si>
    <t xml:space="preserve">2026-01-31</t>
  </si>
  <si>
    <t xml:space="preserve">Computed Dashboard; TRC sorted scenarios</t>
  </si>
  <si>
    <t xml:space="preserve">1.5.6</t>
  </si>
  <si>
    <t xml:space="preserve">Audit_Flags computed formulas</t>
  </si>
  <si>
    <t xml:space="preserve">1.5.7</t>
  </si>
  <si>
    <t xml:space="preserve">Fixed Containment/RANK formulas; full computed Audit_Flags; error-free</t>
  </si>
  <si>
    <t xml:space="preserve">1.5.8</t>
  </si>
  <si>
    <t xml:space="preserve">Claim-ready: +PROC right; fixed Containment refs; σ_est toggle; Sanity Checklist; blank=INVALID</t>
  </si>
  <si>
    <t xml:space="preserve">Mandatory Tails</t>
  </si>
  <si>
    <t xml:space="preserve">p_floor (≥0.02)</t>
  </si>
  <si>
    <t xml:space="preserve">✓ PASS</t>
  </si>
  <si>
    <t xml:space="preserve">✓ PASS (vacuous)</t>
  </si>
  <si>
    <t xml:space="preserve">✓ PASS (computed)</t>
  </si>
  <si>
    <t xml:space="preserve">✓ PASS (with 5SPR)</t>
  </si>
  <si>
    <t xml:space="preserve">Audit Flags</t>
  </si>
  <si>
    <t xml:space="preserve">✓ PASS (NONDECISIVE_GAP_REVIEW active)</t>
  </si>
  <si>
    <t xml:space="preserve">OVERALL</t>
  </si>
  <si>
    <t xml:space="preserve">✓ TIER 2 CONFORMANT</t>
  </si>
  <si>
    <t xml:space="preserve">v1.7.3</t>
  </si>
  <si>
    <t xml:space="preserve">PUBLISH_FINAL: Fixed MINIFS compatibility (140), wrapped TRC IFERROR, unified version labels, bracket policy clarified</t>
  </si>
  <si>
    <t xml:space="preserve">RC_POLISH: reconciled version ids; clarified containment as Tier-2 proxy; improved SUBGROUP_LIMITATION trigger (analysis-aware); updated σ_est policy note</t>
  </si>
  <si>
    <t xml:space="preserve">Claude+GPT-assisted</t>
  </si>
  <si>
    <t xml:space="preserve">v1.7.5</t>
  </si>
  <si>
    <t xml:space="preserve">2026-02-04</t>
  </si>
  <si>
    <t xml:space="preserve">PUBLISH_HARDEN: Fixed NCRC Min_I_rights calc (AGGREGATE), PCC Section 7 + 5SPR auto-pulls Audit_Flags, removed header version drift, clarified overrides vs audit flag, mandatory tails display links to CANON.</t>
  </si>
  <si>
    <t xml:space="preserve">GPT-assisted</t>
  </si>
  <si>
    <t xml:space="preserve">v1.7.9</t>
  </si>
  <si>
    <t xml:space="preserve">FINAL_HARDEN: aligned RLS decisiveness display with Gap/√(2σ²+ε); PCC mitigation reframed as qualitative + headroom; added TRC outputs populated sanity check; fixed placeholder check reference.</t>
  </si>
  <si>
    <t xml:space="preserve">v1.8.0</t>
  </si>
  <si>
    <t xml:space="preserve">2026-02-13</t>
  </si>
  <si>
    <t xml:space="preserve">CANON RE-PIN: Framework→Ripple_Logic v8.5.4 PATCHED, SGP→v4.2.3. τ(t) corrected to MIN(1,LN(1+MAX(t,t_min))/LN(1+T_ref)) with t_min=0.083 per v8.5.4 PATCHED Appendix B.1. All 27 sheet section refs updated. Stewardship block added to PCC. UCI E₁=1 verified. Config date updated.</t>
  </si>
  <si>
    <t xml:space="preserve">TIER 3 READINESS CHECKLIST</t>
  </si>
  <si>
    <t xml:space="preserve">☐ Expand scenarios to ≥20 (currently 7)</t>
  </si>
  <si>
    <t xml:space="preserve">☐ Complete sensitivity analysis</t>
  </si>
  <si>
    <t xml:space="preserve">☐ Independent reviewer sign-off</t>
  </si>
  <si>
    <t xml:space="preserve">☐ Full subgroup enumeration</t>
  </si>
  <si>
    <t xml:space="preserve">☐ Add kernel with KQS (if QUICK mode)</t>
  </si>
  <si>
    <t xml:space="preserve">☐ UCI from structural indicators</t>
  </si>
  <si>
    <t xml:space="preserve">☐ Uncertainty quantification (σ values)</t>
  </si>
  <si>
    <t xml:space="preserve">KNOWN LIMITATIONS (v1.5)</t>
  </si>
  <si>
    <t xml:space="preserve">Normal cascade complete; RLS non-decisive requires judgment call</t>
  </si>
  <si>
    <t xml:space="preserve">2. Scenario count (7) above Tier 2 min but below Tier 3</t>
  </si>
  <si>
    <t xml:space="preserve">3. UCI values = evaluator assessment, not structural indicators</t>
  </si>
  <si>
    <t xml:space="preserve">4. Sensitivity template ready but not fully populated</t>
  </si>
  <si>
    <t xml:space="preserve">5. Kernel not used (NONE mode) - appropriate for Tier 2</t>
  </si>
  <si>
    <t xml:space="preserve">PATCH_NOTE</t>
  </si>
  <si>
    <t xml:space="preserve">Added explicit PCC BaselineType_Welfare = STATUS_QUO and reference lines (restoring v1.8.4 clarity).</t>
  </si>
  <si>
    <t xml:space="preserve">PATCH_TIMESTAMP_UTC</t>
  </si>
  <si>
    <t xml:space="preserve">2026-02-20T13:28:45Z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</si>
</sst>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0.000000"/>
    <numFmt numFmtId="167" formatCode="0.000"/>
    <numFmt numFmtId="168" formatCode="0.0000"/>
    <numFmt numFmtId="169" formatCode="0.0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4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theme="1"/>
      <name val="Cambria"/>
      <family val="0"/>
      <charset val="1"/>
    </font>
    <font>
      <b val="true"/>
      <i val="true"/>
      <sz val="10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9C6500"/>
      <name val="Cambria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DDEBF7"/>
        <bgColor rgb="FFD9EAF7"/>
      </patternFill>
    </fill>
    <fill>
      <patternFill patternType="solid">
        <fgColor rgb="FFC6EFCE"/>
        <bgColor rgb="FFE2EFDA"/>
      </patternFill>
    </fill>
    <fill>
      <patternFill patternType="solid">
        <fgColor rgb="FFE8F0FE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1F4E78"/>
      </patternFill>
    </fill>
    <fill>
      <patternFill patternType="solid">
        <fgColor rgb="FFD9D9D9"/>
        <bgColor rgb="FFDDDDDD"/>
      </patternFill>
    </fill>
    <fill>
      <patternFill patternType="solid">
        <fgColor rgb="FF1F4E78"/>
        <bgColor rgb="FF1F4E79"/>
      </patternFill>
    </fill>
    <fill>
      <patternFill patternType="solid">
        <fgColor rgb="FFD9EAF7"/>
        <bgColor rgb="FFDDEBF7"/>
      </patternFill>
    </fill>
    <fill>
      <patternFill patternType="solid">
        <fgColor rgb="FFB4C7E7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E6CC"/>
      </patternFill>
    </fill>
    <fill>
      <patternFill patternType="solid">
        <fgColor rgb="FFFFC7CE"/>
        <bgColor rgb="FFFFCCCC"/>
      </patternFill>
    </fill>
    <fill>
      <patternFill patternType="solid">
        <fgColor rgb="FFFFEB9C"/>
        <bgColor rgb="FFFFE6CC"/>
      </patternFill>
    </fill>
    <fill>
      <patternFill patternType="solid">
        <fgColor rgb="FFFFF2CC"/>
        <bgColor rgb="FFFFE6CC"/>
      </patternFill>
    </fill>
    <fill>
      <patternFill patternType="solid">
        <fgColor rgb="FFFFCCCC"/>
        <bgColor rgb="FFFFC7CE"/>
      </patternFill>
    </fill>
    <fill>
      <patternFill patternType="solid">
        <fgColor rgb="FFFFE6CC"/>
        <bgColor rgb="FFFCE4D6"/>
      </patternFill>
    </fill>
    <fill>
      <patternFill patternType="solid">
        <fgColor rgb="FFFFFFCC"/>
        <bgColor rgb="FFFFF2CC"/>
      </patternFill>
    </fill>
    <fill>
      <patternFill patternType="solid">
        <fgColor rgb="FFDDDDDD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4C7E7"/>
      <rgbColor rgb="FF808080"/>
      <rgbColor rgb="FFE2EFDA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E6CC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DDDDDD"/>
      <rgbColor rgb="FFFFC7CE"/>
      <rgbColor rgb="FFFCE4D6"/>
      <rgbColor rgb="FFFFCCCC"/>
      <rgbColor rgb="FF2E75B6"/>
      <rgbColor rgb="FF33CCCC"/>
      <rgbColor rgb="FF99CC00"/>
      <rgbColor rgb="FFE8F0FE"/>
      <rgbColor rgb="FFFF9900"/>
      <rgbColor rgb="FFFF6600"/>
      <rgbColor rgb="FF666699"/>
      <rgbColor rgb="FF999999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5"/>
    <col collapsed="false" customWidth="true" hidden="false" outlineLevel="0" max="4" min="3" style="0" width="15"/>
  </cols>
  <sheetData>
    <row r="1" customFormat="false" ht="18" hidden="false" customHeight="true" outlineLevel="0" collapsed="false">
      <c r="A1" s="1" t="s">
        <v>0</v>
      </c>
      <c r="B1" s="1"/>
      <c r="C1" s="1"/>
      <c r="D1" s="1"/>
    </row>
    <row r="2" customFormat="false" ht="13.5" hidden="false" customHeight="true" outlineLevel="0" collapsed="false"/>
    <row r="3" customFormat="false" ht="13.5" hidden="false" customHeight="true" outlineLevel="0" collapsed="false">
      <c r="A3" s="2" t="s">
        <v>1</v>
      </c>
      <c r="B3" s="3" t="str">
        <f aca="false">CANON!B7</f>
        <v>v2.2</v>
      </c>
    </row>
    <row r="4" customFormat="false" ht="13.5" hidden="false" customHeight="true" outlineLevel="0" collapsed="false">
      <c r="A4" s="2" t="s">
        <v>2</v>
      </c>
      <c r="B4" s="3" t="str">
        <f aca="false">CANON!B5</f>
        <v>Ripple_Logic v8.6</v>
      </c>
    </row>
    <row r="5" customFormat="false" ht="13.5" hidden="false" customHeight="true" outlineLevel="0" collapsed="false">
      <c r="A5" s="2" t="s">
        <v>3</v>
      </c>
      <c r="B5" s="3" t="n">
        <f aca="false">CANON!B89</f>
        <v>2</v>
      </c>
    </row>
    <row r="6" customFormat="false" ht="13.5" hidden="false" customHeight="true" outlineLevel="0" collapsed="false">
      <c r="A6" s="2" t="s">
        <v>4</v>
      </c>
      <c r="B6" s="3" t="str">
        <f aca="false">CANON!B82</f>
        <v>WORKED_RUN</v>
      </c>
    </row>
    <row r="7" customFormat="false" ht="13.5" hidden="false" customHeight="true" outlineLevel="0" collapsed="false">
      <c r="A7" s="2" t="s">
        <v>5</v>
      </c>
      <c r="B7" s="3" t="str">
        <f aca="false">CANON!B81</f>
        <v>YES</v>
      </c>
    </row>
    <row r="8" customFormat="false" ht="13.5" hidden="false" customHeight="true" outlineLevel="0" collapsed="false">
      <c r="A8" s="2" t="s">
        <v>6</v>
      </c>
      <c r="B8" s="3" t="str">
        <f aca="false">CANON!B118</f>
        <v>YES</v>
      </c>
    </row>
    <row r="9" customFormat="false" ht="13.5" hidden="false" customHeight="true" outlineLevel="0" collapsed="false">
      <c r="A9" s="2"/>
      <c r="B9" s="3"/>
    </row>
    <row r="10" customFormat="false" ht="13.5" hidden="false" customHeight="true" outlineLevel="0" collapsed="false">
      <c r="A10" s="2" t="s">
        <v>7</v>
      </c>
      <c r="B10" s="4" t="str">
        <f aca="false">Audit_Flags!J19</f>
        <v>NONDECISIVE_GAP_REVIEW (REVIEW)</v>
      </c>
    </row>
    <row r="11" customFormat="false" ht="13.5" hidden="false" customHeight="true" outlineLevel="0" collapsed="false">
      <c r="A11" s="2" t="s">
        <v>8</v>
      </c>
      <c r="B11" s="3" t="str">
        <f aca="false">Audit_Flags!B21&amp;" / "&amp;Audit_Flags!B22&amp;" / "&amp;Audit_Flags!B23&amp;" / "&amp;Audit_Flags!B24</f>
        <v>0 / 0 / 1 / 1</v>
      </c>
    </row>
    <row r="12" customFormat="false" ht="13.5" hidden="false" customHeight="true" outlineLevel="0" collapsed="false"/>
    <row r="13" customFormat="false" ht="28.5" hidden="false" customHeight="true" outlineLevel="0" collapsed="false">
      <c r="A13" s="0" t="s">
        <v>9</v>
      </c>
      <c r="B13" s="4" t="s">
        <v>10</v>
      </c>
    </row>
    <row r="14" customFormat="false" ht="13.5" hidden="false" customHeight="true" outlineLevel="0" collapsed="false">
      <c r="A14" s="5" t="s">
        <v>11</v>
      </c>
      <c r="B14" s="5" t="s">
        <v>12</v>
      </c>
    </row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>
      <c r="A17" s="0" t="s">
        <v>13</v>
      </c>
      <c r="B17" s="4" t="str">
        <f aca="false">IF(Audit_Flags!B23=0,"None","See Audit_Flags list above; PCC includes the rationale for any active REVIEW flags.")</f>
        <v>See Audit_Flags list above; PCC includes the rationale for any active REVIEW flags.</v>
      </c>
    </row>
    <row r="18" customFormat="false" ht="13.5" hidden="false" customHeight="true" outlineLevel="0" collapsed="false"/>
    <row r="19" customFormat="false" ht="13.5" hidden="false" customHeight="true" outlineLevel="0" collapsed="false">
      <c r="A19" s="0" t="s">
        <v>14</v>
      </c>
      <c r="B19" s="0" t="str">
        <f aca="false">Sensitivity_Analysis!B3</f>
        <v>PERFORMED</v>
      </c>
    </row>
    <row r="20" customFormat="false" ht="13.5" hidden="false" customHeight="true" outlineLevel="0" collapsed="false">
      <c r="A20" s="0" t="s">
        <v>15</v>
      </c>
      <c r="B20" s="0" t="str">
        <f aca="false">Sensitivity_Analysis!B16</f>
        <v>STABLE</v>
      </c>
    </row>
    <row r="21" customFormat="false" ht="13.5" hidden="false" customHeight="true" outlineLevel="0" collapsed="false"/>
    <row r="22" customFormat="false" ht="13.5" hidden="false" customHeight="true" outlineLevel="0" collapsed="false">
      <c r="A22" s="0" t="s">
        <v>16</v>
      </c>
    </row>
    <row r="23" customFormat="false" ht="14.25" hidden="false" customHeight="false" outlineLevel="0" collapsed="false">
      <c r="A23" s="0" t="s">
        <v>17</v>
      </c>
      <c r="B23" s="0" t="s">
        <v>18</v>
      </c>
    </row>
    <row r="24" customFormat="false" ht="14.25" hidden="false" customHeight="false" outlineLevel="0" collapsed="false">
      <c r="A24" s="6" t="n">
        <f aca="true">TODAY()</f>
        <v>46096</v>
      </c>
      <c r="B24" s="4" t="s">
        <v>19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35"/>
  </cols>
  <sheetData>
    <row r="1" customFormat="false" ht="17.25" hidden="false" customHeight="true" outlineLevel="0" collapsed="false">
      <c r="A1" s="7" t="s">
        <v>20</v>
      </c>
    </row>
    <row r="2" customFormat="false" ht="15" hidden="false" customHeight="true" outlineLevel="0" collapsed="false">
      <c r="A2" s="0" t="s">
        <v>21</v>
      </c>
    </row>
    <row r="3" customFormat="false" ht="13.5" hidden="false" customHeight="true" outlineLevel="0" collapsed="false"/>
    <row r="4" customFormat="false" ht="15" hidden="false" customHeight="true" outlineLevel="0" collapsed="false">
      <c r="A4" s="8" t="s">
        <v>22</v>
      </c>
    </row>
    <row r="5" customFormat="false" ht="15" hidden="false" customHeight="true" outlineLevel="0" collapsed="false">
      <c r="A5" s="0" t="s">
        <v>23</v>
      </c>
      <c r="B5" s="0" t="s">
        <v>24</v>
      </c>
    </row>
    <row r="6" customFormat="false" ht="15" hidden="false" customHeight="true" outlineLevel="0" collapsed="false">
      <c r="A6" s="0" t="s">
        <v>25</v>
      </c>
      <c r="B6" s="0" t="s">
        <v>26</v>
      </c>
    </row>
    <row r="7" customFormat="false" ht="15" hidden="false" customHeight="true" outlineLevel="0" collapsed="false">
      <c r="A7" s="0" t="s">
        <v>27</v>
      </c>
      <c r="B7" s="0" t="s">
        <v>28</v>
      </c>
    </row>
    <row r="8" customFormat="false" ht="13.5" hidden="false" customHeight="true" outlineLevel="0" collapsed="false"/>
    <row r="9" customFormat="false" ht="15" hidden="false" customHeight="true" outlineLevel="0" collapsed="false">
      <c r="A9" s="8" t="s">
        <v>29</v>
      </c>
    </row>
    <row r="10" customFormat="false" ht="15" hidden="false" customHeight="true" outlineLevel="0" collapsed="false">
      <c r="A10" s="0" t="s">
        <v>30</v>
      </c>
      <c r="B10" s="0" t="n">
        <v>2</v>
      </c>
      <c r="C10" s="0" t="s">
        <v>31</v>
      </c>
    </row>
    <row r="11" customFormat="false" ht="15" hidden="false" customHeight="true" outlineLevel="0" collapsed="false">
      <c r="A11" s="0" t="s">
        <v>32</v>
      </c>
      <c r="B11" s="0" t="s">
        <v>33</v>
      </c>
      <c r="C11" s="0" t="s">
        <v>34</v>
      </c>
    </row>
    <row r="12" customFormat="false" ht="15" hidden="false" customHeight="true" outlineLevel="0" collapsed="false">
      <c r="A12" s="0" t="s">
        <v>35</v>
      </c>
      <c r="B12" s="0" t="s">
        <v>36</v>
      </c>
      <c r="C12" s="0" t="s">
        <v>37</v>
      </c>
    </row>
    <row r="13" customFormat="false" ht="15" hidden="false" customHeight="true" outlineLevel="0" collapsed="false">
      <c r="A13" s="0" t="s">
        <v>38</v>
      </c>
      <c r="B13" s="0" t="n">
        <v>1</v>
      </c>
      <c r="C13" s="0" t="s">
        <v>39</v>
      </c>
    </row>
    <row r="14" customFormat="false" ht="15" hidden="false" customHeight="true" outlineLevel="0" collapsed="false">
      <c r="A14" s="0" t="s">
        <v>40</v>
      </c>
      <c r="B14" s="0" t="n">
        <v>1</v>
      </c>
      <c r="C14" s="0" t="s">
        <v>41</v>
      </c>
    </row>
    <row r="15" customFormat="false" ht="15" hidden="false" customHeight="true" outlineLevel="0" collapsed="false">
      <c r="A15" s="0" t="s">
        <v>42</v>
      </c>
      <c r="B15" s="0" t="n">
        <v>0</v>
      </c>
      <c r="C15" s="0" t="s">
        <v>43</v>
      </c>
    </row>
    <row r="16" customFormat="false" ht="13.5" hidden="false" customHeight="true" outlineLevel="0" collapsed="false"/>
    <row r="17" customFormat="false" ht="15" hidden="false" customHeight="true" outlineLevel="0" collapsed="false">
      <c r="A17" s="8" t="s">
        <v>44</v>
      </c>
    </row>
    <row r="18" customFormat="false" ht="15" hidden="false" customHeight="true" outlineLevel="0" collapsed="false">
      <c r="A18" s="0" t="s">
        <v>45</v>
      </c>
      <c r="B18" s="0" t="n">
        <v>0.95</v>
      </c>
    </row>
    <row r="19" customFormat="false" ht="15" hidden="false" customHeight="true" outlineLevel="0" collapsed="false">
      <c r="A19" s="0" t="s">
        <v>46</v>
      </c>
      <c r="B19" s="0" t="n">
        <f aca="false">1-B18</f>
        <v>0.05</v>
      </c>
    </row>
    <row r="20" customFormat="false" ht="15" hidden="false" customHeight="true" outlineLevel="0" collapsed="false">
      <c r="A20" s="0" t="s">
        <v>47</v>
      </c>
      <c r="B20" s="0" t="n">
        <v>2</v>
      </c>
    </row>
    <row r="21" customFormat="false" ht="15" hidden="false" customHeight="true" outlineLevel="0" collapsed="false">
      <c r="A21" s="0" t="s">
        <v>48</v>
      </c>
      <c r="B21" s="0" t="n">
        <v>1</v>
      </c>
    </row>
    <row r="22" customFormat="false" ht="15" hidden="false" customHeight="true" outlineLevel="0" collapsed="false">
      <c r="A22" s="0" t="s">
        <v>49</v>
      </c>
      <c r="B22" s="0" t="n">
        <v>2</v>
      </c>
    </row>
    <row r="23" customFormat="false" ht="15" hidden="false" customHeight="true" outlineLevel="0" collapsed="false">
      <c r="A23" s="0" t="s">
        <v>50</v>
      </c>
      <c r="B23" s="0" t="n">
        <v>0.05</v>
      </c>
    </row>
    <row r="24" customFormat="false" ht="15" hidden="false" customHeight="true" outlineLevel="0" collapsed="false">
      <c r="A24" s="0" t="s">
        <v>51</v>
      </c>
      <c r="B24" s="0" t="n">
        <v>-0.1</v>
      </c>
    </row>
    <row r="25" customFormat="false" ht="15" hidden="false" customHeight="true" outlineLevel="0" collapsed="false">
      <c r="A25" s="0" t="s">
        <v>52</v>
      </c>
      <c r="B25" s="0" t="n">
        <v>25</v>
      </c>
    </row>
    <row r="26" customFormat="false" ht="15" hidden="false" customHeight="true" outlineLevel="0" collapsed="false">
      <c r="A26" s="0" t="s">
        <v>53</v>
      </c>
      <c r="B26" s="0" t="n">
        <v>0.02</v>
      </c>
    </row>
    <row r="27" customFormat="false" ht="13.5" hidden="false" customHeight="true" outlineLevel="0" collapsed="false">
      <c r="A27" s="0" t="s">
        <v>54</v>
      </c>
      <c r="B27" s="0" t="n">
        <v>0.083</v>
      </c>
      <c r="C27" s="0" t="s">
        <v>55</v>
      </c>
    </row>
    <row r="28" customFormat="false" ht="15" hidden="false" customHeight="true" outlineLevel="0" collapsed="false">
      <c r="A28" s="8" t="s">
        <v>56</v>
      </c>
    </row>
    <row r="29" customFormat="false" ht="15" hidden="false" customHeight="true" outlineLevel="0" collapsed="false">
      <c r="A29" s="0" t="s">
        <v>57</v>
      </c>
      <c r="B29" s="0" t="s">
        <v>58</v>
      </c>
      <c r="C29" s="0" t="s">
        <v>59</v>
      </c>
    </row>
    <row r="30" customFormat="false" ht="15" hidden="false" customHeight="true" outlineLevel="0" collapsed="false">
      <c r="A30" s="0" t="s">
        <v>60</v>
      </c>
      <c r="B30" s="0" t="n">
        <v>1</v>
      </c>
      <c r="C30" s="0" t="n">
        <v>-0.9</v>
      </c>
    </row>
    <row r="31" customFormat="false" ht="15" hidden="false" customHeight="true" outlineLevel="0" collapsed="false">
      <c r="A31" s="0" t="s">
        <v>61</v>
      </c>
      <c r="B31" s="0" t="n">
        <v>2</v>
      </c>
      <c r="C31" s="0" t="n">
        <v>-0.7</v>
      </c>
    </row>
    <row r="32" customFormat="false" ht="15" hidden="false" customHeight="true" outlineLevel="0" collapsed="false">
      <c r="A32" s="0" t="s">
        <v>62</v>
      </c>
      <c r="B32" s="0" t="n">
        <v>3</v>
      </c>
      <c r="C32" s="0" t="n">
        <v>-0.65</v>
      </c>
    </row>
    <row r="33" customFormat="false" ht="15" hidden="false" customHeight="true" outlineLevel="0" collapsed="false">
      <c r="A33" s="0" t="s">
        <v>63</v>
      </c>
      <c r="B33" s="0" t="n">
        <v>4</v>
      </c>
      <c r="C33" s="0" t="n">
        <v>-0.65</v>
      </c>
    </row>
    <row r="34" customFormat="false" ht="15" hidden="false" customHeight="true" outlineLevel="0" collapsed="false">
      <c r="A34" s="0" t="s">
        <v>64</v>
      </c>
      <c r="B34" s="0" t="n">
        <v>5</v>
      </c>
      <c r="C34" s="0" t="n">
        <v>-0.5</v>
      </c>
    </row>
    <row r="35" customFormat="false" ht="15" hidden="false" customHeight="true" outlineLevel="0" collapsed="false">
      <c r="A35" s="0" t="s">
        <v>65</v>
      </c>
      <c r="B35" s="0" t="n">
        <v>6</v>
      </c>
      <c r="C35" s="0" t="n">
        <v>-0.55</v>
      </c>
    </row>
    <row r="36" customFormat="false" ht="15" hidden="false" customHeight="true" outlineLevel="0" collapsed="false">
      <c r="A36" s="0" t="s">
        <v>66</v>
      </c>
      <c r="B36" s="0" t="n">
        <v>7</v>
      </c>
      <c r="C36" s="0" t="n">
        <v>-0.45</v>
      </c>
    </row>
    <row r="37" customFormat="false" ht="15" hidden="false" customHeight="true" outlineLevel="0" collapsed="false">
      <c r="A37" s="0" t="s">
        <v>67</v>
      </c>
      <c r="B37" s="0" t="n">
        <v>8</v>
      </c>
      <c r="C37" s="0" t="n">
        <v>-0.4</v>
      </c>
    </row>
    <row r="38" customFormat="false" ht="15" hidden="false" customHeight="true" outlineLevel="0" collapsed="false">
      <c r="A38" s="0" t="s">
        <v>68</v>
      </c>
      <c r="B38" s="0" t="n">
        <f aca="false">COUNTA(A30:A37)</f>
        <v>8</v>
      </c>
      <c r="C38" s="0" t="s">
        <v>69</v>
      </c>
    </row>
    <row r="39" customFormat="false" ht="13.5" hidden="false" customHeight="true" outlineLevel="0" collapsed="false"/>
    <row r="40" customFormat="false" ht="15" hidden="false" customHeight="true" outlineLevel="0" collapsed="false">
      <c r="A40" s="8" t="s">
        <v>70</v>
      </c>
    </row>
    <row r="41" customFormat="false" ht="15" hidden="false" customHeight="true" outlineLevel="0" collapsed="false">
      <c r="A41" s="0" t="s">
        <v>71</v>
      </c>
      <c r="B41" s="0" t="n">
        <f aca="false">IF(B12="YES",6,5)</f>
        <v>5</v>
      </c>
      <c r="C41" s="0" t="s">
        <v>72</v>
      </c>
    </row>
    <row r="42" customFormat="false" ht="15" hidden="false" customHeight="true" outlineLevel="0" collapsed="false">
      <c r="A42" s="0" t="s">
        <v>73</v>
      </c>
      <c r="B42" s="0" t="s">
        <v>74</v>
      </c>
    </row>
    <row r="43" customFormat="false" ht="15" hidden="false" customHeight="true" outlineLevel="0" collapsed="false">
      <c r="A43" s="0" t="s">
        <v>75</v>
      </c>
      <c r="B43" s="0" t="s">
        <v>76</v>
      </c>
    </row>
    <row r="44" customFormat="false" ht="15" hidden="false" customHeight="true" outlineLevel="0" collapsed="false">
      <c r="A44" s="0" t="s">
        <v>77</v>
      </c>
      <c r="B44" s="0" t="s">
        <v>76</v>
      </c>
    </row>
    <row r="45" customFormat="false" ht="15" hidden="false" customHeight="true" outlineLevel="0" collapsed="false">
      <c r="A45" s="0" t="s">
        <v>78</v>
      </c>
      <c r="B45" s="0" t="s">
        <v>76</v>
      </c>
    </row>
    <row r="46" customFormat="false" ht="15" hidden="false" customHeight="true" outlineLevel="0" collapsed="false">
      <c r="A46" s="0" t="s">
        <v>79</v>
      </c>
      <c r="B46" s="0" t="s">
        <v>76</v>
      </c>
    </row>
    <row r="47" customFormat="false" ht="15" hidden="false" customHeight="true" outlineLevel="0" collapsed="false">
      <c r="A47" s="0" t="s">
        <v>80</v>
      </c>
      <c r="B47" s="0" t="s">
        <v>76</v>
      </c>
    </row>
    <row r="48" customFormat="false" ht="15" hidden="false" customHeight="true" outlineLevel="0" collapsed="false">
      <c r="A48" s="0" t="s">
        <v>81</v>
      </c>
      <c r="B48" s="0" t="str">
        <f aca="false">IF($B$12="YES","YES","NO")</f>
        <v>NO</v>
      </c>
    </row>
    <row r="49" customFormat="false" ht="13.5" hidden="false" customHeight="true" outlineLevel="0" collapsed="false"/>
    <row r="50" customFormat="false" ht="15" hidden="false" customHeight="true" outlineLevel="0" collapsed="false">
      <c r="A50" s="8" t="s">
        <v>82</v>
      </c>
    </row>
    <row r="51" customFormat="false" ht="15" hidden="false" customHeight="true" outlineLevel="0" collapsed="false">
      <c r="A51" s="0" t="s">
        <v>83</v>
      </c>
      <c r="B51" s="0" t="str">
        <f aca="false">NCRC!D18</f>
        <v>PASS</v>
      </c>
    </row>
    <row r="52" customFormat="false" ht="15" hidden="false" customHeight="true" outlineLevel="0" collapsed="false">
      <c r="A52" s="0" t="s">
        <v>84</v>
      </c>
      <c r="B52" s="0" t="str">
        <f aca="false">NCRC!D19</f>
        <v>PASS</v>
      </c>
    </row>
    <row r="53" customFormat="false" ht="13.5" hidden="false" customHeight="true" outlineLevel="0" collapsed="false"/>
    <row r="54" customFormat="false" ht="15" hidden="false" customHeight="true" outlineLevel="0" collapsed="false">
      <c r="A54" s="0" t="s">
        <v>85</v>
      </c>
      <c r="B54" s="0" t="n">
        <v>0.0219</v>
      </c>
    </row>
    <row r="55" customFormat="false" ht="15" hidden="false" customHeight="true" outlineLevel="0" collapsed="false">
      <c r="A55" s="0" t="s">
        <v>86</v>
      </c>
      <c r="B55" s="0" t="n">
        <v>0.0315</v>
      </c>
    </row>
    <row r="56" customFormat="false" ht="15" hidden="false" customHeight="true" outlineLevel="0" collapsed="false">
      <c r="A56" s="0" t="s">
        <v>87</v>
      </c>
      <c r="B56" s="0" t="str">
        <f aca="false">IF(B54&lt;=B58,"PASS","FAIL")</f>
        <v>PASS</v>
      </c>
    </row>
    <row r="57" customFormat="false" ht="15" hidden="false" customHeight="true" outlineLevel="0" collapsed="false">
      <c r="A57" s="0" t="s">
        <v>88</v>
      </c>
      <c r="B57" s="0" t="str">
        <f aca="false">IF(B55&lt;=B58,"PASS","FAIL")</f>
        <v>PASS</v>
      </c>
    </row>
    <row r="58" customFormat="false" ht="15" hidden="false" customHeight="true" outlineLevel="0" collapsed="false">
      <c r="A58" s="0" t="s">
        <v>89</v>
      </c>
      <c r="B58" s="0" t="n">
        <v>0.2</v>
      </c>
      <c r="C58" s="0" t="s">
        <v>90</v>
      </c>
    </row>
    <row r="59" customFormat="false" ht="13.5" hidden="false" customHeight="true" outlineLevel="0" collapsed="false"/>
    <row r="60" customFormat="false" ht="15" hidden="false" customHeight="true" outlineLevel="0" collapsed="false">
      <c r="A60" s="0" t="s">
        <v>91</v>
      </c>
      <c r="B60" s="0" t="str">
        <f aca="false">Containment!K14</f>
        <v>PASS</v>
      </c>
    </row>
    <row r="61" customFormat="false" ht="15" hidden="false" customHeight="true" outlineLevel="0" collapsed="false">
      <c r="A61" s="0" t="s">
        <v>92</v>
      </c>
      <c r="B61" s="0" t="str">
        <f aca="false">Containment!K15</f>
        <v>PASS (vacuous)</v>
      </c>
    </row>
    <row r="62" customFormat="false" ht="13.5" hidden="false" customHeight="true" outlineLevel="0" collapsed="false"/>
    <row r="63" customFormat="false" ht="15" hidden="false" customHeight="true" outlineLevel="0" collapsed="false">
      <c r="A63" s="0" t="s">
        <v>93</v>
      </c>
      <c r="B63" s="0" t="n">
        <f aca="false">RLS!B5</f>
        <v>0.005462</v>
      </c>
    </row>
    <row r="64" customFormat="false" ht="15" hidden="false" customHeight="true" outlineLevel="0" collapsed="false">
      <c r="A64" s="0" t="s">
        <v>94</v>
      </c>
      <c r="B64" s="0" t="n">
        <f aca="false">RLS!B6</f>
        <v>0.000202</v>
      </c>
    </row>
    <row r="65" customFormat="false" ht="13.5" hidden="false" customHeight="true" outlineLevel="0" collapsed="false"/>
    <row r="66" customFormat="false" ht="15" hidden="false" customHeight="true" outlineLevel="0" collapsed="false">
      <c r="A66" s="8" t="s">
        <v>95</v>
      </c>
    </row>
    <row r="67" customFormat="false" ht="15" hidden="false" customHeight="true" outlineLevel="0" collapsed="false">
      <c r="A67" s="0" t="s">
        <v>96</v>
      </c>
      <c r="B67" s="0" t="n">
        <f aca="false">COUNTIF(B51:B52,"PASS")</f>
        <v>2</v>
      </c>
      <c r="C67" s="0" t="s">
        <v>97</v>
      </c>
    </row>
    <row r="68" customFormat="false" ht="15" hidden="false" customHeight="true" outlineLevel="0" collapsed="false">
      <c r="A68" s="0" t="s">
        <v>98</v>
      </c>
      <c r="B68" s="0" t="n">
        <f aca="false">COUNTIFS(B51:B52,"PASS",B56:B57,"PASS")</f>
        <v>2</v>
      </c>
      <c r="C68" s="0" t="s">
        <v>99</v>
      </c>
    </row>
    <row r="69" customFormat="false" ht="13.5" hidden="false" customHeight="true" outlineLevel="0" collapsed="false"/>
    <row r="70" customFormat="false" ht="15" hidden="false" customHeight="true" outlineLevel="0" collapsed="false">
      <c r="A70" s="0" t="s">
        <v>100</v>
      </c>
      <c r="B70" s="0" t="str">
        <f aca="false">IF(B67=0,"EMERGENCY_MODE",IF(AND(B67&gt;0,B68=0),"TRC_FALLBACK","NORMAL"))</f>
        <v>NORMAL</v>
      </c>
    </row>
    <row r="71" customFormat="false" ht="15" hidden="false" customHeight="true" outlineLevel="0" collapsed="false">
      <c r="A71" s="0" t="s">
        <v>101</v>
      </c>
      <c r="B71" s="0" t="str">
        <f aca="false">IF(B70="EMERGENCY_MODE","",IF(B70="TRC_FALLBACK",IF(B54&lt;=B55,"A","B"),IF(AND(B51="PASS",B56="PASS",OR(B52&lt;&gt;"PASS",B57&lt;&gt;"PASS")),"A",IF(AND(B52="PASS",B57="PASS",OR(B51&lt;&gt;"PASS",B56&lt;&gt;"PASS")),"B",IF(B63&gt;B64,"A",IF(B64&gt;B63,"B","TIE"))))))</f>
        <v>A</v>
      </c>
    </row>
    <row r="72" customFormat="false" ht="15" hidden="false" customHeight="true" outlineLevel="0" collapsed="false">
      <c r="A72" s="0" t="s">
        <v>102</v>
      </c>
      <c r="B72" s="0" t="str">
        <f aca="false">IF(B70="EMERGENCY_MODE","No rights-admissible options",IF(B70="TRC_FALLBACK","Min CVaR (TRC fallback)",IF(B71="TIE","RLS tie - requires UCI","RLS comparison")))</f>
        <v>RLS comparison</v>
      </c>
    </row>
    <row r="73" customFormat="false" ht="15" hidden="false" customHeight="true" outlineLevel="0" collapsed="false">
      <c r="A73" s="0" t="s">
        <v>103</v>
      </c>
      <c r="B73" s="0" t="str">
        <f aca="false">IF(OR(B70="EMERGENCY_MODE",B70="TRC_FALLBACK"),"YES","NO")</f>
        <v>NO</v>
      </c>
    </row>
    <row r="74" customFormat="false" ht="13.5" hidden="false" customHeight="true" outlineLevel="0" collapsed="false"/>
    <row r="75" customFormat="false" ht="15" hidden="false" customHeight="true" outlineLevel="0" collapsed="false">
      <c r="A75" s="8" t="s">
        <v>104</v>
      </c>
    </row>
    <row r="76" customFormat="false" ht="15" hidden="false" customHeight="true" outlineLevel="0" collapsed="false">
      <c r="A76" s="0" t="s">
        <v>105</v>
      </c>
      <c r="B76" s="0" t="n">
        <v>0</v>
      </c>
      <c r="C76" s="0" t="s">
        <v>106</v>
      </c>
    </row>
    <row r="77" customFormat="false" ht="15" hidden="false" customHeight="true" outlineLevel="0" collapsed="false">
      <c r="A77" s="0" t="s">
        <v>107</v>
      </c>
      <c r="B77" s="0" t="n">
        <v>0</v>
      </c>
    </row>
    <row r="78" customFormat="false" ht="13.5" hidden="false" customHeight="true" outlineLevel="0" collapsed="false"/>
    <row r="79" customFormat="false" ht="15" hidden="false" customHeight="true" outlineLevel="0" collapsed="false">
      <c r="A79" s="8" t="s">
        <v>108</v>
      </c>
    </row>
    <row r="80" customFormat="false" ht="15" hidden="false" customHeight="true" outlineLevel="0" collapsed="false">
      <c r="A80" s="0" t="s">
        <v>109</v>
      </c>
      <c r="B80" s="9" t="n">
        <f aca="false">Audit_Flags!B21</f>
        <v>0</v>
      </c>
      <c r="C80" s="0" t="s">
        <v>110</v>
      </c>
    </row>
    <row r="81" customFormat="false" ht="15" hidden="false" customHeight="true" outlineLevel="0" collapsed="false">
      <c r="A81" s="0" t="s">
        <v>111</v>
      </c>
      <c r="B81" s="9" t="str">
        <f aca="false">IF(AND(B80=0,B82="WORKED_RUN"),"YES","NO")</f>
        <v>YES</v>
      </c>
    </row>
    <row r="82" customFormat="false" ht="14.25" hidden="false" customHeight="true" outlineLevel="0" collapsed="false">
      <c r="A82" s="0" t="s">
        <v>112</v>
      </c>
      <c r="B82" s="0" t="s">
        <v>113</v>
      </c>
      <c r="C82" s="0" t="s">
        <v>114</v>
      </c>
    </row>
    <row r="83" customFormat="false" ht="14.25" hidden="false" customHeight="true" outlineLevel="0" collapsed="false">
      <c r="A83" s="0" t="s">
        <v>115</v>
      </c>
      <c r="B83" s="0" t="str">
        <f aca="false">B118</f>
        <v>YES</v>
      </c>
      <c r="C83" s="0" t="s">
        <v>116</v>
      </c>
    </row>
    <row r="84" customFormat="false" ht="13.5" hidden="false" customHeight="true" outlineLevel="0" collapsed="false"/>
    <row r="85" customFormat="false" ht="14.25" hidden="false" customHeight="true" outlineLevel="0" collapsed="false">
      <c r="A85" s="10" t="s">
        <v>117</v>
      </c>
    </row>
    <row r="86" customFormat="false" ht="14.25" hidden="false" customHeight="true" outlineLevel="0" collapsed="false">
      <c r="A86" s="0" t="s">
        <v>118</v>
      </c>
    </row>
    <row r="87" customFormat="false" ht="14.25" hidden="false" customHeight="true" outlineLevel="0" collapsed="false">
      <c r="D87" s="11"/>
    </row>
    <row r="88" customFormat="false" ht="14.25" hidden="false" customHeight="true" outlineLevel="0" collapsed="false">
      <c r="A88" s="0" t="s">
        <v>119</v>
      </c>
      <c r="B88" s="0" t="s">
        <v>120</v>
      </c>
      <c r="C88" s="0" t="s">
        <v>121</v>
      </c>
      <c r="D88" s="11" t="s">
        <v>122</v>
      </c>
    </row>
    <row r="89" customFormat="false" ht="14.25" hidden="false" customHeight="true" outlineLevel="0" collapsed="false">
      <c r="A89" s="0" t="s">
        <v>30</v>
      </c>
      <c r="B89" s="0" t="n">
        <f aca="false">B10</f>
        <v>2</v>
      </c>
      <c r="C89" s="0" t="s">
        <v>123</v>
      </c>
      <c r="D89" s="11" t="str">
        <f aca="false">IF(AND(ISNUMBER(B89),B89=INT(B89),B89&gt;=1,B89&lt;=3),"PASS","FAIL")</f>
        <v>PASS</v>
      </c>
    </row>
    <row r="90" customFormat="false" ht="14.25" hidden="false" customHeight="true" outlineLevel="0" collapsed="false">
      <c r="A90" s="0" t="s">
        <v>124</v>
      </c>
      <c r="B90" s="0" t="n">
        <f aca="false">B18</f>
        <v>0.95</v>
      </c>
      <c r="C90" s="0" t="s">
        <v>125</v>
      </c>
      <c r="D90" s="11" t="str">
        <f aca="false">IF(AND(ISNUMBER(B90),B90&gt;=0,B90&lt;=1),"PASS","FAIL")</f>
        <v>PASS</v>
      </c>
    </row>
    <row r="91" customFormat="false" ht="14.25" hidden="false" customHeight="true" outlineLevel="0" collapsed="false">
      <c r="A91" s="0" t="s">
        <v>126</v>
      </c>
      <c r="B91" s="0" t="n">
        <f aca="false">B19</f>
        <v>0.05</v>
      </c>
      <c r="C91" s="0" t="s">
        <v>125</v>
      </c>
      <c r="D91" s="11" t="str">
        <f aca="false">IF(AND(ISNUMBER(B91),B91&gt;=0,B91&lt;=1),"PASS","FAIL")</f>
        <v>PASS</v>
      </c>
    </row>
    <row r="92" customFormat="false" ht="14.25" hidden="false" customHeight="true" outlineLevel="0" collapsed="false">
      <c r="A92" s="0" t="s">
        <v>47</v>
      </c>
      <c r="B92" s="0" t="n">
        <f aca="false">B20</f>
        <v>2</v>
      </c>
      <c r="C92" s="0" t="s">
        <v>127</v>
      </c>
      <c r="D92" s="11" t="str">
        <f aca="false">IF(AND(ISNUMBER(B92),B92=INT(B92),B92&gt;0),"PASS","FAIL")</f>
        <v>PASS</v>
      </c>
    </row>
    <row r="93" customFormat="false" ht="14.25" hidden="false" customHeight="true" outlineLevel="0" collapsed="false">
      <c r="A93" s="0" t="s">
        <v>48</v>
      </c>
      <c r="B93" s="0" t="n">
        <f aca="false">B21</f>
        <v>1</v>
      </c>
      <c r="C93" s="0" t="s">
        <v>128</v>
      </c>
      <c r="D93" s="11" t="str">
        <f aca="false">IF(OR(B93=0,B93=1),"PASS","FAIL")</f>
        <v>PASS</v>
      </c>
    </row>
    <row r="94" customFormat="false" ht="14.25" hidden="false" customHeight="true" outlineLevel="0" collapsed="false">
      <c r="A94" s="0" t="s">
        <v>129</v>
      </c>
      <c r="B94" s="0" t="n">
        <f aca="false">B22</f>
        <v>2</v>
      </c>
      <c r="C94" s="0" t="s">
        <v>130</v>
      </c>
      <c r="D94" s="11" t="str">
        <f aca="false">IF(AND(ISNUMBER(B94),B94&gt;0),"PASS","FAIL")</f>
        <v>PASS</v>
      </c>
    </row>
    <row r="95" customFormat="false" ht="14.25" hidden="false" customHeight="true" outlineLevel="0" collapsed="false">
      <c r="A95" s="0" t="s">
        <v>131</v>
      </c>
      <c r="B95" s="0" t="n">
        <f aca="false">B23</f>
        <v>0.05</v>
      </c>
      <c r="C95" s="0" t="s">
        <v>125</v>
      </c>
      <c r="D95" s="11" t="str">
        <f aca="false">IF(AND(ISNUMBER(B95),B95&gt;=0,B95&lt;=1),"PASS","FAIL")</f>
        <v>PASS</v>
      </c>
    </row>
    <row r="96" customFormat="false" ht="14.25" hidden="false" customHeight="true" outlineLevel="0" collapsed="false">
      <c r="A96" s="0" t="s">
        <v>132</v>
      </c>
      <c r="B96" s="0" t="n">
        <f aca="false">B24</f>
        <v>-0.1</v>
      </c>
      <c r="C96" s="0" t="s">
        <v>133</v>
      </c>
      <c r="D96" s="11" t="str">
        <f aca="false">IF(AND(ISNUMBER(B96),B96&lt;0),"PASS","FAIL")</f>
        <v>PASS</v>
      </c>
    </row>
    <row r="97" customFormat="false" ht="14.25" hidden="false" customHeight="true" outlineLevel="0" collapsed="false">
      <c r="A97" s="0" t="s">
        <v>134</v>
      </c>
      <c r="B97" s="0" t="n">
        <f aca="false">B25</f>
        <v>25</v>
      </c>
      <c r="C97" s="0" t="s">
        <v>127</v>
      </c>
      <c r="D97" s="11" t="str">
        <f aca="false">IF(AND(ISNUMBER(B97),B97=INT(B97),B97&gt;0),"PASS","FAIL")</f>
        <v>PASS</v>
      </c>
    </row>
    <row r="98" customFormat="false" ht="14.25" hidden="false" customHeight="true" outlineLevel="0" collapsed="false">
      <c r="A98" s="0" t="s">
        <v>135</v>
      </c>
      <c r="B98" s="0" t="n">
        <f aca="false">B26</f>
        <v>0.02</v>
      </c>
      <c r="C98" s="0" t="s">
        <v>136</v>
      </c>
      <c r="D98" s="11" t="str">
        <f aca="false">IF(AND(ISNUMBER(B98),B98&gt;=0),"PASS","FAIL")</f>
        <v>PASS</v>
      </c>
    </row>
    <row r="99" customFormat="false" ht="14.25" hidden="false" customHeight="true" outlineLevel="0" collapsed="false">
      <c r="A99" s="0" t="s">
        <v>38</v>
      </c>
      <c r="B99" s="0" t="n">
        <f aca="false">B13</f>
        <v>1</v>
      </c>
      <c r="C99" s="0" t="s">
        <v>128</v>
      </c>
      <c r="D99" s="11" t="str">
        <f aca="false">IF(OR(B99=0,B99=1),"PASS","FAIL")</f>
        <v>PASS</v>
      </c>
    </row>
    <row r="100" customFormat="false" ht="14.25" hidden="false" customHeight="true" outlineLevel="0" collapsed="false">
      <c r="A100" s="0" t="s">
        <v>40</v>
      </c>
      <c r="B100" s="0" t="n">
        <f aca="false">B14</f>
        <v>1</v>
      </c>
      <c r="C100" s="0" t="s">
        <v>128</v>
      </c>
      <c r="D100" s="11" t="str">
        <f aca="false">IF(OR(B100=0,B100=1),"PASS","FAIL")</f>
        <v>PASS</v>
      </c>
    </row>
    <row r="101" customFormat="false" ht="14.25" hidden="false" customHeight="true" outlineLevel="0" collapsed="false">
      <c r="A101" s="0" t="s">
        <v>42</v>
      </c>
      <c r="B101" s="0" t="n">
        <f aca="false">B15</f>
        <v>0</v>
      </c>
      <c r="C101" s="0" t="s">
        <v>128</v>
      </c>
      <c r="D101" s="11" t="str">
        <f aca="false">IF(OR(B101=0,B101=1),"PASS","FAIL")</f>
        <v>PASS</v>
      </c>
    </row>
    <row r="102" customFormat="false" ht="14.25" hidden="false" customHeight="true" outlineLevel="0" collapsed="false">
      <c r="A102" s="0" t="s">
        <v>68</v>
      </c>
      <c r="B102" s="0" t="n">
        <f aca="false">B38</f>
        <v>8</v>
      </c>
      <c r="C102" s="0" t="s">
        <v>137</v>
      </c>
      <c r="D102" s="11" t="str">
        <f aca="false">IF(AND(ISNUMBER(B102),B102=INT(B102),B102=8),"PASS","FAIL")</f>
        <v>PASS</v>
      </c>
    </row>
    <row r="103" customFormat="false" ht="14.25" hidden="false" customHeight="true" outlineLevel="0" collapsed="false">
      <c r="A103" s="0" t="s">
        <v>138</v>
      </c>
      <c r="B103" s="0" t="n">
        <f aca="false">B41</f>
        <v>5</v>
      </c>
      <c r="C103" s="0" t="s">
        <v>139</v>
      </c>
      <c r="D103" s="11" t="str">
        <f aca="false">IF(AND(ISNUMBER(B103),B103=INT(B103),B103&gt;=5,B103&lt;=6),"PASS","FAIL")</f>
        <v>PASS</v>
      </c>
    </row>
    <row r="104" customFormat="false" ht="14.25" hidden="false" customHeight="true" outlineLevel="0" collapsed="false">
      <c r="A104" s="0" t="s">
        <v>85</v>
      </c>
      <c r="B104" s="0" t="n">
        <f aca="false">B54</f>
        <v>0.0219</v>
      </c>
      <c r="C104" s="0" t="s">
        <v>136</v>
      </c>
      <c r="D104" s="11" t="str">
        <f aca="false">IF(AND(ISNUMBER(B104),B104&gt;=0),"PASS","FAIL")</f>
        <v>PASS</v>
      </c>
    </row>
    <row r="105" customFormat="false" ht="14.25" hidden="false" customHeight="true" outlineLevel="0" collapsed="false">
      <c r="A105" s="0" t="s">
        <v>86</v>
      </c>
      <c r="B105" s="0" t="n">
        <f aca="false">B55</f>
        <v>0.0315</v>
      </c>
      <c r="C105" s="0" t="s">
        <v>136</v>
      </c>
      <c r="D105" s="11" t="str">
        <f aca="false">IF(AND(ISNUMBER(B105),B105&gt;=0),"PASS","FAIL")</f>
        <v>PASS</v>
      </c>
    </row>
    <row r="106" customFormat="false" ht="14.25" hidden="false" customHeight="true" outlineLevel="0" collapsed="false">
      <c r="A106" s="0" t="s">
        <v>89</v>
      </c>
      <c r="B106" s="0" t="n">
        <f aca="false">B58</f>
        <v>0.2</v>
      </c>
      <c r="C106" s="0" t="s">
        <v>125</v>
      </c>
      <c r="D106" s="11" t="str">
        <f aca="false">IF(AND(ISNUMBER(B106),B106&gt;=0,B106&lt;=1),"PASS","FAIL")</f>
        <v>PASS</v>
      </c>
    </row>
    <row r="107" customFormat="false" ht="14.25" hidden="false" customHeight="true" outlineLevel="0" collapsed="false">
      <c r="A107" s="0" t="s">
        <v>93</v>
      </c>
      <c r="B107" s="0" t="n">
        <f aca="false">B63</f>
        <v>0.005462</v>
      </c>
      <c r="C107" s="0" t="s">
        <v>140</v>
      </c>
      <c r="D107" s="11" t="str">
        <f aca="false">IF(ISNUMBER(B107),"PASS","FAIL")</f>
        <v>PASS</v>
      </c>
    </row>
    <row r="108" customFormat="false" ht="14.25" hidden="false" customHeight="true" outlineLevel="0" collapsed="false">
      <c r="A108" s="0" t="s">
        <v>94</v>
      </c>
      <c r="B108" s="0" t="n">
        <f aca="false">B64</f>
        <v>0.000202</v>
      </c>
      <c r="C108" s="0" t="s">
        <v>140</v>
      </c>
      <c r="D108" s="11" t="str">
        <f aca="false">IF(ISNUMBER(B108),"PASS","FAIL")</f>
        <v>PASS</v>
      </c>
    </row>
    <row r="109" customFormat="false" ht="14.25" hidden="false" customHeight="true" outlineLevel="0" collapsed="false">
      <c r="A109" s="0" t="s">
        <v>96</v>
      </c>
      <c r="B109" s="0" t="n">
        <f aca="false">B67</f>
        <v>2</v>
      </c>
      <c r="C109" s="0" t="s">
        <v>141</v>
      </c>
      <c r="D109" s="11" t="str">
        <f aca="false">IF(AND(ISNUMBER(B109),B109=INT(B109),B109&gt;=0),"PASS","FAIL")</f>
        <v>PASS</v>
      </c>
    </row>
    <row r="110" customFormat="false" ht="14.25" hidden="false" customHeight="true" outlineLevel="0" collapsed="false">
      <c r="A110" s="0" t="s">
        <v>98</v>
      </c>
      <c r="B110" s="0" t="n">
        <f aca="false">B68</f>
        <v>2</v>
      </c>
      <c r="C110" s="0" t="s">
        <v>141</v>
      </c>
      <c r="D110" s="11" t="str">
        <f aca="false">IF(AND(ISNUMBER(B110),B110=INT(B110),B110&gt;=0),"PASS","FAIL")</f>
        <v>PASS</v>
      </c>
    </row>
    <row r="111" customFormat="false" ht="14.25" hidden="false" customHeight="true" outlineLevel="0" collapsed="false">
      <c r="A111" s="0" t="s">
        <v>105</v>
      </c>
      <c r="B111" s="0" t="n">
        <f aca="false">B76</f>
        <v>0</v>
      </c>
      <c r="C111" s="0" t="s">
        <v>141</v>
      </c>
      <c r="D111" s="11" t="str">
        <f aca="false">IF(AND(ISNUMBER(B111),B111=INT(B111),B111&gt;=0),"PASS","FAIL")</f>
        <v>PASS</v>
      </c>
    </row>
    <row r="112" customFormat="false" ht="14.25" hidden="false" customHeight="true" outlineLevel="0" collapsed="false">
      <c r="A112" s="0" t="s">
        <v>142</v>
      </c>
      <c r="B112" s="0" t="n">
        <f aca="false">B80</f>
        <v>0</v>
      </c>
      <c r="C112" s="0" t="s">
        <v>141</v>
      </c>
      <c r="D112" s="11" t="str">
        <f aca="false">IF(AND(ISNUMBER(B112),B112=INT(B112),B112&gt;=0),"PASS","FAIL")</f>
        <v>PASS</v>
      </c>
    </row>
    <row r="113" customFormat="false" ht="13.5" hidden="false" customHeight="true" outlineLevel="0" collapsed="false"/>
    <row r="114" customFormat="false" ht="14.25" hidden="false" customHeight="true" outlineLevel="0" collapsed="false">
      <c r="A114" s="10" t="s">
        <v>143</v>
      </c>
    </row>
    <row r="115" customFormat="false" ht="14.25" hidden="false" customHeight="true" outlineLevel="0" collapsed="false">
      <c r="A115" s="10" t="s">
        <v>144</v>
      </c>
      <c r="B115" s="11" t="n">
        <v>0</v>
      </c>
      <c r="C115" s="0" t="s">
        <v>145</v>
      </c>
    </row>
    <row r="116" customFormat="false" ht="14.25" hidden="false" customHeight="true" outlineLevel="0" collapsed="false">
      <c r="A116" s="0" t="s">
        <v>146</v>
      </c>
      <c r="B116" s="11" t="n">
        <f aca="false">COUNTIF(D89:D112,"FAIL")</f>
        <v>0</v>
      </c>
      <c r="C116" s="0" t="s">
        <v>147</v>
      </c>
    </row>
    <row r="117" customFormat="false" ht="14.25" hidden="false" customHeight="true" outlineLevel="0" collapsed="false">
      <c r="A117" s="0" t="s">
        <v>148</v>
      </c>
      <c r="B117" s="9" t="n">
        <f aca="false">SUMPRODUCT((LEN(Dashboard!A1:Z100)-LEN(SUBSTITUTE(Dashboard!A1:Z100,"[","")))/1)</f>
        <v>0</v>
      </c>
      <c r="C117" s="0" t="s">
        <v>149</v>
      </c>
    </row>
    <row r="118" customFormat="false" ht="14.25" hidden="false" customHeight="true" outlineLevel="0" collapsed="false">
      <c r="A118" s="0" t="s">
        <v>115</v>
      </c>
      <c r="B118" s="9" t="str">
        <f aca="false">IF(OR(Audit_Flags!B21&gt;0,Audit_Flags!B12="YES",Audit_Flags!B18="YES",CANON!B116&gt;0,CANON!B117&gt;0,CANON!B80&gt;0),"NO","YES")</f>
        <v>YES</v>
      </c>
      <c r="C118" s="0" t="s">
        <v>150</v>
      </c>
    </row>
    <row r="119" customFormat="false" ht="13.5" hidden="false" customHeight="true" outlineLevel="0" collapsed="false"/>
    <row r="120" customFormat="false" ht="14.25" hidden="false" customHeight="true" outlineLevel="0" collapsed="false">
      <c r="A120" s="10" t="str">
        <f aca="false">"RELEASE INTEGRITY PANEL ("&amp;B7&amp;")"</f>
        <v>RELEASE INTEGRITY PANEL (v2.2)</v>
      </c>
    </row>
    <row r="121" customFormat="false" ht="14.25" hidden="false" customHeight="true" outlineLevel="0" collapsed="false">
      <c r="A121" s="0" t="s">
        <v>151</v>
      </c>
      <c r="B121" s="9" t="n">
        <f aca="false">Sanity_Checklist!B40</f>
        <v>0</v>
      </c>
    </row>
    <row r="122" customFormat="false" ht="14.25" hidden="false" customHeight="true" outlineLevel="0" collapsed="false">
      <c r="A122" s="0" t="s">
        <v>152</v>
      </c>
      <c r="B122" s="9" t="n">
        <f aca="false">Audit_Flags!B21</f>
        <v>0</v>
      </c>
    </row>
    <row r="123" customFormat="false" ht="14.25" hidden="false" customHeight="true" outlineLevel="0" collapsed="false">
      <c r="A123" s="0" t="s">
        <v>153</v>
      </c>
      <c r="B123" s="9" t="str">
        <f aca="false">Audit_Flags!B18</f>
        <v>NO</v>
      </c>
    </row>
    <row r="124" customFormat="false" ht="14.25" hidden="false" customHeight="true" outlineLevel="0" collapsed="false">
      <c r="A124" s="0" t="s">
        <v>154</v>
      </c>
      <c r="B124" s="9" t="n">
        <f aca="false">B117</f>
        <v>0</v>
      </c>
    </row>
    <row r="125" customFormat="false" ht="14.25" hidden="false" customHeight="true" outlineLevel="0" collapsed="false">
      <c r="A125" s="0" t="s">
        <v>155</v>
      </c>
      <c r="B125" s="9" t="str">
        <f aca="false">B118</f>
        <v>YES</v>
      </c>
    </row>
    <row r="126" customFormat="false" ht="13.5" hidden="false" customHeight="true" outlineLevel="0" collapsed="false"/>
    <row r="127" customFormat="false" ht="14.25" hidden="false" customHeight="true" outlineLevel="0" collapsed="false">
      <c r="A127" s="0" t="s">
        <v>156</v>
      </c>
      <c r="B127" s="9" t="str">
        <f aca="false">IF(AND(B121=0,B122=0,B123="NO",B125="YES"),"✓ PUBLISH OK","❌ REVIEW NEEDED")</f>
        <v>✓ PUBLISH OK</v>
      </c>
    </row>
    <row r="129" customFormat="false" ht="15" hidden="false" customHeight="true" outlineLevel="0" collapsed="false">
      <c r="A129" s="12" t="s">
        <v>157</v>
      </c>
      <c r="B129" s="13"/>
      <c r="C129" s="13"/>
    </row>
    <row r="130" customFormat="false" ht="13.5" hidden="false" customHeight="true" outlineLevel="0" collapsed="false">
      <c r="A130" s="14" t="s">
        <v>158</v>
      </c>
      <c r="B130" s="15" t="n">
        <v>1</v>
      </c>
      <c r="C130" s="16" t="s">
        <v>159</v>
      </c>
    </row>
    <row r="131" customFormat="false" ht="13.5" hidden="false" customHeight="true" outlineLevel="0" collapsed="false">
      <c r="A131" s="14" t="s">
        <v>160</v>
      </c>
      <c r="B131" s="15" t="s">
        <v>161</v>
      </c>
      <c r="C131" s="13"/>
    </row>
    <row r="132" customFormat="false" ht="13.5" hidden="false" customHeight="true" outlineLevel="0" collapsed="false">
      <c r="A132" s="14" t="s">
        <v>162</v>
      </c>
      <c r="B132" s="15" t="s">
        <v>163</v>
      </c>
      <c r="C132" s="16" t="s">
        <v>164</v>
      </c>
    </row>
    <row r="133" customFormat="false" ht="13.5" hidden="false" customHeight="true" outlineLevel="0" collapsed="false">
      <c r="A133" s="14" t="s">
        <v>165</v>
      </c>
      <c r="B133" s="15" t="s">
        <v>166</v>
      </c>
      <c r="C133" s="16" t="s">
        <v>167</v>
      </c>
    </row>
    <row r="134" customFormat="false" ht="13.5" hidden="false" customHeight="true" outlineLevel="0" collapsed="false">
      <c r="A134" s="14" t="s">
        <v>168</v>
      </c>
      <c r="B134" s="15" t="s">
        <v>169</v>
      </c>
      <c r="C134" s="13"/>
    </row>
    <row r="135" customFormat="false" ht="13.5" hidden="false" customHeight="true" outlineLevel="0" collapsed="false">
      <c r="A135" s="14" t="s">
        <v>170</v>
      </c>
      <c r="B135" s="15" t="s">
        <v>171</v>
      </c>
      <c r="C135" s="13"/>
    </row>
    <row r="136" customFormat="false" ht="13.5" hidden="false" customHeight="true" outlineLevel="0" collapsed="false">
      <c r="A136" s="14" t="s">
        <v>172</v>
      </c>
      <c r="B136" s="15" t="s">
        <v>76</v>
      </c>
      <c r="C136" s="16" t="s">
        <v>173</v>
      </c>
    </row>
    <row r="137" customFormat="false" ht="13.5" hidden="false" customHeight="true" outlineLevel="0" collapsed="false">
      <c r="A137" s="14" t="s">
        <v>174</v>
      </c>
      <c r="B137" s="15" t="s">
        <v>175</v>
      </c>
      <c r="C137" s="16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5" min="3" style="0" width="20"/>
    <col collapsed="false" customWidth="true" hidden="false" outlineLevel="0" max="6" min="6" style="0" width="25"/>
  </cols>
  <sheetData>
    <row r="1" customFormat="false" ht="17.25" hidden="false" customHeight="true" outlineLevel="0" collapsed="false">
      <c r="A1" s="10" t="s">
        <v>177</v>
      </c>
    </row>
    <row r="2" customFormat="false" ht="14.25" hidden="false" customHeight="true" outlineLevel="0" collapsed="false">
      <c r="A2" s="0" t="s">
        <v>178</v>
      </c>
    </row>
    <row r="3" customFormat="false" ht="15" hidden="false" customHeight="true" outlineLevel="0" collapsed="false">
      <c r="A3" s="0" t="s">
        <v>179</v>
      </c>
    </row>
    <row r="4" customFormat="false" ht="15" hidden="false" customHeight="true" outlineLevel="0" collapsed="false"/>
    <row r="5" customFormat="false" ht="14.25" hidden="false" customHeight="true" outlineLevel="0" collapsed="false">
      <c r="A5" s="10" t="s">
        <v>180</v>
      </c>
      <c r="B5" s="10" t="s">
        <v>181</v>
      </c>
      <c r="C5" s="10" t="s">
        <v>182</v>
      </c>
      <c r="D5" s="10" t="s">
        <v>183</v>
      </c>
      <c r="E5" s="10" t="s">
        <v>122</v>
      </c>
      <c r="F5" s="10" t="s">
        <v>184</v>
      </c>
    </row>
    <row r="6" customFormat="false" ht="15" hidden="false" customHeight="true" outlineLevel="0" collapsed="false">
      <c r="A6" s="8" t="s">
        <v>185</v>
      </c>
      <c r="B6" s="8" t="s">
        <v>27</v>
      </c>
      <c r="C6" s="8" t="str">
        <f aca="false">Config!B3</f>
        <v>v2.2</v>
      </c>
      <c r="D6" s="8" t="str">
        <f aca="false">CANON!B7</f>
        <v>v2.2</v>
      </c>
      <c r="E6" s="17" t="str">
        <f aca="false">IF(C6=D6,"PASS","FAIL")</f>
        <v>PASS</v>
      </c>
      <c r="F6" s="8" t="s">
        <v>186</v>
      </c>
    </row>
    <row r="7" customFormat="false" ht="15" hidden="false" customHeight="true" outlineLevel="0" collapsed="false">
      <c r="A7" s="0" t="s">
        <v>187</v>
      </c>
      <c r="B7" s="0" t="s">
        <v>188</v>
      </c>
      <c r="C7" s="0" t="str">
        <f aca="false">CANON!B7</f>
        <v>v2.2</v>
      </c>
      <c r="D7" s="0" t="str">
        <f aca="false">Config!B2</f>
        <v>v2.2</v>
      </c>
      <c r="E7" s="18" t="str">
        <f aca="false">IF(C7=D7,"PASS","FAIL")</f>
        <v>PASS</v>
      </c>
      <c r="F7" s="0" t="s">
        <v>189</v>
      </c>
    </row>
    <row r="8" customFormat="false" ht="15" hidden="false" customHeight="true" outlineLevel="0" collapsed="false">
      <c r="A8" s="0" t="s">
        <v>190</v>
      </c>
      <c r="B8" s="0" t="s">
        <v>191</v>
      </c>
      <c r="C8" s="0" t="str">
        <f aca="false">CANON!B7</f>
        <v>v2.2</v>
      </c>
      <c r="D8" s="0" t="str">
        <f aca="false">PCC!B11</f>
        <v>v2.2</v>
      </c>
      <c r="E8" s="18" t="str">
        <f aca="false">IF(C8=D8,"PASS","FAIL")</f>
        <v>PASS</v>
      </c>
      <c r="F8" s="0" t="s">
        <v>192</v>
      </c>
    </row>
    <row r="9" customFormat="false" ht="15" hidden="false" customHeight="true" outlineLevel="0" collapsed="false">
      <c r="A9" s="0" t="s">
        <v>193</v>
      </c>
      <c r="B9" s="0" t="s">
        <v>194</v>
      </c>
      <c r="C9" s="0" t="str">
        <f aca="false">Config!B4</f>
        <v>Ripple_Logic v8.6</v>
      </c>
      <c r="D9" s="0" t="str">
        <f aca="false">CANON!B5</f>
        <v>Ripple_Logic v8.6</v>
      </c>
      <c r="E9" s="18" t="str">
        <f aca="false">IF(C9=D9,"PASS","FAIL")</f>
        <v>PASS</v>
      </c>
      <c r="F9" s="0" t="s">
        <v>195</v>
      </c>
    </row>
    <row r="10" customFormat="false" ht="15" hidden="false" customHeight="true" outlineLevel="0" collapsed="false">
      <c r="A10" s="0" t="s">
        <v>196</v>
      </c>
      <c r="B10" s="0" t="s">
        <v>197</v>
      </c>
      <c r="C10" s="0" t="n">
        <f aca="false">CANON!B54</f>
        <v>0.0219</v>
      </c>
      <c r="D10" s="0" t="n">
        <f aca="false">TRC!B25</f>
        <v>0.0219</v>
      </c>
      <c r="E10" s="18" t="str">
        <f aca="false">IF(AND(ISNUMBER(C10),ISNUMBER(D10)),IF(ABS(C10-D10)&lt;0.000000001,"PASS","FAIL"),IF(C10=D10,"PASS","FAIL"))</f>
        <v>PASS</v>
      </c>
      <c r="F10" s="0" t="s">
        <v>198</v>
      </c>
    </row>
    <row r="11" customFormat="false" ht="15" hidden="false" customHeight="true" outlineLevel="0" collapsed="false">
      <c r="A11" s="0" t="s">
        <v>199</v>
      </c>
      <c r="B11" s="0" t="s">
        <v>200</v>
      </c>
      <c r="C11" s="0" t="n">
        <f aca="false">CANON!B55</f>
        <v>0.0315</v>
      </c>
      <c r="D11" s="0" t="n">
        <f aca="false">TRC!B41</f>
        <v>0.0315</v>
      </c>
      <c r="E11" s="18" t="str">
        <f aca="false">IF(AND(ISNUMBER(C11),ISNUMBER(D11)),IF(ABS(C11-D11)&lt;0.000000001,"PASS","FAIL"),IF(C11=D11,"PASS","FAIL"))</f>
        <v>PASS</v>
      </c>
      <c r="F11" s="0" t="s">
        <v>198</v>
      </c>
    </row>
    <row r="12" customFormat="false" ht="15" hidden="false" customHeight="true" outlineLevel="0" collapsed="false">
      <c r="A12" s="0" t="s">
        <v>201</v>
      </c>
      <c r="B12" s="0" t="s">
        <v>202</v>
      </c>
      <c r="C12" s="0" t="n">
        <f aca="false">CANON!B54</f>
        <v>0.0219</v>
      </c>
      <c r="D12" s="0" t="n">
        <f aca="false">CANON!B54</f>
        <v>0.0219</v>
      </c>
      <c r="E12" s="18" t="str">
        <f aca="false">IF(AND(ISNUMBER(C12),ISNUMBER(D12)),IF(ABS(C12-D12)&lt;0.000000001,"PASS","FAIL"),IF(C12=D12,"PASS","FAIL"))</f>
        <v>PASS</v>
      </c>
      <c r="F12" s="0" t="s">
        <v>203</v>
      </c>
    </row>
    <row r="13" customFormat="false" ht="15" hidden="false" customHeight="true" outlineLevel="0" collapsed="false">
      <c r="A13" s="0" t="s">
        <v>204</v>
      </c>
      <c r="B13" s="0" t="s">
        <v>205</v>
      </c>
      <c r="C13" s="0" t="n">
        <f aca="false">8</f>
        <v>8</v>
      </c>
      <c r="D13" s="0" t="n">
        <f aca="false">CANON!B38</f>
        <v>8</v>
      </c>
      <c r="E13" s="18" t="str">
        <f aca="false">IF(AND(ISNUMBER(C13),ISNUMBER(D13)),IF(ABS(C13-D13)&lt;0.000000001,"PASS","FAIL"),IF(C13=D13,"PASS","FAIL"))</f>
        <v>PASS</v>
      </c>
      <c r="F13" s="0" t="s">
        <v>206</v>
      </c>
    </row>
    <row r="14" customFormat="false" ht="15" hidden="false" customHeight="true" outlineLevel="0" collapsed="false">
      <c r="A14" s="0" t="s">
        <v>207</v>
      </c>
      <c r="B14" s="0" t="s">
        <v>208</v>
      </c>
      <c r="C14" s="0" t="n">
        <f aca="false">16</f>
        <v>16</v>
      </c>
      <c r="D14" s="0" t="n">
        <f aca="false">COUNT(NCRC!D8:D15)+COUNT(NCRC!E8:E15)</f>
        <v>16</v>
      </c>
      <c r="E14" s="18" t="str">
        <f aca="false">IF(AND(ISNUMBER(C14),ISNUMBER(D14)),IF(ABS(C14-D14)&lt;0.000000001,"PASS","FAIL"),IF(C14=D14,"PASS","FAIL"))</f>
        <v>PASS</v>
      </c>
      <c r="F14" s="0" t="s">
        <v>209</v>
      </c>
    </row>
    <row r="15" customFormat="false" ht="15" hidden="false" customHeight="true" outlineLevel="0" collapsed="false">
      <c r="A15" s="0" t="s">
        <v>210</v>
      </c>
      <c r="B15" s="0" t="s">
        <v>211</v>
      </c>
      <c r="C15" s="0" t="str">
        <f aca="false">"PASS"</f>
        <v>PASS</v>
      </c>
      <c r="D15" s="0" t="str">
        <f aca="false">CANON!B51</f>
        <v>PASS</v>
      </c>
      <c r="E15" s="18" t="str">
        <f aca="false">IF(AND(ISNUMBER(C15),ISNUMBER(D15)),IF(ABS(C15-D15)&lt;0.000000001,"PASS","FAIL"),IF(C15=D15,"PASS","FAIL"))</f>
        <v>PASS</v>
      </c>
      <c r="F15" s="0" t="s">
        <v>212</v>
      </c>
    </row>
    <row r="16" customFormat="false" ht="15" hidden="false" customHeight="true" outlineLevel="0" collapsed="false">
      <c r="A16" s="0" t="s">
        <v>213</v>
      </c>
      <c r="B16" s="0" t="s">
        <v>214</v>
      </c>
      <c r="C16" s="0" t="str">
        <f aca="false">"PASS"</f>
        <v>PASS</v>
      </c>
      <c r="D16" s="0" t="str">
        <f aca="false">CANON!B52</f>
        <v>PASS</v>
      </c>
      <c r="E16" s="18" t="str">
        <f aca="false">IF(AND(ISNUMBER(C16),ISNUMBER(D16)),IF(ABS(C16-D16)&lt;0.000000001,"PASS","FAIL"),IF(C16=D16,"PASS","FAIL"))</f>
        <v>PASS</v>
      </c>
      <c r="F16" s="0" t="s">
        <v>215</v>
      </c>
    </row>
    <row r="17" customFormat="false" ht="15" hidden="false" customHeight="true" outlineLevel="0" collapsed="false">
      <c r="A17" s="0" t="s">
        <v>216</v>
      </c>
      <c r="B17" s="0" t="s">
        <v>217</v>
      </c>
      <c r="C17" s="0" t="n">
        <f aca="false">CANON!B23</f>
        <v>0.05</v>
      </c>
      <c r="D17" s="0" t="n">
        <f aca="false">CANON!B23</f>
        <v>0.05</v>
      </c>
      <c r="E17" s="18" t="str">
        <f aca="false">IF(AND(ISNUMBER(C17),ISNUMBER(D17)),IF(ABS(C17-D17)&lt;0.000000001,"PASS","FAIL"),IF(C17=D17,"PASS","FAIL"))</f>
        <v>PASS</v>
      </c>
      <c r="F17" s="0" t="s">
        <v>218</v>
      </c>
    </row>
    <row r="18" customFormat="false" ht="15" hidden="false" customHeight="true" outlineLevel="0" collapsed="false">
      <c r="A18" s="0" t="s">
        <v>219</v>
      </c>
      <c r="B18" s="0" t="s">
        <v>220</v>
      </c>
      <c r="C18" s="0" t="n">
        <f aca="false">CANON!B24</f>
        <v>-0.1</v>
      </c>
      <c r="D18" s="0" t="n">
        <f aca="false">CANON!B24</f>
        <v>-0.1</v>
      </c>
      <c r="E18" s="18" t="str">
        <f aca="false">IF(AND(ISNUMBER(C18),ISNUMBER(D18)),IF(ABS(C18-D18)&lt;0.000000001,"PASS","FAIL"),IF(C18=D18,"PASS","FAIL"))</f>
        <v>PASS</v>
      </c>
      <c r="F18" s="0" t="s">
        <v>218</v>
      </c>
    </row>
    <row r="19" customFormat="false" ht="15" hidden="false" customHeight="true" outlineLevel="0" collapsed="false">
      <c r="A19" s="0" t="s">
        <v>221</v>
      </c>
      <c r="B19" s="0" t="s">
        <v>222</v>
      </c>
      <c r="C19" s="0" t="n">
        <f aca="false">CANON!B58</f>
        <v>0.2</v>
      </c>
      <c r="D19" s="0" t="n">
        <f aca="false">TRC!B9</f>
        <v>0.2</v>
      </c>
      <c r="E19" s="18" t="str">
        <f aca="false">IF(AND(ISNUMBER(C19),ISNUMBER(D19)),IF(ABS(C19-D19)&lt;0.000000001,"PASS","FAIL"),IF(C19=D19,"PASS","FAIL"))</f>
        <v>PASS</v>
      </c>
      <c r="F19" s="0" t="s">
        <v>223</v>
      </c>
    </row>
    <row r="20" customFormat="false" ht="15" hidden="false" customHeight="true" outlineLevel="0" collapsed="false">
      <c r="A20" s="8" t="s">
        <v>224</v>
      </c>
      <c r="B20" s="0" t="s">
        <v>225</v>
      </c>
      <c r="C20" s="0" t="n">
        <f aca="false">CANON!B41</f>
        <v>5</v>
      </c>
      <c r="D20" s="0" t="n">
        <f aca="false">CANON!B41</f>
        <v>5</v>
      </c>
      <c r="E20" s="18" t="str">
        <f aca="false">IF(AND(ISNUMBER(C20),ISNUMBER(D20)),IF(ABS(C20-D20)&lt;0.000000001,"PASS","FAIL"),IF(C20=D20,"PASS","FAIL"))</f>
        <v>PASS</v>
      </c>
      <c r="F20" s="0" t="s">
        <v>226</v>
      </c>
    </row>
    <row r="21" customFormat="false" ht="15" hidden="false" customHeight="true" outlineLevel="0" collapsed="false">
      <c r="A21" s="0" t="s">
        <v>227</v>
      </c>
      <c r="B21" s="0" t="s">
        <v>228</v>
      </c>
      <c r="C21" s="0" t="n">
        <f aca="false">CANON!B41</f>
        <v>5</v>
      </c>
      <c r="D21" s="0" t="n">
        <f aca="false">CANON!B41</f>
        <v>5</v>
      </c>
      <c r="E21" s="18" t="str">
        <f aca="false">IF(AND(ISNUMBER(C21),ISNUMBER(D21)),IF(ABS(C21-D21)&lt;0.000000001,"PASS","FAIL"),IF(C21=D21,"PASS","FAIL"))</f>
        <v>PASS</v>
      </c>
      <c r="F21" s="0" t="s">
        <v>226</v>
      </c>
    </row>
    <row r="22" customFormat="false" ht="15" hidden="false" customHeight="true" outlineLevel="0" collapsed="false">
      <c r="A22" s="0" t="s">
        <v>229</v>
      </c>
      <c r="B22" s="0" t="s">
        <v>230</v>
      </c>
      <c r="C22" s="0" t="n">
        <f aca="false">0</f>
        <v>0</v>
      </c>
      <c r="D22" s="0" t="n">
        <f aca="false">CANON!B76</f>
        <v>0</v>
      </c>
      <c r="E22" s="18" t="str">
        <f aca="false">IF(AND(ISNUMBER(C22),ISNUMBER(D22)),IF(ABS(C22-D22)&lt;0.000000001,"PASS","FAIL"),IF(C22=D22,"PASS","FAIL"))</f>
        <v>PASS</v>
      </c>
      <c r="F22" s="0" t="s">
        <v>231</v>
      </c>
    </row>
    <row r="23" customFormat="false" ht="15" hidden="false" customHeight="true" outlineLevel="0" collapsed="false">
      <c r="A23" s="0" t="s">
        <v>232</v>
      </c>
      <c r="B23" s="0" t="s">
        <v>233</v>
      </c>
      <c r="C23" s="0" t="str">
        <f aca="false">"NORMAL"</f>
        <v>NORMAL</v>
      </c>
      <c r="D23" s="0" t="str">
        <f aca="false">CANON!B70</f>
        <v>NORMAL</v>
      </c>
      <c r="E23" s="18" t="str">
        <f aca="false">IF(AND(ISNUMBER(C23),ISNUMBER(D23)),IF(ABS(C23-D23)&lt;0.000000001,"PASS","FAIL"),IF(C23=D23,"PASS","FAIL"))</f>
        <v>PASS</v>
      </c>
      <c r="F23" s="0" t="s">
        <v>234</v>
      </c>
    </row>
    <row r="24" customFormat="false" ht="15" hidden="false" customHeight="true" outlineLevel="0" collapsed="false">
      <c r="A24" s="0" t="s">
        <v>235</v>
      </c>
      <c r="B24" s="0" t="s">
        <v>236</v>
      </c>
      <c r="C24" s="0" t="str">
        <f aca="false">"A"</f>
        <v>A</v>
      </c>
      <c r="D24" s="0" t="str">
        <f aca="false">CANON!B71</f>
        <v>A</v>
      </c>
      <c r="E24" s="18" t="str">
        <f aca="false">IF(AND(ISNUMBER(C24),ISNUMBER(D24)),IF(ABS(C24-D24)&lt;0.000000001,"PASS","FAIL"),IF(C24=D24,"PASS","FAIL"))</f>
        <v>PASS</v>
      </c>
      <c r="F24" s="0" t="s">
        <v>237</v>
      </c>
    </row>
    <row r="25" customFormat="false" ht="15" hidden="false" customHeight="true" outlineLevel="0" collapsed="false">
      <c r="A25" s="0" t="s">
        <v>238</v>
      </c>
      <c r="B25" s="0" t="s">
        <v>239</v>
      </c>
      <c r="C25" s="0" t="n">
        <f aca="false">2</f>
        <v>2</v>
      </c>
      <c r="D25" s="0" t="n">
        <f aca="false">COUNT(TRC!B25,TRC!B41)</f>
        <v>2</v>
      </c>
      <c r="E25" s="18" t="str">
        <f aca="false">IF(AND(ISNUMBER(C25),ISNUMBER(D25)),IF(ABS(C25-D25)&lt;0.000000001,"PASS","FAIL"),IF(C25=D25,"PASS","FAIL"))</f>
        <v>PASS</v>
      </c>
      <c r="F25" s="0" t="s">
        <v>240</v>
      </c>
    </row>
    <row r="26" customFormat="false" ht="15" hidden="false" customHeight="true" outlineLevel="0" collapsed="false">
      <c r="A26" s="0" t="s">
        <v>241</v>
      </c>
      <c r="B26" s="0" t="s">
        <v>242</v>
      </c>
      <c r="C26" s="0" t="str">
        <f aca="false">"Consistent"</f>
        <v>Consistent</v>
      </c>
      <c r="D26" s="0" t="str">
        <f aca="false">"Consistent"</f>
        <v>Consistent</v>
      </c>
      <c r="E26" s="18" t="str">
        <f aca="false">IF(AND(ISNUMBER(C26),ISNUMBER(D26)),IF(ABS(C26-D26)&lt;0.000000001,"PASS","FAIL"),IF(C26=D26,"PASS","FAIL"))</f>
        <v>PASS</v>
      </c>
      <c r="F26" s="0" t="s">
        <v>240</v>
      </c>
    </row>
    <row r="27" customFormat="false" ht="15" hidden="false" customHeight="true" outlineLevel="0" collapsed="false">
      <c r="A27" s="0" t="s">
        <v>243</v>
      </c>
      <c r="B27" s="0" t="s">
        <v>244</v>
      </c>
      <c r="C27" s="0" t="n">
        <f aca="false">0</f>
        <v>0</v>
      </c>
      <c r="D27" s="0" t="n">
        <f aca="false">Audit_Flags!B21</f>
        <v>0</v>
      </c>
      <c r="E27" s="18" t="str">
        <f aca="false">IF(AND(ISNUMBER(C27),ISNUMBER(D27)),IF(ABS(C27-D27)&lt;0.000000001,"PASS","FAIL"),IF(C27=D27,"PASS","FAIL"))</f>
        <v>PASS</v>
      </c>
      <c r="F27" s="0" t="s">
        <v>245</v>
      </c>
    </row>
    <row r="28" customFormat="false" ht="15" hidden="false" customHeight="true" outlineLevel="0" collapsed="false">
      <c r="A28" s="0" t="s">
        <v>246</v>
      </c>
      <c r="B28" s="0" t="s">
        <v>247</v>
      </c>
      <c r="C28" s="0" t="str">
        <f aca="false">"YES"</f>
        <v>YES</v>
      </c>
      <c r="D28" s="0" t="str">
        <f aca="false">CANON!B81</f>
        <v>YES</v>
      </c>
      <c r="E28" s="18" t="str">
        <f aca="false">IF(AND(ISNUMBER(C28),ISNUMBER(D28)),IF(ABS(C28-D28)&lt;0.000000001,"PASS","FAIL"),IF(C28=D28,"PASS","FAIL"))</f>
        <v>PASS</v>
      </c>
      <c r="F28" s="0" t="s">
        <v>248</v>
      </c>
    </row>
    <row r="29" customFormat="false" ht="15" hidden="false" customHeight="true" outlineLevel="0" collapsed="false">
      <c r="A29" s="0" t="s">
        <v>249</v>
      </c>
      <c r="B29" s="0" t="s">
        <v>250</v>
      </c>
      <c r="C29" s="0" t="n">
        <f aca="false">CANON!B54</f>
        <v>0.0219</v>
      </c>
      <c r="D29" s="0" t="n">
        <f aca="false">CANON!B54</f>
        <v>0.0219</v>
      </c>
      <c r="E29" s="18" t="str">
        <f aca="false">IF(AND(ISNUMBER(C29),ISNUMBER(D29)),IF(ABS(C29-D29)&lt;0.000000001,"PASS","FAIL"),IF(C29=D29,"PASS","FAIL"))</f>
        <v>PASS</v>
      </c>
      <c r="F29" s="0" t="s">
        <v>251</v>
      </c>
    </row>
    <row r="30" customFormat="false" ht="14.25" hidden="false" customHeight="true" outlineLevel="0" collapsed="false">
      <c r="A30" s="0" t="s">
        <v>252</v>
      </c>
      <c r="B30" s="0" t="s">
        <v>253</v>
      </c>
      <c r="C30" s="0" t="n">
        <f aca="false">CANON!B55</f>
        <v>0.0315</v>
      </c>
      <c r="D30" s="0" t="n">
        <f aca="false">CANON!B55</f>
        <v>0.0315</v>
      </c>
      <c r="E30" s="18" t="str">
        <f aca="false">IF(AND(ISNUMBER(C30),ISNUMBER(D30)),IF(ABS(C30-D30)&lt;0.000000001,"PASS","FAIL"),IF(C30=D30,"PASS","FAIL"))</f>
        <v>PASS</v>
      </c>
      <c r="F30" s="0" t="s">
        <v>251</v>
      </c>
    </row>
    <row r="31" customFormat="false" ht="14.25" hidden="false" customHeight="true" outlineLevel="0" collapsed="false">
      <c r="A31" s="0" t="s">
        <v>254</v>
      </c>
      <c r="B31" s="0" t="s">
        <v>255</v>
      </c>
      <c r="C31" s="0" t="n">
        <f aca="false">0</f>
        <v>0</v>
      </c>
      <c r="D31" s="0" t="n">
        <f aca="false">CANON!B116</f>
        <v>0</v>
      </c>
      <c r="E31" s="18" t="str">
        <f aca="false">IF(AND(ISNUMBER(C31),ISNUMBER(D31)),IF(ABS(C31-D31)&lt;0.000000001,"PASS","FAIL"),IF(C31=D31,"PASS","FAIL"))</f>
        <v>PASS</v>
      </c>
      <c r="F31" s="0" t="s">
        <v>256</v>
      </c>
    </row>
    <row r="32" customFormat="false" ht="15" hidden="false" customHeight="true" outlineLevel="0" collapsed="false">
      <c r="A32" s="19" t="s">
        <v>257</v>
      </c>
      <c r="B32" s="0" t="s">
        <v>112</v>
      </c>
      <c r="C32" s="0" t="str">
        <f aca="false">"WORKED_RUN"</f>
        <v>WORKED_RUN</v>
      </c>
      <c r="D32" s="0" t="str">
        <f aca="false">CANON!B82</f>
        <v>WORKED_RUN</v>
      </c>
      <c r="E32" s="18" t="str">
        <f aca="false">IF(AND(ISNUMBER(C32),ISNUMBER(D32)),IF(ABS(C32-D32)&lt;0.000000001,"PASS","FAIL"),IF(C32=D32,"PASS","FAIL"))</f>
        <v>PASS</v>
      </c>
      <c r="F32" s="0" t="s">
        <v>258</v>
      </c>
    </row>
    <row r="33" customFormat="false" ht="15" hidden="false" customHeight="true" outlineLevel="0" collapsed="false">
      <c r="A33" s="0" t="s">
        <v>259</v>
      </c>
      <c r="B33" s="0" t="s">
        <v>260</v>
      </c>
      <c r="C33" s="0" t="n">
        <f aca="false">0</f>
        <v>0</v>
      </c>
      <c r="D33" s="0" t="n">
        <f aca="false">CANON!B117</f>
        <v>0</v>
      </c>
      <c r="E33" s="18" t="str">
        <f aca="false">IF(AND(ISNUMBER(C33),ISNUMBER(D33)),IF(ABS(C33-D33)&lt;0.000000001,"PASS","FAIL"),IF(C33=D33,"PASS","FAIL"))</f>
        <v>PASS</v>
      </c>
      <c r="F33" s="0" t="s">
        <v>261</v>
      </c>
    </row>
    <row r="34" customFormat="false" ht="15" hidden="false" customHeight="true" outlineLevel="0" collapsed="false">
      <c r="A34" s="0" t="s">
        <v>262</v>
      </c>
      <c r="B34" s="0" t="s">
        <v>263</v>
      </c>
      <c r="C34" s="0" t="str">
        <f aca="false">"Consistent"</f>
        <v>Consistent</v>
      </c>
      <c r="D34" s="0" t="str">
        <f aca="false">"Consistent"</f>
        <v>Consistent</v>
      </c>
      <c r="E34" s="18" t="str">
        <f aca="false">IF(AND(ISNUMBER(C34),ISNUMBER(D34)),IF(ABS(C34-D34)&lt;0.000000001,"PASS","FAIL"),IF(C34=D34,"PASS","FAIL"))</f>
        <v>PASS</v>
      </c>
      <c r="F34" s="0" t="s">
        <v>264</v>
      </c>
    </row>
    <row r="35" customFormat="false" ht="15" hidden="false" customHeight="true" outlineLevel="0" collapsed="false">
      <c r="A35" s="10" t="s">
        <v>265</v>
      </c>
      <c r="B35" s="0" t="s">
        <v>266</v>
      </c>
      <c r="C35" s="0" t="str">
        <f aca="false">"NO"</f>
        <v>NO</v>
      </c>
      <c r="D35" s="0" t="str">
        <f aca="false">Audit_Flags!B18</f>
        <v>NO</v>
      </c>
      <c r="E35" s="18" t="str">
        <f aca="false">IF(AND(ISNUMBER(C35),ISNUMBER(D35)),IF(ABS(C35-D35)&lt;0.000000001,"PASS","FAIL"),IF(C35=D35,"PASS","FAIL"))</f>
        <v>PASS</v>
      </c>
      <c r="F35" s="0" t="s">
        <v>267</v>
      </c>
    </row>
    <row r="36" customFormat="false" ht="15" hidden="false" customHeight="true" outlineLevel="0" collapsed="false">
      <c r="A36" s="10"/>
    </row>
    <row r="37" customFormat="false" ht="14.25" hidden="false" customHeight="true" outlineLevel="0" collapsed="false">
      <c r="A37" s="10" t="s">
        <v>268</v>
      </c>
    </row>
    <row r="38" customFormat="false" ht="15" hidden="false" customHeight="true" outlineLevel="0" collapsed="false">
      <c r="A38" s="0" t="s">
        <v>269</v>
      </c>
      <c r="B38" s="0" t="n">
        <v>34</v>
      </c>
    </row>
    <row r="39" customFormat="false" ht="14.25" hidden="false" customHeight="true" outlineLevel="0" collapsed="false">
      <c r="A39" s="0" t="s">
        <v>270</v>
      </c>
      <c r="B39" s="9" t="n">
        <f aca="false">COUNTIF(E6:E35,"PASS")+COUNTIF(E42:E45,"PASS")</f>
        <v>34</v>
      </c>
      <c r="C39" s="11"/>
    </row>
    <row r="40" customFormat="false" ht="14.25" hidden="false" customHeight="true" outlineLevel="0" collapsed="false">
      <c r="A40" s="0" t="s">
        <v>271</v>
      </c>
      <c r="B40" s="9" t="n">
        <f aca="false">COUNTIF(E6:E35,"FAIL")+COUNTIF(E42:E45,"FAIL")</f>
        <v>0</v>
      </c>
    </row>
    <row r="41" customFormat="false" ht="14.25" hidden="false" customHeight="true" outlineLevel="0" collapsed="false">
      <c r="A41" s="0" t="s">
        <v>272</v>
      </c>
      <c r="B41" s="9" t="str">
        <f aca="false">IF(B40=0,"✓ PUBLISH-READY","❌ FAILS DETECTED")</f>
        <v>✓ PUBLISH-READY</v>
      </c>
    </row>
    <row r="42" customFormat="false" ht="12.75" hidden="false" customHeight="true" outlineLevel="0" collapsed="false">
      <c r="A42" s="14" t="s">
        <v>273</v>
      </c>
      <c r="B42" s="14" t="s">
        <v>274</v>
      </c>
      <c r="C42" s="14" t="n">
        <f aca="false">IF(CANON!$B$10=2,1,IF(CANON!$B$10=3,2,0))</f>
        <v>1</v>
      </c>
      <c r="D42" s="14" t="n">
        <f aca="false">CANON!B130</f>
        <v>1</v>
      </c>
      <c r="E42" s="14" t="str">
        <f aca="false">IF(D42&gt;=C42,"PASS","FAIL")</f>
        <v>PASS</v>
      </c>
      <c r="F42" s="14" t="s">
        <v>275</v>
      </c>
    </row>
    <row r="43" customFormat="false" ht="12.75" hidden="false" customHeight="true" outlineLevel="0" collapsed="false">
      <c r="A43" s="14" t="s">
        <v>276</v>
      </c>
      <c r="B43" s="14" t="s">
        <v>277</v>
      </c>
      <c r="C43" s="14" t="s">
        <v>166</v>
      </c>
      <c r="D43" s="14" t="str">
        <f aca="false">CANON!B133</f>
        <v>FULL</v>
      </c>
      <c r="E43" s="14" t="str">
        <f aca="false">IF(OR(D43="FULL",D43="REDUCED"),"PASS","FAIL")</f>
        <v>PASS</v>
      </c>
      <c r="F43" s="14" t="s">
        <v>278</v>
      </c>
    </row>
    <row r="44" customFormat="false" ht="12.75" hidden="false" customHeight="true" outlineLevel="0" collapsed="false">
      <c r="A44" s="14" t="s">
        <v>279</v>
      </c>
      <c r="B44" s="14" t="s">
        <v>280</v>
      </c>
      <c r="C44" s="14" t="s">
        <v>175</v>
      </c>
      <c r="D44" s="14" t="str">
        <f aca="false">CANON!$B$137</f>
        <v>C</v>
      </c>
      <c r="E44" s="14" t="str">
        <f aca="false">IF(OR(D44="A",D44="B",D44="C"),"PASS","FAIL")</f>
        <v>PASS</v>
      </c>
      <c r="F44" s="14" t="s">
        <v>281</v>
      </c>
      <c r="G44" s="0" t="s">
        <v>282</v>
      </c>
    </row>
    <row r="45" customFormat="false" ht="12.75" hidden="false" customHeight="true" outlineLevel="0" collapsed="false">
      <c r="A45" s="14" t="s">
        <v>283</v>
      </c>
      <c r="B45" s="14" t="s">
        <v>284</v>
      </c>
      <c r="C45" s="14" t="str">
        <f aca="false">Config!B5</f>
        <v>SGP v4.3</v>
      </c>
      <c r="D45" s="14" t="str">
        <f aca="false">CANON!B6</f>
        <v>SGP v4.3</v>
      </c>
      <c r="E45" s="14" t="str">
        <f aca="false">IF(C45=D45,"PASS","FAIL")</f>
        <v>PASS</v>
      </c>
      <c r="F45" s="14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286</v>
      </c>
      <c r="B1" s="20"/>
      <c r="C1" s="20"/>
      <c r="D1" s="20"/>
      <c r="E1" s="20"/>
      <c r="F1" s="20"/>
      <c r="G1" s="20"/>
      <c r="H1" s="20"/>
    </row>
    <row r="2" customFormat="false" ht="14.25" hidden="false" customHeight="true" outlineLevel="0" collapsed="false">
      <c r="A2" s="0" t="s">
        <v>28</v>
      </c>
      <c r="B2" s="18" t="s">
        <v>28</v>
      </c>
    </row>
    <row r="3" customFormat="false" ht="14.25" hidden="false" customHeight="true" outlineLevel="0" collapsed="false">
      <c r="A3" s="8" t="s">
        <v>287</v>
      </c>
      <c r="B3" s="0" t="s">
        <v>28</v>
      </c>
    </row>
    <row r="4" customFormat="false" ht="14.25" hidden="false" customHeight="true" outlineLevel="0" collapsed="false">
      <c r="A4" s="0" t="s">
        <v>288</v>
      </c>
      <c r="B4" s="0" t="s">
        <v>24</v>
      </c>
    </row>
    <row r="5" customFormat="false" ht="14.25" hidden="false" customHeight="true" outlineLevel="0" collapsed="false">
      <c r="A5" s="0" t="s">
        <v>289</v>
      </c>
      <c r="B5" s="0" t="s">
        <v>26</v>
      </c>
    </row>
    <row r="6" customFormat="false" ht="14.25" hidden="false" customHeight="true" outlineLevel="0" collapsed="false">
      <c r="A6" s="0" t="s">
        <v>290</v>
      </c>
      <c r="B6" s="0" t="s">
        <v>291</v>
      </c>
    </row>
    <row r="7" customFormat="false" ht="14.25" hidden="false" customHeight="true" outlineLevel="0" collapsed="false"/>
    <row r="8" customFormat="false" ht="13.5" hidden="false" customHeight="true" outlineLevel="0" collapsed="false"/>
    <row r="9" customFormat="false" ht="14.25" hidden="false" customHeight="true" outlineLevel="0" collapsed="false">
      <c r="A9" s="8" t="s">
        <v>292</v>
      </c>
    </row>
    <row r="10" customFormat="false" ht="14.25" hidden="false" customHeight="true" outlineLevel="0" collapsed="false">
      <c r="A10" s="0" t="s">
        <v>293</v>
      </c>
      <c r="B10" s="0" t="n">
        <f aca="false">CANON!B10</f>
        <v>2</v>
      </c>
      <c r="C10" s="0" t="s">
        <v>294</v>
      </c>
    </row>
    <row r="11" customFormat="false" ht="14.25" hidden="false" customHeight="true" outlineLevel="0" collapsed="false">
      <c r="A11" s="0" t="s">
        <v>295</v>
      </c>
      <c r="B11" s="0" t="str">
        <f aca="false">CANON!B11</f>
        <v>ORG</v>
      </c>
      <c r="C11" s="0" t="s">
        <v>34</v>
      </c>
    </row>
    <row r="12" customFormat="false" ht="14.25" hidden="false" customHeight="true" outlineLevel="0" collapsed="false">
      <c r="A12" s="0" t="s">
        <v>296</v>
      </c>
      <c r="B12" s="0" t="n">
        <v>0.2</v>
      </c>
    </row>
    <row r="13" customFormat="false" ht="14.25" hidden="false" customHeight="true" outlineLevel="0" collapsed="false">
      <c r="A13" s="0" t="s">
        <v>297</v>
      </c>
      <c r="B13" s="0" t="str">
        <f aca="false">CANON!B12</f>
        <v>NO</v>
      </c>
      <c r="C13" s="0" t="s">
        <v>298</v>
      </c>
    </row>
    <row r="14" customFormat="false" ht="14.25" hidden="false" customHeight="true" outlineLevel="0" collapsed="false">
      <c r="A14" s="8" t="s">
        <v>299</v>
      </c>
    </row>
    <row r="15" customFormat="false" ht="14.25" hidden="false" customHeight="true" outlineLevel="0" collapsed="false">
      <c r="A15" s="0" t="s">
        <v>300</v>
      </c>
      <c r="B15" s="0" t="s">
        <v>301</v>
      </c>
      <c r="C15" s="0" t="s">
        <v>302</v>
      </c>
    </row>
    <row r="16" customFormat="false" ht="14.25" hidden="false" customHeight="true" outlineLevel="0" collapsed="false">
      <c r="A16" s="0" t="s">
        <v>303</v>
      </c>
      <c r="B16" s="0" t="s">
        <v>304</v>
      </c>
      <c r="C16" s="0" t="s">
        <v>305</v>
      </c>
    </row>
    <row r="17" customFormat="false" ht="14.25" hidden="false" customHeight="true" outlineLevel="0" collapsed="false">
      <c r="A17" s="0" t="s">
        <v>306</v>
      </c>
      <c r="B17" s="0" t="s">
        <v>307</v>
      </c>
      <c r="C17" s="0" t="s">
        <v>308</v>
      </c>
    </row>
    <row r="18" customFormat="false" ht="13.5" hidden="false" customHeight="true" outlineLevel="0" collapsed="false">
      <c r="A18" s="0" t="s">
        <v>309</v>
      </c>
      <c r="B18" s="0" t="s">
        <v>310</v>
      </c>
      <c r="C18" s="0" t="s">
        <v>311</v>
      </c>
    </row>
    <row r="19" customFormat="false" ht="14.25" hidden="false" customHeight="true" outlineLevel="0" collapsed="false">
      <c r="A19" s="8" t="s">
        <v>312</v>
      </c>
    </row>
    <row r="20" customFormat="false" ht="14.25" hidden="false" customHeight="true" outlineLevel="0" collapsed="false">
      <c r="A20" s="0" t="s">
        <v>313</v>
      </c>
      <c r="B20" s="21" t="n">
        <f aca="false">CANON!B26</f>
        <v>0.02</v>
      </c>
      <c r="C20" s="0" t="s">
        <v>314</v>
      </c>
    </row>
    <row r="21" customFormat="false" ht="14.25" hidden="false" customHeight="true" outlineLevel="0" collapsed="false">
      <c r="A21" s="0" t="s">
        <v>315</v>
      </c>
      <c r="B21" s="0" t="s">
        <v>76</v>
      </c>
      <c r="C21" s="0" t="s">
        <v>316</v>
      </c>
    </row>
    <row r="22" customFormat="false" ht="14.25" hidden="false" customHeight="true" outlineLevel="0" collapsed="false">
      <c r="A22" s="0" t="s">
        <v>317</v>
      </c>
      <c r="B22" s="0" t="n">
        <v>2</v>
      </c>
      <c r="C22" s="0" t="s">
        <v>318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319</v>
      </c>
      <c r="B1" s="20"/>
      <c r="C1" s="20"/>
      <c r="D1" s="20"/>
      <c r="E1" s="20"/>
      <c r="F1" s="20"/>
      <c r="G1" s="20"/>
      <c r="H1" s="20"/>
    </row>
    <row r="2" customFormat="false" ht="13.5" hidden="false" customHeight="true" outlineLevel="0" collapsed="false"/>
    <row r="3" customFormat="false" ht="14.25" hidden="false" customHeight="true" outlineLevel="0" collapsed="false">
      <c r="A3" s="8" t="s">
        <v>320</v>
      </c>
    </row>
    <row r="4" customFormat="false" ht="14.25" hidden="false" customHeight="true" outlineLevel="0" collapsed="false">
      <c r="A4" s="8" t="s">
        <v>57</v>
      </c>
      <c r="B4" s="8" t="s">
        <v>58</v>
      </c>
      <c r="C4" s="8" t="s">
        <v>59</v>
      </c>
      <c r="D4" s="8" t="s">
        <v>321</v>
      </c>
    </row>
    <row r="5" customFormat="false" ht="14.25" hidden="false" customHeight="true" outlineLevel="0" collapsed="false">
      <c r="A5" s="21" t="s">
        <v>60</v>
      </c>
      <c r="B5" s="21" t="n">
        <v>1</v>
      </c>
      <c r="C5" s="21" t="n">
        <v>-0.9</v>
      </c>
      <c r="D5" s="21" t="s">
        <v>322</v>
      </c>
    </row>
    <row r="6" customFormat="false" ht="14.25" hidden="false" customHeight="true" outlineLevel="0" collapsed="false">
      <c r="A6" s="21" t="s">
        <v>61</v>
      </c>
      <c r="B6" s="21" t="n">
        <v>2</v>
      </c>
      <c r="C6" s="21" t="n">
        <v>-0.7</v>
      </c>
      <c r="D6" s="21" t="s">
        <v>323</v>
      </c>
    </row>
    <row r="7" customFormat="false" ht="14.25" hidden="false" customHeight="true" outlineLevel="0" collapsed="false">
      <c r="A7" s="21" t="s">
        <v>62</v>
      </c>
      <c r="B7" s="21" t="n">
        <v>3</v>
      </c>
      <c r="C7" s="21" t="n">
        <v>-0.65</v>
      </c>
      <c r="D7" s="21" t="s">
        <v>324</v>
      </c>
    </row>
    <row r="8" customFormat="false" ht="14.25" hidden="false" customHeight="true" outlineLevel="0" collapsed="false">
      <c r="A8" s="21" t="s">
        <v>63</v>
      </c>
      <c r="B8" s="21" t="n">
        <v>4</v>
      </c>
      <c r="C8" s="21" t="n">
        <v>-0.65</v>
      </c>
      <c r="D8" s="21" t="s">
        <v>325</v>
      </c>
    </row>
    <row r="9" customFormat="false" ht="14.25" hidden="false" customHeight="true" outlineLevel="0" collapsed="false">
      <c r="A9" s="21" t="s">
        <v>64</v>
      </c>
      <c r="B9" s="21" t="n">
        <v>5</v>
      </c>
      <c r="C9" s="21" t="n">
        <v>-0.5</v>
      </c>
      <c r="D9" s="21" t="s">
        <v>326</v>
      </c>
    </row>
    <row r="10" customFormat="false" ht="14.25" hidden="false" customHeight="true" outlineLevel="0" collapsed="false">
      <c r="A10" s="21" t="s">
        <v>65</v>
      </c>
      <c r="B10" s="21" t="n">
        <v>6</v>
      </c>
      <c r="C10" s="21" t="n">
        <v>-0.55</v>
      </c>
      <c r="D10" s="21" t="s">
        <v>327</v>
      </c>
    </row>
    <row r="11" customFormat="false" ht="14.25" hidden="false" customHeight="true" outlineLevel="0" collapsed="false">
      <c r="A11" s="21" t="s">
        <v>66</v>
      </c>
      <c r="B11" s="21" t="n">
        <v>7</v>
      </c>
      <c r="C11" s="21" t="n">
        <v>-0.45</v>
      </c>
      <c r="D11" s="21" t="s">
        <v>328</v>
      </c>
    </row>
    <row r="12" customFormat="false" ht="14.25" hidden="false" customHeight="true" outlineLevel="0" collapsed="false">
      <c r="A12" s="21" t="s">
        <v>67</v>
      </c>
      <c r="B12" s="21" t="n">
        <v>8</v>
      </c>
      <c r="C12" s="21" t="n">
        <v>-0.4</v>
      </c>
      <c r="D12" s="21" t="s">
        <v>329</v>
      </c>
    </row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4.25" hidden="false" customHeight="true" outlineLevel="0" collapsed="false">
      <c r="A15" s="8" t="s">
        <v>330</v>
      </c>
    </row>
    <row r="16" customFormat="false" ht="14.25" hidden="false" customHeight="true" outlineLevel="0" collapsed="false">
      <c r="A16" s="21" t="s">
        <v>331</v>
      </c>
      <c r="B16" s="21" t="n">
        <v>0.3</v>
      </c>
    </row>
    <row r="17" customFormat="false" ht="14.25" hidden="false" customHeight="true" outlineLevel="0" collapsed="false">
      <c r="A17" s="21" t="s">
        <v>33</v>
      </c>
      <c r="B17" s="21" t="n">
        <v>0.2</v>
      </c>
    </row>
    <row r="18" customFormat="false" ht="14.25" hidden="false" customHeight="true" outlineLevel="0" collapsed="false">
      <c r="A18" s="21" t="s">
        <v>332</v>
      </c>
      <c r="B18" s="21" t="n">
        <v>0.15</v>
      </c>
    </row>
    <row r="19" customFormat="false" ht="14.25" hidden="false" customHeight="true" outlineLevel="0" collapsed="false">
      <c r="A19" s="21" t="s">
        <v>333</v>
      </c>
      <c r="B19" s="21" t="n">
        <v>0.1</v>
      </c>
    </row>
    <row r="20" customFormat="false" ht="14.25" hidden="false" customHeight="true" outlineLevel="0" collapsed="false">
      <c r="A20" s="21" t="s">
        <v>334</v>
      </c>
      <c r="B20" s="21" t="n">
        <v>0.05</v>
      </c>
    </row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4.25" hidden="false" customHeight="true" outlineLevel="0" collapsed="false">
      <c r="A23" s="8" t="s">
        <v>335</v>
      </c>
    </row>
    <row r="24" customFormat="false" ht="14.25" hidden="false" customHeight="true" outlineLevel="0" collapsed="false">
      <c r="A24" s="21" t="s">
        <v>336</v>
      </c>
      <c r="B24" s="21" t="n">
        <f aca="false">CANON!B20</f>
        <v>2</v>
      </c>
    </row>
    <row r="25" customFormat="false" ht="14.25" hidden="false" customHeight="true" outlineLevel="0" collapsed="false">
      <c r="A25" s="21" t="s">
        <v>337</v>
      </c>
      <c r="B25" s="21" t="n">
        <f aca="false">CANON!B21</f>
        <v>1</v>
      </c>
    </row>
    <row r="26" customFormat="false" ht="14.25" hidden="false" customHeight="true" outlineLevel="0" collapsed="false">
      <c r="A26" s="21" t="s">
        <v>338</v>
      </c>
      <c r="B26" s="21" t="n">
        <f aca="false">CANON!B22</f>
        <v>2</v>
      </c>
    </row>
    <row r="27" customFormat="false" ht="14.25" hidden="false" customHeight="true" outlineLevel="0" collapsed="false">
      <c r="A27" s="21" t="s">
        <v>339</v>
      </c>
      <c r="B27" s="21" t="n">
        <f aca="false">CANON!B24</f>
        <v>-0.1</v>
      </c>
    </row>
    <row r="28" customFormat="false" ht="14.25" hidden="false" customHeight="true" outlineLevel="0" collapsed="false">
      <c r="A28" s="21" t="s">
        <v>340</v>
      </c>
      <c r="B28" s="21" t="n">
        <f aca="false">CANON!B23</f>
        <v>0.05</v>
      </c>
    </row>
    <row r="29" customFormat="false" ht="14.25" hidden="false" customHeight="true" outlineLevel="0" collapsed="false">
      <c r="A29" s="21" t="s">
        <v>134</v>
      </c>
      <c r="B29" s="21" t="n">
        <f aca="false">CANON!B25</f>
        <v>25</v>
      </c>
    </row>
    <row r="30" customFormat="false" ht="14.25" hidden="false" customHeight="true" outlineLevel="0" collapsed="false">
      <c r="A30" s="21" t="s">
        <v>341</v>
      </c>
      <c r="B30" s="21" t="n">
        <v>0.95</v>
      </c>
    </row>
    <row r="31" customFormat="false" ht="14.25" hidden="false" customHeight="true" outlineLevel="0" collapsed="false">
      <c r="A31" s="21" t="s">
        <v>342</v>
      </c>
      <c r="B31" s="21" t="n">
        <v>0.02</v>
      </c>
    </row>
    <row r="32" customFormat="false" ht="14.25" hidden="false" customHeight="true" outlineLevel="0" collapsed="false">
      <c r="A32" s="21" t="s">
        <v>343</v>
      </c>
      <c r="B32" s="21" t="n">
        <v>0.1</v>
      </c>
    </row>
    <row r="33" customFormat="false" ht="14.25" hidden="false" customHeight="true" outlineLevel="0" collapsed="false">
      <c r="A33" s="21" t="s">
        <v>344</v>
      </c>
      <c r="B33" s="21" t="n">
        <v>0.5</v>
      </c>
    </row>
    <row r="34" customFormat="false" ht="14.25" hidden="false" customHeight="true" outlineLevel="0" collapsed="false">
      <c r="A34" s="21" t="s">
        <v>345</v>
      </c>
      <c r="B34" s="21" t="n">
        <v>2</v>
      </c>
    </row>
    <row r="35" customFormat="false" ht="13.5" hidden="false" customHeight="true" outlineLevel="0" collapsed="false">
      <c r="A35" s="0" t="s">
        <v>54</v>
      </c>
      <c r="B35" s="0" t="n">
        <f aca="false">CANON!B27</f>
        <v>0.083</v>
      </c>
    </row>
    <row r="36" customFormat="false" ht="13.5" hidden="false" customHeight="true" outlineLevel="0" collapsed="false"/>
    <row r="37" customFormat="false" ht="14.25" hidden="false" customHeight="true" outlineLevel="0" collapsed="false">
      <c r="A37" s="8" t="s">
        <v>346</v>
      </c>
    </row>
    <row r="38" customFormat="false" ht="14.25" hidden="false" customHeight="true" outlineLevel="0" collapsed="false">
      <c r="A38" s="0" t="s">
        <v>347</v>
      </c>
      <c r="B38" s="22" t="n">
        <f aca="false">PLSS_Local_Scope!E12</f>
        <v>0.307666666666667</v>
      </c>
    </row>
    <row r="39" customFormat="false" ht="14.25" hidden="false" customHeight="true" outlineLevel="0" collapsed="false">
      <c r="A39" s="0" t="s">
        <v>348</v>
      </c>
      <c r="B39" s="22" t="n">
        <f aca="false">PLSS_Local_Scope!E13</f>
        <v>0.156333333333333</v>
      </c>
    </row>
    <row r="40" customFormat="false" ht="14.25" hidden="false" customHeight="true" outlineLevel="0" collapsed="false">
      <c r="A40" s="0" t="s">
        <v>349</v>
      </c>
      <c r="B40" s="22" t="n">
        <f aca="false">PLSS_Local_Scope!E14</f>
        <v>0.122333333333333</v>
      </c>
    </row>
    <row r="41" customFormat="false" ht="14.25" hidden="false" customHeight="true" outlineLevel="0" collapsed="false">
      <c r="A41" s="0" t="s">
        <v>350</v>
      </c>
      <c r="B41" s="22" t="n">
        <f aca="false">PLSS_Local_Scope!E15</f>
        <v>0.116666666666667</v>
      </c>
    </row>
    <row r="42" customFormat="false" ht="14.25" hidden="false" customHeight="true" outlineLevel="0" collapsed="false">
      <c r="A42" s="0" t="s">
        <v>351</v>
      </c>
      <c r="B42" s="22" t="n">
        <f aca="false">PLSS_Local_Scope!E16</f>
        <v>0.0913333333333333</v>
      </c>
    </row>
    <row r="43" customFormat="false" ht="14.25" hidden="false" customHeight="true" outlineLevel="0" collapsed="false">
      <c r="A43" s="0" t="s">
        <v>352</v>
      </c>
      <c r="B43" s="22" t="n">
        <f aca="false">PLSS_Local_Scope!E17</f>
        <v>0.1034</v>
      </c>
    </row>
    <row r="44" customFormat="false" ht="14.25" hidden="false" customHeight="true" outlineLevel="0" collapsed="false">
      <c r="A44" s="0" t="s">
        <v>353</v>
      </c>
      <c r="B44" s="22" t="n">
        <f aca="false">PLSS_Local_Scope!E18</f>
        <v>0.102266666666667</v>
      </c>
    </row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4.25" hidden="false" customHeight="true" outlineLevel="0" collapsed="false">
      <c r="A47" s="8" t="s">
        <v>354</v>
      </c>
    </row>
    <row r="48" customFormat="false" ht="14.25" hidden="false" customHeight="true" outlineLevel="0" collapsed="false">
      <c r="A48" s="0" t="s">
        <v>355</v>
      </c>
      <c r="B48" s="22" t="n">
        <v>0.142857142857143</v>
      </c>
    </row>
    <row r="49" customFormat="false" ht="14.25" hidden="false" customHeight="true" outlineLevel="0" collapsed="false">
      <c r="A49" s="0" t="s">
        <v>356</v>
      </c>
      <c r="B49" s="22" t="n">
        <v>0.142857142857143</v>
      </c>
    </row>
    <row r="50" customFormat="false" ht="14.25" hidden="false" customHeight="true" outlineLevel="0" collapsed="false">
      <c r="A50" s="0" t="s">
        <v>357</v>
      </c>
      <c r="B50" s="22" t="n">
        <v>0.142857142857143</v>
      </c>
    </row>
    <row r="51" customFormat="false" ht="14.25" hidden="false" customHeight="true" outlineLevel="0" collapsed="false">
      <c r="A51" s="0" t="s">
        <v>358</v>
      </c>
      <c r="B51" s="22" t="n">
        <v>0.142857142857143</v>
      </c>
    </row>
    <row r="52" customFormat="false" ht="14.25" hidden="false" customHeight="true" outlineLevel="0" collapsed="false">
      <c r="A52" s="0" t="s">
        <v>359</v>
      </c>
      <c r="B52" s="22" t="n">
        <v>0.142857142857143</v>
      </c>
    </row>
    <row r="53" customFormat="false" ht="14.25" hidden="false" customHeight="true" outlineLevel="0" collapsed="false">
      <c r="A53" s="0" t="s">
        <v>360</v>
      </c>
      <c r="B53" s="22" t="n">
        <v>0.142857142857143</v>
      </c>
    </row>
    <row r="54" customFormat="false" ht="14.25" hidden="false" customHeight="true" outlineLevel="0" collapsed="false">
      <c r="A54" s="0" t="s">
        <v>361</v>
      </c>
      <c r="B54" s="22" t="n">
        <v>0.142857142857143</v>
      </c>
    </row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4.25" hidden="false" customHeight="true" outlineLevel="0" collapsed="false">
      <c r="A57" s="0" t="s">
        <v>362</v>
      </c>
    </row>
    <row r="58" customFormat="false" ht="14.25" hidden="false" customHeight="true" outlineLevel="0" collapsed="false">
      <c r="A58" s="0" t="s">
        <v>363</v>
      </c>
    </row>
    <row r="59" customFormat="false" ht="14.25" hidden="false" customHeight="true" outlineLevel="0" collapsed="false">
      <c r="A59" s="0" t="s">
        <v>364</v>
      </c>
    </row>
    <row r="60" customFormat="false" ht="13.5" hidden="false" customHeight="true" outlineLevel="0" collapsed="false">
      <c r="A60" s="23" t="s">
        <v>365</v>
      </c>
    </row>
    <row r="61" customFormat="false" ht="13.5" hidden="false" customHeight="true" outlineLevel="0" collapsed="false">
      <c r="A61" s="16" t="s">
        <v>366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17.25" hidden="false" customHeight="true" outlineLevel="0" collapsed="false">
      <c r="A1" s="24" t="s">
        <v>367</v>
      </c>
      <c r="B1" s="24"/>
      <c r="C1" s="24"/>
      <c r="D1" s="24"/>
      <c r="E1" s="24"/>
      <c r="F1" s="24"/>
      <c r="G1" s="24"/>
    </row>
    <row r="2" customFormat="false" ht="14.25" hidden="false" customHeight="true" outlineLevel="0" collapsed="false">
      <c r="A2" s="25" t="s">
        <v>368</v>
      </c>
      <c r="B2" s="0" t="s">
        <v>369</v>
      </c>
    </row>
    <row r="3" customFormat="false" ht="14.25" hidden="false" customHeight="true" outlineLevel="0" collapsed="false">
      <c r="A3" s="25" t="s">
        <v>370</v>
      </c>
      <c r="B3" s="0" t="str">
        <f aca="false">CANON!B5</f>
        <v>Ripple_Logic v8.6</v>
      </c>
    </row>
    <row r="4" customFormat="false" ht="14.25" hidden="false" customHeight="true" outlineLevel="0" collapsed="false">
      <c r="A4" s="25" t="s">
        <v>371</v>
      </c>
      <c r="B4" s="0" t="str">
        <f aca="false">CANON!B6</f>
        <v>SGP v4.3</v>
      </c>
    </row>
    <row r="5" customFormat="false" ht="14.25" hidden="false" customHeight="true" outlineLevel="0" collapsed="false">
      <c r="A5" s="25" t="s">
        <v>372</v>
      </c>
      <c r="B5" s="0" t="str">
        <f aca="false">CANON!B7</f>
        <v>v2.2</v>
      </c>
    </row>
    <row r="6" customFormat="false" ht="14.25" hidden="false" customHeight="true" outlineLevel="0" collapsed="false">
      <c r="A6" s="25" t="s">
        <v>373</v>
      </c>
      <c r="B6" s="0" t="str">
        <f aca="false">Config!B15</f>
        <v>PLSS_LOCAL</v>
      </c>
    </row>
    <row r="8" customFormat="false" ht="14.25" hidden="false" customHeight="true" outlineLevel="0" collapsed="false">
      <c r="A8" s="25" t="s">
        <v>374</v>
      </c>
      <c r="B8" s="0" t="s">
        <v>375</v>
      </c>
    </row>
    <row r="10" customFormat="false" ht="14.25" hidden="false" customHeight="true" outlineLevel="0" collapsed="false">
      <c r="A10" s="26" t="s">
        <v>376</v>
      </c>
      <c r="B10" s="26" t="s">
        <v>377</v>
      </c>
      <c r="C10" s="26" t="s">
        <v>378</v>
      </c>
      <c r="D10" s="26" t="s">
        <v>379</v>
      </c>
      <c r="E10" s="26" t="s">
        <v>380</v>
      </c>
      <c r="F10" s="26" t="s">
        <v>381</v>
      </c>
      <c r="G10" s="26" t="s">
        <v>382</v>
      </c>
    </row>
    <row r="11" customFormat="false" ht="14.25" hidden="false" customHeight="true" outlineLevel="0" collapsed="false">
      <c r="A11" s="27"/>
      <c r="B11" s="27"/>
      <c r="C11" s="27"/>
      <c r="D11" s="27"/>
      <c r="E11" s="27"/>
      <c r="F11" s="27"/>
      <c r="G11" s="27"/>
    </row>
    <row r="12" customFormat="false" ht="14.25" hidden="false" customHeight="true" outlineLevel="0" collapsed="false">
      <c r="A12" s="27" t="s">
        <v>347</v>
      </c>
      <c r="B12" s="27" t="n">
        <v>0.95</v>
      </c>
      <c r="C12" s="27" t="n">
        <v>0.2</v>
      </c>
      <c r="D12" s="27" t="n">
        <f aca="false">IF(SUM($B$12:$B$18)=0,1/7,B12/SUM($B$12:$B$18))</f>
        <v>0.316666666666667</v>
      </c>
      <c r="E12" s="27" t="n">
        <f aca="false">C12+($B$20*D12)</f>
        <v>0.307666666666667</v>
      </c>
      <c r="F12" s="27" t="str">
        <f aca="false">IF(E12-C12&gt;=0.05,"Prominent","Guardrail")</f>
        <v>Prominent</v>
      </c>
      <c r="G12" s="27" t="s">
        <v>383</v>
      </c>
    </row>
    <row r="13" customFormat="false" ht="14.25" hidden="false" customHeight="true" outlineLevel="0" collapsed="false">
      <c r="A13" s="27" t="s">
        <v>384</v>
      </c>
      <c r="B13" s="27" t="n">
        <v>0.85</v>
      </c>
      <c r="C13" s="27" t="n">
        <v>0.06</v>
      </c>
      <c r="D13" s="27" t="n">
        <f aca="false">IF(SUM($B$12:$B$18)=0,1/7,B13/SUM($B$12:$B$18))</f>
        <v>0.283333333333333</v>
      </c>
      <c r="E13" s="27" t="n">
        <f aca="false">C13+($B$20*D13)</f>
        <v>0.156333333333333</v>
      </c>
      <c r="F13" s="27" t="str">
        <f aca="false">IF(E13-C13&gt;=0.05,"Prominent","Guardrail")</f>
        <v>Prominent</v>
      </c>
      <c r="G13" s="27" t="s">
        <v>385</v>
      </c>
    </row>
    <row r="14" customFormat="false" ht="14.25" hidden="false" customHeight="true" outlineLevel="0" collapsed="false">
      <c r="A14" s="27" t="s">
        <v>349</v>
      </c>
      <c r="B14" s="27" t="n">
        <v>0.55</v>
      </c>
      <c r="C14" s="27" t="n">
        <v>0.06</v>
      </c>
      <c r="D14" s="27" t="n">
        <f aca="false">IF(SUM($B$12:$B$18)=0,1/7,B14/SUM($B$12:$B$18))</f>
        <v>0.183333333333333</v>
      </c>
      <c r="E14" s="27" t="n">
        <f aca="false">C14+($B$20*D14)</f>
        <v>0.122333333333333</v>
      </c>
      <c r="F14" s="27" t="str">
        <f aca="false">IF(E14-C14&gt;=0.05,"Prominent","Guardrail")</f>
        <v>Prominent</v>
      </c>
      <c r="G14" s="27" t="s">
        <v>386</v>
      </c>
    </row>
    <row r="15" customFormat="false" ht="14.25" hidden="false" customHeight="true" outlineLevel="0" collapsed="false">
      <c r="A15" s="27" t="s">
        <v>350</v>
      </c>
      <c r="B15" s="27" t="n">
        <v>0.5</v>
      </c>
      <c r="C15" s="27" t="n">
        <v>0.06</v>
      </c>
      <c r="D15" s="27" t="n">
        <f aca="false">IF(SUM($B$12:$B$18)=0,1/7,B15/SUM($B$12:$B$18))</f>
        <v>0.166666666666667</v>
      </c>
      <c r="E15" s="27" t="n">
        <f aca="false">C15+($B$20*D15)</f>
        <v>0.116666666666667</v>
      </c>
      <c r="F15" s="27" t="str">
        <f aca="false">IF(E15-C15&gt;=0.05,"Prominent","Guardrail")</f>
        <v>Prominent</v>
      </c>
      <c r="G15" s="27" t="s">
        <v>387</v>
      </c>
    </row>
    <row r="16" customFormat="false" ht="14.25" hidden="false" customHeight="true" outlineLevel="0" collapsed="false">
      <c r="A16" s="27" t="s">
        <v>351</v>
      </c>
      <c r="B16" s="27" t="n">
        <v>0.1</v>
      </c>
      <c r="C16" s="27" t="n">
        <v>0.08</v>
      </c>
      <c r="D16" s="27" t="n">
        <f aca="false">IF(SUM($B$12:$B$18)=0,1/7,B16/SUM($B$12:$B$18))</f>
        <v>0.0333333333333333</v>
      </c>
      <c r="E16" s="27" t="n">
        <f aca="false">C16+($B$20*D16)</f>
        <v>0.0913333333333333</v>
      </c>
      <c r="F16" s="27" t="str">
        <f aca="false">IF(E16-C16&gt;=0.05,"Prominent","Guardrail")</f>
        <v>Guardrail</v>
      </c>
      <c r="G16" s="27" t="s">
        <v>388</v>
      </c>
    </row>
    <row r="17" customFormat="false" ht="27.75" hidden="false" customHeight="true" outlineLevel="0" collapsed="false">
      <c r="A17" s="27" t="s">
        <v>352</v>
      </c>
      <c r="B17" s="27" t="n">
        <v>0.03</v>
      </c>
      <c r="C17" s="27" t="n">
        <v>0.1</v>
      </c>
      <c r="D17" s="27" t="n">
        <f aca="false">IF(SUM($B$12:$B$18)=0,1/7,B17/SUM($B$12:$B$18))</f>
        <v>0.01</v>
      </c>
      <c r="E17" s="27" t="n">
        <f aca="false">C17+($B$20*D17)</f>
        <v>0.1034</v>
      </c>
      <c r="F17" s="27" t="str">
        <f aca="false">IF(E17-C17&gt;=0.05,"Prominent","Guardrail")</f>
        <v>Guardrail</v>
      </c>
      <c r="G17" s="27" t="s">
        <v>389</v>
      </c>
    </row>
    <row r="18" customFormat="false" ht="14.25" hidden="false" customHeight="true" outlineLevel="0" collapsed="false">
      <c r="A18" s="27" t="s">
        <v>353</v>
      </c>
      <c r="B18" s="27" t="n">
        <v>0.02</v>
      </c>
      <c r="C18" s="27" t="n">
        <v>0.1</v>
      </c>
      <c r="D18" s="27" t="n">
        <f aca="false">IF(SUM($B$12:$B$18)=0,1/7,B18/SUM($B$12:$B$18))</f>
        <v>0.00666666666666667</v>
      </c>
      <c r="E18" s="27" t="n">
        <f aca="false">C18+($B$20*D18)</f>
        <v>0.102266666666667</v>
      </c>
      <c r="F18" s="27" t="str">
        <f aca="false">IF(E18-C18&gt;=0.05,"Prominent","Guardrail")</f>
        <v>Guardrail</v>
      </c>
      <c r="G18" s="27" t="s">
        <v>390</v>
      </c>
    </row>
    <row r="19" customFormat="false" ht="14.25" hidden="false" customHeight="true" outlineLevel="0" collapsed="false">
      <c r="A19" s="27"/>
      <c r="B19" s="27"/>
      <c r="C19" s="27"/>
      <c r="D19" s="27"/>
      <c r="E19" s="27"/>
      <c r="F19" s="27"/>
      <c r="G19" s="27"/>
    </row>
    <row r="20" customFormat="false" ht="14.25" hidden="false" customHeight="true" outlineLevel="0" collapsed="false">
      <c r="A20" s="28" t="s">
        <v>391</v>
      </c>
      <c r="B20" s="27" t="n">
        <f aca="false">1-SUM($C$12:$C$18)</f>
        <v>0.34</v>
      </c>
      <c r="C20" s="27"/>
      <c r="D20" s="27"/>
      <c r="E20" s="27"/>
      <c r="F20" s="27"/>
      <c r="G20" s="27"/>
    </row>
    <row r="21" customFormat="false" ht="14.25" hidden="false" customHeight="true" outlineLevel="0" collapsed="false">
      <c r="A21" s="28" t="s">
        <v>392</v>
      </c>
      <c r="B21" s="27" t="n">
        <f aca="false">SUM($E$12:$E$18)</f>
        <v>1</v>
      </c>
      <c r="C21" s="27"/>
      <c r="D21" s="27"/>
      <c r="E21" s="27"/>
      <c r="F21" s="27"/>
      <c r="G21" s="27"/>
    </row>
    <row r="22" customFormat="false" ht="14.25" hidden="false" customHeight="true" outlineLevel="0" collapsed="false">
      <c r="A22" s="28" t="s">
        <v>393</v>
      </c>
      <c r="B22" s="27" t="str">
        <f aca="false">IF(MIN(E12-C12,E13-C13,E14-C14,E15-C15,E16-C16,E17-C17,E18-C18)&gt;=0,"YES","REVIEW")</f>
        <v>YES</v>
      </c>
      <c r="C22" s="27"/>
      <c r="D22" s="27"/>
      <c r="E22" s="27"/>
      <c r="F22" s="27"/>
      <c r="G22" s="27"/>
    </row>
    <row r="23" customFormat="false" ht="14.25" hidden="false" customHeight="true" outlineLevel="0" collapsed="false">
      <c r="A23" s="28" t="s">
        <v>394</v>
      </c>
      <c r="B23" s="27" t="str">
        <f aca="false">IF(OR(B17&gt;0.2,B18&gt;0.2),"ESCALATE_OR_FULL_SCOPE","PLSS_OK")</f>
        <v>PLSS_OK</v>
      </c>
      <c r="C23" s="27"/>
      <c r="D23" s="27"/>
      <c r="E23" s="27"/>
      <c r="F23" s="27"/>
      <c r="G23" s="27"/>
    </row>
    <row r="24" customFormat="false" ht="27.75" hidden="false" customHeight="true" outlineLevel="0" collapsed="false">
      <c r="A24" s="28" t="s">
        <v>395</v>
      </c>
      <c r="B24" s="29" t="s">
        <v>396</v>
      </c>
      <c r="C24" s="29"/>
      <c r="D24" s="29"/>
      <c r="E24" s="29"/>
      <c r="F24" s="29"/>
      <c r="G24" s="29"/>
    </row>
  </sheetData>
  <mergeCells count="2">
    <mergeCell ref="A1:G1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397</v>
      </c>
      <c r="B1" s="20"/>
      <c r="C1" s="20"/>
      <c r="D1" s="20"/>
      <c r="E1" s="20"/>
      <c r="F1" s="20"/>
      <c r="G1" s="20"/>
      <c r="H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398</v>
      </c>
    </row>
    <row r="4" customFormat="false" ht="13.5" hidden="false" customHeight="true" outlineLevel="0" collapsed="false"/>
    <row r="5" customFormat="false" ht="14.25" hidden="false" customHeight="true" outlineLevel="0" collapsed="false">
      <c r="A5" s="30" t="s">
        <v>399</v>
      </c>
      <c r="B5" s="30" t="s">
        <v>57</v>
      </c>
      <c r="C5" s="30" t="s">
        <v>400</v>
      </c>
      <c r="D5" s="30" t="s">
        <v>401</v>
      </c>
      <c r="E5" s="30" t="s">
        <v>59</v>
      </c>
    </row>
    <row r="6" customFormat="false" ht="14.25" hidden="false" customHeight="true" outlineLevel="0" collapsed="false">
      <c r="A6" s="0" t="s">
        <v>399</v>
      </c>
      <c r="B6" s="0" t="s">
        <v>57</v>
      </c>
      <c r="C6" s="0" t="s">
        <v>400</v>
      </c>
      <c r="D6" s="0" t="s">
        <v>401</v>
      </c>
      <c r="E6" s="0" t="s">
        <v>59</v>
      </c>
    </row>
    <row r="7" customFormat="false" ht="14.25" hidden="false" customHeight="true" outlineLevel="0" collapsed="false">
      <c r="A7" s="0" t="n">
        <v>1</v>
      </c>
      <c r="B7" s="0" t="s">
        <v>60</v>
      </c>
      <c r="C7" s="0" t="s">
        <v>402</v>
      </c>
      <c r="D7" s="31" t="s">
        <v>403</v>
      </c>
      <c r="E7" s="31" t="n">
        <v>-0.9</v>
      </c>
    </row>
    <row r="8" customFormat="false" ht="14.25" hidden="false" customHeight="true" outlineLevel="0" collapsed="false">
      <c r="A8" s="0" t="n">
        <v>2</v>
      </c>
      <c r="B8" s="0" t="s">
        <v>60</v>
      </c>
      <c r="C8" s="0" t="s">
        <v>404</v>
      </c>
      <c r="D8" s="31" t="s">
        <v>403</v>
      </c>
      <c r="E8" s="31" t="n">
        <v>-0.9</v>
      </c>
    </row>
    <row r="9" customFormat="false" ht="14.25" hidden="false" customHeight="true" outlineLevel="0" collapsed="false">
      <c r="A9" s="0" t="n">
        <v>3</v>
      </c>
      <c r="B9" s="0" t="s">
        <v>60</v>
      </c>
      <c r="C9" s="0" t="s">
        <v>405</v>
      </c>
      <c r="D9" s="31" t="s">
        <v>403</v>
      </c>
      <c r="E9" s="31" t="n">
        <v>-0.9</v>
      </c>
    </row>
    <row r="10" customFormat="false" ht="14.25" hidden="false" customHeight="true" outlineLevel="0" collapsed="false">
      <c r="A10" s="0" t="n">
        <v>4</v>
      </c>
      <c r="B10" s="0" t="s">
        <v>60</v>
      </c>
      <c r="C10" s="0" t="s">
        <v>406</v>
      </c>
      <c r="D10" s="31" t="s">
        <v>403</v>
      </c>
      <c r="E10" s="31" t="n">
        <v>-0.9</v>
      </c>
    </row>
    <row r="11" customFormat="false" ht="14.25" hidden="false" customHeight="true" outlineLevel="0" collapsed="false">
      <c r="A11" s="0" t="n">
        <v>5</v>
      </c>
      <c r="B11" s="0" t="s">
        <v>60</v>
      </c>
      <c r="C11" s="0" t="s">
        <v>407</v>
      </c>
      <c r="D11" s="31" t="s">
        <v>403</v>
      </c>
      <c r="E11" s="31" t="n">
        <v>-0.9</v>
      </c>
    </row>
    <row r="12" customFormat="false" ht="14.25" hidden="false" customHeight="true" outlineLevel="0" collapsed="false">
      <c r="A12" s="0" t="n">
        <v>6</v>
      </c>
      <c r="B12" s="0" t="s">
        <v>60</v>
      </c>
      <c r="C12" s="0" t="s">
        <v>408</v>
      </c>
      <c r="D12" s="31" t="s">
        <v>403</v>
      </c>
      <c r="E12" s="31" t="n">
        <v>-0.9</v>
      </c>
    </row>
    <row r="13" customFormat="false" ht="14.25" hidden="false" customHeight="true" outlineLevel="0" collapsed="false">
      <c r="A13" s="0" t="n">
        <v>7</v>
      </c>
      <c r="B13" s="0" t="s">
        <v>60</v>
      </c>
      <c r="C13" s="0" t="s">
        <v>408</v>
      </c>
      <c r="D13" s="31" t="s">
        <v>409</v>
      </c>
      <c r="E13" s="31" t="n">
        <v>-0.9</v>
      </c>
    </row>
    <row r="14" customFormat="false" ht="14.25" hidden="false" customHeight="true" outlineLevel="0" collapsed="false">
      <c r="A14" s="0" t="n">
        <v>8</v>
      </c>
      <c r="B14" s="0" t="s">
        <v>61</v>
      </c>
      <c r="C14" s="0" t="s">
        <v>402</v>
      </c>
      <c r="D14" s="31" t="s">
        <v>403</v>
      </c>
      <c r="E14" s="31" t="n">
        <v>-0.7</v>
      </c>
    </row>
    <row r="15" customFormat="false" ht="14.25" hidden="false" customHeight="true" outlineLevel="0" collapsed="false">
      <c r="A15" s="0" t="n">
        <v>9</v>
      </c>
      <c r="B15" s="0" t="s">
        <v>61</v>
      </c>
      <c r="C15" s="0" t="s">
        <v>404</v>
      </c>
      <c r="D15" s="31" t="s">
        <v>403</v>
      </c>
      <c r="E15" s="31" t="n">
        <v>-0.7</v>
      </c>
    </row>
    <row r="16" customFormat="false" ht="14.25" hidden="false" customHeight="true" outlineLevel="0" collapsed="false">
      <c r="A16" s="0" t="n">
        <v>10</v>
      </c>
      <c r="B16" s="0" t="s">
        <v>61</v>
      </c>
      <c r="C16" s="0" t="s">
        <v>405</v>
      </c>
      <c r="D16" s="31" t="s">
        <v>403</v>
      </c>
      <c r="E16" s="31" t="n">
        <v>-0.7</v>
      </c>
    </row>
    <row r="17" customFormat="false" ht="14.25" hidden="false" customHeight="true" outlineLevel="0" collapsed="false">
      <c r="A17" s="0" t="n">
        <v>11</v>
      </c>
      <c r="B17" s="0" t="s">
        <v>61</v>
      </c>
      <c r="C17" s="0" t="s">
        <v>406</v>
      </c>
      <c r="D17" s="31" t="s">
        <v>403</v>
      </c>
      <c r="E17" s="31" t="n">
        <v>-0.7</v>
      </c>
    </row>
    <row r="18" customFormat="false" ht="14.25" hidden="false" customHeight="true" outlineLevel="0" collapsed="false">
      <c r="A18" s="0" t="n">
        <v>12</v>
      </c>
      <c r="B18" s="0" t="s">
        <v>61</v>
      </c>
      <c r="C18" s="0" t="s">
        <v>407</v>
      </c>
      <c r="D18" s="31" t="s">
        <v>403</v>
      </c>
      <c r="E18" s="31" t="n">
        <v>-0.7</v>
      </c>
    </row>
    <row r="19" customFormat="false" ht="14.25" hidden="false" customHeight="true" outlineLevel="0" collapsed="false">
      <c r="A19" s="0" t="n">
        <v>13</v>
      </c>
      <c r="B19" s="0" t="s">
        <v>61</v>
      </c>
      <c r="C19" s="0" t="s">
        <v>408</v>
      </c>
      <c r="D19" s="31" t="s">
        <v>403</v>
      </c>
      <c r="E19" s="31" t="n">
        <v>-0.7</v>
      </c>
    </row>
    <row r="20" customFormat="false" ht="14.25" hidden="false" customHeight="true" outlineLevel="0" collapsed="false">
      <c r="A20" s="0" t="n">
        <v>14</v>
      </c>
      <c r="B20" s="0" t="s">
        <v>62</v>
      </c>
      <c r="C20" s="0" t="s">
        <v>408</v>
      </c>
      <c r="D20" s="31" t="s">
        <v>409</v>
      </c>
      <c r="E20" s="31" t="n">
        <v>-0.65</v>
      </c>
    </row>
    <row r="21" customFormat="false" ht="14.25" hidden="false" customHeight="true" outlineLevel="0" collapsed="false">
      <c r="A21" s="0" t="n">
        <v>15</v>
      </c>
      <c r="B21" s="0" t="s">
        <v>62</v>
      </c>
      <c r="C21" s="0" t="s">
        <v>410</v>
      </c>
      <c r="D21" s="31" t="s">
        <v>409</v>
      </c>
      <c r="E21" s="31" t="n">
        <v>-0.65</v>
      </c>
    </row>
    <row r="22" customFormat="false" ht="14.25" hidden="false" customHeight="true" outlineLevel="0" collapsed="false">
      <c r="A22" s="0" t="n">
        <v>16</v>
      </c>
      <c r="B22" s="0" t="s">
        <v>63</v>
      </c>
      <c r="C22" s="0" t="s">
        <v>402</v>
      </c>
      <c r="D22" s="31" t="s">
        <v>411</v>
      </c>
      <c r="E22" s="31" t="n">
        <v>-0.65</v>
      </c>
    </row>
    <row r="23" customFormat="false" ht="14.25" hidden="false" customHeight="true" outlineLevel="0" collapsed="false">
      <c r="A23" s="0" t="n">
        <v>17</v>
      </c>
      <c r="B23" s="0" t="s">
        <v>63</v>
      </c>
      <c r="C23" s="0" t="s">
        <v>404</v>
      </c>
      <c r="D23" s="31" t="s">
        <v>411</v>
      </c>
      <c r="E23" s="31" t="n">
        <v>-0.65</v>
      </c>
    </row>
    <row r="24" customFormat="false" ht="14.25" hidden="false" customHeight="true" outlineLevel="0" collapsed="false">
      <c r="A24" s="0" t="n">
        <v>18</v>
      </c>
      <c r="B24" s="0" t="s">
        <v>63</v>
      </c>
      <c r="C24" s="0" t="s">
        <v>405</v>
      </c>
      <c r="D24" s="31" t="s">
        <v>411</v>
      </c>
      <c r="E24" s="31" t="n">
        <v>-0.65</v>
      </c>
    </row>
    <row r="25" customFormat="false" ht="14.25" hidden="false" customHeight="true" outlineLevel="0" collapsed="false">
      <c r="A25" s="0" t="n">
        <v>19</v>
      </c>
      <c r="B25" s="0" t="s">
        <v>63</v>
      </c>
      <c r="C25" s="0" t="s">
        <v>406</v>
      </c>
      <c r="D25" s="31" t="s">
        <v>411</v>
      </c>
      <c r="E25" s="31" t="n">
        <v>-0.65</v>
      </c>
    </row>
    <row r="26" customFormat="false" ht="14.25" hidden="false" customHeight="true" outlineLevel="0" collapsed="false">
      <c r="A26" s="0" t="n">
        <v>20</v>
      </c>
      <c r="B26" s="0" t="s">
        <v>63</v>
      </c>
      <c r="C26" s="0" t="s">
        <v>407</v>
      </c>
      <c r="D26" s="31" t="s">
        <v>411</v>
      </c>
      <c r="E26" s="31" t="n">
        <v>-0.65</v>
      </c>
    </row>
    <row r="27" customFormat="false" ht="14.25" hidden="false" customHeight="true" outlineLevel="0" collapsed="false">
      <c r="A27" s="0" t="n">
        <v>21</v>
      </c>
      <c r="B27" s="0" t="s">
        <v>63</v>
      </c>
      <c r="C27" s="0" t="s">
        <v>408</v>
      </c>
      <c r="D27" s="31" t="s">
        <v>411</v>
      </c>
      <c r="E27" s="31" t="n">
        <v>-0.65</v>
      </c>
    </row>
    <row r="28" customFormat="false" ht="14.25" hidden="false" customHeight="true" outlineLevel="0" collapsed="false">
      <c r="A28" s="0" t="n">
        <v>22</v>
      </c>
      <c r="B28" s="0" t="s">
        <v>63</v>
      </c>
      <c r="C28" s="0" t="s">
        <v>405</v>
      </c>
      <c r="D28" s="31" t="s">
        <v>412</v>
      </c>
      <c r="E28" s="31" t="n">
        <v>-0.65</v>
      </c>
    </row>
    <row r="29" customFormat="false" ht="14.25" hidden="false" customHeight="true" outlineLevel="0" collapsed="false">
      <c r="A29" s="0" t="n">
        <v>23</v>
      </c>
      <c r="B29" s="0" t="s">
        <v>63</v>
      </c>
      <c r="C29" s="0" t="s">
        <v>406</v>
      </c>
      <c r="D29" s="31" t="s">
        <v>412</v>
      </c>
      <c r="E29" s="31" t="n">
        <v>-0.65</v>
      </c>
    </row>
    <row r="30" customFormat="false" ht="14.25" hidden="false" customHeight="true" outlineLevel="0" collapsed="false">
      <c r="A30" s="0" t="n">
        <v>24</v>
      </c>
      <c r="B30" s="0" t="s">
        <v>63</v>
      </c>
      <c r="C30" s="0" t="s">
        <v>407</v>
      </c>
      <c r="D30" s="31" t="s">
        <v>412</v>
      </c>
      <c r="E30" s="31" t="n">
        <v>-0.65</v>
      </c>
    </row>
    <row r="31" customFormat="false" ht="14.25" hidden="false" customHeight="true" outlineLevel="0" collapsed="false">
      <c r="A31" s="0" t="n">
        <v>25</v>
      </c>
      <c r="B31" s="0" t="s">
        <v>63</v>
      </c>
      <c r="C31" s="0" t="s">
        <v>408</v>
      </c>
      <c r="D31" s="31" t="s">
        <v>412</v>
      </c>
      <c r="E31" s="31" t="n">
        <v>-0.65</v>
      </c>
    </row>
    <row r="32" customFormat="false" ht="14.25" hidden="false" customHeight="true" outlineLevel="0" collapsed="false">
      <c r="A32" s="0" t="n">
        <v>26</v>
      </c>
      <c r="B32" s="0" t="s">
        <v>64</v>
      </c>
      <c r="C32" s="0" t="s">
        <v>402</v>
      </c>
      <c r="D32" s="31" t="s">
        <v>413</v>
      </c>
      <c r="E32" s="31" t="n">
        <v>-0.5</v>
      </c>
    </row>
    <row r="33" customFormat="false" ht="14.25" hidden="false" customHeight="true" outlineLevel="0" collapsed="false">
      <c r="A33" s="0" t="n">
        <v>27</v>
      </c>
      <c r="B33" s="0" t="s">
        <v>64</v>
      </c>
      <c r="C33" s="0" t="s">
        <v>402</v>
      </c>
      <c r="D33" s="31" t="s">
        <v>403</v>
      </c>
      <c r="E33" s="31" t="n">
        <v>-0.5</v>
      </c>
    </row>
    <row r="34" customFormat="false" ht="14.25" hidden="false" customHeight="true" outlineLevel="0" collapsed="false">
      <c r="A34" s="0" t="n">
        <v>28</v>
      </c>
      <c r="B34" s="0" t="s">
        <v>64</v>
      </c>
      <c r="C34" s="0" t="s">
        <v>404</v>
      </c>
      <c r="D34" s="31" t="s">
        <v>413</v>
      </c>
      <c r="E34" s="31" t="n">
        <v>-0.5</v>
      </c>
    </row>
    <row r="35" customFormat="false" ht="14.25" hidden="false" customHeight="true" outlineLevel="0" collapsed="false">
      <c r="A35" s="0" t="n">
        <v>29</v>
      </c>
      <c r="B35" s="0" t="s">
        <v>64</v>
      </c>
      <c r="C35" s="0" t="s">
        <v>404</v>
      </c>
      <c r="D35" s="31" t="s">
        <v>403</v>
      </c>
      <c r="E35" s="31" t="n">
        <v>-0.5</v>
      </c>
    </row>
    <row r="36" customFormat="false" ht="14.25" hidden="false" customHeight="true" outlineLevel="0" collapsed="false">
      <c r="A36" s="0" t="n">
        <v>30</v>
      </c>
      <c r="B36" s="0" t="s">
        <v>64</v>
      </c>
      <c r="C36" s="0" t="s">
        <v>405</v>
      </c>
      <c r="D36" s="31" t="s">
        <v>413</v>
      </c>
      <c r="E36" s="31" t="n">
        <v>-0.5</v>
      </c>
    </row>
    <row r="37" customFormat="false" ht="14.25" hidden="false" customHeight="true" outlineLevel="0" collapsed="false">
      <c r="A37" s="0" t="n">
        <v>31</v>
      </c>
      <c r="B37" s="0" t="s">
        <v>64</v>
      </c>
      <c r="C37" s="0" t="s">
        <v>405</v>
      </c>
      <c r="D37" s="31" t="s">
        <v>403</v>
      </c>
      <c r="E37" s="31" t="n">
        <v>-0.5</v>
      </c>
    </row>
    <row r="38" customFormat="false" ht="14.25" hidden="false" customHeight="true" outlineLevel="0" collapsed="false">
      <c r="A38" s="0" t="n">
        <v>32</v>
      </c>
      <c r="B38" s="0" t="s">
        <v>64</v>
      </c>
      <c r="C38" s="0" t="s">
        <v>406</v>
      </c>
      <c r="D38" s="31" t="s">
        <v>413</v>
      </c>
      <c r="E38" s="31" t="n">
        <v>-0.5</v>
      </c>
    </row>
    <row r="39" customFormat="false" ht="14.25" hidden="false" customHeight="true" outlineLevel="0" collapsed="false">
      <c r="A39" s="0" t="n">
        <v>33</v>
      </c>
      <c r="B39" s="0" t="s">
        <v>64</v>
      </c>
      <c r="C39" s="0" t="s">
        <v>406</v>
      </c>
      <c r="D39" s="31" t="s">
        <v>403</v>
      </c>
      <c r="E39" s="31" t="n">
        <v>-0.5</v>
      </c>
    </row>
    <row r="40" customFormat="false" ht="14.25" hidden="false" customHeight="true" outlineLevel="0" collapsed="false">
      <c r="A40" s="0" t="n">
        <v>34</v>
      </c>
      <c r="B40" s="0" t="s">
        <v>64</v>
      </c>
      <c r="C40" s="0" t="s">
        <v>407</v>
      </c>
      <c r="D40" s="31" t="s">
        <v>413</v>
      </c>
      <c r="E40" s="31" t="n">
        <v>-0.5</v>
      </c>
    </row>
    <row r="41" customFormat="false" ht="14.25" hidden="false" customHeight="true" outlineLevel="0" collapsed="false">
      <c r="A41" s="0" t="n">
        <v>35</v>
      </c>
      <c r="B41" s="0" t="s">
        <v>64</v>
      </c>
      <c r="C41" s="0" t="s">
        <v>407</v>
      </c>
      <c r="D41" s="31" t="s">
        <v>403</v>
      </c>
      <c r="E41" s="31" t="n">
        <v>-0.5</v>
      </c>
    </row>
    <row r="42" customFormat="false" ht="14.25" hidden="false" customHeight="true" outlineLevel="0" collapsed="false">
      <c r="A42" s="0" t="n">
        <v>36</v>
      </c>
      <c r="B42" s="0" t="s">
        <v>64</v>
      </c>
      <c r="C42" s="0" t="s">
        <v>408</v>
      </c>
      <c r="D42" s="31" t="s">
        <v>413</v>
      </c>
      <c r="E42" s="31" t="n">
        <v>-0.5</v>
      </c>
    </row>
    <row r="43" customFormat="false" ht="14.25" hidden="false" customHeight="true" outlineLevel="0" collapsed="false">
      <c r="A43" s="0" t="n">
        <v>37</v>
      </c>
      <c r="B43" s="0" t="s">
        <v>64</v>
      </c>
      <c r="C43" s="0" t="s">
        <v>408</v>
      </c>
      <c r="D43" s="31" t="s">
        <v>403</v>
      </c>
      <c r="E43" s="31" t="n">
        <v>-0.5</v>
      </c>
    </row>
    <row r="44" customFormat="false" ht="14.25" hidden="false" customHeight="true" outlineLevel="0" collapsed="false">
      <c r="A44" s="0" t="n">
        <v>38</v>
      </c>
      <c r="B44" s="0" t="s">
        <v>65</v>
      </c>
      <c r="C44" s="0" t="s">
        <v>402</v>
      </c>
      <c r="D44" s="31" t="s">
        <v>412</v>
      </c>
      <c r="E44" s="31" t="n">
        <v>-0.55</v>
      </c>
    </row>
    <row r="45" customFormat="false" ht="14.25" hidden="false" customHeight="true" outlineLevel="0" collapsed="false">
      <c r="A45" s="0" t="n">
        <v>39</v>
      </c>
      <c r="B45" s="0" t="s">
        <v>65</v>
      </c>
      <c r="C45" s="0" t="s">
        <v>402</v>
      </c>
      <c r="D45" s="31" t="s">
        <v>411</v>
      </c>
      <c r="E45" s="31" t="n">
        <v>-0.55</v>
      </c>
    </row>
    <row r="46" customFormat="false" ht="14.25" hidden="false" customHeight="true" outlineLevel="0" collapsed="false">
      <c r="A46" s="0" t="n">
        <v>40</v>
      </c>
      <c r="B46" s="0" t="s">
        <v>65</v>
      </c>
      <c r="C46" s="0" t="s">
        <v>404</v>
      </c>
      <c r="D46" s="31" t="s">
        <v>412</v>
      </c>
      <c r="E46" s="31" t="n">
        <v>-0.55</v>
      </c>
    </row>
    <row r="47" customFormat="false" ht="14.25" hidden="false" customHeight="true" outlineLevel="0" collapsed="false">
      <c r="A47" s="0" t="n">
        <v>41</v>
      </c>
      <c r="B47" s="0" t="s">
        <v>65</v>
      </c>
      <c r="C47" s="0" t="s">
        <v>404</v>
      </c>
      <c r="D47" s="31" t="s">
        <v>411</v>
      </c>
      <c r="E47" s="31" t="n">
        <v>-0.55</v>
      </c>
    </row>
    <row r="48" customFormat="false" ht="14.25" hidden="false" customHeight="true" outlineLevel="0" collapsed="false">
      <c r="A48" s="0" t="n">
        <v>42</v>
      </c>
      <c r="B48" s="0" t="s">
        <v>65</v>
      </c>
      <c r="C48" s="0" t="s">
        <v>405</v>
      </c>
      <c r="D48" s="31" t="s">
        <v>412</v>
      </c>
      <c r="E48" s="31" t="n">
        <v>-0.55</v>
      </c>
    </row>
    <row r="49" customFormat="false" ht="14.25" hidden="false" customHeight="true" outlineLevel="0" collapsed="false">
      <c r="A49" s="0" t="n">
        <v>43</v>
      </c>
      <c r="B49" s="0" t="s">
        <v>65</v>
      </c>
      <c r="C49" s="0" t="s">
        <v>405</v>
      </c>
      <c r="D49" s="31" t="s">
        <v>411</v>
      </c>
      <c r="E49" s="31" t="n">
        <v>-0.55</v>
      </c>
    </row>
    <row r="50" customFormat="false" ht="14.25" hidden="false" customHeight="true" outlineLevel="0" collapsed="false">
      <c r="A50" s="0" t="n">
        <v>44</v>
      </c>
      <c r="B50" s="0" t="s">
        <v>65</v>
      </c>
      <c r="C50" s="0" t="s">
        <v>406</v>
      </c>
      <c r="D50" s="31" t="s">
        <v>412</v>
      </c>
      <c r="E50" s="31" t="n">
        <v>-0.55</v>
      </c>
    </row>
    <row r="51" customFormat="false" ht="14.25" hidden="false" customHeight="true" outlineLevel="0" collapsed="false">
      <c r="A51" s="0" t="n">
        <v>45</v>
      </c>
      <c r="B51" s="0" t="s">
        <v>65</v>
      </c>
      <c r="C51" s="0" t="s">
        <v>406</v>
      </c>
      <c r="D51" s="31" t="s">
        <v>411</v>
      </c>
      <c r="E51" s="31" t="n">
        <v>-0.55</v>
      </c>
    </row>
    <row r="52" customFormat="false" ht="14.25" hidden="false" customHeight="true" outlineLevel="0" collapsed="false">
      <c r="A52" s="0" t="n">
        <v>46</v>
      </c>
      <c r="B52" s="0" t="s">
        <v>65</v>
      </c>
      <c r="C52" s="0" t="s">
        <v>407</v>
      </c>
      <c r="D52" s="31" t="s">
        <v>412</v>
      </c>
      <c r="E52" s="31" t="n">
        <v>-0.55</v>
      </c>
    </row>
    <row r="53" customFormat="false" ht="14.25" hidden="false" customHeight="true" outlineLevel="0" collapsed="false">
      <c r="A53" s="0" t="n">
        <v>47</v>
      </c>
      <c r="B53" s="0" t="s">
        <v>65</v>
      </c>
      <c r="C53" s="0" t="s">
        <v>407</v>
      </c>
      <c r="D53" s="31" t="s">
        <v>411</v>
      </c>
      <c r="E53" s="31" t="n">
        <v>-0.55</v>
      </c>
    </row>
    <row r="54" customFormat="false" ht="14.25" hidden="false" customHeight="true" outlineLevel="0" collapsed="false">
      <c r="A54" s="0" t="n">
        <v>48</v>
      </c>
      <c r="B54" s="0" t="s">
        <v>65</v>
      </c>
      <c r="C54" s="0" t="s">
        <v>408</v>
      </c>
      <c r="D54" s="31" t="s">
        <v>412</v>
      </c>
      <c r="E54" s="31" t="n">
        <v>-0.55</v>
      </c>
    </row>
    <row r="55" customFormat="false" ht="14.25" hidden="false" customHeight="true" outlineLevel="0" collapsed="false">
      <c r="A55" s="0" t="n">
        <v>49</v>
      </c>
      <c r="B55" s="0" t="s">
        <v>65</v>
      </c>
      <c r="C55" s="0" t="s">
        <v>408</v>
      </c>
      <c r="D55" s="31" t="s">
        <v>411</v>
      </c>
      <c r="E55" s="31" t="n">
        <v>-0.55</v>
      </c>
    </row>
    <row r="56" customFormat="false" ht="14.25" hidden="false" customHeight="true" outlineLevel="0" collapsed="false">
      <c r="A56" s="0" t="n">
        <v>50</v>
      </c>
      <c r="B56" s="0" t="s">
        <v>66</v>
      </c>
      <c r="C56" s="0" t="s">
        <v>406</v>
      </c>
      <c r="D56" s="31" t="s">
        <v>412</v>
      </c>
      <c r="E56" s="31" t="n">
        <v>-0.45</v>
      </c>
    </row>
    <row r="57" customFormat="false" ht="14.25" hidden="false" customHeight="true" outlineLevel="0" collapsed="false">
      <c r="A57" s="0" t="n">
        <v>51</v>
      </c>
      <c r="B57" s="0" t="s">
        <v>66</v>
      </c>
      <c r="C57" s="0" t="s">
        <v>406</v>
      </c>
      <c r="D57" s="31" t="s">
        <v>414</v>
      </c>
      <c r="E57" s="31" t="n">
        <v>-0.45</v>
      </c>
    </row>
    <row r="58" customFormat="false" ht="14.25" hidden="false" customHeight="true" outlineLevel="0" collapsed="false">
      <c r="A58" s="0" t="n">
        <v>52</v>
      </c>
      <c r="B58" s="0" t="s">
        <v>66</v>
      </c>
      <c r="C58" s="0" t="s">
        <v>406</v>
      </c>
      <c r="D58" s="31" t="s">
        <v>411</v>
      </c>
      <c r="E58" s="31" t="n">
        <v>-0.45</v>
      </c>
    </row>
    <row r="59" customFormat="false" ht="14.25" hidden="false" customHeight="true" outlineLevel="0" collapsed="false">
      <c r="A59" s="0" t="n">
        <v>53</v>
      </c>
      <c r="B59" s="0" t="s">
        <v>66</v>
      </c>
      <c r="C59" s="0" t="s">
        <v>407</v>
      </c>
      <c r="D59" s="31" t="s">
        <v>412</v>
      </c>
      <c r="E59" s="31" t="n">
        <v>-0.45</v>
      </c>
    </row>
    <row r="60" customFormat="false" ht="14.25" hidden="false" customHeight="true" outlineLevel="0" collapsed="false">
      <c r="A60" s="0" t="n">
        <v>54</v>
      </c>
      <c r="B60" s="0" t="s">
        <v>66</v>
      </c>
      <c r="C60" s="0" t="s">
        <v>407</v>
      </c>
      <c r="D60" s="31" t="s">
        <v>414</v>
      </c>
      <c r="E60" s="31" t="n">
        <v>-0.45</v>
      </c>
    </row>
    <row r="61" customFormat="false" ht="14.25" hidden="false" customHeight="true" outlineLevel="0" collapsed="false">
      <c r="A61" s="0" t="n">
        <v>55</v>
      </c>
      <c r="B61" s="0" t="s">
        <v>66</v>
      </c>
      <c r="C61" s="0" t="s">
        <v>407</v>
      </c>
      <c r="D61" s="31" t="s">
        <v>411</v>
      </c>
      <c r="E61" s="31" t="n">
        <v>-0.45</v>
      </c>
    </row>
    <row r="62" customFormat="false" ht="14.25" hidden="false" customHeight="true" outlineLevel="0" collapsed="false">
      <c r="A62" s="0" t="n">
        <v>56</v>
      </c>
      <c r="B62" s="0" t="s">
        <v>66</v>
      </c>
      <c r="C62" s="0" t="s">
        <v>408</v>
      </c>
      <c r="D62" s="31" t="s">
        <v>412</v>
      </c>
      <c r="E62" s="31" t="n">
        <v>-0.45</v>
      </c>
    </row>
    <row r="63" customFormat="false" ht="14.25" hidden="false" customHeight="true" outlineLevel="0" collapsed="false">
      <c r="A63" s="0" t="n">
        <v>57</v>
      </c>
      <c r="B63" s="0" t="s">
        <v>66</v>
      </c>
      <c r="C63" s="0" t="s">
        <v>408</v>
      </c>
      <c r="D63" s="31" t="s">
        <v>414</v>
      </c>
      <c r="E63" s="31" t="n">
        <v>-0.45</v>
      </c>
    </row>
    <row r="64" customFormat="false" ht="14.25" hidden="false" customHeight="true" outlineLevel="0" collapsed="false">
      <c r="A64" s="0" t="n">
        <v>58</v>
      </c>
      <c r="B64" s="0" t="s">
        <v>66</v>
      </c>
      <c r="C64" s="0" t="s">
        <v>408</v>
      </c>
      <c r="D64" s="31" t="s">
        <v>411</v>
      </c>
      <c r="E64" s="31" t="n">
        <v>-0.45</v>
      </c>
    </row>
    <row r="65" customFormat="false" ht="14.25" hidden="false" customHeight="true" outlineLevel="0" collapsed="false">
      <c r="A65" s="0" t="n">
        <v>59</v>
      </c>
      <c r="B65" s="0" t="s">
        <v>67</v>
      </c>
      <c r="C65" s="0" t="s">
        <v>402</v>
      </c>
      <c r="D65" s="31" t="s">
        <v>414</v>
      </c>
      <c r="E65" s="31" t="n">
        <v>-0.4</v>
      </c>
    </row>
    <row r="66" customFormat="false" ht="14.25" hidden="false" customHeight="true" outlineLevel="0" collapsed="false">
      <c r="A66" s="0" t="n">
        <v>60</v>
      </c>
      <c r="B66" s="0" t="s">
        <v>67</v>
      </c>
      <c r="C66" s="0" t="s">
        <v>402</v>
      </c>
      <c r="D66" s="31" t="s">
        <v>411</v>
      </c>
      <c r="E66" s="31" t="n">
        <v>-0.4</v>
      </c>
    </row>
    <row r="67" customFormat="false" ht="14.25" hidden="false" customHeight="true" outlineLevel="0" collapsed="false">
      <c r="A67" s="0" t="n">
        <v>61</v>
      </c>
      <c r="B67" s="0" t="s">
        <v>67</v>
      </c>
      <c r="C67" s="0" t="s">
        <v>404</v>
      </c>
      <c r="D67" s="31" t="s">
        <v>414</v>
      </c>
      <c r="E67" s="31" t="n">
        <v>-0.4</v>
      </c>
    </row>
    <row r="68" customFormat="false" ht="14.25" hidden="false" customHeight="true" outlineLevel="0" collapsed="false">
      <c r="A68" s="0" t="n">
        <v>62</v>
      </c>
      <c r="B68" s="0" t="s">
        <v>67</v>
      </c>
      <c r="C68" s="0" t="s">
        <v>404</v>
      </c>
      <c r="D68" s="31" t="s">
        <v>411</v>
      </c>
      <c r="E68" s="31" t="n">
        <v>-0.4</v>
      </c>
    </row>
    <row r="69" customFormat="false" ht="14.25" hidden="false" customHeight="true" outlineLevel="0" collapsed="false">
      <c r="A69" s="0" t="n">
        <v>63</v>
      </c>
      <c r="B69" s="0" t="s">
        <v>67</v>
      </c>
      <c r="C69" s="0" t="s">
        <v>405</v>
      </c>
      <c r="D69" s="31" t="s">
        <v>414</v>
      </c>
      <c r="E69" s="31" t="n">
        <v>-0.4</v>
      </c>
    </row>
    <row r="70" customFormat="false" ht="14.25" hidden="false" customHeight="true" outlineLevel="0" collapsed="false">
      <c r="A70" s="0" t="n">
        <v>64</v>
      </c>
      <c r="B70" s="0" t="s">
        <v>67</v>
      </c>
      <c r="C70" s="0" t="s">
        <v>405</v>
      </c>
      <c r="D70" s="31" t="s">
        <v>411</v>
      </c>
      <c r="E70" s="31" t="n">
        <v>-0.4</v>
      </c>
    </row>
    <row r="71" customFormat="false" ht="14.25" hidden="false" customHeight="true" outlineLevel="0" collapsed="false">
      <c r="A71" s="0" t="n">
        <v>65</v>
      </c>
      <c r="B71" s="0" t="s">
        <v>67</v>
      </c>
      <c r="C71" s="0" t="s">
        <v>406</v>
      </c>
      <c r="D71" s="31" t="s">
        <v>414</v>
      </c>
      <c r="E71" s="31" t="n">
        <v>-0.4</v>
      </c>
    </row>
    <row r="72" customFormat="false" ht="14.25" hidden="false" customHeight="true" outlineLevel="0" collapsed="false">
      <c r="A72" s="0" t="n">
        <v>66</v>
      </c>
      <c r="B72" s="0" t="s">
        <v>67</v>
      </c>
      <c r="C72" s="0" t="s">
        <v>406</v>
      </c>
      <c r="D72" s="0" t="s">
        <v>411</v>
      </c>
      <c r="E72" s="0" t="n">
        <v>-0.4</v>
      </c>
    </row>
    <row r="73" customFormat="false" ht="14.25" hidden="false" customHeight="true" outlineLevel="0" collapsed="false">
      <c r="A73" s="8" t="n">
        <v>67</v>
      </c>
      <c r="B73" s="0" t="s">
        <v>67</v>
      </c>
      <c r="C73" s="0" t="s">
        <v>407</v>
      </c>
      <c r="D73" s="0" t="s">
        <v>414</v>
      </c>
      <c r="E73" s="0" t="n">
        <v>-0.4</v>
      </c>
    </row>
    <row r="74" customFormat="false" ht="14.25" hidden="false" customHeight="true" outlineLevel="0" collapsed="false">
      <c r="A74" s="0" t="n">
        <v>68</v>
      </c>
      <c r="B74" s="0" t="s">
        <v>67</v>
      </c>
      <c r="C74" s="0" t="s">
        <v>407</v>
      </c>
      <c r="D74" s="0" t="s">
        <v>411</v>
      </c>
      <c r="E74" s="0" t="n">
        <v>-0.4</v>
      </c>
    </row>
    <row r="75" customFormat="false" ht="14.25" hidden="false" customHeight="true" outlineLevel="0" collapsed="false">
      <c r="A75" s="0" t="n">
        <v>69</v>
      </c>
      <c r="B75" s="0" t="s">
        <v>67</v>
      </c>
      <c r="C75" s="0" t="s">
        <v>408</v>
      </c>
      <c r="D75" s="0" t="s">
        <v>414</v>
      </c>
      <c r="E75" s="0" t="n">
        <v>-0.4</v>
      </c>
    </row>
    <row r="76" customFormat="false" ht="14.25" hidden="false" customHeight="true" outlineLevel="0" collapsed="false">
      <c r="A76" s="0" t="n">
        <v>70</v>
      </c>
      <c r="B76" s="0" t="s">
        <v>67</v>
      </c>
      <c r="C76" s="0" t="s">
        <v>408</v>
      </c>
      <c r="D76" s="0" t="s">
        <v>411</v>
      </c>
      <c r="E76" s="0" t="n">
        <v>-0.4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0" t="s">
        <v>399</v>
      </c>
      <c r="B1" s="0" t="s">
        <v>57</v>
      </c>
      <c r="C1" s="0" t="s">
        <v>400</v>
      </c>
      <c r="D1" s="0" t="s">
        <v>401</v>
      </c>
      <c r="E1" s="0" t="s">
        <v>59</v>
      </c>
      <c r="F1" s="0" t="s">
        <v>415</v>
      </c>
      <c r="G1" s="0" t="s">
        <v>416</v>
      </c>
      <c r="H1" s="0" t="s">
        <v>417</v>
      </c>
      <c r="I1" s="0" t="s">
        <v>418</v>
      </c>
      <c r="J1" s="0" t="s">
        <v>419</v>
      </c>
      <c r="K1" s="0" t="s">
        <v>420</v>
      </c>
      <c r="L1" s="0" t="s">
        <v>421</v>
      </c>
      <c r="M1" s="0" t="s">
        <v>422</v>
      </c>
      <c r="N1" s="0" t="s">
        <v>423</v>
      </c>
    </row>
    <row r="2" customFormat="false" ht="14.25" hidden="false" customHeight="true" outlineLevel="0" collapsed="false">
      <c r="A2" s="0" t="n">
        <v>1</v>
      </c>
      <c r="B2" s="0" t="s">
        <v>60</v>
      </c>
      <c r="C2" s="0" t="s">
        <v>402</v>
      </c>
      <c r="D2" s="0" t="s">
        <v>403</v>
      </c>
      <c r="E2" s="0" t="n">
        <v>-0.9</v>
      </c>
      <c r="F2" s="31" t="n">
        <f aca="false">INDEX(I_prop!$B$7:$H$13, MATCH($C2, I_prop!$A$7:$A$13,0), MATCH($D2, I_prop!$B$6:$H$6,0))</f>
        <v>0</v>
      </c>
      <c r="G2" s="31" t="n">
        <f aca="false">INDEX(I_prop!$B$18:$H$24, MATCH($C2, I_prop!$A$18:$A$24,0), MATCH($D2, I_prop!$B$17:$H$17,0))</f>
        <v>0</v>
      </c>
      <c r="H2" s="31" t="n">
        <f aca="false">IF($J2&lt;&gt;"",$J2,$F2)</f>
        <v>0</v>
      </c>
      <c r="I2" s="31" t="n">
        <f aca="false">IF($K2&lt;&gt;"",$K2,$G2)</f>
        <v>0</v>
      </c>
      <c r="J2" s="0" t="str">
        <f aca="false">IF(COUNTIFS(Subgroup_Overrides!$A$5:$A$200,"A",Subgroup_Overrides!$B$5:$B$200,$C2,Subgroup_Overrides!$C$5:$C$200,$D2)&gt;0,_xludf.minifs(Subgroup_Overrides!$D$5:$D$200,Subgroup_Overrides!$A$5:$A$200,"A",Subgroup_Overrides!$B$5:$B$200,$C2,Subgroup_Overrides!$C$5:$C$200,$D2),"")</f>
        <v/>
      </c>
      <c r="K2" s="0" t="str">
        <f aca="false">IF(COUNTIFS(Subgroup_Overrides!$A$5:$A$200,"B",Subgroup_Overrides!$B$5:$B$200,$C2,Subgroup_Overrides!$C$5:$C$200,$D2)&gt;0,_xludf.minifs(Subgroup_Overrides!$D$5:$D$200,Subgroup_Overrides!$A$5:$A$200,"B",Subgroup_Overrides!$B$5:$B$200,$C2,Subgroup_Overrides!$C$5:$C$200,$D2),"")</f>
        <v/>
      </c>
      <c r="L2" s="0" t="str">
        <f aca="false">TRIM(B2)</f>
        <v>LIFE</v>
      </c>
      <c r="M2" s="0" t="n">
        <f aca="false">IF(H2="",NA(),1*H2)</f>
        <v>0</v>
      </c>
      <c r="N2" s="0" t="n">
        <f aca="false">IF(I2="",NA(),1*I2)</f>
        <v>0</v>
      </c>
    </row>
    <row r="3" customFormat="false" ht="14.25" hidden="false" customHeight="true" outlineLevel="0" collapsed="false">
      <c r="A3" s="0" t="n">
        <v>2</v>
      </c>
      <c r="B3" s="0" t="s">
        <v>60</v>
      </c>
      <c r="C3" s="0" t="s">
        <v>404</v>
      </c>
      <c r="D3" s="0" t="s">
        <v>403</v>
      </c>
      <c r="E3" s="0" t="n">
        <v>-0.9</v>
      </c>
      <c r="F3" s="31" t="n">
        <f aca="false">INDEX(I_prop!$B$7:$H$13, MATCH($C3, I_prop!$A$7:$A$13,0), MATCH($D3, I_prop!$B$6:$H$6,0))</f>
        <v>0</v>
      </c>
      <c r="G3" s="31" t="n">
        <f aca="false">INDEX(I_prop!$B$18:$H$24, MATCH($C3, I_prop!$A$18:$A$24,0), MATCH($D3, I_prop!$B$17:$H$17,0))</f>
        <v>0</v>
      </c>
      <c r="H3" s="31" t="n">
        <f aca="false">IF($J3&lt;&gt;"",$J3,$F3)</f>
        <v>0</v>
      </c>
      <c r="I3" s="31" t="n">
        <f aca="false">IF($K3&lt;&gt;"",$K3,$G3)</f>
        <v>0</v>
      </c>
      <c r="J3" s="0" t="str">
        <f aca="false">IF(COUNTIFS(Subgroup_Overrides!$A$5:$A$200,"A",Subgroup_Overrides!$B$5:$B$200,$C3,Subgroup_Overrides!$C$5:$C$200,$D3)&gt;0,_xludf.minifs(Subgroup_Overrides!$D$5:$D$200,Subgroup_Overrides!$A$5:$A$200,"A",Subgroup_Overrides!$B$5:$B$200,$C3,Subgroup_Overrides!$C$5:$C$200,$D3),"")</f>
        <v/>
      </c>
      <c r="K3" s="0" t="str">
        <f aca="false">IF(COUNTIFS(Subgroup_Overrides!$A$5:$A$200,"B",Subgroup_Overrides!$B$5:$B$200,$C3,Subgroup_Overrides!$C$5:$C$200,$D3)&gt;0,_xludf.minifs(Subgroup_Overrides!$D$5:$D$200,Subgroup_Overrides!$A$5:$A$200,"B",Subgroup_Overrides!$B$5:$B$200,$C3,Subgroup_Overrides!$C$5:$C$200,$D3),"")</f>
        <v/>
      </c>
      <c r="L3" s="0" t="str">
        <f aca="false">TRIM(B3)</f>
        <v>LIFE</v>
      </c>
      <c r="M3" s="0" t="n">
        <f aca="false">IF(H3="",NA(),1*H3)</f>
        <v>0</v>
      </c>
      <c r="N3" s="0" t="n">
        <f aca="false">IF(I3="",NA(),1*I3)</f>
        <v>0</v>
      </c>
    </row>
    <row r="4" customFormat="false" ht="14.25" hidden="false" customHeight="true" outlineLevel="0" collapsed="false">
      <c r="A4" s="0" t="n">
        <v>3</v>
      </c>
      <c r="B4" s="0" t="s">
        <v>60</v>
      </c>
      <c r="C4" s="0" t="s">
        <v>405</v>
      </c>
      <c r="D4" s="0" t="s">
        <v>403</v>
      </c>
      <c r="E4" s="0" t="n">
        <v>-0.9</v>
      </c>
      <c r="F4" s="31" t="n">
        <f aca="false">INDEX(I_prop!$B$7:$H$13, MATCH($C4, I_prop!$A$7:$A$13,0), MATCH($D4, I_prop!$B$6:$H$6,0))</f>
        <v>0</v>
      </c>
      <c r="G4" s="31" t="n">
        <f aca="false">INDEX(I_prop!$B$18:$H$24, MATCH($C4, I_prop!$A$18:$A$24,0), MATCH($D4, I_prop!$B$17:$H$17,0))</f>
        <v>0</v>
      </c>
      <c r="H4" s="31" t="n">
        <f aca="false">IF($J4&lt;&gt;"",$J4,$F4)</f>
        <v>0</v>
      </c>
      <c r="I4" s="31" t="n">
        <f aca="false">IF($K4&lt;&gt;"",$K4,$G4)</f>
        <v>0</v>
      </c>
      <c r="J4" s="0" t="str">
        <f aca="false">IF(COUNTIFS(Subgroup_Overrides!$A$5:$A$200,"A",Subgroup_Overrides!$B$5:$B$200,$C4,Subgroup_Overrides!$C$5:$C$200,$D4)&gt;0,_xludf.minifs(Subgroup_Overrides!$D$5:$D$200,Subgroup_Overrides!$A$5:$A$200,"A",Subgroup_Overrides!$B$5:$B$200,$C4,Subgroup_Overrides!$C$5:$C$200,$D4),"")</f>
        <v/>
      </c>
      <c r="K4" s="0" t="str">
        <f aca="false">IF(COUNTIFS(Subgroup_Overrides!$A$5:$A$200,"B",Subgroup_Overrides!$B$5:$B$200,$C4,Subgroup_Overrides!$C$5:$C$200,$D4)&gt;0,_xludf.minifs(Subgroup_Overrides!$D$5:$D$200,Subgroup_Overrides!$A$5:$A$200,"B",Subgroup_Overrides!$B$5:$B$200,$C4,Subgroup_Overrides!$C$5:$C$200,$D4),"")</f>
        <v/>
      </c>
      <c r="L4" s="0" t="str">
        <f aca="false">TRIM(B4)</f>
        <v>LIFE</v>
      </c>
      <c r="M4" s="0" t="n">
        <f aca="false">IF(H4="",NA(),1*H4)</f>
        <v>0</v>
      </c>
      <c r="N4" s="0" t="n">
        <f aca="false">IF(I4="",NA(),1*I4)</f>
        <v>0</v>
      </c>
    </row>
    <row r="5" customFormat="false" ht="14.25" hidden="false" customHeight="true" outlineLevel="0" collapsed="false">
      <c r="A5" s="0" t="n">
        <v>4</v>
      </c>
      <c r="B5" s="0" t="s">
        <v>60</v>
      </c>
      <c r="C5" s="0" t="s">
        <v>406</v>
      </c>
      <c r="D5" s="0" t="s">
        <v>403</v>
      </c>
      <c r="E5" s="0" t="n">
        <v>-0.9</v>
      </c>
      <c r="F5" s="31" t="n">
        <f aca="false">INDEX(I_prop!$B$7:$H$13, MATCH($C5, I_prop!$A$7:$A$13,0), MATCH($D5, I_prop!$B$6:$H$6,0))</f>
        <v>0</v>
      </c>
      <c r="G5" s="31" t="n">
        <f aca="false">INDEX(I_prop!$B$18:$H$24, MATCH($C5, I_prop!$A$18:$A$24,0), MATCH($D5, I_prop!$B$17:$H$17,0))</f>
        <v>0</v>
      </c>
      <c r="H5" s="31" t="n">
        <f aca="false">IF($J5&lt;&gt;"",$J5,$F5)</f>
        <v>0</v>
      </c>
      <c r="I5" s="31" t="n">
        <f aca="false">IF($K5&lt;&gt;"",$K5,$G5)</f>
        <v>0</v>
      </c>
      <c r="J5" s="0" t="str">
        <f aca="false">IF(COUNTIFS(Subgroup_Overrides!$A$5:$A$200,"A",Subgroup_Overrides!$B$5:$B$200,$C5,Subgroup_Overrides!$C$5:$C$200,$D5)&gt;0,_xludf.minifs(Subgroup_Overrides!$D$5:$D$200,Subgroup_Overrides!$A$5:$A$200,"A",Subgroup_Overrides!$B$5:$B$200,$C5,Subgroup_Overrides!$C$5:$C$200,$D5),"")</f>
        <v/>
      </c>
      <c r="K5" s="0" t="str">
        <f aca="false">IF(COUNTIFS(Subgroup_Overrides!$A$5:$A$200,"B",Subgroup_Overrides!$B$5:$B$200,$C5,Subgroup_Overrides!$C$5:$C$200,$D5)&gt;0,_xludf.minifs(Subgroup_Overrides!$D$5:$D$200,Subgroup_Overrides!$A$5:$A$200,"B",Subgroup_Overrides!$B$5:$B$200,$C5,Subgroup_Overrides!$C$5:$C$200,$D5),"")</f>
        <v/>
      </c>
      <c r="L5" s="0" t="str">
        <f aca="false">TRIM(B5)</f>
        <v>LIFE</v>
      </c>
      <c r="M5" s="0" t="n">
        <f aca="false">IF(H5="",NA(),1*H5)</f>
        <v>0</v>
      </c>
      <c r="N5" s="0" t="n">
        <f aca="false">IF(I5="",NA(),1*I5)</f>
        <v>0</v>
      </c>
    </row>
    <row r="6" customFormat="false" ht="14.25" hidden="false" customHeight="true" outlineLevel="0" collapsed="false">
      <c r="A6" s="0" t="n">
        <v>5</v>
      </c>
      <c r="B6" s="0" t="s">
        <v>60</v>
      </c>
      <c r="C6" s="0" t="s">
        <v>407</v>
      </c>
      <c r="D6" s="0" t="s">
        <v>403</v>
      </c>
      <c r="E6" s="0" t="n">
        <v>-0.9</v>
      </c>
      <c r="F6" s="31" t="n">
        <f aca="false">INDEX(I_prop!$B$7:$H$13, MATCH($C6, I_prop!$A$7:$A$13,0), MATCH($D6, I_prop!$B$6:$H$6,0))</f>
        <v>0</v>
      </c>
      <c r="G6" s="31" t="n">
        <f aca="false">INDEX(I_prop!$B$18:$H$24, MATCH($C6, I_prop!$A$18:$A$24,0), MATCH($D6, I_prop!$B$17:$H$17,0))</f>
        <v>0</v>
      </c>
      <c r="H6" s="31" t="n">
        <f aca="false">IF($J6&lt;&gt;"",$J6,$F6)</f>
        <v>0</v>
      </c>
      <c r="I6" s="31" t="n">
        <f aca="false">IF($K6&lt;&gt;"",$K6,$G6)</f>
        <v>0</v>
      </c>
      <c r="J6" s="0" t="str">
        <f aca="false">IF(COUNTIFS(Subgroup_Overrides!$A$5:$A$200,"A",Subgroup_Overrides!$B$5:$B$200,$C6,Subgroup_Overrides!$C$5:$C$200,$D6)&gt;0,_xludf.minifs(Subgroup_Overrides!$D$5:$D$200,Subgroup_Overrides!$A$5:$A$200,"A",Subgroup_Overrides!$B$5:$B$200,$C6,Subgroup_Overrides!$C$5:$C$200,$D6),"")</f>
        <v/>
      </c>
      <c r="K6" s="0" t="str">
        <f aca="false">IF(COUNTIFS(Subgroup_Overrides!$A$5:$A$200,"B",Subgroup_Overrides!$B$5:$B$200,$C6,Subgroup_Overrides!$C$5:$C$200,$D6)&gt;0,_xludf.minifs(Subgroup_Overrides!$D$5:$D$200,Subgroup_Overrides!$A$5:$A$200,"B",Subgroup_Overrides!$B$5:$B$200,$C6,Subgroup_Overrides!$C$5:$C$200,$D6),"")</f>
        <v/>
      </c>
      <c r="L6" s="0" t="str">
        <f aca="false">TRIM(B6)</f>
        <v>LIFE</v>
      </c>
      <c r="M6" s="0" t="n">
        <f aca="false">IF(H6="",NA(),1*H6)</f>
        <v>0</v>
      </c>
      <c r="N6" s="0" t="n">
        <f aca="false">IF(I6="",NA(),1*I6)</f>
        <v>0</v>
      </c>
    </row>
    <row r="7" customFormat="false" ht="14.25" hidden="false" customHeight="true" outlineLevel="0" collapsed="false">
      <c r="A7" s="0" t="n">
        <v>6</v>
      </c>
      <c r="B7" s="0" t="s">
        <v>60</v>
      </c>
      <c r="C7" s="0" t="s">
        <v>408</v>
      </c>
      <c r="D7" s="0" t="s">
        <v>403</v>
      </c>
      <c r="E7" s="0" t="n">
        <v>-0.9</v>
      </c>
      <c r="F7" s="31" t="n">
        <f aca="false">INDEX(I_prop!$B$7:$H$13, MATCH($C7, I_prop!$A$7:$A$13,0), MATCH($D7, I_prop!$B$6:$H$6,0))</f>
        <v>0</v>
      </c>
      <c r="G7" s="31" t="n">
        <f aca="false">INDEX(I_prop!$B$18:$H$24, MATCH($C7, I_prop!$A$18:$A$24,0), MATCH($D7, I_prop!$B$17:$H$17,0))</f>
        <v>0</v>
      </c>
      <c r="H7" s="31" t="n">
        <f aca="false">IF($J7&lt;&gt;"",$J7,$F7)</f>
        <v>0</v>
      </c>
      <c r="I7" s="31" t="n">
        <f aca="false">IF($K7&lt;&gt;"",$K7,$G7)</f>
        <v>0</v>
      </c>
      <c r="J7" s="0" t="str">
        <f aca="false">IF(COUNTIFS(Subgroup_Overrides!$A$5:$A$200,"A",Subgroup_Overrides!$B$5:$B$200,$C7,Subgroup_Overrides!$C$5:$C$200,$D7)&gt;0,_xludf.minifs(Subgroup_Overrides!$D$5:$D$200,Subgroup_Overrides!$A$5:$A$200,"A",Subgroup_Overrides!$B$5:$B$200,$C7,Subgroup_Overrides!$C$5:$C$200,$D7),"")</f>
        <v/>
      </c>
      <c r="K7" s="0" t="str">
        <f aca="false">IF(COUNTIFS(Subgroup_Overrides!$A$5:$A$200,"B",Subgroup_Overrides!$B$5:$B$200,$C7,Subgroup_Overrides!$C$5:$C$200,$D7)&gt;0,_xludf.minifs(Subgroup_Overrides!$D$5:$D$200,Subgroup_Overrides!$A$5:$A$200,"B",Subgroup_Overrides!$B$5:$B$200,$C7,Subgroup_Overrides!$C$5:$C$200,$D7),"")</f>
        <v/>
      </c>
      <c r="L7" s="0" t="str">
        <f aca="false">TRIM(B7)</f>
        <v>LIFE</v>
      </c>
      <c r="M7" s="0" t="n">
        <f aca="false">IF(H7="",NA(),1*H7)</f>
        <v>0</v>
      </c>
      <c r="N7" s="0" t="n">
        <f aca="false">IF(I7="",NA(),1*I7)</f>
        <v>0</v>
      </c>
    </row>
    <row r="8" customFormat="false" ht="14.25" hidden="false" customHeight="true" outlineLevel="0" collapsed="false">
      <c r="A8" s="0" t="n">
        <v>7</v>
      </c>
      <c r="B8" s="0" t="s">
        <v>60</v>
      </c>
      <c r="C8" s="0" t="s">
        <v>408</v>
      </c>
      <c r="D8" s="0" t="s">
        <v>409</v>
      </c>
      <c r="E8" s="0" t="n">
        <v>-0.9</v>
      </c>
      <c r="F8" s="31" t="n">
        <f aca="false">INDEX(I_prop!$B$7:$H$13, MATCH($C8, I_prop!$A$7:$A$13,0), MATCH($D8, I_prop!$B$6:$H$6,0))</f>
        <v>0</v>
      </c>
      <c r="G8" s="31" t="n">
        <f aca="false">INDEX(I_prop!$B$18:$H$24, MATCH($C8, I_prop!$A$18:$A$24,0), MATCH($D8, I_prop!$B$17:$H$17,0))</f>
        <v>0</v>
      </c>
      <c r="H8" s="31" t="n">
        <f aca="false">IF($J8&lt;&gt;"",$J8,$F8)</f>
        <v>0</v>
      </c>
      <c r="I8" s="31" t="n">
        <f aca="false">IF($K8&lt;&gt;"",$K8,$G8)</f>
        <v>0</v>
      </c>
      <c r="J8" s="0" t="str">
        <f aca="false">IF(COUNTIFS(Subgroup_Overrides!$A$5:$A$200,"A",Subgroup_Overrides!$B$5:$B$200,$C8,Subgroup_Overrides!$C$5:$C$200,$D8)&gt;0,_xludf.minifs(Subgroup_Overrides!$D$5:$D$200,Subgroup_Overrides!$A$5:$A$200,"A",Subgroup_Overrides!$B$5:$B$200,$C8,Subgroup_Overrides!$C$5:$C$200,$D8),"")</f>
        <v/>
      </c>
      <c r="K8" s="0" t="str">
        <f aca="false">IF(COUNTIFS(Subgroup_Overrides!$A$5:$A$200,"B",Subgroup_Overrides!$B$5:$B$200,$C8,Subgroup_Overrides!$C$5:$C$200,$D8)&gt;0,_xludf.minifs(Subgroup_Overrides!$D$5:$D$200,Subgroup_Overrides!$A$5:$A$200,"B",Subgroup_Overrides!$B$5:$B$200,$C8,Subgroup_Overrides!$C$5:$C$200,$D8),"")</f>
        <v/>
      </c>
      <c r="L8" s="0" t="str">
        <f aca="false">TRIM(B8)</f>
        <v>LIFE</v>
      </c>
      <c r="M8" s="0" t="n">
        <f aca="false">IF(H8="",NA(),1*H8)</f>
        <v>0</v>
      </c>
      <c r="N8" s="0" t="n">
        <f aca="false">IF(I8="",NA(),1*I8)</f>
        <v>0</v>
      </c>
    </row>
    <row r="9" customFormat="false" ht="14.25" hidden="false" customHeight="true" outlineLevel="0" collapsed="false">
      <c r="A9" s="0" t="n">
        <v>8</v>
      </c>
      <c r="B9" s="0" t="s">
        <v>61</v>
      </c>
      <c r="C9" s="0" t="s">
        <v>402</v>
      </c>
      <c r="D9" s="0" t="s">
        <v>403</v>
      </c>
      <c r="E9" s="0" t="n">
        <v>-0.7</v>
      </c>
      <c r="F9" s="31" t="n">
        <f aca="false">INDEX(I_prop!$B$7:$H$13, MATCH($C9, I_prop!$A$7:$A$13,0), MATCH($D9, I_prop!$B$6:$H$6,0))</f>
        <v>0</v>
      </c>
      <c r="G9" s="31" t="n">
        <f aca="false">INDEX(I_prop!$B$18:$H$24, MATCH($C9, I_prop!$A$18:$A$24,0), MATCH($D9, I_prop!$B$17:$H$17,0))</f>
        <v>0</v>
      </c>
      <c r="H9" s="31" t="n">
        <f aca="false">IF($J9&lt;&gt;"",$J9,$F9)</f>
        <v>0</v>
      </c>
      <c r="I9" s="31" t="n">
        <f aca="false">IF($K9&lt;&gt;"",$K9,$G9)</f>
        <v>0</v>
      </c>
      <c r="J9" s="0" t="str">
        <f aca="false">IF(COUNTIFS(Subgroup_Overrides!$A$5:$A$200,"A",Subgroup_Overrides!$B$5:$B$200,$C9,Subgroup_Overrides!$C$5:$C$200,$D9)&gt;0,_xludf.minifs(Subgroup_Overrides!$D$5:$D$200,Subgroup_Overrides!$A$5:$A$200,"A",Subgroup_Overrides!$B$5:$B$200,$C9,Subgroup_Overrides!$C$5:$C$200,$D9),"")</f>
        <v/>
      </c>
      <c r="K9" s="0" t="str">
        <f aca="false">IF(COUNTIFS(Subgroup_Overrides!$A$5:$A$200,"B",Subgroup_Overrides!$B$5:$B$200,$C9,Subgroup_Overrides!$C$5:$C$200,$D9)&gt;0,_xludf.minifs(Subgroup_Overrides!$D$5:$D$200,Subgroup_Overrides!$A$5:$A$200,"B",Subgroup_Overrides!$B$5:$B$200,$C9,Subgroup_Overrides!$C$5:$C$200,$D9),"")</f>
        <v/>
      </c>
      <c r="L9" s="0" t="str">
        <f aca="false">TRIM(B9)</f>
        <v>BODY</v>
      </c>
      <c r="M9" s="0" t="n">
        <f aca="false">IF(H9="",NA(),1*H9)</f>
        <v>0</v>
      </c>
      <c r="N9" s="0" t="n">
        <f aca="false">IF(I9="",NA(),1*I9)</f>
        <v>0</v>
      </c>
    </row>
    <row r="10" customFormat="false" ht="14.25" hidden="false" customHeight="true" outlineLevel="0" collapsed="false">
      <c r="A10" s="0" t="n">
        <v>9</v>
      </c>
      <c r="B10" s="0" t="s">
        <v>61</v>
      </c>
      <c r="C10" s="0" t="s">
        <v>404</v>
      </c>
      <c r="D10" s="0" t="s">
        <v>403</v>
      </c>
      <c r="E10" s="0" t="n">
        <v>-0.7</v>
      </c>
      <c r="F10" s="31" t="n">
        <f aca="false">INDEX(I_prop!$B$7:$H$13, MATCH($C10, I_prop!$A$7:$A$13,0), MATCH($D10, I_prop!$B$6:$H$6,0))</f>
        <v>0</v>
      </c>
      <c r="G10" s="31" t="n">
        <f aca="false">INDEX(I_prop!$B$18:$H$24, MATCH($C10, I_prop!$A$18:$A$24,0), MATCH($D10, I_prop!$B$17:$H$17,0))</f>
        <v>0</v>
      </c>
      <c r="H10" s="31" t="n">
        <f aca="false">IF($J10&lt;&gt;"",$J10,$F10)</f>
        <v>0</v>
      </c>
      <c r="I10" s="31" t="n">
        <f aca="false">IF($K10&lt;&gt;"",$K10,$G10)</f>
        <v>0</v>
      </c>
      <c r="J10" s="0" t="str">
        <f aca="false">IF(COUNTIFS(Subgroup_Overrides!$A$5:$A$200,"A",Subgroup_Overrides!$B$5:$B$200,$C10,Subgroup_Overrides!$C$5:$C$200,$D10)&gt;0,_xludf.minifs(Subgroup_Overrides!$D$5:$D$200,Subgroup_Overrides!$A$5:$A$200,"A",Subgroup_Overrides!$B$5:$B$200,$C10,Subgroup_Overrides!$C$5:$C$200,$D10),"")</f>
        <v/>
      </c>
      <c r="K10" s="0" t="str">
        <f aca="false">IF(COUNTIFS(Subgroup_Overrides!$A$5:$A$200,"B",Subgroup_Overrides!$B$5:$B$200,$C10,Subgroup_Overrides!$C$5:$C$200,$D10)&gt;0,_xludf.minifs(Subgroup_Overrides!$D$5:$D$200,Subgroup_Overrides!$A$5:$A$200,"B",Subgroup_Overrides!$B$5:$B$200,$C10,Subgroup_Overrides!$C$5:$C$200,$D10),"")</f>
        <v/>
      </c>
      <c r="L10" s="0" t="str">
        <f aca="false">TRIM(B10)</f>
        <v>BODY</v>
      </c>
      <c r="M10" s="0" t="n">
        <f aca="false">IF(H10="",NA(),1*H10)</f>
        <v>0</v>
      </c>
      <c r="N10" s="0" t="n">
        <f aca="false">IF(I10="",NA(),1*I10)</f>
        <v>0</v>
      </c>
    </row>
    <row r="11" customFormat="false" ht="14.25" hidden="false" customHeight="true" outlineLevel="0" collapsed="false">
      <c r="A11" s="0" t="n">
        <v>10</v>
      </c>
      <c r="B11" s="0" t="s">
        <v>61</v>
      </c>
      <c r="C11" s="0" t="s">
        <v>405</v>
      </c>
      <c r="D11" s="0" t="s">
        <v>403</v>
      </c>
      <c r="E11" s="0" t="n">
        <v>-0.7</v>
      </c>
      <c r="F11" s="31" t="n">
        <f aca="false">INDEX(I_prop!$B$7:$H$13, MATCH($C11, I_prop!$A$7:$A$13,0), MATCH($D11, I_prop!$B$6:$H$6,0))</f>
        <v>0</v>
      </c>
      <c r="G11" s="31" t="n">
        <f aca="false">INDEX(I_prop!$B$18:$H$24, MATCH($C11, I_prop!$A$18:$A$24,0), MATCH($D11, I_prop!$B$17:$H$17,0))</f>
        <v>0</v>
      </c>
      <c r="H11" s="31" t="n">
        <f aca="false">IF($J11&lt;&gt;"",$J11,$F11)</f>
        <v>0</v>
      </c>
      <c r="I11" s="31" t="n">
        <f aca="false">IF($K11&lt;&gt;"",$K11,$G11)</f>
        <v>0</v>
      </c>
      <c r="J11" s="0" t="str">
        <f aca="false">IF(COUNTIFS(Subgroup_Overrides!$A$5:$A$200,"A",Subgroup_Overrides!$B$5:$B$200,$C11,Subgroup_Overrides!$C$5:$C$200,$D11)&gt;0,_xludf.minifs(Subgroup_Overrides!$D$5:$D$200,Subgroup_Overrides!$A$5:$A$200,"A",Subgroup_Overrides!$B$5:$B$200,$C11,Subgroup_Overrides!$C$5:$C$200,$D11),"")</f>
        <v/>
      </c>
      <c r="K11" s="0" t="str">
        <f aca="false">IF(COUNTIFS(Subgroup_Overrides!$A$5:$A$200,"B",Subgroup_Overrides!$B$5:$B$200,$C11,Subgroup_Overrides!$C$5:$C$200,$D11)&gt;0,_xludf.minifs(Subgroup_Overrides!$D$5:$D$200,Subgroup_Overrides!$A$5:$A$200,"B",Subgroup_Overrides!$B$5:$B$200,$C11,Subgroup_Overrides!$C$5:$C$200,$D11),"")</f>
        <v/>
      </c>
      <c r="L11" s="0" t="str">
        <f aca="false">TRIM(B11)</f>
        <v>BODY</v>
      </c>
      <c r="M11" s="0" t="n">
        <f aca="false">IF(H11="",NA(),1*H11)</f>
        <v>0</v>
      </c>
      <c r="N11" s="0" t="n">
        <f aca="false">IF(I11="",NA(),1*I11)</f>
        <v>0</v>
      </c>
    </row>
    <row r="12" customFormat="false" ht="14.25" hidden="false" customHeight="true" outlineLevel="0" collapsed="false">
      <c r="A12" s="0" t="n">
        <v>11</v>
      </c>
      <c r="B12" s="0" t="s">
        <v>61</v>
      </c>
      <c r="C12" s="0" t="s">
        <v>406</v>
      </c>
      <c r="D12" s="0" t="s">
        <v>403</v>
      </c>
      <c r="E12" s="0" t="n">
        <v>-0.7</v>
      </c>
      <c r="F12" s="31" t="n">
        <f aca="false">INDEX(I_prop!$B$7:$H$13, MATCH($C12, I_prop!$A$7:$A$13,0), MATCH($D12, I_prop!$B$6:$H$6,0))</f>
        <v>0</v>
      </c>
      <c r="G12" s="31" t="n">
        <f aca="false">INDEX(I_prop!$B$18:$H$24, MATCH($C12, I_prop!$A$18:$A$24,0), MATCH($D12, I_prop!$B$17:$H$17,0))</f>
        <v>0</v>
      </c>
      <c r="H12" s="31" t="n">
        <f aca="false">IF($J12&lt;&gt;"",$J12,$F12)</f>
        <v>0</v>
      </c>
      <c r="I12" s="31" t="n">
        <f aca="false">IF($K12&lt;&gt;"",$K12,$G12)</f>
        <v>0</v>
      </c>
      <c r="J12" s="0" t="str">
        <f aca="false">IF(COUNTIFS(Subgroup_Overrides!$A$5:$A$200,"A",Subgroup_Overrides!$B$5:$B$200,$C12,Subgroup_Overrides!$C$5:$C$200,$D12)&gt;0,_xludf.minifs(Subgroup_Overrides!$D$5:$D$200,Subgroup_Overrides!$A$5:$A$200,"A",Subgroup_Overrides!$B$5:$B$200,$C12,Subgroup_Overrides!$C$5:$C$200,$D12),"")</f>
        <v/>
      </c>
      <c r="K12" s="0" t="str">
        <f aca="false">IF(COUNTIFS(Subgroup_Overrides!$A$5:$A$200,"B",Subgroup_Overrides!$B$5:$B$200,$C12,Subgroup_Overrides!$C$5:$C$200,$D12)&gt;0,_xludf.minifs(Subgroup_Overrides!$D$5:$D$200,Subgroup_Overrides!$A$5:$A$200,"B",Subgroup_Overrides!$B$5:$B$200,$C12,Subgroup_Overrides!$C$5:$C$200,$D12),"")</f>
        <v/>
      </c>
      <c r="L12" s="0" t="str">
        <f aca="false">TRIM(B12)</f>
        <v>BODY</v>
      </c>
      <c r="M12" s="0" t="n">
        <f aca="false">IF(H12="",NA(),1*H12)</f>
        <v>0</v>
      </c>
      <c r="N12" s="0" t="n">
        <f aca="false">IF(I12="",NA(),1*I12)</f>
        <v>0</v>
      </c>
    </row>
    <row r="13" customFormat="false" ht="14.25" hidden="false" customHeight="true" outlineLevel="0" collapsed="false">
      <c r="A13" s="0" t="n">
        <v>12</v>
      </c>
      <c r="B13" s="0" t="s">
        <v>61</v>
      </c>
      <c r="C13" s="0" t="s">
        <v>407</v>
      </c>
      <c r="D13" s="0" t="s">
        <v>403</v>
      </c>
      <c r="E13" s="0" t="n">
        <v>-0.7</v>
      </c>
      <c r="F13" s="31" t="n">
        <f aca="false">INDEX(I_prop!$B$7:$H$13, MATCH($C13, I_prop!$A$7:$A$13,0), MATCH($D13, I_prop!$B$6:$H$6,0))</f>
        <v>0</v>
      </c>
      <c r="G13" s="31" t="n">
        <f aca="false">INDEX(I_prop!$B$18:$H$24, MATCH($C13, I_prop!$A$18:$A$24,0), MATCH($D13, I_prop!$B$17:$H$17,0))</f>
        <v>0</v>
      </c>
      <c r="H13" s="31" t="n">
        <f aca="false">IF($J13&lt;&gt;"",$J13,$F13)</f>
        <v>0</v>
      </c>
      <c r="I13" s="31" t="n">
        <f aca="false">IF($K13&lt;&gt;"",$K13,$G13)</f>
        <v>0</v>
      </c>
      <c r="J13" s="0" t="str">
        <f aca="false">IF(COUNTIFS(Subgroup_Overrides!$A$5:$A$200,"A",Subgroup_Overrides!$B$5:$B$200,$C13,Subgroup_Overrides!$C$5:$C$200,$D13)&gt;0,_xludf.minifs(Subgroup_Overrides!$D$5:$D$200,Subgroup_Overrides!$A$5:$A$200,"A",Subgroup_Overrides!$B$5:$B$200,$C13,Subgroup_Overrides!$C$5:$C$200,$D13),"")</f>
        <v/>
      </c>
      <c r="K13" s="0" t="str">
        <f aca="false">IF(COUNTIFS(Subgroup_Overrides!$A$5:$A$200,"B",Subgroup_Overrides!$B$5:$B$200,$C13,Subgroup_Overrides!$C$5:$C$200,$D13)&gt;0,_xludf.minifs(Subgroup_Overrides!$D$5:$D$200,Subgroup_Overrides!$A$5:$A$200,"B",Subgroup_Overrides!$B$5:$B$200,$C13,Subgroup_Overrides!$C$5:$C$200,$D13),"")</f>
        <v/>
      </c>
      <c r="L13" s="0" t="str">
        <f aca="false">TRIM(B13)</f>
        <v>BODY</v>
      </c>
      <c r="M13" s="0" t="n">
        <f aca="false">IF(H13="",NA(),1*H13)</f>
        <v>0</v>
      </c>
      <c r="N13" s="0" t="n">
        <f aca="false">IF(I13="",NA(),1*I13)</f>
        <v>0</v>
      </c>
    </row>
    <row r="14" customFormat="false" ht="14.25" hidden="false" customHeight="true" outlineLevel="0" collapsed="false">
      <c r="A14" s="0" t="n">
        <v>13</v>
      </c>
      <c r="B14" s="0" t="s">
        <v>61</v>
      </c>
      <c r="C14" s="0" t="s">
        <v>408</v>
      </c>
      <c r="D14" s="0" t="s">
        <v>403</v>
      </c>
      <c r="E14" s="0" t="n">
        <v>-0.7</v>
      </c>
      <c r="F14" s="31" t="n">
        <f aca="false">INDEX(I_prop!$B$7:$H$13, MATCH($C14, I_prop!$A$7:$A$13,0), MATCH($D14, I_prop!$B$6:$H$6,0))</f>
        <v>0</v>
      </c>
      <c r="G14" s="31" t="n">
        <f aca="false">INDEX(I_prop!$B$18:$H$24, MATCH($C14, I_prop!$A$18:$A$24,0), MATCH($D14, I_prop!$B$17:$H$17,0))</f>
        <v>0</v>
      </c>
      <c r="H14" s="31" t="n">
        <f aca="false">IF($J14&lt;&gt;"",$J14,$F14)</f>
        <v>0</v>
      </c>
      <c r="I14" s="31" t="n">
        <f aca="false">IF($K14&lt;&gt;"",$K14,$G14)</f>
        <v>0</v>
      </c>
      <c r="J14" s="0" t="str">
        <f aca="false">IF(COUNTIFS(Subgroup_Overrides!$A$5:$A$200,"A",Subgroup_Overrides!$B$5:$B$200,$C14,Subgroup_Overrides!$C$5:$C$200,$D14)&gt;0,_xludf.minifs(Subgroup_Overrides!$D$5:$D$200,Subgroup_Overrides!$A$5:$A$200,"A",Subgroup_Overrides!$B$5:$B$200,$C14,Subgroup_Overrides!$C$5:$C$200,$D14),"")</f>
        <v/>
      </c>
      <c r="K14" s="0" t="str">
        <f aca="false">IF(COUNTIFS(Subgroup_Overrides!$A$5:$A$200,"B",Subgroup_Overrides!$B$5:$B$200,$C14,Subgroup_Overrides!$C$5:$C$200,$D14)&gt;0,_xludf.minifs(Subgroup_Overrides!$D$5:$D$200,Subgroup_Overrides!$A$5:$A$200,"B",Subgroup_Overrides!$B$5:$B$200,$C14,Subgroup_Overrides!$C$5:$C$200,$D14),"")</f>
        <v/>
      </c>
      <c r="L14" s="0" t="str">
        <f aca="false">TRIM(B14)</f>
        <v>BODY</v>
      </c>
      <c r="M14" s="0" t="n">
        <f aca="false">IF(H14="",NA(),1*H14)</f>
        <v>0</v>
      </c>
      <c r="N14" s="0" t="n">
        <f aca="false">IF(I14="",NA(),1*I14)</f>
        <v>0</v>
      </c>
    </row>
    <row r="15" customFormat="false" ht="14.25" hidden="false" customHeight="true" outlineLevel="0" collapsed="false">
      <c r="A15" s="0" t="n">
        <v>14</v>
      </c>
      <c r="B15" s="0" t="s">
        <v>62</v>
      </c>
      <c r="C15" s="0" t="s">
        <v>408</v>
      </c>
      <c r="D15" s="0" t="s">
        <v>409</v>
      </c>
      <c r="E15" s="0" t="n">
        <v>-0.65</v>
      </c>
      <c r="F15" s="31" t="n">
        <f aca="false">INDEX(I_prop!$B$7:$H$13, MATCH($C15, I_prop!$A$7:$A$13,0), MATCH($D15, I_prop!$B$6:$H$6,0))</f>
        <v>0</v>
      </c>
      <c r="G15" s="31" t="n">
        <f aca="false">INDEX(I_prop!$B$18:$H$24, MATCH($C15, I_prop!$A$18:$A$24,0), MATCH($D15, I_prop!$B$17:$H$17,0))</f>
        <v>0</v>
      </c>
      <c r="H15" s="31" t="n">
        <f aca="false">IF($J15&lt;&gt;"",$J15,$F15)</f>
        <v>0</v>
      </c>
      <c r="I15" s="31" t="n">
        <f aca="false">IF($K15&lt;&gt;"",$K15,$G15)</f>
        <v>0</v>
      </c>
      <c r="J15" s="0" t="str">
        <f aca="false">IF(COUNTIFS(Subgroup_Overrides!$A$5:$A$200,"A",Subgroup_Overrides!$B$5:$B$200,$C15,Subgroup_Overrides!$C$5:$C$200,$D15)&gt;0,_xludf.minifs(Subgroup_Overrides!$D$5:$D$200,Subgroup_Overrides!$A$5:$A$200,"A",Subgroup_Overrides!$B$5:$B$200,$C15,Subgroup_Overrides!$C$5:$C$200,$D15),"")</f>
        <v/>
      </c>
      <c r="K15" s="0" t="str">
        <f aca="false">IF(COUNTIFS(Subgroup_Overrides!$A$5:$A$200,"B",Subgroup_Overrides!$B$5:$B$200,$C15,Subgroup_Overrides!$C$5:$C$200,$D15)&gt;0,_xludf.minifs(Subgroup_Overrides!$D$5:$D$200,Subgroup_Overrides!$A$5:$A$200,"B",Subgroup_Overrides!$B$5:$B$200,$C15,Subgroup_Overrides!$C$5:$C$200,$D15),"")</f>
        <v/>
      </c>
      <c r="L15" s="0" t="str">
        <f aca="false">TRIM(B15)</f>
        <v>ECOL</v>
      </c>
      <c r="M15" s="0" t="n">
        <f aca="false">IF(H15="",NA(),1*H15)</f>
        <v>0</v>
      </c>
      <c r="N15" s="0" t="n">
        <f aca="false">IF(I15="",NA(),1*I15)</f>
        <v>0</v>
      </c>
    </row>
    <row r="16" customFormat="false" ht="14.25" hidden="false" customHeight="true" outlineLevel="0" collapsed="false">
      <c r="A16" s="0" t="n">
        <v>15</v>
      </c>
      <c r="B16" s="0" t="s">
        <v>62</v>
      </c>
      <c r="C16" s="0" t="s">
        <v>410</v>
      </c>
      <c r="D16" s="0" t="s">
        <v>409</v>
      </c>
      <c r="E16" s="0" t="n">
        <v>-0.65</v>
      </c>
      <c r="F16" s="31" t="n">
        <f aca="false">INDEX(I_prop!$B$7:$H$13, MATCH($C16, I_prop!$A$7:$A$13,0), MATCH($D16, I_prop!$B$6:$H$6,0))</f>
        <v>0.0153165179573599</v>
      </c>
      <c r="G16" s="31" t="n">
        <f aca="false">INDEX(I_prop!$B$18:$H$24, MATCH($C16, I_prop!$A$18:$A$24,0), MATCH($D16, I_prop!$B$17:$H$17,0))</f>
        <v>-0.0102114556191722</v>
      </c>
      <c r="H16" s="31" t="n">
        <f aca="false">IF($J16&lt;&gt;"",$J16,$F16)</f>
        <v>0.0153165179573599</v>
      </c>
      <c r="I16" s="31" t="n">
        <f aca="false">IF($K16&lt;&gt;"",$K16,$G16)</f>
        <v>-0.0102114556191722</v>
      </c>
      <c r="J16" s="0" t="str">
        <f aca="false">IF(COUNTIFS(Subgroup_Overrides!$A$5:$A$200,"A",Subgroup_Overrides!$B$5:$B$200,$C16,Subgroup_Overrides!$C$5:$C$200,$D16)&gt;0,_xludf.minifs(Subgroup_Overrides!$D$5:$D$200,Subgroup_Overrides!$A$5:$A$200,"A",Subgroup_Overrides!$B$5:$B$200,$C16,Subgroup_Overrides!$C$5:$C$200,$D16),"")</f>
        <v/>
      </c>
      <c r="K16" s="0" t="str">
        <f aca="false">IF(COUNTIFS(Subgroup_Overrides!$A$5:$A$200,"B",Subgroup_Overrides!$B$5:$B$200,$C16,Subgroup_Overrides!$C$5:$C$200,$D16)&gt;0,_xludf.minifs(Subgroup_Overrides!$D$5:$D$200,Subgroup_Overrides!$A$5:$A$200,"B",Subgroup_Overrides!$B$5:$B$200,$C16,Subgroup_Overrides!$C$5:$C$200,$D16),"")</f>
        <v/>
      </c>
      <c r="L16" s="0" t="str">
        <f aca="false">TRIM(B16)</f>
        <v>ECOL</v>
      </c>
      <c r="M16" s="0" t="n">
        <f aca="false">IF(H16="",NA(),1*H16)</f>
        <v>0.0153165179573599</v>
      </c>
      <c r="N16" s="0" t="n">
        <f aca="false">IF(I16="",NA(),1*I16)</f>
        <v>-0.0102114556191722</v>
      </c>
    </row>
    <row r="17" customFormat="false" ht="14.25" hidden="false" customHeight="true" outlineLevel="0" collapsed="false">
      <c r="A17" s="0" t="n">
        <v>16</v>
      </c>
      <c r="B17" s="0" t="s">
        <v>63</v>
      </c>
      <c r="C17" s="0" t="s">
        <v>402</v>
      </c>
      <c r="D17" s="0" t="s">
        <v>411</v>
      </c>
      <c r="E17" s="0" t="n">
        <v>-0.65</v>
      </c>
      <c r="F17" s="31" t="n">
        <f aca="false">INDEX(I_prop!$B$7:$H$13, MATCH($C17, I_prop!$A$7:$A$13,0), MATCH($D17, I_prop!$B$6:$H$6,0))</f>
        <v>0.249007884327423</v>
      </c>
      <c r="G17" s="31" t="n">
        <f aca="false">INDEX(I_prop!$B$18:$H$24, MATCH($C17, I_prop!$A$18:$A$24,0), MATCH($D17, I_prop!$B$17:$H$17,0))</f>
        <v>-0.0463335676706336</v>
      </c>
      <c r="H17" s="31" t="n">
        <f aca="false">IF($J17&lt;&gt;"",$J17,$F17)</f>
        <v>0.249007884327423</v>
      </c>
      <c r="I17" s="31" t="n">
        <f aca="false">IF($K17&lt;&gt;"",$K17,$G17)</f>
        <v>-0.0463335676706336</v>
      </c>
      <c r="J17" s="0" t="str">
        <f aca="false">IF(COUNTIFS(Subgroup_Overrides!$A$5:$A$200,"A",Subgroup_Overrides!$B$5:$B$200,$C17,Subgroup_Overrides!$C$5:$C$200,$D17)&gt;0,_xludf.minifs(Subgroup_Overrides!$D$5:$D$200,Subgroup_Overrides!$A$5:$A$200,"A",Subgroup_Overrides!$B$5:$B$200,$C17,Subgroup_Overrides!$C$5:$C$200,$D17),"")</f>
        <v/>
      </c>
      <c r="K17" s="0" t="str">
        <f aca="false">IF(COUNTIFS(Subgroup_Overrides!$A$5:$A$200,"B",Subgroup_Overrides!$B$5:$B$200,$C17,Subgroup_Overrides!$C$5:$C$200,$D17)&gt;0,_xludf.minifs(Subgroup_Overrides!$D$5:$D$200,Subgroup_Overrides!$A$5:$A$200,"B",Subgroup_Overrides!$B$5:$B$200,$C17,Subgroup_Overrides!$C$5:$C$200,$D17),"")</f>
        <v/>
      </c>
      <c r="L17" s="0" t="str">
        <f aca="false">TRIM(B17)</f>
        <v>LBTY</v>
      </c>
      <c r="M17" s="0" t="n">
        <f aca="false">IF(H17="",NA(),1*H17)</f>
        <v>0.249007884327423</v>
      </c>
      <c r="N17" s="0" t="n">
        <f aca="false">IF(I17="",NA(),1*I17)</f>
        <v>-0.0463335676706336</v>
      </c>
    </row>
    <row r="18" customFormat="false" ht="14.25" hidden="false" customHeight="true" outlineLevel="0" collapsed="false">
      <c r="A18" s="0" t="n">
        <v>17</v>
      </c>
      <c r="B18" s="0" t="s">
        <v>63</v>
      </c>
      <c r="C18" s="0" t="s">
        <v>404</v>
      </c>
      <c r="D18" s="0" t="s">
        <v>411</v>
      </c>
      <c r="E18" s="0" t="n">
        <v>-0.65</v>
      </c>
      <c r="F18" s="31" t="n">
        <f aca="false">INDEX(I_prop!$B$7:$H$13, MATCH($C18, I_prop!$A$7:$A$13,0), MATCH($D18, I_prop!$B$6:$H$6,0))</f>
        <v>0</v>
      </c>
      <c r="G18" s="31" t="n">
        <f aca="false">INDEX(I_prop!$B$18:$H$24, MATCH($C18, I_prop!$A$18:$A$24,0), MATCH($D18, I_prop!$B$17:$H$17,0))</f>
        <v>0</v>
      </c>
      <c r="H18" s="31" t="n">
        <f aca="false">IF($J18&lt;&gt;"",$J18,$F18)</f>
        <v>0</v>
      </c>
      <c r="I18" s="31" t="n">
        <f aca="false">IF($K18&lt;&gt;"",$K18,$G18)</f>
        <v>0</v>
      </c>
      <c r="J18" s="0" t="str">
        <f aca="false">IF(COUNTIFS(Subgroup_Overrides!$A$5:$A$200,"A",Subgroup_Overrides!$B$5:$B$200,$C18,Subgroup_Overrides!$C$5:$C$200,$D18)&gt;0,_xludf.minifs(Subgroup_Overrides!$D$5:$D$200,Subgroup_Overrides!$A$5:$A$200,"A",Subgroup_Overrides!$B$5:$B$200,$C18,Subgroup_Overrides!$C$5:$C$200,$D18),"")</f>
        <v/>
      </c>
      <c r="K18" s="0" t="str">
        <f aca="false">IF(COUNTIFS(Subgroup_Overrides!$A$5:$A$200,"B",Subgroup_Overrides!$B$5:$B$200,$C18,Subgroup_Overrides!$C$5:$C$200,$D18)&gt;0,_xludf.minifs(Subgroup_Overrides!$D$5:$D$200,Subgroup_Overrides!$A$5:$A$200,"B",Subgroup_Overrides!$B$5:$B$200,$C18,Subgroup_Overrides!$C$5:$C$200,$D18),"")</f>
        <v/>
      </c>
      <c r="L18" s="0" t="str">
        <f aca="false">TRIM(B18)</f>
        <v>LBTY</v>
      </c>
      <c r="M18" s="0" t="n">
        <f aca="false">IF(H18="",NA(),1*H18)</f>
        <v>0</v>
      </c>
      <c r="N18" s="0" t="n">
        <f aca="false">IF(I18="",NA(),1*I18)</f>
        <v>0</v>
      </c>
    </row>
    <row r="19" customFormat="false" ht="14.25" hidden="false" customHeight="true" outlineLevel="0" collapsed="false">
      <c r="A19" s="0" t="n">
        <v>18</v>
      </c>
      <c r="B19" s="0" t="s">
        <v>63</v>
      </c>
      <c r="C19" s="0" t="s">
        <v>405</v>
      </c>
      <c r="D19" s="0" t="s">
        <v>411</v>
      </c>
      <c r="E19" s="0" t="n">
        <v>-0.65</v>
      </c>
      <c r="F19" s="31" t="n">
        <f aca="false">INDEX(I_prop!$B$7:$H$13, MATCH($C19, I_prop!$A$7:$A$13,0), MATCH($D19, I_prop!$B$6:$H$6,0))</f>
        <v>0</v>
      </c>
      <c r="G19" s="31" t="n">
        <f aca="false">INDEX(I_prop!$B$18:$H$24, MATCH($C19, I_prop!$A$18:$A$24,0), MATCH($D19, I_prop!$B$17:$H$17,0))</f>
        <v>0</v>
      </c>
      <c r="H19" s="31" t="n">
        <f aca="false">IF($J19&lt;&gt;"",$J19,$F19)</f>
        <v>0</v>
      </c>
      <c r="I19" s="31" t="n">
        <f aca="false">IF($K19&lt;&gt;"",$K19,$G19)</f>
        <v>0</v>
      </c>
      <c r="J19" s="0" t="str">
        <f aca="false">IF(COUNTIFS(Subgroup_Overrides!$A$5:$A$200,"A",Subgroup_Overrides!$B$5:$B$200,$C19,Subgroup_Overrides!$C$5:$C$200,$D19)&gt;0,_xludf.minifs(Subgroup_Overrides!$D$5:$D$200,Subgroup_Overrides!$A$5:$A$200,"A",Subgroup_Overrides!$B$5:$B$200,$C19,Subgroup_Overrides!$C$5:$C$200,$D19),"")</f>
        <v/>
      </c>
      <c r="K19" s="0" t="str">
        <f aca="false">IF(COUNTIFS(Subgroup_Overrides!$A$5:$A$200,"B",Subgroup_Overrides!$B$5:$B$200,$C19,Subgroup_Overrides!$C$5:$C$200,$D19)&gt;0,_xludf.minifs(Subgroup_Overrides!$D$5:$D$200,Subgroup_Overrides!$A$5:$A$200,"B",Subgroup_Overrides!$B$5:$B$200,$C19,Subgroup_Overrides!$C$5:$C$200,$D19),"")</f>
        <v/>
      </c>
      <c r="L19" s="0" t="str">
        <f aca="false">TRIM(B19)</f>
        <v>LBTY</v>
      </c>
      <c r="M19" s="0" t="n">
        <f aca="false">IF(H19="",NA(),1*H19)</f>
        <v>0</v>
      </c>
      <c r="N19" s="0" t="n">
        <f aca="false">IF(I19="",NA(),1*I19)</f>
        <v>0</v>
      </c>
    </row>
    <row r="20" customFormat="false" ht="14.25" hidden="false" customHeight="true" outlineLevel="0" collapsed="false">
      <c r="A20" s="0" t="n">
        <v>19</v>
      </c>
      <c r="B20" s="0" t="s">
        <v>63</v>
      </c>
      <c r="C20" s="0" t="s">
        <v>406</v>
      </c>
      <c r="D20" s="0" t="s">
        <v>411</v>
      </c>
      <c r="E20" s="0" t="n">
        <v>-0.65</v>
      </c>
      <c r="F20" s="31" t="n">
        <f aca="false">INDEX(I_prop!$B$7:$H$13, MATCH($C20, I_prop!$A$7:$A$13,0), MATCH($D20, I_prop!$B$6:$H$6,0))</f>
        <v>0</v>
      </c>
      <c r="G20" s="31" t="n">
        <f aca="false">INDEX(I_prop!$B$18:$H$24, MATCH($C20, I_prop!$A$18:$A$24,0), MATCH($D20, I_prop!$B$17:$H$17,0))</f>
        <v>0</v>
      </c>
      <c r="H20" s="31" t="n">
        <f aca="false">IF($J20&lt;&gt;"",$J20,$F20)</f>
        <v>0</v>
      </c>
      <c r="I20" s="31" t="n">
        <f aca="false">IF($K20&lt;&gt;"",$K20,$G20)</f>
        <v>0</v>
      </c>
      <c r="J20" s="0" t="str">
        <f aca="false">IF(COUNTIFS(Subgroup_Overrides!$A$5:$A$200,"A",Subgroup_Overrides!$B$5:$B$200,$C20,Subgroup_Overrides!$C$5:$C$200,$D20)&gt;0,_xludf.minifs(Subgroup_Overrides!$D$5:$D$200,Subgroup_Overrides!$A$5:$A$200,"A",Subgroup_Overrides!$B$5:$B$200,$C20,Subgroup_Overrides!$C$5:$C$200,$D20),"")</f>
        <v/>
      </c>
      <c r="K20" s="0" t="str">
        <f aca="false">IF(COUNTIFS(Subgroup_Overrides!$A$5:$A$200,"B",Subgroup_Overrides!$B$5:$B$200,$C20,Subgroup_Overrides!$C$5:$C$200,$D20)&gt;0,_xludf.minifs(Subgroup_Overrides!$D$5:$D$200,Subgroup_Overrides!$A$5:$A$200,"B",Subgroup_Overrides!$B$5:$B$200,$C20,Subgroup_Overrides!$C$5:$C$200,$D20),"")</f>
        <v/>
      </c>
      <c r="L20" s="0" t="str">
        <f aca="false">TRIM(B20)</f>
        <v>LBTY</v>
      </c>
      <c r="M20" s="0" t="n">
        <f aca="false">IF(H20="",NA(),1*H20)</f>
        <v>0</v>
      </c>
      <c r="N20" s="0" t="n">
        <f aca="false">IF(I20="",NA(),1*I20)</f>
        <v>0</v>
      </c>
    </row>
    <row r="21" customFormat="false" ht="14.25" hidden="false" customHeight="true" outlineLevel="0" collapsed="false">
      <c r="A21" s="0" t="n">
        <v>20</v>
      </c>
      <c r="B21" s="0" t="s">
        <v>63</v>
      </c>
      <c r="C21" s="0" t="s">
        <v>407</v>
      </c>
      <c r="D21" s="0" t="s">
        <v>411</v>
      </c>
      <c r="E21" s="0" t="n">
        <v>-0.65</v>
      </c>
      <c r="F21" s="31" t="n">
        <f aca="false">INDEX(I_prop!$B$7:$H$13, MATCH($C21, I_prop!$A$7:$A$13,0), MATCH($D21, I_prop!$B$6:$H$6,0))</f>
        <v>0</v>
      </c>
      <c r="G21" s="31" t="n">
        <f aca="false">INDEX(I_prop!$B$18:$H$24, MATCH($C21, I_prop!$A$18:$A$24,0), MATCH($D21, I_prop!$B$17:$H$17,0))</f>
        <v>0</v>
      </c>
      <c r="H21" s="31" t="n">
        <f aca="false">IF($J21&lt;&gt;"",$J21,$F21)</f>
        <v>0</v>
      </c>
      <c r="I21" s="31" t="n">
        <f aca="false">IF($K21&lt;&gt;"",$K21,$G21)</f>
        <v>0</v>
      </c>
      <c r="J21" s="0" t="str">
        <f aca="false">IF(COUNTIFS(Subgroup_Overrides!$A$5:$A$200,"A",Subgroup_Overrides!$B$5:$B$200,$C21,Subgroup_Overrides!$C$5:$C$200,$D21)&gt;0,_xludf.minifs(Subgroup_Overrides!$D$5:$D$200,Subgroup_Overrides!$A$5:$A$200,"A",Subgroup_Overrides!$B$5:$B$200,$C21,Subgroup_Overrides!$C$5:$C$200,$D21),"")</f>
        <v/>
      </c>
      <c r="K21" s="0" t="str">
        <f aca="false">IF(COUNTIFS(Subgroup_Overrides!$A$5:$A$200,"B",Subgroup_Overrides!$B$5:$B$200,$C21,Subgroup_Overrides!$C$5:$C$200,$D21)&gt;0,_xludf.minifs(Subgroup_Overrides!$D$5:$D$200,Subgroup_Overrides!$A$5:$A$200,"B",Subgroup_Overrides!$B$5:$B$200,$C21,Subgroup_Overrides!$C$5:$C$200,$D21),"")</f>
        <v/>
      </c>
      <c r="L21" s="0" t="str">
        <f aca="false">TRIM(B21)</f>
        <v>LBTY</v>
      </c>
      <c r="M21" s="0" t="n">
        <f aca="false">IF(H21="",NA(),1*H21)</f>
        <v>0</v>
      </c>
      <c r="N21" s="0" t="n">
        <f aca="false">IF(I21="",NA(),1*I21)</f>
        <v>0</v>
      </c>
    </row>
    <row r="22" customFormat="false" ht="14.25" hidden="false" customHeight="true" outlineLevel="0" collapsed="false">
      <c r="A22" s="0" t="n">
        <v>21</v>
      </c>
      <c r="B22" s="0" t="s">
        <v>63</v>
      </c>
      <c r="C22" s="0" t="s">
        <v>408</v>
      </c>
      <c r="D22" s="0" t="s">
        <v>411</v>
      </c>
      <c r="E22" s="0" t="n">
        <v>-0.65</v>
      </c>
      <c r="F22" s="31" t="n">
        <f aca="false">INDEX(I_prop!$B$7:$H$13, MATCH($C22, I_prop!$A$7:$A$13,0), MATCH($D22, I_prop!$B$6:$H$6,0))</f>
        <v>0</v>
      </c>
      <c r="G22" s="31" t="n">
        <f aca="false">INDEX(I_prop!$B$18:$H$24, MATCH($C22, I_prop!$A$18:$A$24,0), MATCH($D22, I_prop!$B$17:$H$17,0))</f>
        <v>0</v>
      </c>
      <c r="H22" s="31" t="n">
        <f aca="false">IF($J22&lt;&gt;"",$J22,$F22)</f>
        <v>0</v>
      </c>
      <c r="I22" s="31" t="n">
        <f aca="false">IF($K22&lt;&gt;"",$K22,$G22)</f>
        <v>0</v>
      </c>
      <c r="J22" s="0" t="str">
        <f aca="false">IF(COUNTIFS(Subgroup_Overrides!$A$5:$A$200,"A",Subgroup_Overrides!$B$5:$B$200,$C22,Subgroup_Overrides!$C$5:$C$200,$D22)&gt;0,_xludf.minifs(Subgroup_Overrides!$D$5:$D$200,Subgroup_Overrides!$A$5:$A$200,"A",Subgroup_Overrides!$B$5:$B$200,$C22,Subgroup_Overrides!$C$5:$C$200,$D22),"")</f>
        <v/>
      </c>
      <c r="K22" s="0" t="str">
        <f aca="false">IF(COUNTIFS(Subgroup_Overrides!$A$5:$A$200,"B",Subgroup_Overrides!$B$5:$B$200,$C22,Subgroup_Overrides!$C$5:$C$200,$D22)&gt;0,_xludf.minifs(Subgroup_Overrides!$D$5:$D$200,Subgroup_Overrides!$A$5:$A$200,"B",Subgroup_Overrides!$B$5:$B$200,$C22,Subgroup_Overrides!$C$5:$C$200,$D22),"")</f>
        <v/>
      </c>
      <c r="L22" s="0" t="str">
        <f aca="false">TRIM(B22)</f>
        <v>LBTY</v>
      </c>
      <c r="M22" s="0" t="n">
        <f aca="false">IF(H22="",NA(),1*H22)</f>
        <v>0</v>
      </c>
      <c r="N22" s="0" t="n">
        <f aca="false">IF(I22="",NA(),1*I22)</f>
        <v>0</v>
      </c>
    </row>
    <row r="23" customFormat="false" ht="14.25" hidden="false" customHeight="true" outlineLevel="0" collapsed="false">
      <c r="A23" s="0" t="n">
        <v>22</v>
      </c>
      <c r="B23" s="0" t="s">
        <v>63</v>
      </c>
      <c r="C23" s="0" t="s">
        <v>405</v>
      </c>
      <c r="D23" s="0" t="s">
        <v>412</v>
      </c>
      <c r="E23" s="0" t="n">
        <v>-0.65</v>
      </c>
      <c r="F23" s="31" t="n">
        <f aca="false">INDEX(I_prop!$B$7:$H$13, MATCH($C23, I_prop!$A$7:$A$13,0), MATCH($D23, I_prop!$B$6:$H$6,0))</f>
        <v>-0.0807256868155385</v>
      </c>
      <c r="G23" s="31" t="n">
        <f aca="false">INDEX(I_prop!$B$18:$H$24, MATCH($C23, I_prop!$A$18:$A$24,0), MATCH($D23, I_prop!$B$17:$H$17,0))</f>
        <v>0.0615155722135092</v>
      </c>
      <c r="H23" s="31" t="n">
        <f aca="false">IF($J23&lt;&gt;"",$J23,$F23)</f>
        <v>-0.0807256868155385</v>
      </c>
      <c r="I23" s="31" t="n">
        <f aca="false">IF($K23&lt;&gt;"",$K23,$G23)</f>
        <v>0.0615155722135092</v>
      </c>
      <c r="J23" s="0" t="str">
        <f aca="false">IF(COUNTIFS(Subgroup_Overrides!$A$5:$A$200,"A",Subgroup_Overrides!$B$5:$B$200,$C23,Subgroup_Overrides!$C$5:$C$200,$D23)&gt;0,_xludf.minifs(Subgroup_Overrides!$D$5:$D$200,Subgroup_Overrides!$A$5:$A$200,"A",Subgroup_Overrides!$B$5:$B$200,$C23,Subgroup_Overrides!$C$5:$C$200,$D23),"")</f>
        <v/>
      </c>
      <c r="K23" s="0" t="str">
        <f aca="false">IF(COUNTIFS(Subgroup_Overrides!$A$5:$A$200,"B",Subgroup_Overrides!$B$5:$B$200,$C23,Subgroup_Overrides!$C$5:$C$200,$D23)&gt;0,_xludf.minifs(Subgroup_Overrides!$D$5:$D$200,Subgroup_Overrides!$A$5:$A$200,"B",Subgroup_Overrides!$B$5:$B$200,$C23,Subgroup_Overrides!$C$5:$C$200,$D23),"")</f>
        <v/>
      </c>
      <c r="L23" s="0" t="str">
        <f aca="false">TRIM(B23)</f>
        <v>LBTY</v>
      </c>
      <c r="M23" s="0" t="n">
        <f aca="false">IF(H23="",NA(),1*H23)</f>
        <v>-0.0807256868155385</v>
      </c>
      <c r="N23" s="0" t="n">
        <f aca="false">IF(I23="",NA(),1*I23)</f>
        <v>0.0615155722135092</v>
      </c>
    </row>
    <row r="24" customFormat="false" ht="14.25" hidden="false" customHeight="true" outlineLevel="0" collapsed="false">
      <c r="A24" s="0" t="n">
        <v>23</v>
      </c>
      <c r="B24" s="0" t="s">
        <v>63</v>
      </c>
      <c r="C24" s="0" t="s">
        <v>406</v>
      </c>
      <c r="D24" s="0" t="s">
        <v>412</v>
      </c>
      <c r="E24" s="0" t="n">
        <v>-0.65</v>
      </c>
      <c r="F24" s="31" t="n">
        <f aca="false">INDEX(I_prop!$B$7:$H$13, MATCH($C24, I_prop!$A$7:$A$13,0), MATCH($D24, I_prop!$B$6:$H$6,0))</f>
        <v>0</v>
      </c>
      <c r="G24" s="31" t="n">
        <f aca="false">INDEX(I_prop!$B$18:$H$24, MATCH($C24, I_prop!$A$18:$A$24,0), MATCH($D24, I_prop!$B$17:$H$17,0))</f>
        <v>0</v>
      </c>
      <c r="H24" s="31" t="n">
        <f aca="false">IF($J24&lt;&gt;"",$J24,$F24)</f>
        <v>0</v>
      </c>
      <c r="I24" s="31" t="n">
        <f aca="false">IF($K24&lt;&gt;"",$K24,$G24)</f>
        <v>0</v>
      </c>
      <c r="J24" s="0" t="str">
        <f aca="false">IF(COUNTIFS(Subgroup_Overrides!$A$5:$A$200,"A",Subgroup_Overrides!$B$5:$B$200,$C24,Subgroup_Overrides!$C$5:$C$200,$D24)&gt;0,_xludf.minifs(Subgroup_Overrides!$D$5:$D$200,Subgroup_Overrides!$A$5:$A$200,"A",Subgroup_Overrides!$B$5:$B$200,$C24,Subgroup_Overrides!$C$5:$C$200,$D24),"")</f>
        <v/>
      </c>
      <c r="K24" s="0" t="str">
        <f aca="false">IF(COUNTIFS(Subgroup_Overrides!$A$5:$A$200,"B",Subgroup_Overrides!$B$5:$B$200,$C24,Subgroup_Overrides!$C$5:$C$200,$D24)&gt;0,_xludf.minifs(Subgroup_Overrides!$D$5:$D$200,Subgroup_Overrides!$A$5:$A$200,"B",Subgroup_Overrides!$B$5:$B$200,$C24,Subgroup_Overrides!$C$5:$C$200,$D24),"")</f>
        <v/>
      </c>
      <c r="L24" s="0" t="str">
        <f aca="false">TRIM(B24)</f>
        <v>LBTY</v>
      </c>
      <c r="M24" s="0" t="n">
        <f aca="false">IF(H24="",NA(),1*H24)</f>
        <v>0</v>
      </c>
      <c r="N24" s="0" t="n">
        <f aca="false">IF(I24="",NA(),1*I24)</f>
        <v>0</v>
      </c>
    </row>
    <row r="25" customFormat="false" ht="14.25" hidden="false" customHeight="true" outlineLevel="0" collapsed="false">
      <c r="A25" s="0" t="n">
        <v>24</v>
      </c>
      <c r="B25" s="0" t="s">
        <v>63</v>
      </c>
      <c r="C25" s="0" t="s">
        <v>407</v>
      </c>
      <c r="D25" s="0" t="s">
        <v>412</v>
      </c>
      <c r="E25" s="0" t="n">
        <v>-0.65</v>
      </c>
      <c r="F25" s="31" t="n">
        <f aca="false">INDEX(I_prop!$B$7:$H$13, MATCH($C25, I_prop!$A$7:$A$13,0), MATCH($D25, I_prop!$B$6:$H$6,0))</f>
        <v>0</v>
      </c>
      <c r="G25" s="31" t="n">
        <f aca="false">INDEX(I_prop!$B$18:$H$24, MATCH($C25, I_prop!$A$18:$A$24,0), MATCH($D25, I_prop!$B$17:$H$17,0))</f>
        <v>0</v>
      </c>
      <c r="H25" s="31" t="n">
        <f aca="false">IF($J25&lt;&gt;"",$J25,$F25)</f>
        <v>0</v>
      </c>
      <c r="I25" s="31" t="n">
        <f aca="false">IF($K25&lt;&gt;"",$K25,$G25)</f>
        <v>0</v>
      </c>
      <c r="J25" s="0" t="str">
        <f aca="false">IF(COUNTIFS(Subgroup_Overrides!$A$5:$A$200,"A",Subgroup_Overrides!$B$5:$B$200,$C25,Subgroup_Overrides!$C$5:$C$200,$D25)&gt;0,_xludf.minifs(Subgroup_Overrides!$D$5:$D$200,Subgroup_Overrides!$A$5:$A$200,"A",Subgroup_Overrides!$B$5:$B$200,$C25,Subgroup_Overrides!$C$5:$C$200,$D25),"")</f>
        <v/>
      </c>
      <c r="K25" s="0" t="str">
        <f aca="false">IF(COUNTIFS(Subgroup_Overrides!$A$5:$A$200,"B",Subgroup_Overrides!$B$5:$B$200,$C25,Subgroup_Overrides!$C$5:$C$200,$D25)&gt;0,_xludf.minifs(Subgroup_Overrides!$D$5:$D$200,Subgroup_Overrides!$A$5:$A$200,"B",Subgroup_Overrides!$B$5:$B$200,$C25,Subgroup_Overrides!$C$5:$C$200,$D25),"")</f>
        <v/>
      </c>
      <c r="L25" s="0" t="str">
        <f aca="false">TRIM(B25)</f>
        <v>LBTY</v>
      </c>
      <c r="M25" s="0" t="n">
        <f aca="false">IF(H25="",NA(),1*H25)</f>
        <v>0</v>
      </c>
      <c r="N25" s="0" t="n">
        <f aca="false">IF(I25="",NA(),1*I25)</f>
        <v>0</v>
      </c>
    </row>
    <row r="26" customFormat="false" ht="14.25" hidden="false" customHeight="true" outlineLevel="0" collapsed="false">
      <c r="A26" s="0" t="n">
        <v>25</v>
      </c>
      <c r="B26" s="0" t="s">
        <v>63</v>
      </c>
      <c r="C26" s="0" t="s">
        <v>408</v>
      </c>
      <c r="D26" s="0" t="s">
        <v>412</v>
      </c>
      <c r="E26" s="0" t="n">
        <v>-0.65</v>
      </c>
      <c r="F26" s="31" t="n">
        <f aca="false">INDEX(I_prop!$B$7:$H$13, MATCH($C26, I_prop!$A$7:$A$13,0), MATCH($D26, I_prop!$B$6:$H$6,0))</f>
        <v>0</v>
      </c>
      <c r="G26" s="31" t="n">
        <f aca="false">INDEX(I_prop!$B$18:$H$24, MATCH($C26, I_prop!$A$18:$A$24,0), MATCH($D26, I_prop!$B$17:$H$17,0))</f>
        <v>0</v>
      </c>
      <c r="H26" s="31" t="n">
        <f aca="false">IF($J26&lt;&gt;"",$J26,$F26)</f>
        <v>0</v>
      </c>
      <c r="I26" s="31" t="n">
        <f aca="false">IF($K26&lt;&gt;"",$K26,$G26)</f>
        <v>0</v>
      </c>
      <c r="J26" s="0" t="str">
        <f aca="false">IF(COUNTIFS(Subgroup_Overrides!$A$5:$A$200,"A",Subgroup_Overrides!$B$5:$B$200,$C26,Subgroup_Overrides!$C$5:$C$200,$D26)&gt;0,_xludf.minifs(Subgroup_Overrides!$D$5:$D$200,Subgroup_Overrides!$A$5:$A$200,"A",Subgroup_Overrides!$B$5:$B$200,$C26,Subgroup_Overrides!$C$5:$C$200,$D26),"")</f>
        <v/>
      </c>
      <c r="K26" s="0" t="str">
        <f aca="false">IF(COUNTIFS(Subgroup_Overrides!$A$5:$A$200,"B",Subgroup_Overrides!$B$5:$B$200,$C26,Subgroup_Overrides!$C$5:$C$200,$D26)&gt;0,_xludf.minifs(Subgroup_Overrides!$D$5:$D$200,Subgroup_Overrides!$A$5:$A$200,"B",Subgroup_Overrides!$B$5:$B$200,$C26,Subgroup_Overrides!$C$5:$C$200,$D26),"")</f>
        <v/>
      </c>
      <c r="L26" s="0" t="str">
        <f aca="false">TRIM(B26)</f>
        <v>LBTY</v>
      </c>
      <c r="M26" s="0" t="n">
        <f aca="false">IF(H26="",NA(),1*H26)</f>
        <v>0</v>
      </c>
      <c r="N26" s="0" t="n">
        <f aca="false">IF(I26="",NA(),1*I26)</f>
        <v>0</v>
      </c>
    </row>
    <row r="27" customFormat="false" ht="14.25" hidden="false" customHeight="true" outlineLevel="0" collapsed="false">
      <c r="A27" s="0" t="n">
        <v>26</v>
      </c>
      <c r="B27" s="0" t="s">
        <v>64</v>
      </c>
      <c r="C27" s="0" t="s">
        <v>402</v>
      </c>
      <c r="D27" s="0" t="s">
        <v>413</v>
      </c>
      <c r="E27" s="0" t="n">
        <v>-0.5</v>
      </c>
      <c r="F27" s="31" t="n">
        <f aca="false">INDEX(I_prop!$B$7:$H$13, MATCH($C27, I_prop!$A$7:$A$13,0), MATCH($D27, I_prop!$B$6:$H$6,0))</f>
        <v>0</v>
      </c>
      <c r="G27" s="31" t="n">
        <f aca="false">INDEX(I_prop!$B$18:$H$24, MATCH($C27, I_prop!$A$18:$A$24,0), MATCH($D27, I_prop!$B$17:$H$17,0))</f>
        <v>0</v>
      </c>
      <c r="H27" s="31" t="n">
        <f aca="false">IF($J27&lt;&gt;"",$J27,$F27)</f>
        <v>0</v>
      </c>
      <c r="I27" s="31" t="n">
        <f aca="false">IF($K27&lt;&gt;"",$K27,$G27)</f>
        <v>0</v>
      </c>
      <c r="J27" s="0" t="str">
        <f aca="false">IF(COUNTIFS(Subgroup_Overrides!$A$5:$A$200,"A",Subgroup_Overrides!$B$5:$B$200,$C27,Subgroup_Overrides!$C$5:$C$200,$D27)&gt;0,_xludf.minifs(Subgroup_Overrides!$D$5:$D$200,Subgroup_Overrides!$A$5:$A$200,"A",Subgroup_Overrides!$B$5:$B$200,$C27,Subgroup_Overrides!$C$5:$C$200,$D27),"")</f>
        <v/>
      </c>
      <c r="K27" s="0" t="str">
        <f aca="false">IF(COUNTIFS(Subgroup_Overrides!$A$5:$A$200,"B",Subgroup_Overrides!$B$5:$B$200,$C27,Subgroup_Overrides!$C$5:$C$200,$D27)&gt;0,_xludf.minifs(Subgroup_Overrides!$D$5:$D$200,Subgroup_Overrides!$A$5:$A$200,"B",Subgroup_Overrides!$B$5:$B$200,$C27,Subgroup_Overrides!$C$5:$C$200,$D27),"")</f>
        <v/>
      </c>
      <c r="L27" s="0" t="str">
        <f aca="false">TRIM(B27)</f>
        <v>NEED</v>
      </c>
      <c r="M27" s="0" t="n">
        <f aca="false">IF(H27="",NA(),1*H27)</f>
        <v>0</v>
      </c>
      <c r="N27" s="0" t="n">
        <f aca="false">IF(I27="",NA(),1*I27)</f>
        <v>0</v>
      </c>
    </row>
    <row r="28" customFormat="false" ht="14.25" hidden="false" customHeight="true" outlineLevel="0" collapsed="false">
      <c r="A28" s="0" t="n">
        <v>27</v>
      </c>
      <c r="B28" s="0" t="s">
        <v>64</v>
      </c>
      <c r="C28" s="0" t="s">
        <v>402</v>
      </c>
      <c r="D28" s="0" t="s">
        <v>403</v>
      </c>
      <c r="E28" s="0" t="n">
        <v>-0.5</v>
      </c>
      <c r="F28" s="31" t="n">
        <f aca="false">INDEX(I_prop!$B$7:$H$13, MATCH($C28, I_prop!$A$7:$A$13,0), MATCH($D28, I_prop!$B$6:$H$6,0))</f>
        <v>0</v>
      </c>
      <c r="G28" s="31" t="n">
        <f aca="false">INDEX(I_prop!$B$18:$H$24, MATCH($C28, I_prop!$A$18:$A$24,0), MATCH($D28, I_prop!$B$17:$H$17,0))</f>
        <v>0</v>
      </c>
      <c r="H28" s="31" t="n">
        <f aca="false">IF($J28&lt;&gt;"",$J28,$F28)</f>
        <v>0</v>
      </c>
      <c r="I28" s="31" t="n">
        <f aca="false">IF($K28&lt;&gt;"",$K28,$G28)</f>
        <v>0</v>
      </c>
      <c r="J28" s="0" t="str">
        <f aca="false">IF(COUNTIFS(Subgroup_Overrides!$A$5:$A$200,"A",Subgroup_Overrides!$B$5:$B$200,$C28,Subgroup_Overrides!$C$5:$C$200,$D28)&gt;0,_xludf.minifs(Subgroup_Overrides!$D$5:$D$200,Subgroup_Overrides!$A$5:$A$200,"A",Subgroup_Overrides!$B$5:$B$200,$C28,Subgroup_Overrides!$C$5:$C$200,$D28),"")</f>
        <v/>
      </c>
      <c r="K28" s="0" t="str">
        <f aca="false">IF(COUNTIFS(Subgroup_Overrides!$A$5:$A$200,"B",Subgroup_Overrides!$B$5:$B$200,$C28,Subgroup_Overrides!$C$5:$C$200,$D28)&gt;0,_xludf.minifs(Subgroup_Overrides!$D$5:$D$200,Subgroup_Overrides!$A$5:$A$200,"B",Subgroup_Overrides!$B$5:$B$200,$C28,Subgroup_Overrides!$C$5:$C$200,$D28),"")</f>
        <v/>
      </c>
      <c r="L28" s="0" t="str">
        <f aca="false">TRIM(B28)</f>
        <v>NEED</v>
      </c>
      <c r="M28" s="0" t="n">
        <f aca="false">IF(H28="",NA(),1*H28)</f>
        <v>0</v>
      </c>
      <c r="N28" s="0" t="n">
        <f aca="false">IF(I28="",NA(),1*I28)</f>
        <v>0</v>
      </c>
    </row>
    <row r="29" customFormat="false" ht="14.25" hidden="false" customHeight="true" outlineLevel="0" collapsed="false">
      <c r="A29" s="0" t="n">
        <v>28</v>
      </c>
      <c r="B29" s="0" t="s">
        <v>64</v>
      </c>
      <c r="C29" s="0" t="s">
        <v>404</v>
      </c>
      <c r="D29" s="0" t="s">
        <v>413</v>
      </c>
      <c r="E29" s="0" t="n">
        <v>-0.5</v>
      </c>
      <c r="F29" s="31" t="n">
        <f aca="false">INDEX(I_prop!$B$7:$H$13, MATCH($C29, I_prop!$A$7:$A$13,0), MATCH($D29, I_prop!$B$6:$H$6,0))</f>
        <v>0.0461621762340888</v>
      </c>
      <c r="G29" s="31" t="n">
        <f aca="false">INDEX(I_prop!$B$18:$H$24, MATCH($C29, I_prop!$A$18:$A$24,0), MATCH($D29, I_prop!$B$17:$H$17,0))</f>
        <v>-0.0184759004375379</v>
      </c>
      <c r="H29" s="31" t="n">
        <f aca="false">IF($J29&lt;&gt;"",$J29,$F29)</f>
        <v>0.0461621762340888</v>
      </c>
      <c r="I29" s="31" t="n">
        <f aca="false">IF($K29&lt;&gt;"",$K29,$G29)</f>
        <v>-0.0184759004375379</v>
      </c>
      <c r="J29" s="0" t="str">
        <f aca="false">IF(COUNTIFS(Subgroup_Overrides!$A$5:$A$200,"A",Subgroup_Overrides!$B$5:$B$200,$C29,Subgroup_Overrides!$C$5:$C$200,$D29)&gt;0,_xludf.minifs(Subgroup_Overrides!$D$5:$D$200,Subgroup_Overrides!$A$5:$A$200,"A",Subgroup_Overrides!$B$5:$B$200,$C29,Subgroup_Overrides!$C$5:$C$200,$D29),"")</f>
        <v/>
      </c>
      <c r="K29" s="0" t="str">
        <f aca="false">IF(COUNTIFS(Subgroup_Overrides!$A$5:$A$200,"B",Subgroup_Overrides!$B$5:$B$200,$C29,Subgroup_Overrides!$C$5:$C$200,$D29)&gt;0,_xludf.minifs(Subgroup_Overrides!$D$5:$D$200,Subgroup_Overrides!$A$5:$A$200,"B",Subgroup_Overrides!$B$5:$B$200,$C29,Subgroup_Overrides!$C$5:$C$200,$D29),"")</f>
        <v/>
      </c>
      <c r="L29" s="0" t="str">
        <f aca="false">TRIM(B29)</f>
        <v>NEED</v>
      </c>
      <c r="M29" s="0" t="n">
        <f aca="false">IF(H29="",NA(),1*H29)</f>
        <v>0.0461621762340888</v>
      </c>
      <c r="N29" s="0" t="n">
        <f aca="false">IF(I29="",NA(),1*I29)</f>
        <v>-0.0184759004375379</v>
      </c>
    </row>
    <row r="30" customFormat="false" ht="14.25" hidden="false" customHeight="true" outlineLevel="0" collapsed="false">
      <c r="A30" s="0" t="n">
        <v>29</v>
      </c>
      <c r="B30" s="0" t="s">
        <v>64</v>
      </c>
      <c r="C30" s="0" t="s">
        <v>404</v>
      </c>
      <c r="D30" s="0" t="s">
        <v>403</v>
      </c>
      <c r="E30" s="0" t="n">
        <v>-0.5</v>
      </c>
      <c r="F30" s="31" t="n">
        <f aca="false">INDEX(I_prop!$B$7:$H$13, MATCH($C30, I_prop!$A$7:$A$13,0), MATCH($D30, I_prop!$B$6:$H$6,0))</f>
        <v>0</v>
      </c>
      <c r="G30" s="31" t="n">
        <f aca="false">INDEX(I_prop!$B$18:$H$24, MATCH($C30, I_prop!$A$18:$A$24,0), MATCH($D30, I_prop!$B$17:$H$17,0))</f>
        <v>0</v>
      </c>
      <c r="H30" s="31" t="n">
        <f aca="false">IF($J30&lt;&gt;"",$J30,$F30)</f>
        <v>0</v>
      </c>
      <c r="I30" s="31" t="n">
        <f aca="false">IF($K30&lt;&gt;"",$K30,$G30)</f>
        <v>0</v>
      </c>
      <c r="J30" s="0" t="str">
        <f aca="false">IF(COUNTIFS(Subgroup_Overrides!$A$5:$A$200,"A",Subgroup_Overrides!$B$5:$B$200,$C30,Subgroup_Overrides!$C$5:$C$200,$D30)&gt;0,_xludf.minifs(Subgroup_Overrides!$D$5:$D$200,Subgroup_Overrides!$A$5:$A$200,"A",Subgroup_Overrides!$B$5:$B$200,$C30,Subgroup_Overrides!$C$5:$C$200,$D30),"")</f>
        <v/>
      </c>
      <c r="K30" s="0" t="str">
        <f aca="false">IF(COUNTIFS(Subgroup_Overrides!$A$5:$A$200,"B",Subgroup_Overrides!$B$5:$B$200,$C30,Subgroup_Overrides!$C$5:$C$200,$D30)&gt;0,_xludf.minifs(Subgroup_Overrides!$D$5:$D$200,Subgroup_Overrides!$A$5:$A$200,"B",Subgroup_Overrides!$B$5:$B$200,$C30,Subgroup_Overrides!$C$5:$C$200,$D30),"")</f>
        <v/>
      </c>
      <c r="L30" s="0" t="str">
        <f aca="false">TRIM(B30)</f>
        <v>NEED</v>
      </c>
      <c r="M30" s="0" t="n">
        <f aca="false">IF(H30="",NA(),1*H30)</f>
        <v>0</v>
      </c>
      <c r="N30" s="0" t="n">
        <f aca="false">IF(I30="",NA(),1*I30)</f>
        <v>0</v>
      </c>
    </row>
    <row r="31" customFormat="false" ht="14.25" hidden="false" customHeight="true" outlineLevel="0" collapsed="false">
      <c r="A31" s="0" t="n">
        <v>30</v>
      </c>
      <c r="B31" s="0" t="s">
        <v>64</v>
      </c>
      <c r="C31" s="0" t="s">
        <v>405</v>
      </c>
      <c r="D31" s="0" t="s">
        <v>413</v>
      </c>
      <c r="E31" s="0" t="n">
        <v>-0.5</v>
      </c>
      <c r="F31" s="31" t="n">
        <f aca="false">INDEX(I_prop!$B$7:$H$13, MATCH($C31, I_prop!$A$7:$A$13,0), MATCH($D31, I_prop!$B$6:$H$6,0))</f>
        <v>-0.0197952743221616</v>
      </c>
      <c r="G31" s="31" t="n">
        <f aca="false">INDEX(I_prop!$B$18:$H$24, MATCH($C31, I_prop!$A$18:$A$24,0), MATCH($D31, I_prop!$B$17:$H$17,0))</f>
        <v>0.0131978073405774</v>
      </c>
      <c r="H31" s="31" t="n">
        <f aca="false">IF($J31&lt;&gt;"",$J31,$F31)</f>
        <v>-0.0197952743221616</v>
      </c>
      <c r="I31" s="31" t="n">
        <f aca="false">IF($K31&lt;&gt;"",$K31,$G31)</f>
        <v>0.0131978073405774</v>
      </c>
      <c r="J31" s="0" t="str">
        <f aca="false">IF(COUNTIFS(Subgroup_Overrides!$A$5:$A$200,"A",Subgroup_Overrides!$B$5:$B$200,$C31,Subgroup_Overrides!$C$5:$C$200,$D31)&gt;0,_xludf.minifs(Subgroup_Overrides!$D$5:$D$200,Subgroup_Overrides!$A$5:$A$200,"A",Subgroup_Overrides!$B$5:$B$200,$C31,Subgroup_Overrides!$C$5:$C$200,$D31),"")</f>
        <v/>
      </c>
      <c r="K31" s="0" t="str">
        <f aca="false">IF(COUNTIFS(Subgroup_Overrides!$A$5:$A$200,"B",Subgroup_Overrides!$B$5:$B$200,$C31,Subgroup_Overrides!$C$5:$C$200,$D31)&gt;0,_xludf.minifs(Subgroup_Overrides!$D$5:$D$200,Subgroup_Overrides!$A$5:$A$200,"B",Subgroup_Overrides!$B$5:$B$200,$C31,Subgroup_Overrides!$C$5:$C$200,$D31),"")</f>
        <v/>
      </c>
      <c r="L31" s="0" t="str">
        <f aca="false">TRIM(B31)</f>
        <v>NEED</v>
      </c>
      <c r="M31" s="0" t="n">
        <f aca="false">IF(H31="",NA(),1*H31)</f>
        <v>-0.0197952743221616</v>
      </c>
      <c r="N31" s="0" t="n">
        <f aca="false">IF(I31="",NA(),1*I31)</f>
        <v>0.0131978073405774</v>
      </c>
    </row>
    <row r="32" customFormat="false" ht="14.25" hidden="false" customHeight="true" outlineLevel="0" collapsed="false">
      <c r="A32" s="0" t="n">
        <v>31</v>
      </c>
      <c r="B32" s="0" t="s">
        <v>64</v>
      </c>
      <c r="C32" s="0" t="s">
        <v>405</v>
      </c>
      <c r="D32" s="0" t="s">
        <v>403</v>
      </c>
      <c r="E32" s="0" t="n">
        <v>-0.5</v>
      </c>
      <c r="F32" s="31" t="n">
        <f aca="false">INDEX(I_prop!$B$7:$H$13, MATCH($C32, I_prop!$A$7:$A$13,0), MATCH($D32, I_prop!$B$6:$H$6,0))</f>
        <v>0</v>
      </c>
      <c r="G32" s="31" t="n">
        <f aca="false">INDEX(I_prop!$B$18:$H$24, MATCH($C32, I_prop!$A$18:$A$24,0), MATCH($D32, I_prop!$B$17:$H$17,0))</f>
        <v>0</v>
      </c>
      <c r="H32" s="31" t="n">
        <f aca="false">IF($J32&lt;&gt;"",$J32,$F32)</f>
        <v>0</v>
      </c>
      <c r="I32" s="31" t="n">
        <f aca="false">IF($K32&lt;&gt;"",$K32,$G32)</f>
        <v>0</v>
      </c>
      <c r="J32" s="0" t="str">
        <f aca="false">IF(COUNTIFS(Subgroup_Overrides!$A$5:$A$200,"A",Subgroup_Overrides!$B$5:$B$200,$C32,Subgroup_Overrides!$C$5:$C$200,$D32)&gt;0,_xludf.minifs(Subgroup_Overrides!$D$5:$D$200,Subgroup_Overrides!$A$5:$A$200,"A",Subgroup_Overrides!$B$5:$B$200,$C32,Subgroup_Overrides!$C$5:$C$200,$D32),"")</f>
        <v/>
      </c>
      <c r="K32" s="0" t="str">
        <f aca="false">IF(COUNTIFS(Subgroup_Overrides!$A$5:$A$200,"B",Subgroup_Overrides!$B$5:$B$200,$C32,Subgroup_Overrides!$C$5:$C$200,$D32)&gt;0,_xludf.minifs(Subgroup_Overrides!$D$5:$D$200,Subgroup_Overrides!$A$5:$A$200,"B",Subgroup_Overrides!$B$5:$B$200,$C32,Subgroup_Overrides!$C$5:$C$200,$D32),"")</f>
        <v/>
      </c>
      <c r="L32" s="0" t="str">
        <f aca="false">TRIM(B32)</f>
        <v>NEED</v>
      </c>
      <c r="M32" s="0" t="n">
        <f aca="false">IF(H32="",NA(),1*H32)</f>
        <v>0</v>
      </c>
      <c r="N32" s="0" t="n">
        <f aca="false">IF(I32="",NA(),1*I32)</f>
        <v>0</v>
      </c>
    </row>
    <row r="33" customFormat="false" ht="14.25" hidden="false" customHeight="true" outlineLevel="0" collapsed="false">
      <c r="A33" s="0" t="n">
        <v>32</v>
      </c>
      <c r="B33" s="0" t="s">
        <v>64</v>
      </c>
      <c r="C33" s="0" t="s">
        <v>406</v>
      </c>
      <c r="D33" s="0" t="s">
        <v>413</v>
      </c>
      <c r="E33" s="0" t="n">
        <v>-0.5</v>
      </c>
      <c r="F33" s="31" t="n">
        <f aca="false">INDEX(I_prop!$B$7:$H$13, MATCH($C33, I_prop!$A$7:$A$13,0), MATCH($D33, I_prop!$B$6:$H$6,0))</f>
        <v>-0.0855694362958967</v>
      </c>
      <c r="G33" s="31" t="n">
        <f aca="false">INDEX(I_prop!$B$18:$H$24, MATCH($C33, I_prop!$A$18:$A$24,0), MATCH($D33, I_prop!$B$17:$H$17,0))</f>
        <v>0.0102114556191722</v>
      </c>
      <c r="H33" s="31" t="n">
        <f aca="false">IF($J33&lt;&gt;"",$J33,$F33)</f>
        <v>-0.0855694362958967</v>
      </c>
      <c r="I33" s="31" t="n">
        <f aca="false">IF($K33&lt;&gt;"",$K33,$G33)</f>
        <v>0.0102114556191722</v>
      </c>
      <c r="J33" s="0" t="str">
        <f aca="false">IF(COUNTIFS(Subgroup_Overrides!$A$5:$A$200,"A",Subgroup_Overrides!$B$5:$B$200,$C33,Subgroup_Overrides!$C$5:$C$200,$D33)&gt;0,_xludf.minifs(Subgroup_Overrides!$D$5:$D$200,Subgroup_Overrides!$A$5:$A$200,"A",Subgroup_Overrides!$B$5:$B$200,$C33,Subgroup_Overrides!$C$5:$C$200,$D33),"")</f>
        <v/>
      </c>
      <c r="K33" s="0" t="str">
        <f aca="false">IF(COUNTIFS(Subgroup_Overrides!$A$5:$A$200,"B",Subgroup_Overrides!$B$5:$B$200,$C33,Subgroup_Overrides!$C$5:$C$200,$D33)&gt;0,_xludf.minifs(Subgroup_Overrides!$D$5:$D$200,Subgroup_Overrides!$A$5:$A$200,"B",Subgroup_Overrides!$B$5:$B$200,$C33,Subgroup_Overrides!$C$5:$C$200,$D33),"")</f>
        <v/>
      </c>
      <c r="L33" s="0" t="str">
        <f aca="false">TRIM(B33)</f>
        <v>NEED</v>
      </c>
      <c r="M33" s="0" t="n">
        <f aca="false">IF(H33="",NA(),1*H33)</f>
        <v>-0.0855694362958967</v>
      </c>
      <c r="N33" s="0" t="n">
        <f aca="false">IF(I33="",NA(),1*I33)</f>
        <v>0.0102114556191722</v>
      </c>
    </row>
    <row r="34" customFormat="false" ht="14.25" hidden="false" customHeight="true" outlineLevel="0" collapsed="false">
      <c r="A34" s="0" t="n">
        <v>33</v>
      </c>
      <c r="B34" s="0" t="s">
        <v>64</v>
      </c>
      <c r="C34" s="0" t="s">
        <v>406</v>
      </c>
      <c r="D34" s="0" t="s">
        <v>403</v>
      </c>
      <c r="E34" s="0" t="n">
        <v>-0.5</v>
      </c>
      <c r="F34" s="31" t="n">
        <f aca="false">INDEX(I_prop!$B$7:$H$13, MATCH($C34, I_prop!$A$7:$A$13,0), MATCH($D34, I_prop!$B$6:$H$6,0))</f>
        <v>0</v>
      </c>
      <c r="G34" s="31" t="n">
        <f aca="false">INDEX(I_prop!$B$18:$H$24, MATCH($C34, I_prop!$A$18:$A$24,0), MATCH($D34, I_prop!$B$17:$H$17,0))</f>
        <v>0</v>
      </c>
      <c r="H34" s="31" t="n">
        <f aca="false">IF($J34&lt;&gt;"",$J34,$F34)</f>
        <v>0</v>
      </c>
      <c r="I34" s="31" t="n">
        <f aca="false">IF($K34&lt;&gt;"",$K34,$G34)</f>
        <v>0</v>
      </c>
      <c r="J34" s="0" t="str">
        <f aca="false">IF(COUNTIFS(Subgroup_Overrides!$A$5:$A$200,"A",Subgroup_Overrides!$B$5:$B$200,$C34,Subgroup_Overrides!$C$5:$C$200,$D34)&gt;0,_xludf.minifs(Subgroup_Overrides!$D$5:$D$200,Subgroup_Overrides!$A$5:$A$200,"A",Subgroup_Overrides!$B$5:$B$200,$C34,Subgroup_Overrides!$C$5:$C$200,$D34),"")</f>
        <v/>
      </c>
      <c r="K34" s="0" t="str">
        <f aca="false">IF(COUNTIFS(Subgroup_Overrides!$A$5:$A$200,"B",Subgroup_Overrides!$B$5:$B$200,$C34,Subgroup_Overrides!$C$5:$C$200,$D34)&gt;0,_xludf.minifs(Subgroup_Overrides!$D$5:$D$200,Subgroup_Overrides!$A$5:$A$200,"B",Subgroup_Overrides!$B$5:$B$200,$C34,Subgroup_Overrides!$C$5:$C$200,$D34),"")</f>
        <v/>
      </c>
      <c r="L34" s="0" t="str">
        <f aca="false">TRIM(B34)</f>
        <v>NEED</v>
      </c>
      <c r="M34" s="0" t="n">
        <f aca="false">IF(H34="",NA(),1*H34)</f>
        <v>0</v>
      </c>
      <c r="N34" s="0" t="n">
        <f aca="false">IF(I34="",NA(),1*I34)</f>
        <v>0</v>
      </c>
    </row>
    <row r="35" customFormat="false" ht="14.25" hidden="false" customHeight="true" outlineLevel="0" collapsed="false">
      <c r="A35" s="0" t="n">
        <v>34</v>
      </c>
      <c r="B35" s="0" t="s">
        <v>64</v>
      </c>
      <c r="C35" s="0" t="s">
        <v>407</v>
      </c>
      <c r="D35" s="0" t="s">
        <v>413</v>
      </c>
      <c r="E35" s="0" t="n">
        <v>-0.5</v>
      </c>
      <c r="F35" s="31" t="n">
        <f aca="false">INDEX(I_prop!$B$7:$H$13, MATCH($C35, I_prop!$A$7:$A$13,0), MATCH($D35, I_prop!$B$6:$H$6,0))</f>
        <v>0</v>
      </c>
      <c r="G35" s="31" t="n">
        <f aca="false">INDEX(I_prop!$B$18:$H$24, MATCH($C35, I_prop!$A$18:$A$24,0), MATCH($D35, I_prop!$B$17:$H$17,0))</f>
        <v>0</v>
      </c>
      <c r="H35" s="31" t="n">
        <f aca="false">IF($J35&lt;&gt;"",$J35,$F35)</f>
        <v>0</v>
      </c>
      <c r="I35" s="31" t="n">
        <f aca="false">IF($K35&lt;&gt;"",$K35,$G35)</f>
        <v>0</v>
      </c>
      <c r="J35" s="0" t="str">
        <f aca="false">IF(COUNTIFS(Subgroup_Overrides!$A$5:$A$200,"A",Subgroup_Overrides!$B$5:$B$200,$C35,Subgroup_Overrides!$C$5:$C$200,$D35)&gt;0,_xludf.minifs(Subgroup_Overrides!$D$5:$D$200,Subgroup_Overrides!$A$5:$A$200,"A",Subgroup_Overrides!$B$5:$B$200,$C35,Subgroup_Overrides!$C$5:$C$200,$D35),"")</f>
        <v/>
      </c>
      <c r="K35" s="0" t="str">
        <f aca="false">IF(COUNTIFS(Subgroup_Overrides!$A$5:$A$200,"B",Subgroup_Overrides!$B$5:$B$200,$C35,Subgroup_Overrides!$C$5:$C$200,$D35)&gt;0,_xludf.minifs(Subgroup_Overrides!$D$5:$D$200,Subgroup_Overrides!$A$5:$A$200,"B",Subgroup_Overrides!$B$5:$B$200,$C35,Subgroup_Overrides!$C$5:$C$200,$D35),"")</f>
        <v/>
      </c>
      <c r="L35" s="0" t="str">
        <f aca="false">TRIM(B35)</f>
        <v>NEED</v>
      </c>
      <c r="M35" s="0" t="n">
        <f aca="false">IF(H35="",NA(),1*H35)</f>
        <v>0</v>
      </c>
      <c r="N35" s="0" t="n">
        <f aca="false">IF(I35="",NA(),1*I35)</f>
        <v>0</v>
      </c>
    </row>
    <row r="36" customFormat="false" ht="14.25" hidden="false" customHeight="true" outlineLevel="0" collapsed="false">
      <c r="A36" s="0" t="n">
        <v>35</v>
      </c>
      <c r="B36" s="0" t="s">
        <v>64</v>
      </c>
      <c r="C36" s="0" t="s">
        <v>407</v>
      </c>
      <c r="D36" s="0" t="s">
        <v>403</v>
      </c>
      <c r="E36" s="0" t="n">
        <v>-0.5</v>
      </c>
      <c r="F36" s="31" t="n">
        <f aca="false">INDEX(I_prop!$B$7:$H$13, MATCH($C36, I_prop!$A$7:$A$13,0), MATCH($D36, I_prop!$B$6:$H$6,0))</f>
        <v>0</v>
      </c>
      <c r="G36" s="31" t="n">
        <f aca="false">INDEX(I_prop!$B$18:$H$24, MATCH($C36, I_prop!$A$18:$A$24,0), MATCH($D36, I_prop!$B$17:$H$17,0))</f>
        <v>0</v>
      </c>
      <c r="H36" s="31" t="n">
        <f aca="false">IF($J36&lt;&gt;"",$J36,$F36)</f>
        <v>0</v>
      </c>
      <c r="I36" s="31" t="n">
        <f aca="false">IF($K36&lt;&gt;"",$K36,$G36)</f>
        <v>0</v>
      </c>
      <c r="J36" s="0" t="str">
        <f aca="false">IF(COUNTIFS(Subgroup_Overrides!$A$5:$A$200,"A",Subgroup_Overrides!$B$5:$B$200,$C36,Subgroup_Overrides!$C$5:$C$200,$D36)&gt;0,_xludf.minifs(Subgroup_Overrides!$D$5:$D$200,Subgroup_Overrides!$A$5:$A$200,"A",Subgroup_Overrides!$B$5:$B$200,$C36,Subgroup_Overrides!$C$5:$C$200,$D36),"")</f>
        <v/>
      </c>
      <c r="K36" s="0" t="str">
        <f aca="false">IF(COUNTIFS(Subgroup_Overrides!$A$5:$A$200,"B",Subgroup_Overrides!$B$5:$B$200,$C36,Subgroup_Overrides!$C$5:$C$200,$D36)&gt;0,_xludf.minifs(Subgroup_Overrides!$D$5:$D$200,Subgroup_Overrides!$A$5:$A$200,"B",Subgroup_Overrides!$B$5:$B$200,$C36,Subgroup_Overrides!$C$5:$C$200,$D36),"")</f>
        <v/>
      </c>
      <c r="L36" s="0" t="str">
        <f aca="false">TRIM(B36)</f>
        <v>NEED</v>
      </c>
      <c r="M36" s="0" t="n">
        <f aca="false">IF(H36="",NA(),1*H36)</f>
        <v>0</v>
      </c>
      <c r="N36" s="0" t="n">
        <f aca="false">IF(I36="",NA(),1*I36)</f>
        <v>0</v>
      </c>
    </row>
    <row r="37" customFormat="false" ht="14.25" hidden="false" customHeight="true" outlineLevel="0" collapsed="false">
      <c r="A37" s="0" t="n">
        <v>36</v>
      </c>
      <c r="B37" s="0" t="s">
        <v>64</v>
      </c>
      <c r="C37" s="0" t="s">
        <v>408</v>
      </c>
      <c r="D37" s="0" t="s">
        <v>413</v>
      </c>
      <c r="E37" s="0" t="n">
        <v>-0.5</v>
      </c>
      <c r="F37" s="31" t="n">
        <f aca="false">INDEX(I_prop!$B$7:$H$13, MATCH($C37, I_prop!$A$7:$A$13,0), MATCH($D37, I_prop!$B$6:$H$6,0))</f>
        <v>0</v>
      </c>
      <c r="G37" s="31" t="n">
        <f aca="false">INDEX(I_prop!$B$18:$H$24, MATCH($C37, I_prop!$A$18:$A$24,0), MATCH($D37, I_prop!$B$17:$H$17,0))</f>
        <v>0</v>
      </c>
      <c r="H37" s="31" t="n">
        <f aca="false">IF($J37&lt;&gt;"",$J37,$F37)</f>
        <v>0</v>
      </c>
      <c r="I37" s="31" t="n">
        <f aca="false">IF($K37&lt;&gt;"",$K37,$G37)</f>
        <v>0</v>
      </c>
      <c r="J37" s="0" t="str">
        <f aca="false">IF(COUNTIFS(Subgroup_Overrides!$A$5:$A$200,"A",Subgroup_Overrides!$B$5:$B$200,$C37,Subgroup_Overrides!$C$5:$C$200,$D37)&gt;0,_xludf.minifs(Subgroup_Overrides!$D$5:$D$200,Subgroup_Overrides!$A$5:$A$200,"A",Subgroup_Overrides!$B$5:$B$200,$C37,Subgroup_Overrides!$C$5:$C$200,$D37),"")</f>
        <v/>
      </c>
      <c r="K37" s="0" t="str">
        <f aca="false">IF(COUNTIFS(Subgroup_Overrides!$A$5:$A$200,"B",Subgroup_Overrides!$B$5:$B$200,$C37,Subgroup_Overrides!$C$5:$C$200,$D37)&gt;0,_xludf.minifs(Subgroup_Overrides!$D$5:$D$200,Subgroup_Overrides!$A$5:$A$200,"B",Subgroup_Overrides!$B$5:$B$200,$C37,Subgroup_Overrides!$C$5:$C$200,$D37),"")</f>
        <v/>
      </c>
      <c r="L37" s="0" t="str">
        <f aca="false">TRIM(B37)</f>
        <v>NEED</v>
      </c>
      <c r="M37" s="0" t="n">
        <f aca="false">IF(H37="",NA(),1*H37)</f>
        <v>0</v>
      </c>
      <c r="N37" s="0" t="n">
        <f aca="false">IF(I37="",NA(),1*I37)</f>
        <v>0</v>
      </c>
    </row>
    <row r="38" customFormat="false" ht="14.25" hidden="false" customHeight="true" outlineLevel="0" collapsed="false">
      <c r="A38" s="0" t="n">
        <v>37</v>
      </c>
      <c r="B38" s="0" t="s">
        <v>64</v>
      </c>
      <c r="C38" s="0" t="s">
        <v>408</v>
      </c>
      <c r="D38" s="0" t="s">
        <v>403</v>
      </c>
      <c r="E38" s="0" t="n">
        <v>-0.5</v>
      </c>
      <c r="F38" s="31" t="n">
        <f aca="false">INDEX(I_prop!$B$7:$H$13, MATCH($C38, I_prop!$A$7:$A$13,0), MATCH($D38, I_prop!$B$6:$H$6,0))</f>
        <v>0</v>
      </c>
      <c r="G38" s="31" t="n">
        <f aca="false">INDEX(I_prop!$B$18:$H$24, MATCH($C38, I_prop!$A$18:$A$24,0), MATCH($D38, I_prop!$B$17:$H$17,0))</f>
        <v>0</v>
      </c>
      <c r="H38" s="31" t="n">
        <f aca="false">IF($J38&lt;&gt;"",$J38,$F38)</f>
        <v>0</v>
      </c>
      <c r="I38" s="31" t="n">
        <f aca="false">IF($K38&lt;&gt;"",$K38,$G38)</f>
        <v>0</v>
      </c>
      <c r="J38" s="0" t="str">
        <f aca="false">IF(COUNTIFS(Subgroup_Overrides!$A$5:$A$200,"A",Subgroup_Overrides!$B$5:$B$200,$C38,Subgroup_Overrides!$C$5:$C$200,$D38)&gt;0,_xludf.minifs(Subgroup_Overrides!$D$5:$D$200,Subgroup_Overrides!$A$5:$A$200,"A",Subgroup_Overrides!$B$5:$B$200,$C38,Subgroup_Overrides!$C$5:$C$200,$D38),"")</f>
        <v/>
      </c>
      <c r="K38" s="0" t="str">
        <f aca="false">IF(COUNTIFS(Subgroup_Overrides!$A$5:$A$200,"B",Subgroup_Overrides!$B$5:$B$200,$C38,Subgroup_Overrides!$C$5:$C$200,$D38)&gt;0,_xludf.minifs(Subgroup_Overrides!$D$5:$D$200,Subgroup_Overrides!$A$5:$A$200,"B",Subgroup_Overrides!$B$5:$B$200,$C38,Subgroup_Overrides!$C$5:$C$200,$D38),"")</f>
        <v/>
      </c>
      <c r="L38" s="0" t="str">
        <f aca="false">TRIM(B38)</f>
        <v>NEED</v>
      </c>
      <c r="M38" s="0" t="n">
        <f aca="false">IF(H38="",NA(),1*H38)</f>
        <v>0</v>
      </c>
      <c r="N38" s="0" t="n">
        <f aca="false">IF(I38="",NA(),1*I38)</f>
        <v>0</v>
      </c>
    </row>
    <row r="39" customFormat="false" ht="14.25" hidden="false" customHeight="true" outlineLevel="0" collapsed="false">
      <c r="A39" s="0" t="n">
        <v>38</v>
      </c>
      <c r="B39" s="0" t="s">
        <v>65</v>
      </c>
      <c r="C39" s="0" t="s">
        <v>402</v>
      </c>
      <c r="D39" s="0" t="s">
        <v>412</v>
      </c>
      <c r="E39" s="0" t="n">
        <v>-0.55</v>
      </c>
      <c r="F39" s="31" t="n">
        <f aca="false">INDEX(I_prop!$B$7:$H$13, MATCH($C39, I_prop!$A$7:$A$13,0), MATCH($D39, I_prop!$B$6:$H$6,0))</f>
        <v>0</v>
      </c>
      <c r="G39" s="31" t="n">
        <f aca="false">INDEX(I_prop!$B$18:$H$24, MATCH($C39, I_prop!$A$18:$A$24,0), MATCH($D39, I_prop!$B$17:$H$17,0))</f>
        <v>0</v>
      </c>
      <c r="H39" s="31" t="n">
        <f aca="false">IF($J39&lt;&gt;"",$J39,$F39)</f>
        <v>0</v>
      </c>
      <c r="I39" s="31" t="n">
        <f aca="false">IF($K39&lt;&gt;"",$K39,$G39)</f>
        <v>0</v>
      </c>
      <c r="J39" s="0" t="str">
        <f aca="false">IF(COUNTIFS(Subgroup_Overrides!$A$5:$A$200,"A",Subgroup_Overrides!$B$5:$B$200,$C39,Subgroup_Overrides!$C$5:$C$200,$D39)&gt;0,_xludf.minifs(Subgroup_Overrides!$D$5:$D$200,Subgroup_Overrides!$A$5:$A$200,"A",Subgroup_Overrides!$B$5:$B$200,$C39,Subgroup_Overrides!$C$5:$C$200,$D39),"")</f>
        <v/>
      </c>
      <c r="K39" s="0" t="str">
        <f aca="false">IF(COUNTIFS(Subgroup_Overrides!$A$5:$A$200,"B",Subgroup_Overrides!$B$5:$B$200,$C39,Subgroup_Overrides!$C$5:$C$200,$D39)&gt;0,_xludf.minifs(Subgroup_Overrides!$D$5:$D$200,Subgroup_Overrides!$A$5:$A$200,"B",Subgroup_Overrides!$B$5:$B$200,$C39,Subgroup_Overrides!$C$5:$C$200,$D39),"")</f>
        <v/>
      </c>
      <c r="L39" s="0" t="str">
        <f aca="false">TRIM(B39)</f>
        <v>DIGN</v>
      </c>
      <c r="M39" s="0" t="n">
        <f aca="false">IF(H39="",NA(),1*H39)</f>
        <v>0</v>
      </c>
      <c r="N39" s="0" t="n">
        <f aca="false">IF(I39="",NA(),1*I39)</f>
        <v>0</v>
      </c>
    </row>
    <row r="40" customFormat="false" ht="14.25" hidden="false" customHeight="true" outlineLevel="0" collapsed="false">
      <c r="A40" s="0" t="n">
        <v>39</v>
      </c>
      <c r="B40" s="0" t="s">
        <v>65</v>
      </c>
      <c r="C40" s="0" t="s">
        <v>402</v>
      </c>
      <c r="D40" s="0" t="s">
        <v>411</v>
      </c>
      <c r="E40" s="0" t="n">
        <v>-0.55</v>
      </c>
      <c r="F40" s="31" t="n">
        <f aca="false">INDEX(I_prop!$B$7:$H$13, MATCH($C40, I_prop!$A$7:$A$13,0), MATCH($D40, I_prop!$B$6:$H$6,0))</f>
        <v>0.249007884327423</v>
      </c>
      <c r="G40" s="31" t="n">
        <f aca="false">INDEX(I_prop!$B$18:$H$24, MATCH($C40, I_prop!$A$18:$A$24,0), MATCH($D40, I_prop!$B$17:$H$17,0))</f>
        <v>-0.0463335676706336</v>
      </c>
      <c r="H40" s="31" t="n">
        <f aca="false">IF($J40&lt;&gt;"",$J40,$F40)</f>
        <v>0.249007884327423</v>
      </c>
      <c r="I40" s="31" t="n">
        <f aca="false">IF($K40&lt;&gt;"",$K40,$G40)</f>
        <v>-0.0463335676706336</v>
      </c>
      <c r="J40" s="0" t="str">
        <f aca="false">IF(COUNTIFS(Subgroup_Overrides!$A$5:$A$200,"A",Subgroup_Overrides!$B$5:$B$200,$C40,Subgroup_Overrides!$C$5:$C$200,$D40)&gt;0,_xludf.minifs(Subgroup_Overrides!$D$5:$D$200,Subgroup_Overrides!$A$5:$A$200,"A",Subgroup_Overrides!$B$5:$B$200,$C40,Subgroup_Overrides!$C$5:$C$200,$D40),"")</f>
        <v/>
      </c>
      <c r="K40" s="0" t="str">
        <f aca="false">IF(COUNTIFS(Subgroup_Overrides!$A$5:$A$200,"B",Subgroup_Overrides!$B$5:$B$200,$C40,Subgroup_Overrides!$C$5:$C$200,$D40)&gt;0,_xludf.minifs(Subgroup_Overrides!$D$5:$D$200,Subgroup_Overrides!$A$5:$A$200,"B",Subgroup_Overrides!$B$5:$B$200,$C40,Subgroup_Overrides!$C$5:$C$200,$D40),"")</f>
        <v/>
      </c>
      <c r="L40" s="0" t="str">
        <f aca="false">TRIM(B40)</f>
        <v>DIGN</v>
      </c>
      <c r="M40" s="0" t="n">
        <f aca="false">IF(H40="",NA(),1*H40)</f>
        <v>0.249007884327423</v>
      </c>
      <c r="N40" s="0" t="n">
        <f aca="false">IF(I40="",NA(),1*I40)</f>
        <v>-0.0463335676706336</v>
      </c>
    </row>
    <row r="41" customFormat="false" ht="14.25" hidden="false" customHeight="true" outlineLevel="0" collapsed="false">
      <c r="A41" s="0" t="n">
        <v>40</v>
      </c>
      <c r="B41" s="0" t="s">
        <v>65</v>
      </c>
      <c r="C41" s="0" t="s">
        <v>404</v>
      </c>
      <c r="D41" s="0" t="s">
        <v>412</v>
      </c>
      <c r="E41" s="0" t="n">
        <v>-0.55</v>
      </c>
      <c r="F41" s="31" t="n">
        <f aca="false">INDEX(I_prop!$B$7:$H$13, MATCH($C41, I_prop!$A$7:$A$13,0), MATCH($D41, I_prop!$B$6:$H$6,0))</f>
        <v>0</v>
      </c>
      <c r="G41" s="31" t="n">
        <f aca="false">INDEX(I_prop!$B$18:$H$24, MATCH($C41, I_prop!$A$18:$A$24,0), MATCH($D41, I_prop!$B$17:$H$17,0))</f>
        <v>0</v>
      </c>
      <c r="H41" s="31" t="n">
        <f aca="false">IF($J41&lt;&gt;"",$J41,$F41)</f>
        <v>0</v>
      </c>
      <c r="I41" s="31" t="n">
        <f aca="false">IF($K41&lt;&gt;"",$K41,$G41)</f>
        <v>0</v>
      </c>
      <c r="J41" s="0" t="str">
        <f aca="false">IF(COUNTIFS(Subgroup_Overrides!$A$5:$A$200,"A",Subgroup_Overrides!$B$5:$B$200,$C41,Subgroup_Overrides!$C$5:$C$200,$D41)&gt;0,_xludf.minifs(Subgroup_Overrides!$D$5:$D$200,Subgroup_Overrides!$A$5:$A$200,"A",Subgroup_Overrides!$B$5:$B$200,$C41,Subgroup_Overrides!$C$5:$C$200,$D41),"")</f>
        <v/>
      </c>
      <c r="K41" s="0" t="str">
        <f aca="false">IF(COUNTIFS(Subgroup_Overrides!$A$5:$A$200,"B",Subgroup_Overrides!$B$5:$B$200,$C41,Subgroup_Overrides!$C$5:$C$200,$D41)&gt;0,_xludf.minifs(Subgroup_Overrides!$D$5:$D$200,Subgroup_Overrides!$A$5:$A$200,"B",Subgroup_Overrides!$B$5:$B$200,$C41,Subgroup_Overrides!$C$5:$C$200,$D41),"")</f>
        <v/>
      </c>
      <c r="L41" s="0" t="str">
        <f aca="false">TRIM(B41)</f>
        <v>DIGN</v>
      </c>
      <c r="M41" s="0" t="n">
        <f aca="false">IF(H41="",NA(),1*H41)</f>
        <v>0</v>
      </c>
      <c r="N41" s="0" t="n">
        <f aca="false">IF(I41="",NA(),1*I41)</f>
        <v>0</v>
      </c>
    </row>
    <row r="42" customFormat="false" ht="14.25" hidden="false" customHeight="true" outlineLevel="0" collapsed="false">
      <c r="A42" s="0" t="n">
        <v>41</v>
      </c>
      <c r="B42" s="0" t="s">
        <v>65</v>
      </c>
      <c r="C42" s="0" t="s">
        <v>404</v>
      </c>
      <c r="D42" s="0" t="s">
        <v>411</v>
      </c>
      <c r="E42" s="0" t="n">
        <v>-0.55</v>
      </c>
      <c r="F42" s="31" t="n">
        <f aca="false">INDEX(I_prop!$B$7:$H$13, MATCH($C42, I_prop!$A$7:$A$13,0), MATCH($D42, I_prop!$B$6:$H$6,0))</f>
        <v>0</v>
      </c>
      <c r="G42" s="31" t="n">
        <f aca="false">INDEX(I_prop!$B$18:$H$24, MATCH($C42, I_prop!$A$18:$A$24,0), MATCH($D42, I_prop!$B$17:$H$17,0))</f>
        <v>0</v>
      </c>
      <c r="H42" s="31" t="n">
        <f aca="false">IF($J42&lt;&gt;"",$J42,$F42)</f>
        <v>0</v>
      </c>
      <c r="I42" s="31" t="n">
        <f aca="false">IF($K42&lt;&gt;"",$K42,$G42)</f>
        <v>0</v>
      </c>
      <c r="J42" s="0" t="str">
        <f aca="false">IF(COUNTIFS(Subgroup_Overrides!$A$5:$A$200,"A",Subgroup_Overrides!$B$5:$B$200,$C42,Subgroup_Overrides!$C$5:$C$200,$D42)&gt;0,_xludf.minifs(Subgroup_Overrides!$D$5:$D$200,Subgroup_Overrides!$A$5:$A$200,"A",Subgroup_Overrides!$B$5:$B$200,$C42,Subgroup_Overrides!$C$5:$C$200,$D42),"")</f>
        <v/>
      </c>
      <c r="K42" s="0" t="str">
        <f aca="false">IF(COUNTIFS(Subgroup_Overrides!$A$5:$A$200,"B",Subgroup_Overrides!$B$5:$B$200,$C42,Subgroup_Overrides!$C$5:$C$200,$D42)&gt;0,_xludf.minifs(Subgroup_Overrides!$D$5:$D$200,Subgroup_Overrides!$A$5:$A$200,"B",Subgroup_Overrides!$B$5:$B$200,$C42,Subgroup_Overrides!$C$5:$C$200,$D42),"")</f>
        <v/>
      </c>
      <c r="L42" s="0" t="str">
        <f aca="false">TRIM(B42)</f>
        <v>DIGN</v>
      </c>
      <c r="M42" s="0" t="n">
        <f aca="false">IF(H42="",NA(),1*H42)</f>
        <v>0</v>
      </c>
      <c r="N42" s="0" t="n">
        <f aca="false">IF(I42="",NA(),1*I42)</f>
        <v>0</v>
      </c>
    </row>
    <row r="43" customFormat="false" ht="14.25" hidden="false" customHeight="true" outlineLevel="0" collapsed="false">
      <c r="A43" s="0" t="n">
        <v>42</v>
      </c>
      <c r="B43" s="0" t="s">
        <v>65</v>
      </c>
      <c r="C43" s="0" t="s">
        <v>405</v>
      </c>
      <c r="D43" s="0" t="s">
        <v>412</v>
      </c>
      <c r="E43" s="0" t="n">
        <v>-0.55</v>
      </c>
      <c r="F43" s="31" t="n">
        <f aca="false">INDEX(I_prop!$B$7:$H$13, MATCH($C43, I_prop!$A$7:$A$13,0), MATCH($D43, I_prop!$B$6:$H$6,0))</f>
        <v>-0.0807256868155385</v>
      </c>
      <c r="G43" s="31" t="n">
        <f aca="false">INDEX(I_prop!$B$18:$H$24, MATCH($C43, I_prop!$A$18:$A$24,0), MATCH($D43, I_prop!$B$17:$H$17,0))</f>
        <v>0.0615155722135092</v>
      </c>
      <c r="H43" s="31" t="n">
        <f aca="false">IF($J43&lt;&gt;"",$J43,$F43)</f>
        <v>-0.0807256868155385</v>
      </c>
      <c r="I43" s="31" t="n">
        <f aca="false">IF($K43&lt;&gt;"",$K43,$G43)</f>
        <v>0.0615155722135092</v>
      </c>
      <c r="J43" s="0" t="str">
        <f aca="false">IF(COUNTIFS(Subgroup_Overrides!$A$5:$A$200,"A",Subgroup_Overrides!$B$5:$B$200,$C43,Subgroup_Overrides!$C$5:$C$200,$D43)&gt;0,_xludf.minifs(Subgroup_Overrides!$D$5:$D$200,Subgroup_Overrides!$A$5:$A$200,"A",Subgroup_Overrides!$B$5:$B$200,$C43,Subgroup_Overrides!$C$5:$C$200,$D43),"")</f>
        <v/>
      </c>
      <c r="K43" s="0" t="str">
        <f aca="false">IF(COUNTIFS(Subgroup_Overrides!$A$5:$A$200,"B",Subgroup_Overrides!$B$5:$B$200,$C43,Subgroup_Overrides!$C$5:$C$200,$D43)&gt;0,_xludf.minifs(Subgroup_Overrides!$D$5:$D$200,Subgroup_Overrides!$A$5:$A$200,"B",Subgroup_Overrides!$B$5:$B$200,$C43,Subgroup_Overrides!$C$5:$C$200,$D43),"")</f>
        <v/>
      </c>
      <c r="L43" s="0" t="str">
        <f aca="false">TRIM(B43)</f>
        <v>DIGN</v>
      </c>
      <c r="M43" s="0" t="n">
        <f aca="false">IF(H43="",NA(),1*H43)</f>
        <v>-0.0807256868155385</v>
      </c>
      <c r="N43" s="0" t="n">
        <f aca="false">IF(I43="",NA(),1*I43)</f>
        <v>0.0615155722135092</v>
      </c>
    </row>
    <row r="44" customFormat="false" ht="14.25" hidden="false" customHeight="true" outlineLevel="0" collapsed="false">
      <c r="A44" s="0" t="n">
        <v>43</v>
      </c>
      <c r="B44" s="0" t="s">
        <v>65</v>
      </c>
      <c r="C44" s="0" t="s">
        <v>405</v>
      </c>
      <c r="D44" s="0" t="s">
        <v>411</v>
      </c>
      <c r="E44" s="0" t="n">
        <v>-0.55</v>
      </c>
      <c r="F44" s="31" t="n">
        <f aca="false">INDEX(I_prop!$B$7:$H$13, MATCH($C44, I_prop!$A$7:$A$13,0), MATCH($D44, I_prop!$B$6:$H$6,0))</f>
        <v>0</v>
      </c>
      <c r="G44" s="31" t="n">
        <f aca="false">INDEX(I_prop!$B$18:$H$24, MATCH($C44, I_prop!$A$18:$A$24,0), MATCH($D44, I_prop!$B$17:$H$17,0))</f>
        <v>0</v>
      </c>
      <c r="H44" s="31" t="n">
        <f aca="false">IF($J44&lt;&gt;"",$J44,$F44)</f>
        <v>0</v>
      </c>
      <c r="I44" s="31" t="n">
        <f aca="false">IF($K44&lt;&gt;"",$K44,$G44)</f>
        <v>0</v>
      </c>
      <c r="J44" s="0" t="str">
        <f aca="false">IF(COUNTIFS(Subgroup_Overrides!$A$5:$A$200,"A",Subgroup_Overrides!$B$5:$B$200,$C44,Subgroup_Overrides!$C$5:$C$200,$D44)&gt;0,_xludf.minifs(Subgroup_Overrides!$D$5:$D$200,Subgroup_Overrides!$A$5:$A$200,"A",Subgroup_Overrides!$B$5:$B$200,$C44,Subgroup_Overrides!$C$5:$C$200,$D44),"")</f>
        <v/>
      </c>
      <c r="K44" s="0" t="str">
        <f aca="false">IF(COUNTIFS(Subgroup_Overrides!$A$5:$A$200,"B",Subgroup_Overrides!$B$5:$B$200,$C44,Subgroup_Overrides!$C$5:$C$200,$D44)&gt;0,_xludf.minifs(Subgroup_Overrides!$D$5:$D$200,Subgroup_Overrides!$A$5:$A$200,"B",Subgroup_Overrides!$B$5:$B$200,$C44,Subgroup_Overrides!$C$5:$C$200,$D44),"")</f>
        <v/>
      </c>
      <c r="L44" s="0" t="str">
        <f aca="false">TRIM(B44)</f>
        <v>DIGN</v>
      </c>
      <c r="M44" s="0" t="n">
        <f aca="false">IF(H44="",NA(),1*H44)</f>
        <v>0</v>
      </c>
      <c r="N44" s="0" t="n">
        <f aca="false">IF(I44="",NA(),1*I44)</f>
        <v>0</v>
      </c>
    </row>
    <row r="45" customFormat="false" ht="14.25" hidden="false" customHeight="true" outlineLevel="0" collapsed="false">
      <c r="A45" s="0" t="n">
        <v>44</v>
      </c>
      <c r="B45" s="0" t="s">
        <v>65</v>
      </c>
      <c r="C45" s="0" t="s">
        <v>406</v>
      </c>
      <c r="D45" s="0" t="s">
        <v>412</v>
      </c>
      <c r="E45" s="0" t="n">
        <v>-0.55</v>
      </c>
      <c r="F45" s="31" t="n">
        <f aca="false">INDEX(I_prop!$B$7:$H$13, MATCH($C45, I_prop!$A$7:$A$13,0), MATCH($D45, I_prop!$B$6:$H$6,0))</f>
        <v>0</v>
      </c>
      <c r="G45" s="31" t="n">
        <f aca="false">INDEX(I_prop!$B$18:$H$24, MATCH($C45, I_prop!$A$18:$A$24,0), MATCH($D45, I_prop!$B$17:$H$17,0))</f>
        <v>0</v>
      </c>
      <c r="H45" s="31" t="n">
        <f aca="false">IF($J45&lt;&gt;"",$J45,$F45)</f>
        <v>0</v>
      </c>
      <c r="I45" s="31" t="n">
        <f aca="false">IF($K45&lt;&gt;"",$K45,$G45)</f>
        <v>0</v>
      </c>
      <c r="J45" s="0" t="str">
        <f aca="false">IF(COUNTIFS(Subgroup_Overrides!$A$5:$A$200,"A",Subgroup_Overrides!$B$5:$B$200,$C45,Subgroup_Overrides!$C$5:$C$200,$D45)&gt;0,_xludf.minifs(Subgroup_Overrides!$D$5:$D$200,Subgroup_Overrides!$A$5:$A$200,"A",Subgroup_Overrides!$B$5:$B$200,$C45,Subgroup_Overrides!$C$5:$C$200,$D45),"")</f>
        <v/>
      </c>
      <c r="K45" s="0" t="str">
        <f aca="false">IF(COUNTIFS(Subgroup_Overrides!$A$5:$A$200,"B",Subgroup_Overrides!$B$5:$B$200,$C45,Subgroup_Overrides!$C$5:$C$200,$D45)&gt;0,_xludf.minifs(Subgroup_Overrides!$D$5:$D$200,Subgroup_Overrides!$A$5:$A$200,"B",Subgroup_Overrides!$B$5:$B$200,$C45,Subgroup_Overrides!$C$5:$C$200,$D45),"")</f>
        <v/>
      </c>
      <c r="L45" s="0" t="str">
        <f aca="false">TRIM(B45)</f>
        <v>DIGN</v>
      </c>
      <c r="M45" s="0" t="n">
        <f aca="false">IF(H45="",NA(),1*H45)</f>
        <v>0</v>
      </c>
      <c r="N45" s="0" t="n">
        <f aca="false">IF(I45="",NA(),1*I45)</f>
        <v>0</v>
      </c>
    </row>
    <row r="46" customFormat="false" ht="14.25" hidden="false" customHeight="true" outlineLevel="0" collapsed="false">
      <c r="A46" s="0" t="n">
        <v>45</v>
      </c>
      <c r="B46" s="0" t="s">
        <v>65</v>
      </c>
      <c r="C46" s="0" t="s">
        <v>406</v>
      </c>
      <c r="D46" s="0" t="s">
        <v>411</v>
      </c>
      <c r="E46" s="0" t="n">
        <v>-0.55</v>
      </c>
      <c r="F46" s="31" t="n">
        <f aca="false">INDEX(I_prop!$B$7:$H$13, MATCH($C46, I_prop!$A$7:$A$13,0), MATCH($D46, I_prop!$B$6:$H$6,0))</f>
        <v>0</v>
      </c>
      <c r="G46" s="31" t="n">
        <f aca="false">INDEX(I_prop!$B$18:$H$24, MATCH($C46, I_prop!$A$18:$A$24,0), MATCH($D46, I_prop!$B$17:$H$17,0))</f>
        <v>0</v>
      </c>
      <c r="H46" s="31" t="n">
        <f aca="false">IF($J46&lt;&gt;"",$J46,$F46)</f>
        <v>0</v>
      </c>
      <c r="I46" s="31" t="n">
        <f aca="false">IF($K46&lt;&gt;"",$K46,$G46)</f>
        <v>0</v>
      </c>
      <c r="J46" s="0" t="str">
        <f aca="false">IF(COUNTIFS(Subgroup_Overrides!$A$5:$A$200,"A",Subgroup_Overrides!$B$5:$B$200,$C46,Subgroup_Overrides!$C$5:$C$200,$D46)&gt;0,_xludf.minifs(Subgroup_Overrides!$D$5:$D$200,Subgroup_Overrides!$A$5:$A$200,"A",Subgroup_Overrides!$B$5:$B$200,$C46,Subgroup_Overrides!$C$5:$C$200,$D46),"")</f>
        <v/>
      </c>
      <c r="K46" s="0" t="str">
        <f aca="false">IF(COUNTIFS(Subgroup_Overrides!$A$5:$A$200,"B",Subgroup_Overrides!$B$5:$B$200,$C46,Subgroup_Overrides!$C$5:$C$200,$D46)&gt;0,_xludf.minifs(Subgroup_Overrides!$D$5:$D$200,Subgroup_Overrides!$A$5:$A$200,"B",Subgroup_Overrides!$B$5:$B$200,$C46,Subgroup_Overrides!$C$5:$C$200,$D46),"")</f>
        <v/>
      </c>
      <c r="L46" s="0" t="str">
        <f aca="false">TRIM(B46)</f>
        <v>DIGN</v>
      </c>
      <c r="M46" s="0" t="n">
        <f aca="false">IF(H46="",NA(),1*H46)</f>
        <v>0</v>
      </c>
      <c r="N46" s="0" t="n">
        <f aca="false">IF(I46="",NA(),1*I46)</f>
        <v>0</v>
      </c>
    </row>
    <row r="47" customFormat="false" ht="14.25" hidden="false" customHeight="true" outlineLevel="0" collapsed="false">
      <c r="A47" s="0" t="n">
        <v>46</v>
      </c>
      <c r="B47" s="0" t="s">
        <v>65</v>
      </c>
      <c r="C47" s="0" t="s">
        <v>407</v>
      </c>
      <c r="D47" s="0" t="s">
        <v>412</v>
      </c>
      <c r="E47" s="0" t="n">
        <v>-0.55</v>
      </c>
      <c r="F47" s="31" t="n">
        <f aca="false">INDEX(I_prop!$B$7:$H$13, MATCH($C47, I_prop!$A$7:$A$13,0), MATCH($D47, I_prop!$B$6:$H$6,0))</f>
        <v>0</v>
      </c>
      <c r="G47" s="31" t="n">
        <f aca="false">INDEX(I_prop!$B$18:$H$24, MATCH($C47, I_prop!$A$18:$A$24,0), MATCH($D47, I_prop!$B$17:$H$17,0))</f>
        <v>0</v>
      </c>
      <c r="H47" s="31" t="n">
        <f aca="false">IF($J47&lt;&gt;"",$J47,$F47)</f>
        <v>0</v>
      </c>
      <c r="I47" s="31" t="n">
        <f aca="false">IF($K47&lt;&gt;"",$K47,$G47)</f>
        <v>0</v>
      </c>
      <c r="J47" s="0" t="str">
        <f aca="false">IF(COUNTIFS(Subgroup_Overrides!$A$5:$A$200,"A",Subgroup_Overrides!$B$5:$B$200,$C47,Subgroup_Overrides!$C$5:$C$200,$D47)&gt;0,_xludf.minifs(Subgroup_Overrides!$D$5:$D$200,Subgroup_Overrides!$A$5:$A$200,"A",Subgroup_Overrides!$B$5:$B$200,$C47,Subgroup_Overrides!$C$5:$C$200,$D47),"")</f>
        <v/>
      </c>
      <c r="K47" s="0" t="str">
        <f aca="false">IF(COUNTIFS(Subgroup_Overrides!$A$5:$A$200,"B",Subgroup_Overrides!$B$5:$B$200,$C47,Subgroup_Overrides!$C$5:$C$200,$D47)&gt;0,_xludf.minifs(Subgroup_Overrides!$D$5:$D$200,Subgroup_Overrides!$A$5:$A$200,"B",Subgroup_Overrides!$B$5:$B$200,$C47,Subgroup_Overrides!$C$5:$C$200,$D47),"")</f>
        <v/>
      </c>
      <c r="L47" s="0" t="str">
        <f aca="false">TRIM(B47)</f>
        <v>DIGN</v>
      </c>
      <c r="M47" s="0" t="n">
        <f aca="false">IF(H47="",NA(),1*H47)</f>
        <v>0</v>
      </c>
      <c r="N47" s="0" t="n">
        <f aca="false">IF(I47="",NA(),1*I47)</f>
        <v>0</v>
      </c>
    </row>
    <row r="48" customFormat="false" ht="14.25" hidden="false" customHeight="true" outlineLevel="0" collapsed="false">
      <c r="A48" s="0" t="n">
        <v>47</v>
      </c>
      <c r="B48" s="0" t="s">
        <v>65</v>
      </c>
      <c r="C48" s="0" t="s">
        <v>407</v>
      </c>
      <c r="D48" s="0" t="s">
        <v>411</v>
      </c>
      <c r="E48" s="0" t="n">
        <v>-0.55</v>
      </c>
      <c r="F48" s="31" t="n">
        <f aca="false">INDEX(I_prop!$B$7:$H$13, MATCH($C48, I_prop!$A$7:$A$13,0), MATCH($D48, I_prop!$B$6:$H$6,0))</f>
        <v>0</v>
      </c>
      <c r="G48" s="31" t="n">
        <f aca="false">INDEX(I_prop!$B$18:$H$24, MATCH($C48, I_prop!$A$18:$A$24,0), MATCH($D48, I_prop!$B$17:$H$17,0))</f>
        <v>0</v>
      </c>
      <c r="H48" s="31" t="n">
        <f aca="false">IF($J48&lt;&gt;"",$J48,$F48)</f>
        <v>0</v>
      </c>
      <c r="I48" s="31" t="n">
        <f aca="false">IF($K48&lt;&gt;"",$K48,$G48)</f>
        <v>0</v>
      </c>
      <c r="J48" s="0" t="str">
        <f aca="false">IF(COUNTIFS(Subgroup_Overrides!$A$5:$A$200,"A",Subgroup_Overrides!$B$5:$B$200,$C48,Subgroup_Overrides!$C$5:$C$200,$D48)&gt;0,_xludf.minifs(Subgroup_Overrides!$D$5:$D$200,Subgroup_Overrides!$A$5:$A$200,"A",Subgroup_Overrides!$B$5:$B$200,$C48,Subgroup_Overrides!$C$5:$C$200,$D48),"")</f>
        <v/>
      </c>
      <c r="K48" s="0" t="str">
        <f aca="false">IF(COUNTIFS(Subgroup_Overrides!$A$5:$A$200,"B",Subgroup_Overrides!$B$5:$B$200,$C48,Subgroup_Overrides!$C$5:$C$200,$D48)&gt;0,_xludf.minifs(Subgroup_Overrides!$D$5:$D$200,Subgroup_Overrides!$A$5:$A$200,"B",Subgroup_Overrides!$B$5:$B$200,$C48,Subgroup_Overrides!$C$5:$C$200,$D48),"")</f>
        <v/>
      </c>
      <c r="L48" s="0" t="str">
        <f aca="false">TRIM(B48)</f>
        <v>DIGN</v>
      </c>
      <c r="M48" s="0" t="n">
        <f aca="false">IF(H48="",NA(),1*H48)</f>
        <v>0</v>
      </c>
      <c r="N48" s="0" t="n">
        <f aca="false">IF(I48="",NA(),1*I48)</f>
        <v>0</v>
      </c>
    </row>
    <row r="49" customFormat="false" ht="14.25" hidden="false" customHeight="true" outlineLevel="0" collapsed="false">
      <c r="A49" s="0" t="n">
        <v>48</v>
      </c>
      <c r="B49" s="0" t="s">
        <v>65</v>
      </c>
      <c r="C49" s="0" t="s">
        <v>408</v>
      </c>
      <c r="D49" s="0" t="s">
        <v>412</v>
      </c>
      <c r="E49" s="0" t="n">
        <v>-0.55</v>
      </c>
      <c r="F49" s="31" t="n">
        <f aca="false">INDEX(I_prop!$B$7:$H$13, MATCH($C49, I_prop!$A$7:$A$13,0), MATCH($D49, I_prop!$B$6:$H$6,0))</f>
        <v>0</v>
      </c>
      <c r="G49" s="31" t="n">
        <f aca="false">INDEX(I_prop!$B$18:$H$24, MATCH($C49, I_prop!$A$18:$A$24,0), MATCH($D49, I_prop!$B$17:$H$17,0))</f>
        <v>0</v>
      </c>
      <c r="H49" s="31" t="n">
        <f aca="false">IF($J49&lt;&gt;"",$J49,$F49)</f>
        <v>0</v>
      </c>
      <c r="I49" s="31" t="n">
        <f aca="false">IF($K49&lt;&gt;"",$K49,$G49)</f>
        <v>0</v>
      </c>
      <c r="J49" s="0" t="str">
        <f aca="false">IF(COUNTIFS(Subgroup_Overrides!$A$5:$A$200,"A",Subgroup_Overrides!$B$5:$B$200,$C49,Subgroup_Overrides!$C$5:$C$200,$D49)&gt;0,_xludf.minifs(Subgroup_Overrides!$D$5:$D$200,Subgroup_Overrides!$A$5:$A$200,"A",Subgroup_Overrides!$B$5:$B$200,$C49,Subgroup_Overrides!$C$5:$C$200,$D49),"")</f>
        <v/>
      </c>
      <c r="K49" s="0" t="str">
        <f aca="false">IF(COUNTIFS(Subgroup_Overrides!$A$5:$A$200,"B",Subgroup_Overrides!$B$5:$B$200,$C49,Subgroup_Overrides!$C$5:$C$200,$D49)&gt;0,_xludf.minifs(Subgroup_Overrides!$D$5:$D$200,Subgroup_Overrides!$A$5:$A$200,"B",Subgroup_Overrides!$B$5:$B$200,$C49,Subgroup_Overrides!$C$5:$C$200,$D49),"")</f>
        <v/>
      </c>
      <c r="L49" s="0" t="str">
        <f aca="false">TRIM(B49)</f>
        <v>DIGN</v>
      </c>
      <c r="M49" s="0" t="n">
        <f aca="false">IF(H49="",NA(),1*H49)</f>
        <v>0</v>
      </c>
      <c r="N49" s="0" t="n">
        <f aca="false">IF(I49="",NA(),1*I49)</f>
        <v>0</v>
      </c>
    </row>
    <row r="50" customFormat="false" ht="14.25" hidden="false" customHeight="true" outlineLevel="0" collapsed="false">
      <c r="A50" s="0" t="n">
        <v>49</v>
      </c>
      <c r="B50" s="0" t="s">
        <v>65</v>
      </c>
      <c r="C50" s="0" t="s">
        <v>408</v>
      </c>
      <c r="D50" s="0" t="s">
        <v>411</v>
      </c>
      <c r="E50" s="0" t="n">
        <v>-0.55</v>
      </c>
      <c r="F50" s="31" t="n">
        <f aca="false">INDEX(I_prop!$B$7:$H$13, MATCH($C50, I_prop!$A$7:$A$13,0), MATCH($D50, I_prop!$B$6:$H$6,0))</f>
        <v>0</v>
      </c>
      <c r="G50" s="31" t="n">
        <f aca="false">INDEX(I_prop!$B$18:$H$24, MATCH($C50, I_prop!$A$18:$A$24,0), MATCH($D50, I_prop!$B$17:$H$17,0))</f>
        <v>0</v>
      </c>
      <c r="H50" s="31" t="n">
        <f aca="false">IF($J50&lt;&gt;"",$J50,$F50)</f>
        <v>0</v>
      </c>
      <c r="I50" s="31" t="n">
        <f aca="false">IF($K50&lt;&gt;"",$K50,$G50)</f>
        <v>0</v>
      </c>
      <c r="J50" s="0" t="str">
        <f aca="false">IF(COUNTIFS(Subgroup_Overrides!$A$5:$A$200,"A",Subgroup_Overrides!$B$5:$B$200,$C50,Subgroup_Overrides!$C$5:$C$200,$D50)&gt;0,_xludf.minifs(Subgroup_Overrides!$D$5:$D$200,Subgroup_Overrides!$A$5:$A$200,"A",Subgroup_Overrides!$B$5:$B$200,$C50,Subgroup_Overrides!$C$5:$C$200,$D50),"")</f>
        <v/>
      </c>
      <c r="K50" s="0" t="str">
        <f aca="false">IF(COUNTIFS(Subgroup_Overrides!$A$5:$A$200,"B",Subgroup_Overrides!$B$5:$B$200,$C50,Subgroup_Overrides!$C$5:$C$200,$D50)&gt;0,_xludf.minifs(Subgroup_Overrides!$D$5:$D$200,Subgroup_Overrides!$A$5:$A$200,"B",Subgroup_Overrides!$B$5:$B$200,$C50,Subgroup_Overrides!$C$5:$C$200,$D50),"")</f>
        <v/>
      </c>
      <c r="L50" s="0" t="str">
        <f aca="false">TRIM(B50)</f>
        <v>DIGN</v>
      </c>
      <c r="M50" s="0" t="n">
        <f aca="false">IF(H50="",NA(),1*H50)</f>
        <v>0</v>
      </c>
      <c r="N50" s="0" t="n">
        <f aca="false">IF(I50="",NA(),1*I50)</f>
        <v>0</v>
      </c>
    </row>
    <row r="51" customFormat="false" ht="14.25" hidden="false" customHeight="true" outlineLevel="0" collapsed="false">
      <c r="A51" s="0" t="n">
        <v>50</v>
      </c>
      <c r="B51" s="0" t="s">
        <v>66</v>
      </c>
      <c r="C51" s="0" t="s">
        <v>406</v>
      </c>
      <c r="D51" s="0" t="s">
        <v>412</v>
      </c>
      <c r="E51" s="0" t="n">
        <v>-0.45</v>
      </c>
      <c r="F51" s="31" t="n">
        <f aca="false">INDEX(I_prop!$B$7:$H$13, MATCH($C51, I_prop!$A$7:$A$13,0), MATCH($D51, I_prop!$B$6:$H$6,0))</f>
        <v>0</v>
      </c>
      <c r="G51" s="31" t="n">
        <f aca="false">INDEX(I_prop!$B$18:$H$24, MATCH($C51, I_prop!$A$18:$A$24,0), MATCH($D51, I_prop!$B$17:$H$17,0))</f>
        <v>0</v>
      </c>
      <c r="H51" s="31" t="n">
        <f aca="false">IF($J51&lt;&gt;"",$J51,$F51)</f>
        <v>0</v>
      </c>
      <c r="I51" s="31" t="n">
        <f aca="false">IF($K51&lt;&gt;"",$K51,$G51)</f>
        <v>0</v>
      </c>
      <c r="J51" s="0" t="str">
        <f aca="false">IF(COUNTIFS(Subgroup_Overrides!$A$5:$A$200,"A",Subgroup_Overrides!$B$5:$B$200,$C51,Subgroup_Overrides!$C$5:$C$200,$D51)&gt;0,_xludf.minifs(Subgroup_Overrides!$D$5:$D$200,Subgroup_Overrides!$A$5:$A$200,"A",Subgroup_Overrides!$B$5:$B$200,$C51,Subgroup_Overrides!$C$5:$C$200,$D51),"")</f>
        <v/>
      </c>
      <c r="K51" s="0" t="str">
        <f aca="false">IF(COUNTIFS(Subgroup_Overrides!$A$5:$A$200,"B",Subgroup_Overrides!$B$5:$B$200,$C51,Subgroup_Overrides!$C$5:$C$200,$D51)&gt;0,_xludf.minifs(Subgroup_Overrides!$D$5:$D$200,Subgroup_Overrides!$A$5:$A$200,"B",Subgroup_Overrides!$B$5:$B$200,$C51,Subgroup_Overrides!$C$5:$C$200,$D51),"")</f>
        <v/>
      </c>
      <c r="L51" s="0" t="str">
        <f aca="false">TRIM(B51)</f>
        <v>PROC</v>
      </c>
      <c r="M51" s="0" t="n">
        <f aca="false">IF(H51="",NA(),1*H51)</f>
        <v>0</v>
      </c>
      <c r="N51" s="0" t="n">
        <f aca="false">IF(I51="",NA(),1*I51)</f>
        <v>0</v>
      </c>
    </row>
    <row r="52" customFormat="false" ht="14.25" hidden="false" customHeight="true" outlineLevel="0" collapsed="false">
      <c r="A52" s="0" t="n">
        <v>51</v>
      </c>
      <c r="B52" s="0" t="s">
        <v>66</v>
      </c>
      <c r="C52" s="0" t="s">
        <v>406</v>
      </c>
      <c r="D52" s="0" t="s">
        <v>414</v>
      </c>
      <c r="E52" s="0" t="n">
        <v>-0.45</v>
      </c>
      <c r="F52" s="31" t="n">
        <f aca="false">INDEX(I_prop!$B$7:$H$13, MATCH($C52, I_prop!$A$7:$A$13,0), MATCH($D52, I_prop!$B$6:$H$6,0))</f>
        <v>0</v>
      </c>
      <c r="G52" s="31" t="n">
        <f aca="false">INDEX(I_prop!$B$18:$H$24, MATCH($C52, I_prop!$A$18:$A$24,0), MATCH($D52, I_prop!$B$17:$H$17,0))</f>
        <v>0</v>
      </c>
      <c r="H52" s="31" t="n">
        <f aca="false">IF($J52&lt;&gt;"",$J52,$F52)</f>
        <v>0</v>
      </c>
      <c r="I52" s="31" t="n">
        <f aca="false">IF($K52&lt;&gt;"",$K52,$G52)</f>
        <v>0</v>
      </c>
      <c r="J52" s="0" t="str">
        <f aca="false">IF(COUNTIFS(Subgroup_Overrides!$A$5:$A$200,"A",Subgroup_Overrides!$B$5:$B$200,$C52,Subgroup_Overrides!$C$5:$C$200,$D52)&gt;0,_xludf.minifs(Subgroup_Overrides!$D$5:$D$200,Subgroup_Overrides!$A$5:$A$200,"A",Subgroup_Overrides!$B$5:$B$200,$C52,Subgroup_Overrides!$C$5:$C$200,$D52),"")</f>
        <v/>
      </c>
      <c r="K52" s="0" t="str">
        <f aca="false">IF(COUNTIFS(Subgroup_Overrides!$A$5:$A$200,"B",Subgroup_Overrides!$B$5:$B$200,$C52,Subgroup_Overrides!$C$5:$C$200,$D52)&gt;0,_xludf.minifs(Subgroup_Overrides!$D$5:$D$200,Subgroup_Overrides!$A$5:$A$200,"B",Subgroup_Overrides!$B$5:$B$200,$C52,Subgroup_Overrides!$C$5:$C$200,$D52),"")</f>
        <v/>
      </c>
      <c r="L52" s="0" t="str">
        <f aca="false">TRIM(B52)</f>
        <v>PROC</v>
      </c>
      <c r="M52" s="0" t="n">
        <f aca="false">IF(H52="",NA(),1*H52)</f>
        <v>0</v>
      </c>
      <c r="N52" s="0" t="n">
        <f aca="false">IF(I52="",NA(),1*I52)</f>
        <v>0</v>
      </c>
    </row>
    <row r="53" customFormat="false" ht="14.25" hidden="false" customHeight="true" outlineLevel="0" collapsed="false">
      <c r="A53" s="0" t="n">
        <v>52</v>
      </c>
      <c r="B53" s="0" t="s">
        <v>66</v>
      </c>
      <c r="C53" s="0" t="s">
        <v>406</v>
      </c>
      <c r="D53" s="0" t="s">
        <v>411</v>
      </c>
      <c r="E53" s="0" t="n">
        <v>-0.45</v>
      </c>
      <c r="F53" s="31" t="n">
        <f aca="false">INDEX(I_prop!$B$7:$H$13, MATCH($C53, I_prop!$A$7:$A$13,0), MATCH($D53, I_prop!$B$6:$H$6,0))</f>
        <v>0</v>
      </c>
      <c r="G53" s="31" t="n">
        <f aca="false">INDEX(I_prop!$B$18:$H$24, MATCH($C53, I_prop!$A$18:$A$24,0), MATCH($D53, I_prop!$B$17:$H$17,0))</f>
        <v>0</v>
      </c>
      <c r="H53" s="31" t="n">
        <f aca="false">IF($J53&lt;&gt;"",$J53,$F53)</f>
        <v>0</v>
      </c>
      <c r="I53" s="31" t="n">
        <f aca="false">IF($K53&lt;&gt;"",$K53,$G53)</f>
        <v>0</v>
      </c>
      <c r="J53" s="0" t="str">
        <f aca="false">IF(COUNTIFS(Subgroup_Overrides!$A$5:$A$200,"A",Subgroup_Overrides!$B$5:$B$200,$C53,Subgroup_Overrides!$C$5:$C$200,$D53)&gt;0,_xludf.minifs(Subgroup_Overrides!$D$5:$D$200,Subgroup_Overrides!$A$5:$A$200,"A",Subgroup_Overrides!$B$5:$B$200,$C53,Subgroup_Overrides!$C$5:$C$200,$D53),"")</f>
        <v/>
      </c>
      <c r="K53" s="0" t="str">
        <f aca="false">IF(COUNTIFS(Subgroup_Overrides!$A$5:$A$200,"B",Subgroup_Overrides!$B$5:$B$200,$C53,Subgroup_Overrides!$C$5:$C$200,$D53)&gt;0,_xludf.minifs(Subgroup_Overrides!$D$5:$D$200,Subgroup_Overrides!$A$5:$A$200,"B",Subgroup_Overrides!$B$5:$B$200,$C53,Subgroup_Overrides!$C$5:$C$200,$D53),"")</f>
        <v/>
      </c>
      <c r="L53" s="0" t="str">
        <f aca="false">TRIM(B53)</f>
        <v>PROC</v>
      </c>
      <c r="M53" s="0" t="n">
        <f aca="false">IF(H53="",NA(),1*H53)</f>
        <v>0</v>
      </c>
      <c r="N53" s="0" t="n">
        <f aca="false">IF(I53="",NA(),1*I53)</f>
        <v>0</v>
      </c>
    </row>
    <row r="54" customFormat="false" ht="14.25" hidden="false" customHeight="true" outlineLevel="0" collapsed="false">
      <c r="A54" s="0" t="n">
        <v>53</v>
      </c>
      <c r="B54" s="0" t="s">
        <v>66</v>
      </c>
      <c r="C54" s="0" t="s">
        <v>407</v>
      </c>
      <c r="D54" s="0" t="s">
        <v>412</v>
      </c>
      <c r="E54" s="0" t="n">
        <v>-0.45</v>
      </c>
      <c r="F54" s="31" t="n">
        <f aca="false">INDEX(I_prop!$B$7:$H$13, MATCH($C54, I_prop!$A$7:$A$13,0), MATCH($D54, I_prop!$B$6:$H$6,0))</f>
        <v>0</v>
      </c>
      <c r="G54" s="31" t="n">
        <f aca="false">INDEX(I_prop!$B$18:$H$24, MATCH($C54, I_prop!$A$18:$A$24,0), MATCH($D54, I_prop!$B$17:$H$17,0))</f>
        <v>0</v>
      </c>
      <c r="H54" s="31" t="n">
        <f aca="false">IF($J54&lt;&gt;"",$J54,$F54)</f>
        <v>0</v>
      </c>
      <c r="I54" s="31" t="n">
        <f aca="false">IF($K54&lt;&gt;"",$K54,$G54)</f>
        <v>0</v>
      </c>
      <c r="J54" s="0" t="str">
        <f aca="false">IF(COUNTIFS(Subgroup_Overrides!$A$5:$A$200,"A",Subgroup_Overrides!$B$5:$B$200,$C54,Subgroup_Overrides!$C$5:$C$200,$D54)&gt;0,_xludf.minifs(Subgroup_Overrides!$D$5:$D$200,Subgroup_Overrides!$A$5:$A$200,"A",Subgroup_Overrides!$B$5:$B$200,$C54,Subgroup_Overrides!$C$5:$C$200,$D54),"")</f>
        <v/>
      </c>
      <c r="K54" s="0" t="str">
        <f aca="false">IF(COUNTIFS(Subgroup_Overrides!$A$5:$A$200,"B",Subgroup_Overrides!$B$5:$B$200,$C54,Subgroup_Overrides!$C$5:$C$200,$D54)&gt;0,_xludf.minifs(Subgroup_Overrides!$D$5:$D$200,Subgroup_Overrides!$A$5:$A$200,"B",Subgroup_Overrides!$B$5:$B$200,$C54,Subgroup_Overrides!$C$5:$C$200,$D54),"")</f>
        <v/>
      </c>
      <c r="L54" s="0" t="str">
        <f aca="false">TRIM(B54)</f>
        <v>PROC</v>
      </c>
      <c r="M54" s="0" t="n">
        <f aca="false">IF(H54="",NA(),1*H54)</f>
        <v>0</v>
      </c>
      <c r="N54" s="0" t="n">
        <f aca="false">IF(I54="",NA(),1*I54)</f>
        <v>0</v>
      </c>
    </row>
    <row r="55" customFormat="false" ht="14.25" hidden="false" customHeight="true" outlineLevel="0" collapsed="false">
      <c r="A55" s="0" t="n">
        <v>54</v>
      </c>
      <c r="B55" s="0" t="s">
        <v>66</v>
      </c>
      <c r="C55" s="0" t="s">
        <v>407</v>
      </c>
      <c r="D55" s="0" t="s">
        <v>414</v>
      </c>
      <c r="E55" s="0" t="n">
        <v>-0.45</v>
      </c>
      <c r="F55" s="31" t="n">
        <f aca="false">INDEX(I_prop!$B$7:$H$13, MATCH($C55, I_prop!$A$7:$A$13,0), MATCH($D55, I_prop!$B$6:$H$6,0))</f>
        <v>0</v>
      </c>
      <c r="G55" s="31" t="n">
        <f aca="false">INDEX(I_prop!$B$18:$H$24, MATCH($C55, I_prop!$A$18:$A$24,0), MATCH($D55, I_prop!$B$17:$H$17,0))</f>
        <v>0</v>
      </c>
      <c r="H55" s="31" t="n">
        <f aca="false">IF($J55&lt;&gt;"",$J55,$F55)</f>
        <v>0</v>
      </c>
      <c r="I55" s="31" t="n">
        <f aca="false">IF($K55&lt;&gt;"",$K55,$G55)</f>
        <v>0</v>
      </c>
      <c r="J55" s="0" t="str">
        <f aca="false">IF(COUNTIFS(Subgroup_Overrides!$A$5:$A$200,"A",Subgroup_Overrides!$B$5:$B$200,$C55,Subgroup_Overrides!$C$5:$C$200,$D55)&gt;0,_xludf.minifs(Subgroup_Overrides!$D$5:$D$200,Subgroup_Overrides!$A$5:$A$200,"A",Subgroup_Overrides!$B$5:$B$200,$C55,Subgroup_Overrides!$C$5:$C$200,$D55),"")</f>
        <v/>
      </c>
      <c r="K55" s="0" t="str">
        <f aca="false">IF(COUNTIFS(Subgroup_Overrides!$A$5:$A$200,"B",Subgroup_Overrides!$B$5:$B$200,$C55,Subgroup_Overrides!$C$5:$C$200,$D55)&gt;0,_xludf.minifs(Subgroup_Overrides!$D$5:$D$200,Subgroup_Overrides!$A$5:$A$200,"B",Subgroup_Overrides!$B$5:$B$200,$C55,Subgroup_Overrides!$C$5:$C$200,$D55),"")</f>
        <v/>
      </c>
      <c r="L55" s="0" t="str">
        <f aca="false">TRIM(B55)</f>
        <v>PROC</v>
      </c>
      <c r="M55" s="0" t="n">
        <f aca="false">IF(H55="",NA(),1*H55)</f>
        <v>0</v>
      </c>
      <c r="N55" s="0" t="n">
        <f aca="false">IF(I55="",NA(),1*I55)</f>
        <v>0</v>
      </c>
    </row>
    <row r="56" customFormat="false" ht="14.25" hidden="false" customHeight="true" outlineLevel="0" collapsed="false">
      <c r="A56" s="0" t="n">
        <v>55</v>
      </c>
      <c r="B56" s="0" t="s">
        <v>66</v>
      </c>
      <c r="C56" s="0" t="s">
        <v>407</v>
      </c>
      <c r="D56" s="0" t="s">
        <v>411</v>
      </c>
      <c r="E56" s="0" t="n">
        <v>-0.45</v>
      </c>
      <c r="F56" s="31" t="n">
        <f aca="false">INDEX(I_prop!$B$7:$H$13, MATCH($C56, I_prop!$A$7:$A$13,0), MATCH($D56, I_prop!$B$6:$H$6,0))</f>
        <v>0</v>
      </c>
      <c r="G56" s="31" t="n">
        <f aca="false">INDEX(I_prop!$B$18:$H$24, MATCH($C56, I_prop!$A$18:$A$24,0), MATCH($D56, I_prop!$B$17:$H$17,0))</f>
        <v>0</v>
      </c>
      <c r="H56" s="31" t="n">
        <f aca="false">IF($J56&lt;&gt;"",$J56,$F56)</f>
        <v>0</v>
      </c>
      <c r="I56" s="31" t="n">
        <f aca="false">IF($K56&lt;&gt;"",$K56,$G56)</f>
        <v>0</v>
      </c>
      <c r="J56" s="0" t="str">
        <f aca="false">IF(COUNTIFS(Subgroup_Overrides!$A$5:$A$200,"A",Subgroup_Overrides!$B$5:$B$200,$C56,Subgroup_Overrides!$C$5:$C$200,$D56)&gt;0,_xludf.minifs(Subgroup_Overrides!$D$5:$D$200,Subgroup_Overrides!$A$5:$A$200,"A",Subgroup_Overrides!$B$5:$B$200,$C56,Subgroup_Overrides!$C$5:$C$200,$D56),"")</f>
        <v/>
      </c>
      <c r="K56" s="0" t="str">
        <f aca="false">IF(COUNTIFS(Subgroup_Overrides!$A$5:$A$200,"B",Subgroup_Overrides!$B$5:$B$200,$C56,Subgroup_Overrides!$C$5:$C$200,$D56)&gt;0,_xludf.minifs(Subgroup_Overrides!$D$5:$D$200,Subgroup_Overrides!$A$5:$A$200,"B",Subgroup_Overrides!$B$5:$B$200,$C56,Subgroup_Overrides!$C$5:$C$200,$D56),"")</f>
        <v/>
      </c>
      <c r="L56" s="0" t="str">
        <f aca="false">TRIM(B56)</f>
        <v>PROC</v>
      </c>
      <c r="M56" s="0" t="n">
        <f aca="false">IF(H56="",NA(),1*H56)</f>
        <v>0</v>
      </c>
      <c r="N56" s="0" t="n">
        <f aca="false">IF(I56="",NA(),1*I56)</f>
        <v>0</v>
      </c>
    </row>
    <row r="57" customFormat="false" ht="14.25" hidden="false" customHeight="true" outlineLevel="0" collapsed="false">
      <c r="A57" s="0" t="n">
        <v>56</v>
      </c>
      <c r="B57" s="0" t="s">
        <v>66</v>
      </c>
      <c r="C57" s="0" t="s">
        <v>408</v>
      </c>
      <c r="D57" s="0" t="s">
        <v>412</v>
      </c>
      <c r="E57" s="0" t="n">
        <v>-0.45</v>
      </c>
      <c r="F57" s="31" t="n">
        <f aca="false">INDEX(I_prop!$B$7:$H$13, MATCH($C57, I_prop!$A$7:$A$13,0), MATCH($D57, I_prop!$B$6:$H$6,0))</f>
        <v>0</v>
      </c>
      <c r="G57" s="31" t="n">
        <f aca="false">INDEX(I_prop!$B$18:$H$24, MATCH($C57, I_prop!$A$18:$A$24,0), MATCH($D57, I_prop!$B$17:$H$17,0))</f>
        <v>0</v>
      </c>
      <c r="H57" s="31" t="n">
        <f aca="false">IF($J57&lt;&gt;"",$J57,$F57)</f>
        <v>0</v>
      </c>
      <c r="I57" s="31" t="n">
        <f aca="false">IF($K57&lt;&gt;"",$K57,$G57)</f>
        <v>0</v>
      </c>
      <c r="J57" s="0" t="str">
        <f aca="false">IF(COUNTIFS(Subgroup_Overrides!$A$5:$A$200,"A",Subgroup_Overrides!$B$5:$B$200,$C57,Subgroup_Overrides!$C$5:$C$200,$D57)&gt;0,_xludf.minifs(Subgroup_Overrides!$D$5:$D$200,Subgroup_Overrides!$A$5:$A$200,"A",Subgroup_Overrides!$B$5:$B$200,$C57,Subgroup_Overrides!$C$5:$C$200,$D57),"")</f>
        <v/>
      </c>
      <c r="K57" s="0" t="str">
        <f aca="false">IF(COUNTIFS(Subgroup_Overrides!$A$5:$A$200,"B",Subgroup_Overrides!$B$5:$B$200,$C57,Subgroup_Overrides!$C$5:$C$200,$D57)&gt;0,_xludf.minifs(Subgroup_Overrides!$D$5:$D$200,Subgroup_Overrides!$A$5:$A$200,"B",Subgroup_Overrides!$B$5:$B$200,$C57,Subgroup_Overrides!$C$5:$C$200,$D57),"")</f>
        <v/>
      </c>
      <c r="L57" s="0" t="str">
        <f aca="false">TRIM(B57)</f>
        <v>PROC</v>
      </c>
      <c r="M57" s="0" t="n">
        <f aca="false">IF(H57="",NA(),1*H57)</f>
        <v>0</v>
      </c>
      <c r="N57" s="0" t="n">
        <f aca="false">IF(I57="",NA(),1*I57)</f>
        <v>0</v>
      </c>
    </row>
    <row r="58" customFormat="false" ht="14.25" hidden="false" customHeight="true" outlineLevel="0" collapsed="false">
      <c r="A58" s="0" t="n">
        <v>57</v>
      </c>
      <c r="B58" s="0" t="s">
        <v>66</v>
      </c>
      <c r="C58" s="0" t="s">
        <v>408</v>
      </c>
      <c r="D58" s="0" t="s">
        <v>414</v>
      </c>
      <c r="E58" s="0" t="n">
        <v>-0.45</v>
      </c>
      <c r="F58" s="31" t="n">
        <f aca="false">INDEX(I_prop!$B$7:$H$13, MATCH($C58, I_prop!$A$7:$A$13,0), MATCH($D58, I_prop!$B$6:$H$6,0))</f>
        <v>0</v>
      </c>
      <c r="G58" s="31" t="n">
        <f aca="false">INDEX(I_prop!$B$18:$H$24, MATCH($C58, I_prop!$A$18:$A$24,0), MATCH($D58, I_prop!$B$17:$H$17,0))</f>
        <v>0</v>
      </c>
      <c r="H58" s="31" t="n">
        <f aca="false">IF($J58&lt;&gt;"",$J58,$F58)</f>
        <v>0</v>
      </c>
      <c r="I58" s="31" t="n">
        <f aca="false">IF($K58&lt;&gt;"",$K58,$G58)</f>
        <v>0</v>
      </c>
      <c r="J58" s="0" t="str">
        <f aca="false">IF(COUNTIFS(Subgroup_Overrides!$A$5:$A$200,"A",Subgroup_Overrides!$B$5:$B$200,$C58,Subgroup_Overrides!$C$5:$C$200,$D58)&gt;0,_xludf.minifs(Subgroup_Overrides!$D$5:$D$200,Subgroup_Overrides!$A$5:$A$200,"A",Subgroup_Overrides!$B$5:$B$200,$C58,Subgroup_Overrides!$C$5:$C$200,$D58),"")</f>
        <v/>
      </c>
      <c r="K58" s="0" t="str">
        <f aca="false">IF(COUNTIFS(Subgroup_Overrides!$A$5:$A$200,"B",Subgroup_Overrides!$B$5:$B$200,$C58,Subgroup_Overrides!$C$5:$C$200,$D58)&gt;0,_xludf.minifs(Subgroup_Overrides!$D$5:$D$200,Subgroup_Overrides!$A$5:$A$200,"B",Subgroup_Overrides!$B$5:$B$200,$C58,Subgroup_Overrides!$C$5:$C$200,$D58),"")</f>
        <v/>
      </c>
      <c r="L58" s="0" t="str">
        <f aca="false">TRIM(B58)</f>
        <v>PROC</v>
      </c>
      <c r="M58" s="0" t="n">
        <f aca="false">IF(H58="",NA(),1*H58)</f>
        <v>0</v>
      </c>
      <c r="N58" s="0" t="n">
        <f aca="false">IF(I58="",NA(),1*I58)</f>
        <v>0</v>
      </c>
    </row>
    <row r="59" customFormat="false" ht="14.25" hidden="false" customHeight="true" outlineLevel="0" collapsed="false">
      <c r="A59" s="0" t="n">
        <v>58</v>
      </c>
      <c r="B59" s="0" t="s">
        <v>66</v>
      </c>
      <c r="C59" s="0" t="s">
        <v>408</v>
      </c>
      <c r="D59" s="0" t="s">
        <v>411</v>
      </c>
      <c r="E59" s="0" t="n">
        <v>-0.45</v>
      </c>
      <c r="F59" s="31" t="n">
        <f aca="false">INDEX(I_prop!$B$7:$H$13, MATCH($C59, I_prop!$A$7:$A$13,0), MATCH($D59, I_prop!$B$6:$H$6,0))</f>
        <v>0</v>
      </c>
      <c r="G59" s="31" t="n">
        <f aca="false">INDEX(I_prop!$B$18:$H$24, MATCH($C59, I_prop!$A$18:$A$24,0), MATCH($D59, I_prop!$B$17:$H$17,0))</f>
        <v>0</v>
      </c>
      <c r="H59" s="31" t="n">
        <f aca="false">IF($J59&lt;&gt;"",$J59,$F59)</f>
        <v>0</v>
      </c>
      <c r="I59" s="31" t="n">
        <f aca="false">IF($K59&lt;&gt;"",$K59,$G59)</f>
        <v>0</v>
      </c>
      <c r="J59" s="0" t="str">
        <f aca="false">IF(COUNTIFS(Subgroup_Overrides!$A$5:$A$200,"A",Subgroup_Overrides!$B$5:$B$200,$C59,Subgroup_Overrides!$C$5:$C$200,$D59)&gt;0,_xludf.minifs(Subgroup_Overrides!$D$5:$D$200,Subgroup_Overrides!$A$5:$A$200,"A",Subgroup_Overrides!$B$5:$B$200,$C59,Subgroup_Overrides!$C$5:$C$200,$D59),"")</f>
        <v/>
      </c>
      <c r="K59" s="0" t="str">
        <f aca="false">IF(COUNTIFS(Subgroup_Overrides!$A$5:$A$200,"B",Subgroup_Overrides!$B$5:$B$200,$C59,Subgroup_Overrides!$C$5:$C$200,$D59)&gt;0,_xludf.minifs(Subgroup_Overrides!$D$5:$D$200,Subgroup_Overrides!$A$5:$A$200,"B",Subgroup_Overrides!$B$5:$B$200,$C59,Subgroup_Overrides!$C$5:$C$200,$D59),"")</f>
        <v/>
      </c>
      <c r="L59" s="0" t="str">
        <f aca="false">TRIM(B59)</f>
        <v>PROC</v>
      </c>
      <c r="M59" s="0" t="n">
        <f aca="false">IF(H59="",NA(),1*H59)</f>
        <v>0</v>
      </c>
      <c r="N59" s="0" t="n">
        <f aca="false">IF(I59="",NA(),1*I59)</f>
        <v>0</v>
      </c>
    </row>
    <row r="60" customFormat="false" ht="14.25" hidden="false" customHeight="true" outlineLevel="0" collapsed="false">
      <c r="A60" s="0" t="n">
        <v>59</v>
      </c>
      <c r="B60" s="0" t="s">
        <v>67</v>
      </c>
      <c r="C60" s="0" t="s">
        <v>402</v>
      </c>
      <c r="D60" s="0" t="s">
        <v>414</v>
      </c>
      <c r="E60" s="0" t="n">
        <v>-0.4</v>
      </c>
      <c r="F60" s="31" t="n">
        <f aca="false">INDEX(I_prop!$B$7:$H$13, MATCH($C60, I_prop!$A$7:$A$13,0), MATCH($D60, I_prop!$B$6:$H$6,0))</f>
        <v>0</v>
      </c>
      <c r="G60" s="31" t="n">
        <f aca="false">INDEX(I_prop!$B$18:$H$24, MATCH($C60, I_prop!$A$18:$A$24,0), MATCH($D60, I_prop!$B$17:$H$17,0))</f>
        <v>0</v>
      </c>
      <c r="H60" s="31" t="n">
        <f aca="false">IF($J60&lt;&gt;"",$J60,$F60)</f>
        <v>0</v>
      </c>
      <c r="I60" s="31" t="n">
        <f aca="false">IF($K60&lt;&gt;"",$K60,$G60)</f>
        <v>0</v>
      </c>
      <c r="J60" s="0" t="str">
        <f aca="false">IF(COUNTIFS(Subgroup_Overrides!$A$5:$A$200,"A",Subgroup_Overrides!$B$5:$B$200,$C60,Subgroup_Overrides!$C$5:$C$200,$D60)&gt;0,_xludf.minifs(Subgroup_Overrides!$D$5:$D$200,Subgroup_Overrides!$A$5:$A$200,"A",Subgroup_Overrides!$B$5:$B$200,$C60,Subgroup_Overrides!$C$5:$C$200,$D60),"")</f>
        <v/>
      </c>
      <c r="K60" s="0" t="str">
        <f aca="false">IF(COUNTIFS(Subgroup_Overrides!$A$5:$A$200,"B",Subgroup_Overrides!$B$5:$B$200,$C60,Subgroup_Overrides!$C$5:$C$200,$D60)&gt;0,_xludf.minifs(Subgroup_Overrides!$D$5:$D$200,Subgroup_Overrides!$A$5:$A$200,"B",Subgroup_Overrides!$B$5:$B$200,$C60,Subgroup_Overrides!$C$5:$C$200,$D60),"")</f>
        <v/>
      </c>
      <c r="L60" s="0" t="str">
        <f aca="false">TRIM(B60)</f>
        <v>INFO</v>
      </c>
      <c r="M60" s="0" t="n">
        <f aca="false">IF(H60="",NA(),1*H60)</f>
        <v>0</v>
      </c>
      <c r="N60" s="0" t="n">
        <f aca="false">IF(I60="",NA(),1*I60)</f>
        <v>0</v>
      </c>
    </row>
    <row r="61" customFormat="false" ht="14.25" hidden="false" customHeight="true" outlineLevel="0" collapsed="false">
      <c r="A61" s="0" t="n">
        <v>60</v>
      </c>
      <c r="B61" s="0" t="s">
        <v>67</v>
      </c>
      <c r="C61" s="0" t="s">
        <v>402</v>
      </c>
      <c r="D61" s="0" t="s">
        <v>411</v>
      </c>
      <c r="E61" s="0" t="n">
        <v>-0.4</v>
      </c>
      <c r="F61" s="31" t="n">
        <f aca="false">INDEX(I_prop!$B$7:$H$13, MATCH($C61, I_prop!$A$7:$A$13,0), MATCH($D61, I_prop!$B$6:$H$6,0))</f>
        <v>0.249007884327423</v>
      </c>
      <c r="G61" s="31" t="n">
        <f aca="false">INDEX(I_prop!$B$18:$H$24, MATCH($C61, I_prop!$A$18:$A$24,0), MATCH($D61, I_prop!$B$17:$H$17,0))</f>
        <v>-0.0463335676706336</v>
      </c>
      <c r="H61" s="31" t="n">
        <f aca="false">IF($J61&lt;&gt;"",$J61,$F61)</f>
        <v>0.249007884327423</v>
      </c>
      <c r="I61" s="31" t="n">
        <f aca="false">IF($K61&lt;&gt;"",$K61,$G61)</f>
        <v>-0.0463335676706336</v>
      </c>
      <c r="J61" s="0" t="str">
        <f aca="false">IF(COUNTIFS(Subgroup_Overrides!$A$5:$A$200,"A",Subgroup_Overrides!$B$5:$B$200,$C61,Subgroup_Overrides!$C$5:$C$200,$D61)&gt;0,_xludf.minifs(Subgroup_Overrides!$D$5:$D$200,Subgroup_Overrides!$A$5:$A$200,"A",Subgroup_Overrides!$B$5:$B$200,$C61,Subgroup_Overrides!$C$5:$C$200,$D61),"")</f>
        <v/>
      </c>
      <c r="K61" s="0" t="str">
        <f aca="false">IF(COUNTIFS(Subgroup_Overrides!$A$5:$A$200,"B",Subgroup_Overrides!$B$5:$B$200,$C61,Subgroup_Overrides!$C$5:$C$200,$D61)&gt;0,_xludf.minifs(Subgroup_Overrides!$D$5:$D$200,Subgroup_Overrides!$A$5:$A$200,"B",Subgroup_Overrides!$B$5:$B$200,$C61,Subgroup_Overrides!$C$5:$C$200,$D61),"")</f>
        <v/>
      </c>
      <c r="L61" s="0" t="str">
        <f aca="false">TRIM(B61)</f>
        <v>INFO</v>
      </c>
      <c r="M61" s="0" t="n">
        <f aca="false">IF(H61="",NA(),1*H61)</f>
        <v>0.249007884327423</v>
      </c>
      <c r="N61" s="0" t="n">
        <f aca="false">IF(I61="",NA(),1*I61)</f>
        <v>-0.0463335676706336</v>
      </c>
    </row>
    <row r="62" customFormat="false" ht="14.25" hidden="false" customHeight="true" outlineLevel="0" collapsed="false">
      <c r="A62" s="0" t="n">
        <v>61</v>
      </c>
      <c r="B62" s="0" t="s">
        <v>67</v>
      </c>
      <c r="C62" s="0" t="s">
        <v>404</v>
      </c>
      <c r="D62" s="0" t="s">
        <v>414</v>
      </c>
      <c r="E62" s="0" t="n">
        <v>-0.4</v>
      </c>
      <c r="F62" s="31" t="n">
        <f aca="false">INDEX(I_prop!$B$7:$H$13, MATCH($C62, I_prop!$A$7:$A$13,0), MATCH($D62, I_prop!$B$6:$H$6,0))</f>
        <v>0</v>
      </c>
      <c r="G62" s="31" t="n">
        <f aca="false">INDEX(I_prop!$B$18:$H$24, MATCH($C62, I_prop!$A$18:$A$24,0), MATCH($D62, I_prop!$B$17:$H$17,0))</f>
        <v>0</v>
      </c>
      <c r="H62" s="31" t="n">
        <f aca="false">IF($J62&lt;&gt;"",$J62,$F62)</f>
        <v>0</v>
      </c>
      <c r="I62" s="31" t="n">
        <f aca="false">IF($K62&lt;&gt;"",$K62,$G62)</f>
        <v>0</v>
      </c>
      <c r="J62" s="0" t="str">
        <f aca="false">IF(COUNTIFS(Subgroup_Overrides!$A$5:$A$200,"A",Subgroup_Overrides!$B$5:$B$200,$C62,Subgroup_Overrides!$C$5:$C$200,$D62)&gt;0,_xludf.minifs(Subgroup_Overrides!$D$5:$D$200,Subgroup_Overrides!$A$5:$A$200,"A",Subgroup_Overrides!$B$5:$B$200,$C62,Subgroup_Overrides!$C$5:$C$200,$D62),"")</f>
        <v/>
      </c>
      <c r="K62" s="0" t="str">
        <f aca="false">IF(COUNTIFS(Subgroup_Overrides!$A$5:$A$200,"B",Subgroup_Overrides!$B$5:$B$200,$C62,Subgroup_Overrides!$C$5:$C$200,$D62)&gt;0,_xludf.minifs(Subgroup_Overrides!$D$5:$D$200,Subgroup_Overrides!$A$5:$A$200,"B",Subgroup_Overrides!$B$5:$B$200,$C62,Subgroup_Overrides!$C$5:$C$200,$D62),"")</f>
        <v/>
      </c>
      <c r="L62" s="0" t="str">
        <f aca="false">TRIM(B62)</f>
        <v>INFO</v>
      </c>
      <c r="M62" s="0" t="n">
        <f aca="false">IF(H62="",NA(),1*H62)</f>
        <v>0</v>
      </c>
      <c r="N62" s="0" t="n">
        <f aca="false">IF(I62="",NA(),1*I62)</f>
        <v>0</v>
      </c>
    </row>
    <row r="63" customFormat="false" ht="14.25" hidden="false" customHeight="true" outlineLevel="0" collapsed="false">
      <c r="A63" s="0" t="n">
        <v>62</v>
      </c>
      <c r="B63" s="0" t="s">
        <v>67</v>
      </c>
      <c r="C63" s="0" t="s">
        <v>404</v>
      </c>
      <c r="D63" s="0" t="s">
        <v>411</v>
      </c>
      <c r="E63" s="0" t="n">
        <v>-0.4</v>
      </c>
      <c r="F63" s="31" t="n">
        <f aca="false">INDEX(I_prop!$B$7:$H$13, MATCH($C63, I_prop!$A$7:$A$13,0), MATCH($D63, I_prop!$B$6:$H$6,0))</f>
        <v>0</v>
      </c>
      <c r="G63" s="31" t="n">
        <f aca="false">INDEX(I_prop!$B$18:$H$24, MATCH($C63, I_prop!$A$18:$A$24,0), MATCH($D63, I_prop!$B$17:$H$17,0))</f>
        <v>0</v>
      </c>
      <c r="H63" s="31" t="n">
        <f aca="false">IF($J63&lt;&gt;"",$J63,$F63)</f>
        <v>0</v>
      </c>
      <c r="I63" s="31" t="n">
        <f aca="false">IF($K63&lt;&gt;"",$K63,$G63)</f>
        <v>0</v>
      </c>
      <c r="J63" s="0" t="str">
        <f aca="false">IF(COUNTIFS(Subgroup_Overrides!$A$5:$A$200,"A",Subgroup_Overrides!$B$5:$B$200,$C63,Subgroup_Overrides!$C$5:$C$200,$D63)&gt;0,_xludf.minifs(Subgroup_Overrides!$D$5:$D$200,Subgroup_Overrides!$A$5:$A$200,"A",Subgroup_Overrides!$B$5:$B$200,$C63,Subgroup_Overrides!$C$5:$C$200,$D63),"")</f>
        <v/>
      </c>
      <c r="K63" s="0" t="str">
        <f aca="false">IF(COUNTIFS(Subgroup_Overrides!$A$5:$A$200,"B",Subgroup_Overrides!$B$5:$B$200,$C63,Subgroup_Overrides!$C$5:$C$200,$D63)&gt;0,_xludf.minifs(Subgroup_Overrides!$D$5:$D$200,Subgroup_Overrides!$A$5:$A$200,"B",Subgroup_Overrides!$B$5:$B$200,$C63,Subgroup_Overrides!$C$5:$C$200,$D63),"")</f>
        <v/>
      </c>
      <c r="L63" s="0" t="str">
        <f aca="false">TRIM(B63)</f>
        <v>INFO</v>
      </c>
      <c r="M63" s="0" t="n">
        <f aca="false">IF(H63="",NA(),1*H63)</f>
        <v>0</v>
      </c>
      <c r="N63" s="0" t="n">
        <f aca="false">IF(I63="",NA(),1*I63)</f>
        <v>0</v>
      </c>
    </row>
    <row r="64" customFormat="false" ht="14.25" hidden="false" customHeight="true" outlineLevel="0" collapsed="false">
      <c r="A64" s="0" t="n">
        <v>63</v>
      </c>
      <c r="B64" s="0" t="s">
        <v>67</v>
      </c>
      <c r="C64" s="0" t="s">
        <v>405</v>
      </c>
      <c r="D64" s="0" t="s">
        <v>414</v>
      </c>
      <c r="E64" s="0" t="n">
        <v>-0.4</v>
      </c>
      <c r="F64" s="31" t="n">
        <f aca="false">INDEX(I_prop!$B$7:$H$13, MATCH($C64, I_prop!$A$7:$A$13,0), MATCH($D64, I_prop!$B$6:$H$6,0))</f>
        <v>0</v>
      </c>
      <c r="G64" s="31" t="n">
        <f aca="false">INDEX(I_prop!$B$18:$H$24, MATCH($C64, I_prop!$A$18:$A$24,0), MATCH($D64, I_prop!$B$17:$H$17,0))</f>
        <v>0</v>
      </c>
      <c r="H64" s="31" t="n">
        <f aca="false">IF($J64&lt;&gt;"",$J64,$F64)</f>
        <v>0</v>
      </c>
      <c r="I64" s="31" t="n">
        <f aca="false">IF($K64&lt;&gt;"",$K64,$G64)</f>
        <v>0</v>
      </c>
      <c r="J64" s="0" t="str">
        <f aca="false">IF(COUNTIFS(Subgroup_Overrides!$A$5:$A$200,"A",Subgroup_Overrides!$B$5:$B$200,$C64,Subgroup_Overrides!$C$5:$C$200,$D64)&gt;0,_xludf.minifs(Subgroup_Overrides!$D$5:$D$200,Subgroup_Overrides!$A$5:$A$200,"A",Subgroup_Overrides!$B$5:$B$200,$C64,Subgroup_Overrides!$C$5:$C$200,$D64),"")</f>
        <v/>
      </c>
      <c r="K64" s="0" t="str">
        <f aca="false">IF(COUNTIFS(Subgroup_Overrides!$A$5:$A$200,"B",Subgroup_Overrides!$B$5:$B$200,$C64,Subgroup_Overrides!$C$5:$C$200,$D64)&gt;0,_xludf.minifs(Subgroup_Overrides!$D$5:$D$200,Subgroup_Overrides!$A$5:$A$200,"B",Subgroup_Overrides!$B$5:$B$200,$C64,Subgroup_Overrides!$C$5:$C$200,$D64),"")</f>
        <v/>
      </c>
      <c r="L64" s="0" t="str">
        <f aca="false">TRIM(B64)</f>
        <v>INFO</v>
      </c>
      <c r="M64" s="0" t="n">
        <f aca="false">IF(H64="",NA(),1*H64)</f>
        <v>0</v>
      </c>
      <c r="N64" s="0" t="n">
        <f aca="false">IF(I64="",NA(),1*I64)</f>
        <v>0</v>
      </c>
    </row>
    <row r="65" customFormat="false" ht="14.25" hidden="false" customHeight="true" outlineLevel="0" collapsed="false">
      <c r="A65" s="0" t="n">
        <v>64</v>
      </c>
      <c r="B65" s="0" t="s">
        <v>67</v>
      </c>
      <c r="C65" s="0" t="s">
        <v>405</v>
      </c>
      <c r="D65" s="0" t="s">
        <v>411</v>
      </c>
      <c r="E65" s="0" t="n">
        <v>-0.4</v>
      </c>
      <c r="F65" s="31" t="n">
        <f aca="false">INDEX(I_prop!$B$7:$H$13, MATCH($C65, I_prop!$A$7:$A$13,0), MATCH($D65, I_prop!$B$6:$H$6,0))</f>
        <v>0</v>
      </c>
      <c r="G65" s="31" t="n">
        <f aca="false">INDEX(I_prop!$B$18:$H$24, MATCH($C65, I_prop!$A$18:$A$24,0), MATCH($D65, I_prop!$B$17:$H$17,0))</f>
        <v>0</v>
      </c>
      <c r="H65" s="31" t="n">
        <f aca="false">IF($J65&lt;&gt;"",$J65,$F65)</f>
        <v>0</v>
      </c>
      <c r="I65" s="31" t="n">
        <f aca="false">IF($K65&lt;&gt;"",$K65,$G65)</f>
        <v>0</v>
      </c>
      <c r="J65" s="0" t="str">
        <f aca="false">IF(COUNTIFS(Subgroup_Overrides!$A$5:$A$200,"A",Subgroup_Overrides!$B$5:$B$200,$C65,Subgroup_Overrides!$C$5:$C$200,$D65)&gt;0,_xludf.minifs(Subgroup_Overrides!$D$5:$D$200,Subgroup_Overrides!$A$5:$A$200,"A",Subgroup_Overrides!$B$5:$B$200,$C65,Subgroup_Overrides!$C$5:$C$200,$D65),"")</f>
        <v/>
      </c>
      <c r="K65" s="0" t="str">
        <f aca="false">IF(COUNTIFS(Subgroup_Overrides!$A$5:$A$200,"B",Subgroup_Overrides!$B$5:$B$200,$C65,Subgroup_Overrides!$C$5:$C$200,$D65)&gt;0,_xludf.minifs(Subgroup_Overrides!$D$5:$D$200,Subgroup_Overrides!$A$5:$A$200,"B",Subgroup_Overrides!$B$5:$B$200,$C65,Subgroup_Overrides!$C$5:$C$200,$D65),"")</f>
        <v/>
      </c>
      <c r="L65" s="0" t="str">
        <f aca="false">TRIM(B65)</f>
        <v>INFO</v>
      </c>
      <c r="M65" s="0" t="n">
        <f aca="false">IF(H65="",NA(),1*H65)</f>
        <v>0</v>
      </c>
      <c r="N65" s="0" t="n">
        <f aca="false">IF(I65="",NA(),1*I65)</f>
        <v>0</v>
      </c>
    </row>
    <row r="66" customFormat="false" ht="14.25" hidden="false" customHeight="true" outlineLevel="0" collapsed="false">
      <c r="A66" s="0" t="n">
        <v>65</v>
      </c>
      <c r="B66" s="0" t="s">
        <v>67</v>
      </c>
      <c r="C66" s="0" t="s">
        <v>406</v>
      </c>
      <c r="D66" s="0" t="s">
        <v>414</v>
      </c>
      <c r="E66" s="0" t="n">
        <v>-0.4</v>
      </c>
      <c r="F66" s="31" t="n">
        <f aca="false">INDEX(I_prop!$B$7:$H$13, MATCH($C66, I_prop!$A$7:$A$13,0), MATCH($D66, I_prop!$B$6:$H$6,0))</f>
        <v>0</v>
      </c>
      <c r="G66" s="31" t="n">
        <f aca="false">INDEX(I_prop!$B$18:$H$24, MATCH($C66, I_prop!$A$18:$A$24,0), MATCH($D66, I_prop!$B$17:$H$17,0))</f>
        <v>0</v>
      </c>
      <c r="H66" s="31" t="n">
        <f aca="false">IF($J66&lt;&gt;"",$J66,$F66)</f>
        <v>0</v>
      </c>
      <c r="I66" s="31" t="n">
        <f aca="false">IF($K66&lt;&gt;"",$K66,$G66)</f>
        <v>0</v>
      </c>
      <c r="J66" s="0" t="str">
        <f aca="false">IF(COUNTIFS(Subgroup_Overrides!$A$5:$A$200,"A",Subgroup_Overrides!$B$5:$B$200,$C66,Subgroup_Overrides!$C$5:$C$200,$D66)&gt;0,_xludf.minifs(Subgroup_Overrides!$D$5:$D$200,Subgroup_Overrides!$A$5:$A$200,"A",Subgroup_Overrides!$B$5:$B$200,$C66,Subgroup_Overrides!$C$5:$C$200,$D66),"")</f>
        <v/>
      </c>
      <c r="K66" s="0" t="str">
        <f aca="false">IF(COUNTIFS(Subgroup_Overrides!$A$5:$A$200,"B",Subgroup_Overrides!$B$5:$B$200,$C66,Subgroup_Overrides!$C$5:$C$200,$D66)&gt;0,_xludf.minifs(Subgroup_Overrides!$D$5:$D$200,Subgroup_Overrides!$A$5:$A$200,"B",Subgroup_Overrides!$B$5:$B$200,$C66,Subgroup_Overrides!$C$5:$C$200,$D66),"")</f>
        <v/>
      </c>
      <c r="L66" s="0" t="str">
        <f aca="false">TRIM(B66)</f>
        <v>INFO</v>
      </c>
      <c r="M66" s="0" t="n">
        <f aca="false">IF(H66="",NA(),1*H66)</f>
        <v>0</v>
      </c>
      <c r="N66" s="0" t="n">
        <f aca="false">IF(I66="",NA(),1*I66)</f>
        <v>0</v>
      </c>
    </row>
    <row r="67" customFormat="false" ht="14.25" hidden="false" customHeight="true" outlineLevel="0" collapsed="false">
      <c r="A67" s="0" t="n">
        <v>66</v>
      </c>
      <c r="B67" s="0" t="s">
        <v>67</v>
      </c>
      <c r="C67" s="0" t="s">
        <v>406</v>
      </c>
      <c r="D67" s="0" t="s">
        <v>411</v>
      </c>
      <c r="E67" s="0" t="n">
        <v>-0.4</v>
      </c>
      <c r="F67" s="31" t="n">
        <f aca="false">INDEX(I_prop!$B$7:$H$13, MATCH($C67, I_prop!$A$7:$A$13,0), MATCH($D67, I_prop!$B$6:$H$6,0))</f>
        <v>0</v>
      </c>
      <c r="G67" s="31" t="n">
        <f aca="false">INDEX(I_prop!$B$18:$H$24, MATCH($C67, I_prop!$A$18:$A$24,0), MATCH($D67, I_prop!$B$17:$H$17,0))</f>
        <v>0</v>
      </c>
      <c r="H67" s="31" t="n">
        <f aca="false">IF($J67&lt;&gt;"",$J67,$F67)</f>
        <v>0</v>
      </c>
      <c r="I67" s="31" t="n">
        <f aca="false">IF($K67&lt;&gt;"",$K67,$G67)</f>
        <v>0</v>
      </c>
      <c r="J67" s="0" t="str">
        <f aca="false">IF(COUNTIFS(Subgroup_Overrides!$A$5:$A$200,"A",Subgroup_Overrides!$B$5:$B$200,$C67,Subgroup_Overrides!$C$5:$C$200,$D67)&gt;0,_xludf.minifs(Subgroup_Overrides!$D$5:$D$200,Subgroup_Overrides!$A$5:$A$200,"A",Subgroup_Overrides!$B$5:$B$200,$C67,Subgroup_Overrides!$C$5:$C$200,$D67),"")</f>
        <v/>
      </c>
      <c r="K67" s="0" t="str">
        <f aca="false">IF(COUNTIFS(Subgroup_Overrides!$A$5:$A$200,"B",Subgroup_Overrides!$B$5:$B$200,$C67,Subgroup_Overrides!$C$5:$C$200,$D67)&gt;0,_xludf.minifs(Subgroup_Overrides!$D$5:$D$200,Subgroup_Overrides!$A$5:$A$200,"B",Subgroup_Overrides!$B$5:$B$200,$C67,Subgroup_Overrides!$C$5:$C$200,$D67),"")</f>
        <v/>
      </c>
      <c r="L67" s="0" t="str">
        <f aca="false">TRIM(B67)</f>
        <v>INFO</v>
      </c>
      <c r="M67" s="0" t="n">
        <f aca="false">IF(H67="",NA(),1*H67)</f>
        <v>0</v>
      </c>
      <c r="N67" s="0" t="n">
        <f aca="false">IF(I67="",NA(),1*I67)</f>
        <v>0</v>
      </c>
    </row>
    <row r="68" customFormat="false" ht="14.25" hidden="false" customHeight="true" outlineLevel="0" collapsed="false">
      <c r="A68" s="0" t="n">
        <v>67</v>
      </c>
      <c r="B68" s="0" t="s">
        <v>67</v>
      </c>
      <c r="C68" s="0" t="s">
        <v>407</v>
      </c>
      <c r="D68" s="0" t="s">
        <v>414</v>
      </c>
      <c r="E68" s="0" t="n">
        <v>-0.4</v>
      </c>
      <c r="F68" s="31" t="n">
        <f aca="false">INDEX(I_prop!$B$7:$H$13, MATCH($C68, I_prop!$A$7:$A$13,0), MATCH($D68, I_prop!$B$6:$H$6,0))</f>
        <v>0</v>
      </c>
      <c r="G68" s="31" t="n">
        <f aca="false">INDEX(I_prop!$B$18:$H$24, MATCH($C68, I_prop!$A$18:$A$24,0), MATCH($D68, I_prop!$B$17:$H$17,0))</f>
        <v>0</v>
      </c>
      <c r="H68" s="31" t="n">
        <f aca="false">IF($J68&lt;&gt;"",$J68,$F68)</f>
        <v>0</v>
      </c>
      <c r="I68" s="31" t="n">
        <f aca="false">IF($K68&lt;&gt;"",$K68,$G68)</f>
        <v>0</v>
      </c>
      <c r="J68" s="0" t="str">
        <f aca="false">IF(COUNTIFS(Subgroup_Overrides!$A$5:$A$200,"A",Subgroup_Overrides!$B$5:$B$200,$C68,Subgroup_Overrides!$C$5:$C$200,$D68)&gt;0,_xludf.minifs(Subgroup_Overrides!$D$5:$D$200,Subgroup_Overrides!$A$5:$A$200,"A",Subgroup_Overrides!$B$5:$B$200,$C68,Subgroup_Overrides!$C$5:$C$200,$D68),"")</f>
        <v/>
      </c>
      <c r="K68" s="0" t="str">
        <f aca="false">IF(COUNTIFS(Subgroup_Overrides!$A$5:$A$200,"B",Subgroup_Overrides!$B$5:$B$200,$C68,Subgroup_Overrides!$C$5:$C$200,$D68)&gt;0,_xludf.minifs(Subgroup_Overrides!$D$5:$D$200,Subgroup_Overrides!$A$5:$A$200,"B",Subgroup_Overrides!$B$5:$B$200,$C68,Subgroup_Overrides!$C$5:$C$200,$D68),"")</f>
        <v/>
      </c>
      <c r="L68" s="0" t="str">
        <f aca="false">TRIM(B68)</f>
        <v>INFO</v>
      </c>
      <c r="M68" s="0" t="n">
        <f aca="false">IF(H68="",NA(),1*H68)</f>
        <v>0</v>
      </c>
      <c r="N68" s="0" t="n">
        <f aca="false">IF(I68="",NA(),1*I68)</f>
        <v>0</v>
      </c>
    </row>
    <row r="69" customFormat="false" ht="14.25" hidden="false" customHeight="true" outlineLevel="0" collapsed="false">
      <c r="A69" s="0" t="n">
        <v>68</v>
      </c>
      <c r="B69" s="0" t="s">
        <v>67</v>
      </c>
      <c r="C69" s="0" t="s">
        <v>407</v>
      </c>
      <c r="D69" s="0" t="s">
        <v>411</v>
      </c>
      <c r="E69" s="0" t="n">
        <v>-0.4</v>
      </c>
      <c r="F69" s="31" t="n">
        <f aca="false">INDEX(I_prop!$B$7:$H$13, MATCH($C69, I_prop!$A$7:$A$13,0), MATCH($D69, I_prop!$B$6:$H$6,0))</f>
        <v>0</v>
      </c>
      <c r="G69" s="31" t="n">
        <f aca="false">INDEX(I_prop!$B$18:$H$24, MATCH($C69, I_prop!$A$18:$A$24,0), MATCH($D69, I_prop!$B$17:$H$17,0))</f>
        <v>0</v>
      </c>
      <c r="H69" s="31" t="n">
        <f aca="false">IF($J69&lt;&gt;"",$J69,$F69)</f>
        <v>0</v>
      </c>
      <c r="I69" s="31" t="n">
        <f aca="false">IF($K69&lt;&gt;"",$K69,$G69)</f>
        <v>0</v>
      </c>
      <c r="J69" s="0" t="str">
        <f aca="false">IF(COUNTIFS(Subgroup_Overrides!$A$5:$A$200,"A",Subgroup_Overrides!$B$5:$B$200,$C69,Subgroup_Overrides!$C$5:$C$200,$D69)&gt;0,_xludf.minifs(Subgroup_Overrides!$D$5:$D$200,Subgroup_Overrides!$A$5:$A$200,"A",Subgroup_Overrides!$B$5:$B$200,$C69,Subgroup_Overrides!$C$5:$C$200,$D69),"")</f>
        <v/>
      </c>
      <c r="K69" s="0" t="str">
        <f aca="false">IF(COUNTIFS(Subgroup_Overrides!$A$5:$A$200,"B",Subgroup_Overrides!$B$5:$B$200,$C69,Subgroup_Overrides!$C$5:$C$200,$D69)&gt;0,_xludf.minifs(Subgroup_Overrides!$D$5:$D$200,Subgroup_Overrides!$A$5:$A$200,"B",Subgroup_Overrides!$B$5:$B$200,$C69,Subgroup_Overrides!$C$5:$C$200,$D69),"")</f>
        <v/>
      </c>
      <c r="L69" s="0" t="str">
        <f aca="false">TRIM(B69)</f>
        <v>INFO</v>
      </c>
      <c r="M69" s="0" t="n">
        <f aca="false">IF(H69="",NA(),1*H69)</f>
        <v>0</v>
      </c>
      <c r="N69" s="0" t="n">
        <f aca="false">IF(I69="",NA(),1*I69)</f>
        <v>0</v>
      </c>
    </row>
    <row r="70" customFormat="false" ht="14.25" hidden="false" customHeight="true" outlineLevel="0" collapsed="false">
      <c r="A70" s="0" t="n">
        <v>69</v>
      </c>
      <c r="B70" s="0" t="s">
        <v>67</v>
      </c>
      <c r="C70" s="0" t="s">
        <v>408</v>
      </c>
      <c r="D70" s="0" t="s">
        <v>414</v>
      </c>
      <c r="E70" s="0" t="n">
        <v>-0.4</v>
      </c>
      <c r="F70" s="31" t="n">
        <f aca="false">INDEX(I_prop!$B$7:$H$13, MATCH($C70, I_prop!$A$7:$A$13,0), MATCH($D70, I_prop!$B$6:$H$6,0))</f>
        <v>0</v>
      </c>
      <c r="G70" s="31" t="n">
        <f aca="false">INDEX(I_prop!$B$18:$H$24, MATCH($C70, I_prop!$A$18:$A$24,0), MATCH($D70, I_prop!$B$17:$H$17,0))</f>
        <v>0</v>
      </c>
      <c r="H70" s="31" t="n">
        <f aca="false">IF($J70&lt;&gt;"",$J70,$F70)</f>
        <v>0</v>
      </c>
      <c r="I70" s="31" t="n">
        <f aca="false">IF($K70&lt;&gt;"",$K70,$G70)</f>
        <v>0</v>
      </c>
      <c r="J70" s="0" t="str">
        <f aca="false">IF(COUNTIFS(Subgroup_Overrides!$A$5:$A$200,"A",Subgroup_Overrides!$B$5:$B$200,$C70,Subgroup_Overrides!$C$5:$C$200,$D70)&gt;0,_xludf.minifs(Subgroup_Overrides!$D$5:$D$200,Subgroup_Overrides!$A$5:$A$200,"A",Subgroup_Overrides!$B$5:$B$200,$C70,Subgroup_Overrides!$C$5:$C$200,$D70),"")</f>
        <v/>
      </c>
      <c r="K70" s="0" t="str">
        <f aca="false">IF(COUNTIFS(Subgroup_Overrides!$A$5:$A$200,"B",Subgroup_Overrides!$B$5:$B$200,$C70,Subgroup_Overrides!$C$5:$C$200,$D70)&gt;0,_xludf.minifs(Subgroup_Overrides!$D$5:$D$200,Subgroup_Overrides!$A$5:$A$200,"B",Subgroup_Overrides!$B$5:$B$200,$C70,Subgroup_Overrides!$C$5:$C$200,$D70),"")</f>
        <v/>
      </c>
      <c r="L70" s="0" t="str">
        <f aca="false">TRIM(B70)</f>
        <v>INFO</v>
      </c>
      <c r="M70" s="0" t="n">
        <f aca="false">IF(H70="",NA(),1*H70)</f>
        <v>0</v>
      </c>
      <c r="N70" s="0" t="n">
        <f aca="false">IF(I70="",NA(),1*I70)</f>
        <v>0</v>
      </c>
    </row>
    <row r="71" customFormat="false" ht="14.25" hidden="false" customHeight="true" outlineLevel="0" collapsed="false">
      <c r="A71" s="0" t="n">
        <v>70</v>
      </c>
      <c r="B71" s="0" t="s">
        <v>67</v>
      </c>
      <c r="C71" s="0" t="s">
        <v>408</v>
      </c>
      <c r="D71" s="0" t="s">
        <v>411</v>
      </c>
      <c r="E71" s="0" t="n">
        <v>-0.4</v>
      </c>
      <c r="F71" s="31" t="n">
        <f aca="false">INDEX(I_prop!$B$7:$H$13, MATCH($C71, I_prop!$A$7:$A$13,0), MATCH($D71, I_prop!$B$6:$H$6,0))</f>
        <v>0</v>
      </c>
      <c r="G71" s="31" t="n">
        <f aca="false">INDEX(I_prop!$B$18:$H$24, MATCH($C71, I_prop!$A$18:$A$24,0), MATCH($D71, I_prop!$B$17:$H$17,0))</f>
        <v>0</v>
      </c>
      <c r="H71" s="31" t="n">
        <f aca="false">IF($J71&lt;&gt;"",$J71,$F71)</f>
        <v>0</v>
      </c>
      <c r="I71" s="31" t="n">
        <f aca="false">IF($K71&lt;&gt;"",$K71,$G71)</f>
        <v>0</v>
      </c>
      <c r="J71" s="0" t="str">
        <f aca="false">IF(COUNTIFS(Subgroup_Overrides!$A$5:$A$200,"A",Subgroup_Overrides!$B$5:$B$200,$C71,Subgroup_Overrides!$C$5:$C$200,$D71)&gt;0,_xludf.minifs(Subgroup_Overrides!$D$5:$D$200,Subgroup_Overrides!$A$5:$A$200,"A",Subgroup_Overrides!$B$5:$B$200,$C71,Subgroup_Overrides!$C$5:$C$200,$D71),"")</f>
        <v/>
      </c>
      <c r="K71" s="0" t="str">
        <f aca="false">IF(COUNTIFS(Subgroup_Overrides!$A$5:$A$200,"B",Subgroup_Overrides!$B$5:$B$200,$C71,Subgroup_Overrides!$C$5:$C$200,$D71)&gt;0,_xludf.minifs(Subgroup_Overrides!$D$5:$D$200,Subgroup_Overrides!$A$5:$A$200,"B",Subgroup_Overrides!$B$5:$B$200,$C71,Subgroup_Overrides!$C$5:$C$200,$D71),"")</f>
        <v/>
      </c>
      <c r="L71" s="0" t="str">
        <f aca="false">TRIM(B71)</f>
        <v>INFO</v>
      </c>
      <c r="M71" s="0" t="n">
        <f aca="false">IF(H71="",NA(),1*H71)</f>
        <v>0</v>
      </c>
      <c r="N71" s="0" t="n">
        <f aca="false">IF(I71="",NA(),1*I71)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424</v>
      </c>
      <c r="B1" s="20"/>
      <c r="C1" s="20"/>
      <c r="D1" s="20"/>
      <c r="E1" s="20"/>
      <c r="F1" s="20"/>
      <c r="G1" s="20"/>
      <c r="H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425</v>
      </c>
    </row>
    <row r="4" customFormat="false" ht="14.25" hidden="false" customHeight="true" outlineLevel="0" collapsed="false">
      <c r="A4" s="8" t="s">
        <v>426</v>
      </c>
    </row>
    <row r="5" customFormat="false" ht="13.5" hidden="false" customHeight="true" outlineLevel="0" collapsed="false"/>
    <row r="6" customFormat="false" ht="14.25" hidden="false" customHeight="true" outlineLevel="0" collapsed="false">
      <c r="A6" s="8" t="s">
        <v>427</v>
      </c>
      <c r="B6" s="8" t="s">
        <v>400</v>
      </c>
      <c r="C6" s="8" t="s">
        <v>401</v>
      </c>
      <c r="D6" s="8" t="s">
        <v>428</v>
      </c>
      <c r="E6" s="8" t="s">
        <v>429</v>
      </c>
    </row>
    <row r="7" customFormat="false" ht="14.25" hidden="false" customHeight="true" outlineLevel="0" collapsed="false">
      <c r="A7" s="0" t="s">
        <v>430</v>
      </c>
      <c r="B7" s="0" t="s">
        <v>408</v>
      </c>
      <c r="C7" s="0" t="s">
        <v>431</v>
      </c>
      <c r="D7" s="0" t="n">
        <v>0.35</v>
      </c>
      <c r="E7" s="0" t="s">
        <v>432</v>
      </c>
    </row>
    <row r="8" customFormat="false" ht="14.25" hidden="false" customHeight="true" outlineLevel="0" collapsed="false">
      <c r="A8" s="0" t="s">
        <v>433</v>
      </c>
      <c r="B8" s="0" t="s">
        <v>408</v>
      </c>
      <c r="C8" s="0" t="s">
        <v>434</v>
      </c>
      <c r="D8" s="0" t="n">
        <v>0.3</v>
      </c>
      <c r="E8" s="0" t="s">
        <v>435</v>
      </c>
    </row>
    <row r="9" customFormat="false" ht="14.25" hidden="false" customHeight="true" outlineLevel="0" collapsed="false">
      <c r="A9" s="0" t="s">
        <v>436</v>
      </c>
      <c r="B9" s="0" t="s">
        <v>410</v>
      </c>
      <c r="C9" s="0" t="s">
        <v>434</v>
      </c>
      <c r="D9" s="0" t="n">
        <v>0.35</v>
      </c>
      <c r="E9" s="0" t="s">
        <v>437</v>
      </c>
    </row>
    <row r="10" customFormat="false" ht="13.5" hidden="false" customHeight="true" outlineLevel="0" collapsed="false"/>
    <row r="11" customFormat="false" ht="14.25" hidden="false" customHeight="true" outlineLevel="0" collapsed="false">
      <c r="A11" s="0" t="s">
        <v>438</v>
      </c>
      <c r="B11" s="0" t="n">
        <f aca="false">SUM(D7:D9)</f>
        <v>1</v>
      </c>
      <c r="C11" s="0" t="s">
        <v>439</v>
      </c>
    </row>
    <row r="12" customFormat="false" ht="13.5" hidden="false" customHeight="true" outlineLevel="0" collapsed="false"/>
    <row r="13" customFormat="false" ht="14.25" hidden="false" customHeight="true" outlineLevel="0" collapsed="false">
      <c r="A13" s="8" t="s">
        <v>440</v>
      </c>
    </row>
    <row r="14" customFormat="false" ht="14.25" hidden="false" customHeight="true" outlineLevel="0" collapsed="false">
      <c r="A14" s="0" t="s">
        <v>441</v>
      </c>
    </row>
    <row r="15" customFormat="false" ht="14.25" hidden="false" customHeight="true" outlineLevel="0" collapsed="false">
      <c r="A15" s="0" t="s">
        <v>442</v>
      </c>
    </row>
    <row r="16" customFormat="false" ht="14.25" hidden="false" customHeight="true" outlineLevel="0" collapsed="false">
      <c r="A16" s="0" t="s">
        <v>443</v>
      </c>
    </row>
    <row r="17" customFormat="false" ht="14.25" hidden="false" customHeight="true" outlineLevel="0" collapsed="false">
      <c r="A17" s="0" t="s">
        <v>444</v>
      </c>
    </row>
    <row r="18" customFormat="false" ht="13.5" hidden="false" customHeight="true" outlineLevel="0" collapsed="false"/>
    <row r="19" customFormat="false" ht="14.25" hidden="false" customHeight="true" outlineLevel="0" collapsed="false">
      <c r="A19" s="0" t="s">
        <v>445</v>
      </c>
      <c r="B19" s="11" t="s">
        <v>446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447</v>
      </c>
      <c r="B1" s="20"/>
      <c r="C1" s="20"/>
      <c r="D1" s="20"/>
      <c r="E1" s="20"/>
      <c r="F1" s="20"/>
      <c r="G1" s="20"/>
      <c r="H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448</v>
      </c>
    </row>
    <row r="4" customFormat="false" ht="14.25" hidden="false" customHeight="true" outlineLevel="0" collapsed="false">
      <c r="A4" s="0" t="s">
        <v>449</v>
      </c>
      <c r="D4" s="0" t="s">
        <v>450</v>
      </c>
    </row>
    <row r="5" customFormat="false" ht="13.5" hidden="false" customHeight="true" outlineLevel="0" collapsed="false"/>
    <row r="6" customFormat="false" ht="14.25" hidden="false" customHeight="true" outlineLevel="0" collapsed="false">
      <c r="A6" s="8" t="s">
        <v>451</v>
      </c>
      <c r="B6" s="8" t="s">
        <v>452</v>
      </c>
      <c r="C6" s="8" t="s">
        <v>453</v>
      </c>
      <c r="D6" s="8" t="s">
        <v>454</v>
      </c>
      <c r="E6" s="8" t="s">
        <v>342</v>
      </c>
      <c r="F6" s="8" t="s">
        <v>122</v>
      </c>
      <c r="G6" s="0" t="s">
        <v>74</v>
      </c>
    </row>
    <row r="7" customFormat="false" ht="14.25" hidden="false" customHeight="true" outlineLevel="0" collapsed="false">
      <c r="A7" s="0" t="s">
        <v>75</v>
      </c>
      <c r="B7" s="0" t="s">
        <v>455</v>
      </c>
      <c r="C7" s="0" t="s">
        <v>456</v>
      </c>
      <c r="D7" s="0" t="n">
        <f aca="false">SUMIF(Scenario_Impacts!$B$11:$B$16,A7,Scenario_Impacts!$C$11:$C$16)</f>
        <v>0.08</v>
      </c>
      <c r="E7" s="0" t="n">
        <v>0.02</v>
      </c>
      <c r="F7" s="11" t="str">
        <f aca="false">IF(G7="NO","OPTIONAL",IF(D7&gt;=E7,"✓ COVERED","✗ MISSING"))</f>
        <v>✓ COVERED</v>
      </c>
      <c r="G7" s="0" t="str">
        <f aca="false">IF(A7="WTSL-AIX",IF(Config!$B$13="YES","YES","NO"),"YES")</f>
        <v>YES</v>
      </c>
    </row>
    <row r="8" customFormat="false" ht="14.25" hidden="false" customHeight="true" outlineLevel="0" collapsed="false">
      <c r="A8" s="0" t="s">
        <v>77</v>
      </c>
      <c r="B8" s="0" t="s">
        <v>457</v>
      </c>
      <c r="C8" s="0" t="s">
        <v>458</v>
      </c>
      <c r="D8" s="0" t="n">
        <f aca="false">SUMIF(Scenario_Impacts!$B$11:$B$16,A8,Scenario_Impacts!$C$11:$C$16)</f>
        <v>0.07</v>
      </c>
      <c r="E8" s="0" t="n">
        <v>0.02</v>
      </c>
      <c r="F8" s="11" t="str">
        <f aca="false">IF(G8="NO","OPTIONAL",IF(D8&gt;=E8,"✓ COVERED","✗ MISSING"))</f>
        <v>✓ COVERED</v>
      </c>
      <c r="G8" s="0" t="str">
        <f aca="false">IF(A8="WTSL-AIX",IF(Config!$B$13="YES","YES","NO"),"YES")</f>
        <v>YES</v>
      </c>
    </row>
    <row r="9" customFormat="false" ht="14.25" hidden="false" customHeight="true" outlineLevel="0" collapsed="false">
      <c r="A9" s="0" t="s">
        <v>78</v>
      </c>
      <c r="B9" s="0" t="s">
        <v>459</v>
      </c>
      <c r="C9" s="0" t="s">
        <v>460</v>
      </c>
      <c r="D9" s="0" t="n">
        <f aca="false">SUMIF(Scenario_Impacts!$B$11:$B$16,A9,Scenario_Impacts!$C$11:$C$16)</f>
        <v>0.15</v>
      </c>
      <c r="E9" s="0" t="n">
        <v>0.02</v>
      </c>
      <c r="F9" s="11" t="str">
        <f aca="false">IF(G9="NO","OPTIONAL",IF(D9&gt;=E9,"✓ COVERED","✗ MISSING"))</f>
        <v>✓ COVERED</v>
      </c>
      <c r="G9" s="0" t="str">
        <f aca="false">IF(A9="WTSL-AIX",IF(Config!$B$13="YES","YES","NO"),"YES")</f>
        <v>YES</v>
      </c>
    </row>
    <row r="10" customFormat="false" ht="14.25" hidden="false" customHeight="true" outlineLevel="0" collapsed="false">
      <c r="A10" s="0" t="s">
        <v>79</v>
      </c>
      <c r="B10" s="0" t="s">
        <v>461</v>
      </c>
      <c r="C10" s="0" t="s">
        <v>462</v>
      </c>
      <c r="D10" s="0" t="n">
        <f aca="false">SUMIF(Scenario_Impacts!$B$11:$B$16,A10,Scenario_Impacts!$C$11:$C$16)</f>
        <v>0.03</v>
      </c>
      <c r="E10" s="0" t="n">
        <v>0.02</v>
      </c>
      <c r="F10" s="11" t="str">
        <f aca="false">IF(G10="NO","OPTIONAL",IF(D10&gt;=E10,"✓ COVERED","✗ MISSING"))</f>
        <v>✓ COVERED</v>
      </c>
      <c r="G10" s="0" t="str">
        <f aca="false">IF(A10="WTSL-AIX",IF(Config!$B$13="YES","YES","NO"),"YES")</f>
        <v>YES</v>
      </c>
    </row>
    <row r="11" customFormat="false" ht="14.25" hidden="false" customHeight="true" outlineLevel="0" collapsed="false">
      <c r="A11" s="0" t="s">
        <v>80</v>
      </c>
      <c r="B11" s="0" t="s">
        <v>463</v>
      </c>
      <c r="C11" s="0" t="s">
        <v>464</v>
      </c>
      <c r="D11" s="0" t="n">
        <f aca="false">SUMIF(Scenario_Impacts!$B$11:$B$16,A11,Scenario_Impacts!$C$11:$C$16)</f>
        <v>0.05</v>
      </c>
      <c r="E11" s="0" t="n">
        <v>0.02</v>
      </c>
      <c r="F11" s="11" t="str">
        <f aca="false">IF(G11="NO","OPTIONAL",IF(D11&gt;=E11,"✓ COVERED","✗ MISSING"))</f>
        <v>✓ COVERED</v>
      </c>
      <c r="G11" s="0" t="str">
        <f aca="false">IF(A11="WTSL-AIX",IF(Config!$B$13="YES","YES","NO"),"YES")</f>
        <v>YES</v>
      </c>
    </row>
    <row r="12" customFormat="false" ht="14.25" hidden="false" customHeight="true" outlineLevel="0" collapsed="false">
      <c r="A12" s="0" t="s">
        <v>81</v>
      </c>
      <c r="B12" s="0" t="s">
        <v>465</v>
      </c>
      <c r="C12" s="0" t="s">
        <v>466</v>
      </c>
      <c r="D12" s="0" t="n">
        <f aca="false">SUMIF(Scenario_Impacts!$B$11:$B$16,A12,Scenario_Impacts!$C$11:$C$16)</f>
        <v>0.02</v>
      </c>
      <c r="E12" s="0" t="n">
        <v>0.02</v>
      </c>
      <c r="F12" s="11" t="str">
        <f aca="false">IF(G12="NO","OPTIONAL",IF(D12&gt;=E12,"✓ COVERED","✗ MISSING"))</f>
        <v>OPTIONAL</v>
      </c>
      <c r="G12" s="0" t="str">
        <f aca="false">IF(A12="WTSL-AIX",IF(Config!$B$13="YES","YES","NO"),"YES")</f>
        <v>NO</v>
      </c>
    </row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4.25" hidden="false" customHeight="true" outlineLevel="0" collapsed="false">
      <c r="A15" s="8" t="s">
        <v>467</v>
      </c>
    </row>
    <row r="16" customFormat="false" ht="14.25" hidden="false" customHeight="true" outlineLevel="0" collapsed="false">
      <c r="A16" s="0" t="s">
        <v>468</v>
      </c>
      <c r="B16" s="11" t="n">
        <f aca="false">CANON!B41</f>
        <v>5</v>
      </c>
      <c r="C16" s="0" t="s">
        <v>469</v>
      </c>
    </row>
    <row r="17" customFormat="false" ht="14.25" hidden="false" customHeight="true" outlineLevel="0" collapsed="false">
      <c r="A17" s="0" t="s">
        <v>470</v>
      </c>
      <c r="B17" s="11" t="n">
        <f aca="false">COUNTIF(F7:F12,"✓*")</f>
        <v>5</v>
      </c>
    </row>
    <row r="18" customFormat="false" ht="14.25" hidden="false" customHeight="true" outlineLevel="0" collapsed="false">
      <c r="A18" s="0" t="s">
        <v>471</v>
      </c>
      <c r="B18" s="0" t="n">
        <f aca="false">SUM(D7:D12)</f>
        <v>0.4</v>
      </c>
      <c r="C18" s="0" t="s">
        <v>472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473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474</v>
      </c>
    </row>
    <row r="4" customFormat="false" ht="14.25" hidden="false" customHeight="true" outlineLevel="0" collapsed="false">
      <c r="A4" s="0" t="s">
        <v>475</v>
      </c>
    </row>
    <row r="5" customFormat="false" ht="13.5" hidden="false" customHeight="true" outlineLevel="0" collapsed="false"/>
    <row r="6" customFormat="false" ht="14.25" hidden="false" customHeight="true" outlineLevel="0" collapsed="false">
      <c r="A6" s="30" t="s">
        <v>476</v>
      </c>
      <c r="B6" s="30" t="s">
        <v>477</v>
      </c>
      <c r="C6" s="30" t="s">
        <v>400</v>
      </c>
      <c r="D6" s="30" t="s">
        <v>478</v>
      </c>
      <c r="E6" s="30" t="s">
        <v>453</v>
      </c>
      <c r="F6" s="30" t="s">
        <v>479</v>
      </c>
      <c r="G6" s="30" t="s">
        <v>480</v>
      </c>
      <c r="H6" s="30" t="s">
        <v>481</v>
      </c>
      <c r="I6" s="30" t="s">
        <v>482</v>
      </c>
      <c r="J6" s="30" t="s">
        <v>483</v>
      </c>
      <c r="K6" s="30" t="s">
        <v>484</v>
      </c>
      <c r="L6" s="30" t="s">
        <v>485</v>
      </c>
      <c r="M6" s="30" t="s">
        <v>486</v>
      </c>
      <c r="N6" s="30" t="s">
        <v>487</v>
      </c>
    </row>
    <row r="7" customFormat="false" ht="14.25" hidden="false" customHeight="true" outlineLevel="0" collapsed="false">
      <c r="A7" s="0" t="s">
        <v>488</v>
      </c>
      <c r="B7" s="0" t="s">
        <v>489</v>
      </c>
      <c r="C7" s="0" t="s">
        <v>405</v>
      </c>
      <c r="D7" s="0" t="s">
        <v>412</v>
      </c>
      <c r="E7" s="0" t="s">
        <v>490</v>
      </c>
      <c r="F7" s="0" t="n">
        <v>-0.3</v>
      </c>
      <c r="G7" s="0" t="n">
        <v>0.8</v>
      </c>
      <c r="H7" s="0" t="n">
        <v>0.7</v>
      </c>
      <c r="I7" s="0" t="n">
        <v>0.5</v>
      </c>
      <c r="J7" s="0" t="n">
        <v>5</v>
      </c>
      <c r="K7" s="0" t="n">
        <v>1</v>
      </c>
      <c r="L7" s="0" t="n">
        <v>1</v>
      </c>
      <c r="M7" s="31" t="n">
        <f aca="false">MIN(1, LN(1+MAX(J7, CANON!$B$27)) / LN(1+CANON!$B$25))</f>
        <v>0.549940570611859</v>
      </c>
      <c r="N7" s="32" t="n">
        <f aca="false">F7*G7*H7*I7*K7*L7*M7</f>
        <v>-0.0461950079313961</v>
      </c>
    </row>
    <row r="8" customFormat="false" ht="14.25" hidden="false" customHeight="true" outlineLevel="0" collapsed="false">
      <c r="A8" s="0" t="s">
        <v>491</v>
      </c>
      <c r="B8" s="0" t="s">
        <v>489</v>
      </c>
      <c r="C8" s="0" t="s">
        <v>405</v>
      </c>
      <c r="D8" s="0" t="s">
        <v>412</v>
      </c>
      <c r="E8" s="0" t="s">
        <v>492</v>
      </c>
      <c r="F8" s="0" t="n">
        <v>0.15</v>
      </c>
      <c r="G8" s="0" t="n">
        <v>0.6</v>
      </c>
      <c r="H8" s="0" t="n">
        <v>0.5</v>
      </c>
      <c r="I8" s="0" t="n">
        <v>0.3</v>
      </c>
      <c r="J8" s="0" t="n">
        <v>3</v>
      </c>
      <c r="K8" s="0" t="n">
        <v>1</v>
      </c>
      <c r="L8" s="0" t="n">
        <v>1</v>
      </c>
      <c r="M8" s="31" t="n">
        <f aca="false">MIN(1, LN(1+MAX(J8, CANON!$B$27)) / LN(1+CANON!$B$25))</f>
        <v>0.425492107106726</v>
      </c>
      <c r="N8" s="32" t="n">
        <f aca="false">F8*G8*H8*I8*K8*L8*M8</f>
        <v>0.00574414344594081</v>
      </c>
    </row>
    <row r="9" customFormat="false" ht="14.25" hidden="false" customHeight="true" outlineLevel="0" collapsed="false">
      <c r="A9" s="0" t="s">
        <v>493</v>
      </c>
      <c r="B9" s="0" t="s">
        <v>489</v>
      </c>
      <c r="C9" s="0" t="s">
        <v>402</v>
      </c>
      <c r="D9" s="0" t="s">
        <v>411</v>
      </c>
      <c r="E9" s="0" t="s">
        <v>494</v>
      </c>
      <c r="F9" s="0" t="n">
        <v>0.4</v>
      </c>
      <c r="G9" s="0" t="n">
        <v>0.9</v>
      </c>
      <c r="H9" s="0" t="n">
        <v>0.8</v>
      </c>
      <c r="I9" s="0" t="n">
        <v>0.6</v>
      </c>
      <c r="J9" s="0" t="n">
        <v>10</v>
      </c>
      <c r="K9" s="0" t="n">
        <v>1</v>
      </c>
      <c r="L9" s="0" t="n">
        <v>1</v>
      </c>
      <c r="M9" s="31" t="n">
        <f aca="false">MIN(1, LN(1+MAX(J9, CANON!$B$27)) / LN(1+CANON!$B$25))</f>
        <v>0.735980424402808</v>
      </c>
      <c r="N9" s="32" t="n">
        <f aca="false">F9*G9*H9*I9*K9*L9*M9</f>
        <v>0.127177417336805</v>
      </c>
    </row>
    <row r="10" customFormat="false" ht="14.25" hidden="false" customHeight="true" outlineLevel="0" collapsed="false">
      <c r="A10" s="0" t="s">
        <v>495</v>
      </c>
      <c r="B10" s="0" t="s">
        <v>489</v>
      </c>
      <c r="C10" s="0" t="s">
        <v>404</v>
      </c>
      <c r="D10" s="0" t="s">
        <v>413</v>
      </c>
      <c r="E10" s="0" t="s">
        <v>496</v>
      </c>
      <c r="F10" s="0" t="n">
        <v>0.25</v>
      </c>
      <c r="G10" s="0" t="n">
        <v>0.7</v>
      </c>
      <c r="H10" s="0" t="n">
        <v>0.6</v>
      </c>
      <c r="I10" s="0" t="n">
        <v>0.4</v>
      </c>
      <c r="J10" s="0" t="n">
        <v>5</v>
      </c>
      <c r="K10" s="0" t="n">
        <v>1</v>
      </c>
      <c r="L10" s="0" t="n">
        <v>1</v>
      </c>
      <c r="M10" s="31" t="n">
        <f aca="false">MIN(1, LN(1+MAX(J10, CANON!$B$27)) / LN(1+CANON!$B$25))</f>
        <v>0.549940570611859</v>
      </c>
      <c r="N10" s="32" t="n">
        <f aca="false">F10*G10*H10*I10*K10*L10*M10</f>
        <v>0.0230975039656981</v>
      </c>
    </row>
    <row r="11" customFormat="false" ht="14.25" hidden="false" customHeight="true" outlineLevel="0" collapsed="false">
      <c r="A11" s="0" t="s">
        <v>497</v>
      </c>
      <c r="B11" s="0" t="s">
        <v>489</v>
      </c>
      <c r="C11" s="0" t="s">
        <v>402</v>
      </c>
      <c r="D11" s="0" t="s">
        <v>498</v>
      </c>
      <c r="E11" s="0" t="s">
        <v>499</v>
      </c>
      <c r="F11" s="0" t="n">
        <v>0.35</v>
      </c>
      <c r="G11" s="0" t="n">
        <v>0.8</v>
      </c>
      <c r="H11" s="0" t="n">
        <v>0.7</v>
      </c>
      <c r="I11" s="0" t="n">
        <v>0.5</v>
      </c>
      <c r="J11" s="0" t="n">
        <v>10</v>
      </c>
      <c r="K11" s="0" t="n">
        <v>1</v>
      </c>
      <c r="L11" s="0" t="n">
        <v>1</v>
      </c>
      <c r="M11" s="31" t="n">
        <f aca="false">MIN(1, LN(1+MAX(J11, CANON!$B$27)) / LN(1+CANON!$B$25))</f>
        <v>0.735980424402808</v>
      </c>
      <c r="N11" s="32" t="n">
        <f aca="false">F11*G11*H11*I11*K11*L11*M11</f>
        <v>0.0721260815914752</v>
      </c>
    </row>
    <row r="12" customFormat="false" ht="14.25" hidden="false" customHeight="true" outlineLevel="0" collapsed="false">
      <c r="A12" s="0" t="s">
        <v>500</v>
      </c>
      <c r="B12" s="0" t="s">
        <v>489</v>
      </c>
      <c r="C12" s="0" t="s">
        <v>410</v>
      </c>
      <c r="D12" s="0" t="s">
        <v>409</v>
      </c>
      <c r="E12" s="0" t="s">
        <v>501</v>
      </c>
      <c r="F12" s="0" t="n">
        <v>0.15</v>
      </c>
      <c r="G12" s="0" t="n">
        <v>0.5</v>
      </c>
      <c r="H12" s="0" t="n">
        <v>0.4</v>
      </c>
      <c r="I12" s="0" t="n">
        <v>0.3</v>
      </c>
      <c r="J12" s="0" t="n">
        <v>15</v>
      </c>
      <c r="K12" s="0" t="n">
        <v>1</v>
      </c>
      <c r="L12" s="0" t="n">
        <v>1</v>
      </c>
      <c r="M12" s="31" t="n">
        <f aca="false">MIN(1, LN(1+MAX(J12, CANON!$B$27)) / LN(1+CANON!$B$25))</f>
        <v>0.850984214213453</v>
      </c>
      <c r="N12" s="32" t="n">
        <f aca="false">F12*G12*H12*I12*K12*L12*M12</f>
        <v>0.00765885792792107</v>
      </c>
    </row>
    <row r="13" customFormat="false" ht="14.25" hidden="false" customHeight="true" outlineLevel="0" collapsed="false">
      <c r="A13" s="0" t="s">
        <v>502</v>
      </c>
      <c r="B13" s="0" t="s">
        <v>489</v>
      </c>
      <c r="C13" s="0" t="s">
        <v>406</v>
      </c>
      <c r="D13" s="0" t="s">
        <v>413</v>
      </c>
      <c r="E13" s="0" t="s">
        <v>503</v>
      </c>
      <c r="F13" s="0" t="n">
        <v>-0.2</v>
      </c>
      <c r="G13" s="0" t="n">
        <v>0.9</v>
      </c>
      <c r="H13" s="0" t="n">
        <v>0.8</v>
      </c>
      <c r="I13" s="0" t="n">
        <v>0.7</v>
      </c>
      <c r="J13" s="0" t="n">
        <v>3</v>
      </c>
      <c r="K13" s="0" t="n">
        <v>1</v>
      </c>
      <c r="L13" s="0" t="n">
        <v>1</v>
      </c>
      <c r="M13" s="31" t="n">
        <f aca="false">MIN(1, LN(1+MAX(J13, CANON!$B$27)) / LN(1+CANON!$B$25))</f>
        <v>0.425492107106726</v>
      </c>
      <c r="N13" s="32" t="n">
        <f aca="false">F13*G13*H13*I13*K13*L13*M13</f>
        <v>-0.042889604396358</v>
      </c>
    </row>
    <row r="14" customFormat="false" ht="14.25" hidden="false" customHeight="true" outlineLevel="0" collapsed="false">
      <c r="A14" s="0" t="s">
        <v>504</v>
      </c>
      <c r="B14" s="0" t="s">
        <v>489</v>
      </c>
      <c r="C14" s="0" t="s">
        <v>405</v>
      </c>
      <c r="D14" s="0" t="s">
        <v>413</v>
      </c>
      <c r="E14" s="0" t="s">
        <v>505</v>
      </c>
      <c r="F14" s="0" t="n">
        <v>-0.15</v>
      </c>
      <c r="G14" s="0" t="n">
        <v>0.6</v>
      </c>
      <c r="H14" s="0" t="n">
        <v>0.5</v>
      </c>
      <c r="I14" s="0" t="n">
        <v>0.4</v>
      </c>
      <c r="J14" s="0" t="n">
        <v>5</v>
      </c>
      <c r="K14" s="0" t="n">
        <v>1</v>
      </c>
      <c r="L14" s="0" t="n">
        <v>1</v>
      </c>
      <c r="M14" s="31" t="n">
        <f aca="false">MIN(1, LN(1+MAX(J14, CANON!$B$27)) / LN(1+CANON!$B$25))</f>
        <v>0.549940570611859</v>
      </c>
      <c r="N14" s="32" t="n">
        <f aca="false">F14*G14*H14*I14*K14*L14*M14</f>
        <v>-0.00989893027101346</v>
      </c>
    </row>
    <row r="15" customFormat="false" ht="14.25" hidden="false" customHeight="true" outlineLevel="0" collapsed="false">
      <c r="A15" s="0" t="s">
        <v>506</v>
      </c>
      <c r="B15" s="0" t="s">
        <v>507</v>
      </c>
      <c r="C15" s="0" t="s">
        <v>405</v>
      </c>
      <c r="D15" s="0" t="s">
        <v>412</v>
      </c>
      <c r="E15" s="0" t="s">
        <v>508</v>
      </c>
      <c r="F15" s="0" t="n">
        <v>0.2</v>
      </c>
      <c r="G15" s="0" t="n">
        <v>0.8</v>
      </c>
      <c r="H15" s="0" t="n">
        <v>0.7</v>
      </c>
      <c r="I15" s="0" t="n">
        <v>0.5</v>
      </c>
      <c r="J15" s="0" t="n">
        <v>5</v>
      </c>
      <c r="K15" s="0" t="n">
        <v>1</v>
      </c>
      <c r="L15" s="0" t="n">
        <v>1</v>
      </c>
      <c r="M15" s="31" t="n">
        <f aca="false">MIN(1, LN(1+MAX(J15, CANON!$B$27)) / LN(1+CANON!$B$25))</f>
        <v>0.549940570611859</v>
      </c>
      <c r="N15" s="32" t="n">
        <f aca="false">F15*G15*H15*I15*K15*L15*M15</f>
        <v>0.0307966719542641</v>
      </c>
    </row>
    <row r="16" customFormat="false" ht="14.25" hidden="false" customHeight="true" outlineLevel="0" collapsed="false">
      <c r="A16" s="0" t="s">
        <v>509</v>
      </c>
      <c r="B16" s="0" t="s">
        <v>507</v>
      </c>
      <c r="C16" s="0" t="s">
        <v>402</v>
      </c>
      <c r="D16" s="0" t="s">
        <v>411</v>
      </c>
      <c r="E16" s="0" t="s">
        <v>510</v>
      </c>
      <c r="F16" s="0" t="n">
        <v>-0.15</v>
      </c>
      <c r="G16" s="0" t="n">
        <v>0.7</v>
      </c>
      <c r="H16" s="0" t="n">
        <v>0.6</v>
      </c>
      <c r="I16" s="0" t="n">
        <v>0.5</v>
      </c>
      <c r="J16" s="0" t="n">
        <v>10</v>
      </c>
      <c r="K16" s="0" t="n">
        <v>1</v>
      </c>
      <c r="L16" s="0" t="n">
        <v>1</v>
      </c>
      <c r="M16" s="31" t="n">
        <f aca="false">MIN(1, LN(1+MAX(J16, CANON!$B$27)) / LN(1+CANON!$B$25))</f>
        <v>0.735980424402808</v>
      </c>
      <c r="N16" s="32" t="n">
        <f aca="false">F16*G16*H16*I16*K16*L16*M16</f>
        <v>-0.0231833833686885</v>
      </c>
    </row>
    <row r="17" customFormat="false" ht="14.25" hidden="false" customHeight="true" outlineLevel="0" collapsed="false">
      <c r="A17" s="0" t="s">
        <v>511</v>
      </c>
      <c r="B17" s="0" t="s">
        <v>507</v>
      </c>
      <c r="C17" s="0" t="s">
        <v>404</v>
      </c>
      <c r="D17" s="0" t="s">
        <v>413</v>
      </c>
      <c r="E17" s="0" t="s">
        <v>512</v>
      </c>
      <c r="F17" s="0" t="n">
        <v>-0.1</v>
      </c>
      <c r="G17" s="0" t="n">
        <v>0.7</v>
      </c>
      <c r="H17" s="0" t="n">
        <v>0.6</v>
      </c>
      <c r="I17" s="0" t="n">
        <v>0.4</v>
      </c>
      <c r="J17" s="0" t="n">
        <v>5</v>
      </c>
      <c r="K17" s="0" t="n">
        <v>1</v>
      </c>
      <c r="L17" s="0" t="n">
        <v>1</v>
      </c>
      <c r="M17" s="31" t="n">
        <f aca="false">MIN(1, LN(1+MAX(J17, CANON!$B$27)) / LN(1+CANON!$B$25))</f>
        <v>0.549940570611859</v>
      </c>
      <c r="N17" s="32" t="n">
        <f aca="false">F17*G17*H17*I17*K17*L17*M17</f>
        <v>-0.00923900158627923</v>
      </c>
    </row>
    <row r="18" customFormat="false" ht="14.25" hidden="false" customHeight="true" outlineLevel="0" collapsed="false">
      <c r="A18" s="0" t="s">
        <v>513</v>
      </c>
      <c r="B18" s="0" t="s">
        <v>507</v>
      </c>
      <c r="C18" s="0" t="s">
        <v>410</v>
      </c>
      <c r="D18" s="0" t="s">
        <v>409</v>
      </c>
      <c r="E18" s="0" t="s">
        <v>514</v>
      </c>
      <c r="F18" s="0" t="n">
        <v>-0.1</v>
      </c>
      <c r="G18" s="0" t="n">
        <v>0.5</v>
      </c>
      <c r="H18" s="0" t="n">
        <v>0.4</v>
      </c>
      <c r="I18" s="0" t="n">
        <v>0.3</v>
      </c>
      <c r="J18" s="0" t="n">
        <v>15</v>
      </c>
      <c r="K18" s="0" t="n">
        <v>1</v>
      </c>
      <c r="L18" s="0" t="n">
        <v>1</v>
      </c>
      <c r="M18" s="31" t="n">
        <f aca="false">MIN(1, LN(1+MAX(J18, CANON!$B$27)) / LN(1+CANON!$B$25))</f>
        <v>0.850984214213453</v>
      </c>
      <c r="N18" s="32" t="n">
        <f aca="false">F18*G18*H18*I18*K18*L18*M18</f>
        <v>-0.00510590528528072</v>
      </c>
    </row>
    <row r="19" customFormat="false" ht="14.25" hidden="false" customHeight="true" outlineLevel="0" collapsed="false">
      <c r="A19" s="0" t="s">
        <v>515</v>
      </c>
      <c r="B19" s="0" t="s">
        <v>507</v>
      </c>
      <c r="C19" s="0" t="s">
        <v>406</v>
      </c>
      <c r="D19" s="0" t="s">
        <v>413</v>
      </c>
      <c r="E19" s="0" t="s">
        <v>516</v>
      </c>
      <c r="F19" s="0" t="n">
        <v>0.1</v>
      </c>
      <c r="G19" s="0" t="n">
        <v>0.6</v>
      </c>
      <c r="H19" s="0" t="n">
        <v>0.5</v>
      </c>
      <c r="I19" s="0" t="n">
        <v>0.4</v>
      </c>
      <c r="J19" s="0" t="n">
        <v>3</v>
      </c>
      <c r="K19" s="0" t="n">
        <v>1</v>
      </c>
      <c r="L19" s="0" t="n">
        <v>1</v>
      </c>
      <c r="M19" s="31" t="n">
        <f aca="false">MIN(1, LN(1+MAX(J19, CANON!$B$27)) / LN(1+CANON!$B$25))</f>
        <v>0.425492107106726</v>
      </c>
      <c r="N19" s="32" t="n">
        <f aca="false">F19*G19*H19*I19*K19*L19*M19</f>
        <v>0.00510590528528072</v>
      </c>
    </row>
    <row r="20" customFormat="false" ht="14.25" hidden="false" customHeight="true" outlineLevel="0" collapsed="false">
      <c r="A20" s="0" t="s">
        <v>517</v>
      </c>
      <c r="B20" s="0" t="s">
        <v>507</v>
      </c>
      <c r="C20" s="0" t="s">
        <v>405</v>
      </c>
      <c r="D20" s="0" t="s">
        <v>413</v>
      </c>
      <c r="E20" s="0" t="s">
        <v>518</v>
      </c>
      <c r="F20" s="0" t="n">
        <v>0.1</v>
      </c>
      <c r="G20" s="0" t="n">
        <v>0.6</v>
      </c>
      <c r="H20" s="0" t="n">
        <v>0.5</v>
      </c>
      <c r="I20" s="0" t="n">
        <v>0.4</v>
      </c>
      <c r="J20" s="0" t="n">
        <v>5</v>
      </c>
      <c r="K20" s="0" t="n">
        <v>1</v>
      </c>
      <c r="L20" s="0" t="n">
        <v>1</v>
      </c>
      <c r="M20" s="31" t="n">
        <f aca="false">MIN(1, LN(1+MAX(J20, CANON!$B$27)) / LN(1+CANON!$B$25))</f>
        <v>0.549940570611859</v>
      </c>
      <c r="N20" s="32" t="n">
        <f aca="false">F20*G20*H20*I20*K20*L20*M20</f>
        <v>0.0065992868473423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519</v>
      </c>
      <c r="B1" s="20"/>
      <c r="C1" s="20"/>
      <c r="D1" s="20"/>
      <c r="E1" s="20"/>
      <c r="F1" s="20"/>
      <c r="G1" s="20"/>
      <c r="H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520</v>
      </c>
    </row>
    <row r="4" customFormat="false" ht="14.25" hidden="false" customHeight="true" outlineLevel="0" collapsed="false">
      <c r="A4" s="0" t="s">
        <v>521</v>
      </c>
    </row>
    <row r="5" customFormat="false" ht="14.25" hidden="false" customHeight="true" outlineLevel="0" collapsed="false">
      <c r="A5" s="0" t="s">
        <v>522</v>
      </c>
    </row>
    <row r="6" customFormat="false" ht="14.25" hidden="false" customHeight="true" outlineLevel="0" collapsed="false">
      <c r="A6" s="8" t="s">
        <v>523</v>
      </c>
    </row>
    <row r="7" customFormat="false" ht="13.5" hidden="false" customHeight="true" outlineLevel="0" collapsed="false"/>
    <row r="8" customFormat="false" ht="14.25" hidden="false" customHeight="true" outlineLevel="0" collapsed="false">
      <c r="A8" s="8" t="s">
        <v>524</v>
      </c>
    </row>
    <row r="9" customFormat="false" ht="14.25" hidden="false" customHeight="true" outlineLevel="0" collapsed="false">
      <c r="A9" s="8" t="s">
        <v>525</v>
      </c>
      <c r="B9" s="8" t="s">
        <v>452</v>
      </c>
      <c r="C9" s="8" t="s">
        <v>526</v>
      </c>
      <c r="D9" s="8" t="s">
        <v>527</v>
      </c>
      <c r="E9" s="8" t="s">
        <v>528</v>
      </c>
      <c r="F9" s="0" t="s">
        <v>529</v>
      </c>
      <c r="G9" s="0" t="s">
        <v>530</v>
      </c>
      <c r="H9" s="0" t="s">
        <v>531</v>
      </c>
      <c r="I9" s="0" t="s">
        <v>532</v>
      </c>
    </row>
    <row r="10" customFormat="false" ht="14.25" hidden="false" customHeight="true" outlineLevel="0" collapsed="false">
      <c r="A10" s="0" t="s">
        <v>533</v>
      </c>
      <c r="B10" s="0" t="s">
        <v>534</v>
      </c>
      <c r="C10" s="0" t="n">
        <v>0.6</v>
      </c>
      <c r="D10" s="31" t="n">
        <f aca="false">I10</f>
        <v>0</v>
      </c>
      <c r="E10" s="0" t="s">
        <v>535</v>
      </c>
      <c r="F10" s="31" t="n">
        <v>0</v>
      </c>
      <c r="G10" s="31" t="n">
        <v>0</v>
      </c>
      <c r="H10" s="31" t="n">
        <v>0.015317</v>
      </c>
      <c r="I10" s="31" t="n">
        <f aca="false">0.35*MAX(0,-F10)+0.3*MAX(0,-G10)+0.35*MAX(0,-H10)</f>
        <v>0</v>
      </c>
    </row>
    <row r="11" customFormat="false" ht="14.25" hidden="false" customHeight="true" outlineLevel="0" collapsed="false">
      <c r="A11" s="0" t="s">
        <v>536</v>
      </c>
      <c r="B11" s="0" t="s">
        <v>78</v>
      </c>
      <c r="C11" s="0" t="n">
        <v>0.15</v>
      </c>
      <c r="D11" s="31" t="n">
        <f aca="false">I11</f>
        <v>0.007</v>
      </c>
      <c r="E11" s="0" t="s">
        <v>537</v>
      </c>
      <c r="F11" s="0" t="n">
        <v>-0.02</v>
      </c>
      <c r="G11" s="0" t="n">
        <v>0</v>
      </c>
      <c r="H11" s="0" t="n">
        <v>0.01</v>
      </c>
      <c r="I11" s="31" t="n">
        <f aca="false">0.35*MAX(0,-F11)+0.3*MAX(0,-G11)+0.35*MAX(0,-H11)</f>
        <v>0.007</v>
      </c>
    </row>
    <row r="12" customFormat="false" ht="14.25" hidden="false" customHeight="true" outlineLevel="0" collapsed="false">
      <c r="A12" s="0" t="s">
        <v>538</v>
      </c>
      <c r="B12" s="0" t="s">
        <v>75</v>
      </c>
      <c r="C12" s="0" t="n">
        <v>0.08</v>
      </c>
      <c r="D12" s="31" t="n">
        <f aca="false">I12</f>
        <v>0.0175</v>
      </c>
      <c r="E12" s="0" t="s">
        <v>539</v>
      </c>
      <c r="F12" s="0" t="n">
        <v>-0.05</v>
      </c>
      <c r="G12" s="0" t="n">
        <v>0</v>
      </c>
      <c r="H12" s="0" t="n">
        <v>0.02</v>
      </c>
      <c r="I12" s="31" t="n">
        <f aca="false">0.35*MAX(0,-F12)+0.3*MAX(0,-G12)+0.35*MAX(0,-H12)</f>
        <v>0.0175</v>
      </c>
    </row>
    <row r="13" customFormat="false" ht="14.25" hidden="false" customHeight="true" outlineLevel="0" collapsed="false">
      <c r="A13" s="0" t="s">
        <v>540</v>
      </c>
      <c r="B13" s="0" t="s">
        <v>77</v>
      </c>
      <c r="C13" s="0" t="n">
        <v>0.07</v>
      </c>
      <c r="D13" s="31" t="n">
        <f aca="false">I13</f>
        <v>0.0195</v>
      </c>
      <c r="E13" s="0" t="s">
        <v>541</v>
      </c>
      <c r="F13" s="0" t="n">
        <v>-0.01</v>
      </c>
      <c r="G13" s="0" t="n">
        <v>-0.03</v>
      </c>
      <c r="H13" s="0" t="n">
        <v>-0.02</v>
      </c>
      <c r="I13" s="31" t="n">
        <f aca="false">0.35*MAX(0,-F13)+0.3*MAX(0,-G13)+0.35*MAX(0,-H13)</f>
        <v>0.0195</v>
      </c>
    </row>
    <row r="14" customFormat="false" ht="14.25" hidden="false" customHeight="true" outlineLevel="0" collapsed="false">
      <c r="A14" s="0" t="s">
        <v>542</v>
      </c>
      <c r="B14" s="0" t="s">
        <v>80</v>
      </c>
      <c r="C14" s="0" t="n">
        <v>0.05</v>
      </c>
      <c r="D14" s="31" t="n">
        <f aca="false">I14</f>
        <v>0.0135</v>
      </c>
      <c r="E14" s="0" t="s">
        <v>543</v>
      </c>
      <c r="F14" s="0" t="n">
        <v>-0.03</v>
      </c>
      <c r="G14" s="0" t="n">
        <v>-0.01</v>
      </c>
      <c r="H14" s="0" t="n">
        <v>0.01</v>
      </c>
      <c r="I14" s="31" t="n">
        <f aca="false">0.35*MAX(0,-F14)+0.3*MAX(0,-G14)+0.35*MAX(0,-H14)</f>
        <v>0.0135</v>
      </c>
    </row>
    <row r="15" customFormat="false" ht="14.25" hidden="false" customHeight="true" outlineLevel="0" collapsed="false">
      <c r="A15" s="0" t="s">
        <v>544</v>
      </c>
      <c r="B15" s="0" t="s">
        <v>79</v>
      </c>
      <c r="C15" s="0" t="n">
        <v>0.03</v>
      </c>
      <c r="D15" s="31" t="n">
        <f aca="false">I15</f>
        <v>0.0235</v>
      </c>
      <c r="E15" s="0" t="s">
        <v>545</v>
      </c>
      <c r="F15" s="0" t="n">
        <v>-0.04</v>
      </c>
      <c r="G15" s="0" t="n">
        <v>-0.02</v>
      </c>
      <c r="H15" s="0" t="n">
        <v>-0.01</v>
      </c>
      <c r="I15" s="31" t="n">
        <f aca="false">0.35*MAX(0,-F15)+0.3*MAX(0,-G15)+0.35*MAX(0,-H15)</f>
        <v>0.0235</v>
      </c>
    </row>
    <row r="16" customFormat="false" ht="14.25" hidden="false" customHeight="true" outlineLevel="0" collapsed="false">
      <c r="A16" s="0" t="s">
        <v>546</v>
      </c>
      <c r="B16" s="0" t="s">
        <v>81</v>
      </c>
      <c r="C16" s="0" t="n">
        <v>0.02</v>
      </c>
      <c r="D16" s="31" t="n">
        <f aca="false">I16</f>
        <v>0.01</v>
      </c>
      <c r="E16" s="0" t="s">
        <v>547</v>
      </c>
      <c r="F16" s="0" t="n">
        <v>-0.02</v>
      </c>
      <c r="G16" s="0" t="n">
        <v>-0.01</v>
      </c>
      <c r="H16" s="0" t="n">
        <v>0</v>
      </c>
      <c r="I16" s="31" t="n">
        <f aca="false">0.35*MAX(0,-F16)+0.3*MAX(0,-G16)+0.35*MAX(0,-H16)</f>
        <v>0.01</v>
      </c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4.25" hidden="false" customHeight="true" outlineLevel="0" collapsed="false">
      <c r="A19" s="8" t="s">
        <v>548</v>
      </c>
    </row>
    <row r="20" customFormat="false" ht="14.25" hidden="false" customHeight="true" outlineLevel="0" collapsed="false">
      <c r="A20" s="8" t="s">
        <v>525</v>
      </c>
      <c r="B20" s="8" t="s">
        <v>452</v>
      </c>
      <c r="C20" s="8" t="s">
        <v>526</v>
      </c>
      <c r="D20" s="8" t="s">
        <v>527</v>
      </c>
      <c r="E20" s="8" t="s">
        <v>528</v>
      </c>
      <c r="F20" s="0" t="s">
        <v>529</v>
      </c>
      <c r="G20" s="0" t="s">
        <v>530</v>
      </c>
      <c r="H20" s="0" t="s">
        <v>531</v>
      </c>
      <c r="I20" s="0" t="s">
        <v>532</v>
      </c>
    </row>
    <row r="21" customFormat="false" ht="14.25" hidden="false" customHeight="true" outlineLevel="0" collapsed="false">
      <c r="A21" s="0" t="s">
        <v>533</v>
      </c>
      <c r="B21" s="0" t="s">
        <v>534</v>
      </c>
      <c r="C21" s="0" t="n">
        <v>0.6</v>
      </c>
      <c r="D21" s="31" t="n">
        <f aca="false">I21</f>
        <v>0.00357385</v>
      </c>
      <c r="E21" s="0" t="s">
        <v>549</v>
      </c>
      <c r="F21" s="31" t="n">
        <v>0</v>
      </c>
      <c r="G21" s="31" t="n">
        <v>0</v>
      </c>
      <c r="H21" s="31" t="n">
        <v>-0.010211</v>
      </c>
      <c r="I21" s="31" t="n">
        <f aca="false">0.35*MAX(0,-F21)+0.3*MAX(0,-G21)+0.35*MAX(0,-H21)</f>
        <v>0.00357385</v>
      </c>
    </row>
    <row r="22" customFormat="false" ht="14.25" hidden="false" customHeight="true" outlineLevel="0" collapsed="false">
      <c r="A22" s="0" t="s">
        <v>536</v>
      </c>
      <c r="B22" s="0" t="s">
        <v>78</v>
      </c>
      <c r="C22" s="0" t="n">
        <v>0.15</v>
      </c>
      <c r="D22" s="31" t="n">
        <f aca="false">I22</f>
        <v>0.0105</v>
      </c>
      <c r="E22" s="0" t="s">
        <v>550</v>
      </c>
      <c r="F22" s="0" t="n">
        <v>-0.015</v>
      </c>
      <c r="G22" s="0" t="n">
        <v>0</v>
      </c>
      <c r="H22" s="0" t="n">
        <v>-0.015</v>
      </c>
      <c r="I22" s="31" t="n">
        <f aca="false">0.35*MAX(0,-F22)+0.3*MAX(0,-G22)+0.35*MAX(0,-H22)</f>
        <v>0.0105</v>
      </c>
    </row>
    <row r="23" customFormat="false" ht="14.25" hidden="false" customHeight="true" outlineLevel="0" collapsed="false">
      <c r="A23" s="0" t="s">
        <v>538</v>
      </c>
      <c r="B23" s="0" t="s">
        <v>75</v>
      </c>
      <c r="C23" s="0" t="n">
        <v>0.08</v>
      </c>
      <c r="D23" s="31" t="n">
        <f aca="false">I23</f>
        <v>0.0315</v>
      </c>
      <c r="E23" s="0" t="s">
        <v>551</v>
      </c>
      <c r="F23" s="0" t="n">
        <v>-0.08</v>
      </c>
      <c r="G23" s="0" t="n">
        <v>0</v>
      </c>
      <c r="H23" s="0" t="n">
        <v>-0.01</v>
      </c>
      <c r="I23" s="31" t="n">
        <f aca="false">0.35*MAX(0,-F23)+0.3*MAX(0,-G23)+0.35*MAX(0,-H23)</f>
        <v>0.0315</v>
      </c>
    </row>
    <row r="24" customFormat="false" ht="14.25" hidden="false" customHeight="true" outlineLevel="0" collapsed="false">
      <c r="A24" s="0" t="s">
        <v>540</v>
      </c>
      <c r="B24" s="0" t="s">
        <v>77</v>
      </c>
      <c r="C24" s="0" t="n">
        <v>0.07</v>
      </c>
      <c r="D24" s="31" t="n">
        <f aca="false">I24</f>
        <v>0.0235</v>
      </c>
      <c r="E24" s="0" t="s">
        <v>552</v>
      </c>
      <c r="F24" s="0" t="n">
        <v>-0.01</v>
      </c>
      <c r="G24" s="0" t="n">
        <v>-0.02</v>
      </c>
      <c r="H24" s="0" t="n">
        <v>-0.04</v>
      </c>
      <c r="I24" s="31" t="n">
        <f aca="false">0.35*MAX(0,-F24)+0.3*MAX(0,-G24)+0.35*MAX(0,-H24)</f>
        <v>0.0235</v>
      </c>
    </row>
    <row r="25" customFormat="false" ht="14.25" hidden="false" customHeight="true" outlineLevel="0" collapsed="false">
      <c r="A25" s="0" t="s">
        <v>542</v>
      </c>
      <c r="B25" s="0" t="s">
        <v>80</v>
      </c>
      <c r="C25" s="0" t="n">
        <v>0.05</v>
      </c>
      <c r="D25" s="31" t="n">
        <f aca="false">I25</f>
        <v>0.0135</v>
      </c>
      <c r="E25" s="0" t="s">
        <v>553</v>
      </c>
      <c r="F25" s="0" t="n">
        <v>-0.02</v>
      </c>
      <c r="G25" s="0" t="n">
        <v>-0.01</v>
      </c>
      <c r="H25" s="0" t="n">
        <v>-0.01</v>
      </c>
      <c r="I25" s="31" t="n">
        <f aca="false">0.35*MAX(0,-F25)+0.3*MAX(0,-G25)+0.35*MAX(0,-H25)</f>
        <v>0.0135</v>
      </c>
    </row>
    <row r="26" customFormat="false" ht="14.25" hidden="false" customHeight="true" outlineLevel="0" collapsed="false">
      <c r="A26" s="0" t="s">
        <v>544</v>
      </c>
      <c r="B26" s="0" t="s">
        <v>79</v>
      </c>
      <c r="C26" s="0" t="n">
        <v>0.03</v>
      </c>
      <c r="D26" s="31" t="n">
        <f aca="false">I26</f>
        <v>0.02175</v>
      </c>
      <c r="E26" s="0" t="s">
        <v>554</v>
      </c>
      <c r="F26" s="0" t="n">
        <v>-0.03</v>
      </c>
      <c r="G26" s="0" t="n">
        <v>-0.02</v>
      </c>
      <c r="H26" s="0" t="n">
        <v>-0.015</v>
      </c>
      <c r="I26" s="31" t="n">
        <f aca="false">0.35*MAX(0,-F26)+0.3*MAX(0,-G26)+0.35*MAX(0,-H26)</f>
        <v>0.02175</v>
      </c>
    </row>
    <row r="27" customFormat="false" ht="14.25" hidden="false" customHeight="true" outlineLevel="0" collapsed="false">
      <c r="A27" s="0" t="s">
        <v>546</v>
      </c>
      <c r="B27" s="0" t="s">
        <v>81</v>
      </c>
      <c r="C27" s="0" t="n">
        <v>0.02</v>
      </c>
      <c r="D27" s="31" t="n">
        <f aca="false">I27</f>
        <v>0.007</v>
      </c>
      <c r="E27" s="0" t="s">
        <v>555</v>
      </c>
      <c r="F27" s="0" t="n">
        <v>-0.01</v>
      </c>
      <c r="G27" s="0" t="n">
        <v>0</v>
      </c>
      <c r="H27" s="0" t="n">
        <v>-0.01</v>
      </c>
      <c r="I27" s="31" t="n">
        <f aca="false">0.35*MAX(0,-F27)+0.3*MAX(0,-G27)+0.35*MAX(0,-H27)</f>
        <v>0.007</v>
      </c>
    </row>
    <row r="28" customFormat="false" ht="13.5" hidden="false" customHeight="true" outlineLevel="0" collapsed="false"/>
    <row r="29" customFormat="false" ht="14.25" hidden="false" customHeight="true" outlineLevel="0" collapsed="false">
      <c r="A29" s="0" t="s">
        <v>556</v>
      </c>
    </row>
    <row r="30" customFormat="false" ht="14.25" hidden="false" customHeight="true" outlineLevel="0" collapsed="false">
      <c r="A30" s="8" t="s">
        <v>557</v>
      </c>
    </row>
    <row r="31" customFormat="false" ht="14.25" hidden="false" customHeight="true" outlineLevel="0" collapsed="false">
      <c r="A31" s="0" t="s">
        <v>558</v>
      </c>
      <c r="B31" s="0" t="s">
        <v>559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560</v>
      </c>
      <c r="B1" s="20"/>
      <c r="C1" s="20"/>
      <c r="D1" s="20"/>
      <c r="E1" s="20"/>
      <c r="F1" s="20"/>
      <c r="G1" s="20"/>
      <c r="H1" s="20"/>
      <c r="I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561</v>
      </c>
    </row>
    <row r="4" customFormat="false" ht="13.5" hidden="false" customHeight="true" outlineLevel="0" collapsed="false"/>
    <row r="5" customFormat="false" ht="14.25" hidden="false" customHeight="true" outlineLevel="0" collapsed="false">
      <c r="A5" s="8" t="s">
        <v>562</v>
      </c>
    </row>
    <row r="6" customFormat="false" ht="14.25" hidden="false" customHeight="true" outlineLevel="0" collapsed="false">
      <c r="B6" s="8" t="s">
        <v>413</v>
      </c>
      <c r="C6" s="8" t="s">
        <v>403</v>
      </c>
      <c r="D6" s="8" t="s">
        <v>412</v>
      </c>
      <c r="E6" s="8" t="s">
        <v>414</v>
      </c>
      <c r="F6" s="8" t="s">
        <v>411</v>
      </c>
      <c r="G6" s="8" t="s">
        <v>498</v>
      </c>
      <c r="H6" s="8" t="s">
        <v>409</v>
      </c>
    </row>
    <row r="7" customFormat="false" ht="14.25" hidden="false" customHeight="true" outlineLevel="0" collapsed="false">
      <c r="A7" s="8" t="s">
        <v>402</v>
      </c>
      <c r="B7" s="31" t="n">
        <f aca="false">TANH(Parameters!$B$24*SUMIFS(Impact_Input!$N:$N,Impact_Input!$B:$B,"A",Impact_Input!$C:$C,$A7,Impact_Input!$D:$D,B$6))</f>
        <v>0</v>
      </c>
      <c r="C7" s="31" t="n">
        <f aca="false">TANH(Parameters!$B$24*SUMIFS(Impact_Input!$N:$N,Impact_Input!$B:$B,"A",Impact_Input!$C:$C,$A7,Impact_Input!$D:$D,C$6))</f>
        <v>0</v>
      </c>
      <c r="D7" s="31" t="n">
        <f aca="false">TANH(Parameters!$B$24*SUMIFS(Impact_Input!$N:$N,Impact_Input!$B:$B,"A",Impact_Input!$C:$C,$A7,Impact_Input!$D:$D,D$6))</f>
        <v>0</v>
      </c>
      <c r="E7" s="31" t="n">
        <f aca="false">TANH(Parameters!$B$24*SUMIFS(Impact_Input!$N:$N,Impact_Input!$B:$B,"A",Impact_Input!$C:$C,$A7,Impact_Input!$D:$D,E$6))</f>
        <v>0</v>
      </c>
      <c r="F7" s="33" t="n">
        <f aca="false">TANH(Parameters!$B$24*SUMIFS(Impact_Input!$N:$N,Impact_Input!$B:$B,"A",Impact_Input!$C:$C,$A7,Impact_Input!$D:$D,F$6))</f>
        <v>0.249007884327423</v>
      </c>
      <c r="G7" s="33" t="n">
        <f aca="false">TANH(Parameters!$B$24*SUMIFS(Impact_Input!$N:$N,Impact_Input!$B:$B,"A",Impact_Input!$C:$C,$A7,Impact_Input!$D:$D,G$6))</f>
        <v>0.143259855793144</v>
      </c>
      <c r="H7" s="31" t="n">
        <f aca="false">TANH(Parameters!$B$24*SUMIFS(Impact_Input!$N:$N,Impact_Input!$B:$B,"A",Impact_Input!$C:$C,$A7,Impact_Input!$D:$D,H$6))</f>
        <v>0</v>
      </c>
    </row>
    <row r="8" customFormat="false" ht="14.25" hidden="false" customHeight="true" outlineLevel="0" collapsed="false">
      <c r="A8" s="8" t="s">
        <v>404</v>
      </c>
      <c r="B8" s="33" t="n">
        <f aca="false">TANH(Parameters!$B$24*SUMIFS(Impact_Input!$N:$N,Impact_Input!$B:$B,"A",Impact_Input!$C:$C,$A8,Impact_Input!$D:$D,B$6))</f>
        <v>0.0461621762340888</v>
      </c>
      <c r="C8" s="31" t="n">
        <f aca="false">TANH(Parameters!$B$24*SUMIFS(Impact_Input!$N:$N,Impact_Input!$B:$B,"A",Impact_Input!$C:$C,$A8,Impact_Input!$D:$D,C$6))</f>
        <v>0</v>
      </c>
      <c r="D8" s="31" t="n">
        <f aca="false">TANH(Parameters!$B$24*SUMIFS(Impact_Input!$N:$N,Impact_Input!$B:$B,"A",Impact_Input!$C:$C,$A8,Impact_Input!$D:$D,D$6))</f>
        <v>0</v>
      </c>
      <c r="E8" s="31" t="n">
        <f aca="false">TANH(Parameters!$B$24*SUMIFS(Impact_Input!$N:$N,Impact_Input!$B:$B,"A",Impact_Input!$C:$C,$A8,Impact_Input!$D:$D,E$6))</f>
        <v>0</v>
      </c>
      <c r="F8" s="31" t="n">
        <f aca="false">TANH(Parameters!$B$24*SUMIFS(Impact_Input!$N:$N,Impact_Input!$B:$B,"A",Impact_Input!$C:$C,$A8,Impact_Input!$D:$D,F$6))</f>
        <v>0</v>
      </c>
      <c r="G8" s="31" t="n">
        <f aca="false">TANH(Parameters!$B$24*SUMIFS(Impact_Input!$N:$N,Impact_Input!$B:$B,"A",Impact_Input!$C:$C,$A8,Impact_Input!$D:$D,G$6))</f>
        <v>0</v>
      </c>
      <c r="H8" s="31" t="n">
        <f aca="false">TANH(Parameters!$B$24*SUMIFS(Impact_Input!$N:$N,Impact_Input!$B:$B,"A",Impact_Input!$C:$C,$A8,Impact_Input!$D:$D,H$6))</f>
        <v>0</v>
      </c>
    </row>
    <row r="9" customFormat="false" ht="14.25" hidden="false" customHeight="true" outlineLevel="0" collapsed="false">
      <c r="A9" s="8" t="s">
        <v>405</v>
      </c>
      <c r="B9" s="34" t="n">
        <f aca="false">TANH(Parameters!$B$24*SUMIFS(Impact_Input!$N:$N,Impact_Input!$B:$B,"A",Impact_Input!$C:$C,$A9,Impact_Input!$D:$D,B$6))</f>
        <v>-0.0197952743221616</v>
      </c>
      <c r="C9" s="31" t="n">
        <f aca="false">TANH(Parameters!$B$24*SUMIFS(Impact_Input!$N:$N,Impact_Input!$B:$B,"A",Impact_Input!$C:$C,$A9,Impact_Input!$D:$D,C$6))</f>
        <v>0</v>
      </c>
      <c r="D9" s="34" t="n">
        <f aca="false">TANH(Parameters!$B$24*SUMIFS(Impact_Input!$N:$N,Impact_Input!$B:$B,"A",Impact_Input!$C:$C,$A9,Impact_Input!$D:$D,D$6))</f>
        <v>-0.0807256868155385</v>
      </c>
      <c r="E9" s="31" t="n">
        <f aca="false">TANH(Parameters!$B$24*SUMIFS(Impact_Input!$N:$N,Impact_Input!$B:$B,"A",Impact_Input!$C:$C,$A9,Impact_Input!$D:$D,E$6))</f>
        <v>0</v>
      </c>
      <c r="F9" s="31" t="n">
        <f aca="false">TANH(Parameters!$B$24*SUMIFS(Impact_Input!$N:$N,Impact_Input!$B:$B,"A",Impact_Input!$C:$C,$A9,Impact_Input!$D:$D,F$6))</f>
        <v>0</v>
      </c>
      <c r="G9" s="31" t="n">
        <f aca="false">TANH(Parameters!$B$24*SUMIFS(Impact_Input!$N:$N,Impact_Input!$B:$B,"A",Impact_Input!$C:$C,$A9,Impact_Input!$D:$D,G$6))</f>
        <v>0</v>
      </c>
      <c r="H9" s="31" t="n">
        <f aca="false">TANH(Parameters!$B$24*SUMIFS(Impact_Input!$N:$N,Impact_Input!$B:$B,"A",Impact_Input!$C:$C,$A9,Impact_Input!$D:$D,H$6))</f>
        <v>0</v>
      </c>
    </row>
    <row r="10" customFormat="false" ht="14.25" hidden="false" customHeight="true" outlineLevel="0" collapsed="false">
      <c r="A10" s="8" t="s">
        <v>406</v>
      </c>
      <c r="B10" s="34" t="n">
        <f aca="false">TANH(Parameters!$B$24*SUMIFS(Impact_Input!$N:$N,Impact_Input!$B:$B,"A",Impact_Input!$C:$C,$A10,Impact_Input!$D:$D,B$6))</f>
        <v>-0.0855694362958967</v>
      </c>
      <c r="C10" s="31" t="n">
        <f aca="false">TANH(Parameters!$B$24*SUMIFS(Impact_Input!$N:$N,Impact_Input!$B:$B,"A",Impact_Input!$C:$C,$A10,Impact_Input!$D:$D,C$6))</f>
        <v>0</v>
      </c>
      <c r="D10" s="31" t="n">
        <f aca="false">TANH(Parameters!$B$24*SUMIFS(Impact_Input!$N:$N,Impact_Input!$B:$B,"A",Impact_Input!$C:$C,$A10,Impact_Input!$D:$D,D$6))</f>
        <v>0</v>
      </c>
      <c r="E10" s="31" t="n">
        <f aca="false">TANH(Parameters!$B$24*SUMIFS(Impact_Input!$N:$N,Impact_Input!$B:$B,"A",Impact_Input!$C:$C,$A10,Impact_Input!$D:$D,E$6))</f>
        <v>0</v>
      </c>
      <c r="F10" s="31" t="n">
        <f aca="false">TANH(Parameters!$B$24*SUMIFS(Impact_Input!$N:$N,Impact_Input!$B:$B,"A",Impact_Input!$C:$C,$A10,Impact_Input!$D:$D,F$6))</f>
        <v>0</v>
      </c>
      <c r="G10" s="31" t="n">
        <f aca="false">TANH(Parameters!$B$24*SUMIFS(Impact_Input!$N:$N,Impact_Input!$B:$B,"A",Impact_Input!$C:$C,$A10,Impact_Input!$D:$D,G$6))</f>
        <v>0</v>
      </c>
      <c r="H10" s="31" t="n">
        <f aca="false">TANH(Parameters!$B$24*SUMIFS(Impact_Input!$N:$N,Impact_Input!$B:$B,"A",Impact_Input!$C:$C,$A10,Impact_Input!$D:$D,H$6))</f>
        <v>0</v>
      </c>
    </row>
    <row r="11" customFormat="false" ht="14.25" hidden="false" customHeight="true" outlineLevel="0" collapsed="false">
      <c r="A11" s="8" t="s">
        <v>407</v>
      </c>
      <c r="B11" s="31" t="n">
        <f aca="false">TANH(Parameters!$B$24*SUMIFS(Impact_Input!$N:$N,Impact_Input!$B:$B,"A",Impact_Input!$C:$C,$A11,Impact_Input!$D:$D,B$6))</f>
        <v>0</v>
      </c>
      <c r="C11" s="31" t="n">
        <f aca="false">TANH(Parameters!$B$24*SUMIFS(Impact_Input!$N:$N,Impact_Input!$B:$B,"A",Impact_Input!$C:$C,$A11,Impact_Input!$D:$D,C$6))</f>
        <v>0</v>
      </c>
      <c r="D11" s="31" t="n">
        <f aca="false">TANH(Parameters!$B$24*SUMIFS(Impact_Input!$N:$N,Impact_Input!$B:$B,"A",Impact_Input!$C:$C,$A11,Impact_Input!$D:$D,D$6))</f>
        <v>0</v>
      </c>
      <c r="E11" s="31" t="n">
        <f aca="false">TANH(Parameters!$B$24*SUMIFS(Impact_Input!$N:$N,Impact_Input!$B:$B,"A",Impact_Input!$C:$C,$A11,Impact_Input!$D:$D,E$6))</f>
        <v>0</v>
      </c>
      <c r="F11" s="31" t="n">
        <f aca="false">TANH(Parameters!$B$24*SUMIFS(Impact_Input!$N:$N,Impact_Input!$B:$B,"A",Impact_Input!$C:$C,$A11,Impact_Input!$D:$D,F$6))</f>
        <v>0</v>
      </c>
      <c r="G11" s="31" t="n">
        <f aca="false">TANH(Parameters!$B$24*SUMIFS(Impact_Input!$N:$N,Impact_Input!$B:$B,"A",Impact_Input!$C:$C,$A11,Impact_Input!$D:$D,G$6))</f>
        <v>0</v>
      </c>
      <c r="H11" s="31" t="n">
        <f aca="false">TANH(Parameters!$B$24*SUMIFS(Impact_Input!$N:$N,Impact_Input!$B:$B,"A",Impact_Input!$C:$C,$A11,Impact_Input!$D:$D,H$6))</f>
        <v>0</v>
      </c>
    </row>
    <row r="12" customFormat="false" ht="14.25" hidden="false" customHeight="true" outlineLevel="0" collapsed="false">
      <c r="A12" s="8" t="s">
        <v>408</v>
      </c>
      <c r="B12" s="31" t="n">
        <f aca="false">TANH(Parameters!$B$24*SUMIFS(Impact_Input!$N:$N,Impact_Input!$B:$B,"A",Impact_Input!$C:$C,$A12,Impact_Input!$D:$D,B$6))</f>
        <v>0</v>
      </c>
      <c r="C12" s="31" t="n">
        <f aca="false">TANH(Parameters!$B$24*SUMIFS(Impact_Input!$N:$N,Impact_Input!$B:$B,"A",Impact_Input!$C:$C,$A12,Impact_Input!$D:$D,C$6))</f>
        <v>0</v>
      </c>
      <c r="D12" s="31" t="n">
        <f aca="false">TANH(Parameters!$B$24*SUMIFS(Impact_Input!$N:$N,Impact_Input!$B:$B,"A",Impact_Input!$C:$C,$A12,Impact_Input!$D:$D,D$6))</f>
        <v>0</v>
      </c>
      <c r="E12" s="31" t="n">
        <f aca="false">TANH(Parameters!$B$24*SUMIFS(Impact_Input!$N:$N,Impact_Input!$B:$B,"A",Impact_Input!$C:$C,$A12,Impact_Input!$D:$D,E$6))</f>
        <v>0</v>
      </c>
      <c r="F12" s="31" t="n">
        <f aca="false">TANH(Parameters!$B$24*SUMIFS(Impact_Input!$N:$N,Impact_Input!$B:$B,"A",Impact_Input!$C:$C,$A12,Impact_Input!$D:$D,F$6))</f>
        <v>0</v>
      </c>
      <c r="G12" s="31" t="n">
        <f aca="false">TANH(Parameters!$B$24*SUMIFS(Impact_Input!$N:$N,Impact_Input!$B:$B,"A",Impact_Input!$C:$C,$A12,Impact_Input!$D:$D,G$6))</f>
        <v>0</v>
      </c>
      <c r="H12" s="31" t="n">
        <f aca="false">TANH(Parameters!$B$24*SUMIFS(Impact_Input!$N:$N,Impact_Input!$B:$B,"A",Impact_Input!$C:$C,$A12,Impact_Input!$D:$D,H$6))</f>
        <v>0</v>
      </c>
    </row>
    <row r="13" customFormat="false" ht="14.25" hidden="false" customHeight="true" outlineLevel="0" collapsed="false">
      <c r="A13" s="8" t="s">
        <v>410</v>
      </c>
      <c r="B13" s="31" t="n">
        <f aca="false">TANH(Parameters!$B$24*SUMIFS(Impact_Input!$N:$N,Impact_Input!$B:$B,"A",Impact_Input!$C:$C,$A13,Impact_Input!$D:$D,B$6))</f>
        <v>0</v>
      </c>
      <c r="C13" s="31" t="n">
        <f aca="false">TANH(Parameters!$B$24*SUMIFS(Impact_Input!$N:$N,Impact_Input!$B:$B,"A",Impact_Input!$C:$C,$A13,Impact_Input!$D:$D,C$6))</f>
        <v>0</v>
      </c>
      <c r="D13" s="31" t="n">
        <f aca="false">TANH(Parameters!$B$24*SUMIFS(Impact_Input!$N:$N,Impact_Input!$B:$B,"A",Impact_Input!$C:$C,$A13,Impact_Input!$D:$D,D$6))</f>
        <v>0</v>
      </c>
      <c r="E13" s="31" t="n">
        <f aca="false">TANH(Parameters!$B$24*SUMIFS(Impact_Input!$N:$N,Impact_Input!$B:$B,"A",Impact_Input!$C:$C,$A13,Impact_Input!$D:$D,E$6))</f>
        <v>0</v>
      </c>
      <c r="F13" s="31" t="n">
        <f aca="false">TANH(Parameters!$B$24*SUMIFS(Impact_Input!$N:$N,Impact_Input!$B:$B,"A",Impact_Input!$C:$C,$A13,Impact_Input!$D:$D,F$6))</f>
        <v>0</v>
      </c>
      <c r="G13" s="31" t="n">
        <f aca="false">TANH(Parameters!$B$24*SUMIFS(Impact_Input!$N:$N,Impact_Input!$B:$B,"A",Impact_Input!$C:$C,$A13,Impact_Input!$D:$D,G$6))</f>
        <v>0</v>
      </c>
      <c r="H13" s="33" t="n">
        <f aca="false">TANH(Parameters!$B$24*SUMIFS(Impact_Input!$N:$N,Impact_Input!$B:$B,"A",Impact_Input!$C:$C,$A13,Impact_Input!$D:$D,H$6))</f>
        <v>0.0153165179573599</v>
      </c>
    </row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4.25" hidden="false" customHeight="true" outlineLevel="0" collapsed="false">
      <c r="A16" s="8" t="s">
        <v>563</v>
      </c>
    </row>
    <row r="17" customFormat="false" ht="14.25" hidden="false" customHeight="true" outlineLevel="0" collapsed="false">
      <c r="B17" s="8" t="s">
        <v>413</v>
      </c>
      <c r="C17" s="8" t="s">
        <v>403</v>
      </c>
      <c r="D17" s="8" t="s">
        <v>412</v>
      </c>
      <c r="E17" s="8" t="s">
        <v>414</v>
      </c>
      <c r="F17" s="8" t="s">
        <v>411</v>
      </c>
      <c r="G17" s="8" t="s">
        <v>498</v>
      </c>
      <c r="H17" s="8" t="s">
        <v>409</v>
      </c>
    </row>
    <row r="18" customFormat="false" ht="14.25" hidden="false" customHeight="true" outlineLevel="0" collapsed="false">
      <c r="A18" s="8" t="s">
        <v>402</v>
      </c>
      <c r="B18" s="31" t="n">
        <f aca="false">TANH(Parameters!$B$24*SUMIFS(Impact_Input!$N:$N,Impact_Input!$B:$B,"B",Impact_Input!$C:$C,$A18,Impact_Input!$D:$D,B$17))</f>
        <v>0</v>
      </c>
      <c r="C18" s="31" t="n">
        <f aca="false">TANH(Parameters!$B$24*SUMIFS(Impact_Input!$N:$N,Impact_Input!$B:$B,"B",Impact_Input!$C:$C,$A18,Impact_Input!$D:$D,C$17))</f>
        <v>0</v>
      </c>
      <c r="D18" s="31" t="n">
        <f aca="false">TANH(Parameters!$B$24*SUMIFS(Impact_Input!$N:$N,Impact_Input!$B:$B,"B",Impact_Input!$C:$C,$A18,Impact_Input!$D:$D,D$17))</f>
        <v>0</v>
      </c>
      <c r="E18" s="31" t="n">
        <f aca="false">TANH(Parameters!$B$24*SUMIFS(Impact_Input!$N:$N,Impact_Input!$B:$B,"B",Impact_Input!$C:$C,$A18,Impact_Input!$D:$D,E$17))</f>
        <v>0</v>
      </c>
      <c r="F18" s="34" t="n">
        <f aca="false">TANH(Parameters!$B$24*SUMIFS(Impact_Input!$N:$N,Impact_Input!$B:$B,"B",Impact_Input!$C:$C,$A18,Impact_Input!$D:$D,F$17))</f>
        <v>-0.0463335676706336</v>
      </c>
      <c r="G18" s="31" t="n">
        <f aca="false">TANH(Parameters!$B$24*SUMIFS(Impact_Input!$N:$N,Impact_Input!$B:$B,"B",Impact_Input!$C:$C,$A18,Impact_Input!$D:$D,G$17))</f>
        <v>0</v>
      </c>
      <c r="H18" s="31" t="n">
        <f aca="false">TANH(Parameters!$B$24*SUMIFS(Impact_Input!$N:$N,Impact_Input!$B:$B,"B",Impact_Input!$C:$C,$A18,Impact_Input!$D:$D,H$17))</f>
        <v>0</v>
      </c>
    </row>
    <row r="19" customFormat="false" ht="14.25" hidden="false" customHeight="true" outlineLevel="0" collapsed="false">
      <c r="A19" s="8" t="s">
        <v>404</v>
      </c>
      <c r="B19" s="34" t="n">
        <f aca="false">TANH(Parameters!$B$24*SUMIFS(Impact_Input!$N:$N,Impact_Input!$B:$B,"B",Impact_Input!$C:$C,$A19,Impact_Input!$D:$D,B$17))</f>
        <v>-0.0184759004375379</v>
      </c>
      <c r="C19" s="31" t="n">
        <f aca="false">TANH(Parameters!$B$24*SUMIFS(Impact_Input!$N:$N,Impact_Input!$B:$B,"B",Impact_Input!$C:$C,$A19,Impact_Input!$D:$D,C$17))</f>
        <v>0</v>
      </c>
      <c r="D19" s="31" t="n">
        <f aca="false">TANH(Parameters!$B$24*SUMIFS(Impact_Input!$N:$N,Impact_Input!$B:$B,"B",Impact_Input!$C:$C,$A19,Impact_Input!$D:$D,D$17))</f>
        <v>0</v>
      </c>
      <c r="E19" s="31" t="n">
        <f aca="false">TANH(Parameters!$B$24*SUMIFS(Impact_Input!$N:$N,Impact_Input!$B:$B,"B",Impact_Input!$C:$C,$A19,Impact_Input!$D:$D,E$17))</f>
        <v>0</v>
      </c>
      <c r="F19" s="31" t="n">
        <f aca="false">TANH(Parameters!$B$24*SUMIFS(Impact_Input!$N:$N,Impact_Input!$B:$B,"B",Impact_Input!$C:$C,$A19,Impact_Input!$D:$D,F$17))</f>
        <v>0</v>
      </c>
      <c r="G19" s="31" t="n">
        <f aca="false">TANH(Parameters!$B$24*SUMIFS(Impact_Input!$N:$N,Impact_Input!$B:$B,"B",Impact_Input!$C:$C,$A19,Impact_Input!$D:$D,G$17))</f>
        <v>0</v>
      </c>
      <c r="H19" s="31" t="n">
        <f aca="false">TANH(Parameters!$B$24*SUMIFS(Impact_Input!$N:$N,Impact_Input!$B:$B,"B",Impact_Input!$C:$C,$A19,Impact_Input!$D:$D,H$17))</f>
        <v>0</v>
      </c>
    </row>
    <row r="20" customFormat="false" ht="14.25" hidden="false" customHeight="true" outlineLevel="0" collapsed="false">
      <c r="A20" s="8" t="s">
        <v>405</v>
      </c>
      <c r="B20" s="33" t="n">
        <f aca="false">TANH(Parameters!$B$24*SUMIFS(Impact_Input!$N:$N,Impact_Input!$B:$B,"B",Impact_Input!$C:$C,$A20,Impact_Input!$D:$D,B$17))</f>
        <v>0.0131978073405774</v>
      </c>
      <c r="C20" s="31" t="n">
        <f aca="false">TANH(Parameters!$B$24*SUMIFS(Impact_Input!$N:$N,Impact_Input!$B:$B,"B",Impact_Input!$C:$C,$A20,Impact_Input!$D:$D,C$17))</f>
        <v>0</v>
      </c>
      <c r="D20" s="33" t="n">
        <f aca="false">TANH(Parameters!$B$24*SUMIFS(Impact_Input!$N:$N,Impact_Input!$B:$B,"B",Impact_Input!$C:$C,$A20,Impact_Input!$D:$D,D$17))</f>
        <v>0.0615155722135092</v>
      </c>
      <c r="E20" s="31" t="n">
        <f aca="false">TANH(Parameters!$B$24*SUMIFS(Impact_Input!$N:$N,Impact_Input!$B:$B,"B",Impact_Input!$C:$C,$A20,Impact_Input!$D:$D,E$17))</f>
        <v>0</v>
      </c>
      <c r="F20" s="31" t="n">
        <f aca="false">TANH(Parameters!$B$24*SUMIFS(Impact_Input!$N:$N,Impact_Input!$B:$B,"B",Impact_Input!$C:$C,$A20,Impact_Input!$D:$D,F$17))</f>
        <v>0</v>
      </c>
      <c r="G20" s="31" t="n">
        <f aca="false">TANH(Parameters!$B$24*SUMIFS(Impact_Input!$N:$N,Impact_Input!$B:$B,"B",Impact_Input!$C:$C,$A20,Impact_Input!$D:$D,G$17))</f>
        <v>0</v>
      </c>
      <c r="H20" s="31" t="n">
        <f aca="false">TANH(Parameters!$B$24*SUMIFS(Impact_Input!$N:$N,Impact_Input!$B:$B,"B",Impact_Input!$C:$C,$A20,Impact_Input!$D:$D,H$17))</f>
        <v>0</v>
      </c>
    </row>
    <row r="21" customFormat="false" ht="14.25" hidden="false" customHeight="true" outlineLevel="0" collapsed="false">
      <c r="A21" s="8" t="s">
        <v>406</v>
      </c>
      <c r="B21" s="33" t="n">
        <f aca="false">TANH(Parameters!$B$24*SUMIFS(Impact_Input!$N:$N,Impact_Input!$B:$B,"B",Impact_Input!$C:$C,$A21,Impact_Input!$D:$D,B$17))</f>
        <v>0.0102114556191722</v>
      </c>
      <c r="C21" s="31" t="n">
        <f aca="false">TANH(Parameters!$B$24*SUMIFS(Impact_Input!$N:$N,Impact_Input!$B:$B,"B",Impact_Input!$C:$C,$A21,Impact_Input!$D:$D,C$17))</f>
        <v>0</v>
      </c>
      <c r="D21" s="31" t="n">
        <f aca="false">TANH(Parameters!$B$24*SUMIFS(Impact_Input!$N:$N,Impact_Input!$B:$B,"B",Impact_Input!$C:$C,$A21,Impact_Input!$D:$D,D$17))</f>
        <v>0</v>
      </c>
      <c r="E21" s="31" t="n">
        <f aca="false">TANH(Parameters!$B$24*SUMIFS(Impact_Input!$N:$N,Impact_Input!$B:$B,"B",Impact_Input!$C:$C,$A21,Impact_Input!$D:$D,E$17))</f>
        <v>0</v>
      </c>
      <c r="F21" s="31" t="n">
        <f aca="false">TANH(Parameters!$B$24*SUMIFS(Impact_Input!$N:$N,Impact_Input!$B:$B,"B",Impact_Input!$C:$C,$A21,Impact_Input!$D:$D,F$17))</f>
        <v>0</v>
      </c>
      <c r="G21" s="31" t="n">
        <f aca="false">TANH(Parameters!$B$24*SUMIFS(Impact_Input!$N:$N,Impact_Input!$B:$B,"B",Impact_Input!$C:$C,$A21,Impact_Input!$D:$D,G$17))</f>
        <v>0</v>
      </c>
      <c r="H21" s="31" t="n">
        <f aca="false">TANH(Parameters!$B$24*SUMIFS(Impact_Input!$N:$N,Impact_Input!$B:$B,"B",Impact_Input!$C:$C,$A21,Impact_Input!$D:$D,H$17))</f>
        <v>0</v>
      </c>
    </row>
    <row r="22" customFormat="false" ht="14.25" hidden="false" customHeight="true" outlineLevel="0" collapsed="false">
      <c r="A22" s="8" t="s">
        <v>407</v>
      </c>
      <c r="B22" s="31" t="n">
        <f aca="false">TANH(Parameters!$B$24*SUMIFS(Impact_Input!$N:$N,Impact_Input!$B:$B,"B",Impact_Input!$C:$C,$A22,Impact_Input!$D:$D,B$17))</f>
        <v>0</v>
      </c>
      <c r="C22" s="31" t="n">
        <f aca="false">TANH(Parameters!$B$24*SUMIFS(Impact_Input!$N:$N,Impact_Input!$B:$B,"B",Impact_Input!$C:$C,$A22,Impact_Input!$D:$D,C$17))</f>
        <v>0</v>
      </c>
      <c r="D22" s="31" t="n">
        <f aca="false">TANH(Parameters!$B$24*SUMIFS(Impact_Input!$N:$N,Impact_Input!$B:$B,"B",Impact_Input!$C:$C,$A22,Impact_Input!$D:$D,D$17))</f>
        <v>0</v>
      </c>
      <c r="E22" s="31" t="n">
        <f aca="false">TANH(Parameters!$B$24*SUMIFS(Impact_Input!$N:$N,Impact_Input!$B:$B,"B",Impact_Input!$C:$C,$A22,Impact_Input!$D:$D,E$17))</f>
        <v>0</v>
      </c>
      <c r="F22" s="31" t="n">
        <f aca="false">TANH(Parameters!$B$24*SUMIFS(Impact_Input!$N:$N,Impact_Input!$B:$B,"B",Impact_Input!$C:$C,$A22,Impact_Input!$D:$D,F$17))</f>
        <v>0</v>
      </c>
      <c r="G22" s="31" t="n">
        <f aca="false">TANH(Parameters!$B$24*SUMIFS(Impact_Input!$N:$N,Impact_Input!$B:$B,"B",Impact_Input!$C:$C,$A22,Impact_Input!$D:$D,G$17))</f>
        <v>0</v>
      </c>
      <c r="H22" s="31" t="n">
        <f aca="false">TANH(Parameters!$B$24*SUMIFS(Impact_Input!$N:$N,Impact_Input!$B:$B,"B",Impact_Input!$C:$C,$A22,Impact_Input!$D:$D,H$17))</f>
        <v>0</v>
      </c>
    </row>
    <row r="23" customFormat="false" ht="14.25" hidden="false" customHeight="true" outlineLevel="0" collapsed="false">
      <c r="A23" s="8" t="s">
        <v>408</v>
      </c>
      <c r="B23" s="31" t="n">
        <f aca="false">TANH(Parameters!$B$24*SUMIFS(Impact_Input!$N:$N,Impact_Input!$B:$B,"B",Impact_Input!$C:$C,$A23,Impact_Input!$D:$D,B$17))</f>
        <v>0</v>
      </c>
      <c r="C23" s="31" t="n">
        <f aca="false">TANH(Parameters!$B$24*SUMIFS(Impact_Input!$N:$N,Impact_Input!$B:$B,"B",Impact_Input!$C:$C,$A23,Impact_Input!$D:$D,C$17))</f>
        <v>0</v>
      </c>
      <c r="D23" s="31" t="n">
        <f aca="false">TANH(Parameters!$B$24*SUMIFS(Impact_Input!$N:$N,Impact_Input!$B:$B,"B",Impact_Input!$C:$C,$A23,Impact_Input!$D:$D,D$17))</f>
        <v>0</v>
      </c>
      <c r="E23" s="31" t="n">
        <f aca="false">TANH(Parameters!$B$24*SUMIFS(Impact_Input!$N:$N,Impact_Input!$B:$B,"B",Impact_Input!$C:$C,$A23,Impact_Input!$D:$D,E$17))</f>
        <v>0</v>
      </c>
      <c r="F23" s="31" t="n">
        <f aca="false">TANH(Parameters!$B$24*SUMIFS(Impact_Input!$N:$N,Impact_Input!$B:$B,"B",Impact_Input!$C:$C,$A23,Impact_Input!$D:$D,F$17))</f>
        <v>0</v>
      </c>
      <c r="G23" s="31" t="n">
        <f aca="false">TANH(Parameters!$B$24*SUMIFS(Impact_Input!$N:$N,Impact_Input!$B:$B,"B",Impact_Input!$C:$C,$A23,Impact_Input!$D:$D,G$17))</f>
        <v>0</v>
      </c>
      <c r="H23" s="31" t="n">
        <f aca="false">TANH(Parameters!$B$24*SUMIFS(Impact_Input!$N:$N,Impact_Input!$B:$B,"B",Impact_Input!$C:$C,$A23,Impact_Input!$D:$D,H$17))</f>
        <v>0</v>
      </c>
    </row>
    <row r="24" customFormat="false" ht="14.25" hidden="false" customHeight="true" outlineLevel="0" collapsed="false">
      <c r="A24" s="8" t="s">
        <v>410</v>
      </c>
      <c r="B24" s="31" t="n">
        <f aca="false">TANH(Parameters!$B$24*SUMIFS(Impact_Input!$N:$N,Impact_Input!$B:$B,"B",Impact_Input!$C:$C,$A24,Impact_Input!$D:$D,B$17))</f>
        <v>0</v>
      </c>
      <c r="C24" s="31" t="n">
        <f aca="false">TANH(Parameters!$B$24*SUMIFS(Impact_Input!$N:$N,Impact_Input!$B:$B,"B",Impact_Input!$C:$C,$A24,Impact_Input!$D:$D,C$17))</f>
        <v>0</v>
      </c>
      <c r="D24" s="31" t="n">
        <f aca="false">TANH(Parameters!$B$24*SUMIFS(Impact_Input!$N:$N,Impact_Input!$B:$B,"B",Impact_Input!$C:$C,$A24,Impact_Input!$D:$D,D$17))</f>
        <v>0</v>
      </c>
      <c r="E24" s="31" t="n">
        <f aca="false">TANH(Parameters!$B$24*SUMIFS(Impact_Input!$N:$N,Impact_Input!$B:$B,"B",Impact_Input!$C:$C,$A24,Impact_Input!$D:$D,E$17))</f>
        <v>0</v>
      </c>
      <c r="F24" s="31" t="n">
        <f aca="false">TANH(Parameters!$B$24*SUMIFS(Impact_Input!$N:$N,Impact_Input!$B:$B,"B",Impact_Input!$C:$C,$A24,Impact_Input!$D:$D,F$17))</f>
        <v>0</v>
      </c>
      <c r="G24" s="31" t="n">
        <f aca="false">TANH(Parameters!$B$24*SUMIFS(Impact_Input!$N:$N,Impact_Input!$B:$B,"B",Impact_Input!$C:$C,$A24,Impact_Input!$D:$D,G$17))</f>
        <v>0</v>
      </c>
      <c r="H24" s="34" t="n">
        <f aca="false">TANH(Parameters!$B$24*SUMIFS(Impact_Input!$N:$N,Impact_Input!$B:$B,"B",Impact_Input!$C:$C,$A24,Impact_Input!$D:$D,H$17))</f>
        <v>-0.0102114556191722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35" t="s">
        <v>564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565</v>
      </c>
    </row>
    <row r="4" customFormat="false" ht="14.25" hidden="false" customHeight="true" outlineLevel="0" collapsed="false">
      <c r="A4" s="0" t="s">
        <v>566</v>
      </c>
    </row>
    <row r="5" customFormat="false" ht="13.5" hidden="false" customHeight="true" outlineLevel="0" collapsed="false">
      <c r="A5" s="0" t="s">
        <v>567</v>
      </c>
    </row>
    <row r="6" customFormat="false" ht="14.25" hidden="false" customHeight="true" outlineLevel="0" collapsed="false">
      <c r="A6" s="8" t="s">
        <v>568</v>
      </c>
    </row>
    <row r="7" customFormat="false" ht="14.25" hidden="false" customHeight="true" outlineLevel="0" collapsed="false">
      <c r="A7" s="10" t="s">
        <v>57</v>
      </c>
      <c r="B7" s="10" t="s">
        <v>58</v>
      </c>
      <c r="C7" s="10" t="s">
        <v>59</v>
      </c>
      <c r="D7" s="10" t="s">
        <v>569</v>
      </c>
      <c r="E7" s="10" t="s">
        <v>570</v>
      </c>
      <c r="F7" s="10" t="s">
        <v>571</v>
      </c>
      <c r="G7" s="10" t="s">
        <v>572</v>
      </c>
      <c r="H7" s="0" t="s">
        <v>573</v>
      </c>
      <c r="I7" s="0" t="s">
        <v>574</v>
      </c>
    </row>
    <row r="8" customFormat="false" ht="14.25" hidden="false" customHeight="true" outlineLevel="0" collapsed="false">
      <c r="A8" s="0" t="s">
        <v>60</v>
      </c>
      <c r="B8" s="0" t="n">
        <v>1</v>
      </c>
      <c r="C8" s="0" t="n">
        <v>-0.9</v>
      </c>
      <c r="D8" s="31" t="n">
        <f aca="false">_xlfn.MINIFS(Rights_Coverage_View!$M$2:$M$71,Rights_Coverage_View!$L$2:$L$71,$A8)</f>
        <v>0</v>
      </c>
      <c r="E8" s="31" t="n">
        <f aca="false">_xlfn.MINIFS(Rights_Coverage_View!$N$2:$N$71,Rights_Coverage_View!$L$2:$L$71,$A8)</f>
        <v>0</v>
      </c>
      <c r="F8" s="11" t="str">
        <f aca="false">IF(D8&gt;=$C8,"PASS","FAIL")</f>
        <v>PASS</v>
      </c>
      <c r="G8" s="11" t="str">
        <f aca="false">IF(E8&gt;=$C8,"PASS","FAIL")</f>
        <v>PASS</v>
      </c>
      <c r="H8" s="0" t="str">
        <f aca="false">IFERROR("Rights_Coverage_View!"&amp;ADDRESS(_xludf.aggregate(15,6,ROW(Rights_Coverage_View!$H$2:$H$100)/((Rights_Coverage_View!$B$2:$B$100=$A8)*(Rights_Coverage_View!$H$2:$H$100=D8)*(Rights_Coverage_View!$H$2:$H$100&lt;&gt;"")),1),8,4),"ERR")</f>
        <v>ERR</v>
      </c>
      <c r="I8" s="0" t="str">
        <f aca="false">IFERROR("Rights_Coverage_View!"&amp;ADDRESS(_xludf.aggregate(15,6,ROW(Rights_Coverage_View!$I$2:$I$100)/((Rights_Coverage_View!$B$2:$B$100=$A8)*(Rights_Coverage_View!$I$2:$I$100=E8)*(Rights_Coverage_View!$I$2:$I$100&lt;&gt;"")),1),9,4),"ERR")</f>
        <v>ERR</v>
      </c>
    </row>
    <row r="9" customFormat="false" ht="14.25" hidden="false" customHeight="true" outlineLevel="0" collapsed="false">
      <c r="A9" s="0" t="s">
        <v>61</v>
      </c>
      <c r="B9" s="0" t="n">
        <v>2</v>
      </c>
      <c r="C9" s="0" t="n">
        <v>-0.7</v>
      </c>
      <c r="D9" s="31" t="n">
        <f aca="false">_xlfn.MINIFS(Rights_Coverage_View!$M$2:$M$71,Rights_Coverage_View!$L$2:$L$71,$A9)</f>
        <v>0</v>
      </c>
      <c r="E9" s="31" t="n">
        <f aca="false">_xlfn.MINIFS(Rights_Coverage_View!$N$2:$N$71,Rights_Coverage_View!$L$2:$L$71,$A9)</f>
        <v>0</v>
      </c>
      <c r="F9" s="11" t="str">
        <f aca="false">IF(D9&gt;=$C9,"PASS","FAIL")</f>
        <v>PASS</v>
      </c>
      <c r="G9" s="11" t="str">
        <f aca="false">IF(E9&gt;=$C9,"PASS","FAIL")</f>
        <v>PASS</v>
      </c>
      <c r="H9" s="0" t="str">
        <f aca="false">IFERROR("Rights_Coverage_View!"&amp;ADDRESS(_xludf.aggregate(15,6,ROW(Rights_Coverage_View!$H$2:$H$100)/((Rights_Coverage_View!$B$2:$B$100=$A9)*(Rights_Coverage_View!$H$2:$H$100=D9)*(Rights_Coverage_View!$H$2:$H$100&lt;&gt;"")),1),8,4),"ERR")</f>
        <v>ERR</v>
      </c>
      <c r="I9" s="0" t="str">
        <f aca="false">IFERROR("Rights_Coverage_View!"&amp;ADDRESS(_xludf.aggregate(15,6,ROW(Rights_Coverage_View!$I$2:$I$100)/((Rights_Coverage_View!$B$2:$B$100=$A9)*(Rights_Coverage_View!$I$2:$I$100=E9)*(Rights_Coverage_View!$I$2:$I$100&lt;&gt;"")),1),9,4),"ERR")</f>
        <v>ERR</v>
      </c>
    </row>
    <row r="10" customFormat="false" ht="14.25" hidden="false" customHeight="true" outlineLevel="0" collapsed="false">
      <c r="A10" s="0" t="s">
        <v>62</v>
      </c>
      <c r="B10" s="0" t="n">
        <v>3</v>
      </c>
      <c r="C10" s="0" t="n">
        <v>-0.65</v>
      </c>
      <c r="D10" s="31" t="n">
        <f aca="false">_xlfn.MINIFS(Rights_Coverage_View!$M$2:$M$71,Rights_Coverage_View!$L$2:$L$71,$A10)</f>
        <v>0</v>
      </c>
      <c r="E10" s="31" t="n">
        <f aca="false">_xlfn.MINIFS(Rights_Coverage_View!$N$2:$N$71,Rights_Coverage_View!$L$2:$L$71,$A10)</f>
        <v>-0.0102114556191722</v>
      </c>
      <c r="F10" s="11" t="str">
        <f aca="false">IF(D10&gt;=$C10,"PASS","FAIL")</f>
        <v>PASS</v>
      </c>
      <c r="G10" s="11" t="str">
        <f aca="false">IF(E10&gt;=$C10,"PASS","FAIL")</f>
        <v>PASS</v>
      </c>
      <c r="H10" s="0" t="str">
        <f aca="false">IFERROR("Rights_Coverage_View!"&amp;ADDRESS(_xludf.aggregate(15,6,ROW(Rights_Coverage_View!$H$2:$H$100)/((Rights_Coverage_View!$B$2:$B$100=$A10)*(Rights_Coverage_View!$H$2:$H$100=D10)*(Rights_Coverage_View!$H$2:$H$100&lt;&gt;"")),1),8,4),"ERR")</f>
        <v>ERR</v>
      </c>
      <c r="I10" s="0" t="str">
        <f aca="false">IFERROR("Rights_Coverage_View!"&amp;ADDRESS(_xludf.aggregate(15,6,ROW(Rights_Coverage_View!$I$2:$I$100)/((Rights_Coverage_View!$B$2:$B$100=$A10)*(Rights_Coverage_View!$I$2:$I$100=E10)*(Rights_Coverage_View!$I$2:$I$100&lt;&gt;"")),1),9,4),"ERR")</f>
        <v>ERR</v>
      </c>
    </row>
    <row r="11" customFormat="false" ht="14.25" hidden="false" customHeight="true" outlineLevel="0" collapsed="false">
      <c r="A11" s="0" t="s">
        <v>63</v>
      </c>
      <c r="B11" s="0" t="n">
        <v>4</v>
      </c>
      <c r="C11" s="0" t="n">
        <v>-0.65</v>
      </c>
      <c r="D11" s="31" t="n">
        <f aca="false">_xlfn.MINIFS(Rights_Coverage_View!$M$2:$M$71,Rights_Coverage_View!$L$2:$L$71,$A11)</f>
        <v>-0.0807256868155385</v>
      </c>
      <c r="E11" s="31" t="n">
        <f aca="false">_xlfn.MINIFS(Rights_Coverage_View!$N$2:$N$71,Rights_Coverage_View!$L$2:$L$71,$A11)</f>
        <v>-0.0463335676706336</v>
      </c>
      <c r="F11" s="11" t="str">
        <f aca="false">IF(D11&gt;=$C11,"PASS","FAIL")</f>
        <v>PASS</v>
      </c>
      <c r="G11" s="11" t="str">
        <f aca="false">IF(E11&gt;=$C11,"PASS","FAIL")</f>
        <v>PASS</v>
      </c>
      <c r="H11" s="0" t="str">
        <f aca="false">IFERROR("Rights_Coverage_View!"&amp;ADDRESS(_xludf.aggregate(15,6,ROW(Rights_Coverage_View!$H$2:$H$100)/((Rights_Coverage_View!$B$2:$B$100=$A11)*(Rights_Coverage_View!$H$2:$H$100=D11)*(Rights_Coverage_View!$H$2:$H$100&lt;&gt;"")),1),8,4),"ERR")</f>
        <v>ERR</v>
      </c>
      <c r="I11" s="0" t="str">
        <f aca="false">IFERROR("Rights_Coverage_View!"&amp;ADDRESS(_xludf.aggregate(15,6,ROW(Rights_Coverage_View!$I$2:$I$100)/((Rights_Coverage_View!$B$2:$B$100=$A11)*(Rights_Coverage_View!$I$2:$I$100=E11)*(Rights_Coverage_View!$I$2:$I$100&lt;&gt;"")),1),9,4),"ERR")</f>
        <v>ERR</v>
      </c>
    </row>
    <row r="12" customFormat="false" ht="14.25" hidden="false" customHeight="true" outlineLevel="0" collapsed="false">
      <c r="A12" s="0" t="s">
        <v>64</v>
      </c>
      <c r="B12" s="0" t="n">
        <v>5</v>
      </c>
      <c r="C12" s="0" t="n">
        <v>-0.5</v>
      </c>
      <c r="D12" s="31" t="n">
        <f aca="false">_xlfn.MINIFS(Rights_Coverage_View!$M$2:$M$71,Rights_Coverage_View!$L$2:$L$71,$A12)</f>
        <v>-0.0855694362958967</v>
      </c>
      <c r="E12" s="31" t="n">
        <f aca="false">_xlfn.MINIFS(Rights_Coverage_View!$N$2:$N$71,Rights_Coverage_View!$L$2:$L$71,$A12)</f>
        <v>-0.0184759004375379</v>
      </c>
      <c r="F12" s="11" t="str">
        <f aca="false">IF(D12&gt;=$C12,"PASS","FAIL")</f>
        <v>PASS</v>
      </c>
      <c r="G12" s="11" t="str">
        <f aca="false">IF(E12&gt;=$C12,"PASS","FAIL")</f>
        <v>PASS</v>
      </c>
      <c r="H12" s="0" t="str">
        <f aca="false">IFERROR("Rights_Coverage_View!"&amp;ADDRESS(_xludf.aggregate(15,6,ROW(Rights_Coverage_View!$H$2:$H$100)/((Rights_Coverage_View!$B$2:$B$100=$A12)*(Rights_Coverage_View!$H$2:$H$100=D12)*(Rights_Coverage_View!$H$2:$H$100&lt;&gt;"")),1),8,4),"ERR")</f>
        <v>ERR</v>
      </c>
      <c r="I12" s="0" t="str">
        <f aca="false">IFERROR("Rights_Coverage_View!"&amp;ADDRESS(_xludf.aggregate(15,6,ROW(Rights_Coverage_View!$I$2:$I$100)/((Rights_Coverage_View!$B$2:$B$100=$A12)*(Rights_Coverage_View!$I$2:$I$100=E12)*(Rights_Coverage_View!$I$2:$I$100&lt;&gt;"")),1),9,4),"ERR")</f>
        <v>ERR</v>
      </c>
    </row>
    <row r="13" customFormat="false" ht="14.25" hidden="false" customHeight="true" outlineLevel="0" collapsed="false">
      <c r="A13" s="0" t="s">
        <v>65</v>
      </c>
      <c r="B13" s="0" t="n">
        <v>6</v>
      </c>
      <c r="C13" s="0" t="n">
        <v>-0.55</v>
      </c>
      <c r="D13" s="31" t="n">
        <f aca="false">_xlfn.MINIFS(Rights_Coverage_View!$M$2:$M$71,Rights_Coverage_View!$L$2:$L$71,$A13)</f>
        <v>-0.0807256868155385</v>
      </c>
      <c r="E13" s="31" t="n">
        <f aca="false">_xlfn.MINIFS(Rights_Coverage_View!$N$2:$N$71,Rights_Coverage_View!$L$2:$L$71,$A13)</f>
        <v>-0.0463335676706336</v>
      </c>
      <c r="F13" s="11" t="str">
        <f aca="false">IF(D13&gt;=$C13,"PASS","FAIL")</f>
        <v>PASS</v>
      </c>
      <c r="G13" s="11" t="str">
        <f aca="false">IF(E13&gt;=$C13,"PASS","FAIL")</f>
        <v>PASS</v>
      </c>
      <c r="H13" s="0" t="str">
        <f aca="false">IFERROR("Rights_Coverage_View!"&amp;ADDRESS(_xludf.aggregate(15,6,ROW(Rights_Coverage_View!$H$2:$H$100)/((Rights_Coverage_View!$B$2:$B$100=$A13)*(Rights_Coverage_View!$H$2:$H$100=D13)*(Rights_Coverage_View!$H$2:$H$100&lt;&gt;"")),1),8,4),"ERR")</f>
        <v>ERR</v>
      </c>
      <c r="I13" s="0" t="str">
        <f aca="false">IFERROR("Rights_Coverage_View!"&amp;ADDRESS(_xludf.aggregate(15,6,ROW(Rights_Coverage_View!$I$2:$I$100)/((Rights_Coverage_View!$B$2:$B$100=$A13)*(Rights_Coverage_View!$I$2:$I$100=E13)*(Rights_Coverage_View!$I$2:$I$100&lt;&gt;"")),1),9,4),"ERR")</f>
        <v>ERR</v>
      </c>
    </row>
    <row r="14" customFormat="false" ht="14.25" hidden="false" customHeight="true" outlineLevel="0" collapsed="false">
      <c r="A14" s="0" t="s">
        <v>66</v>
      </c>
      <c r="B14" s="0" t="n">
        <v>7</v>
      </c>
      <c r="C14" s="0" t="n">
        <v>-0.45</v>
      </c>
      <c r="D14" s="0" t="n">
        <f aca="false">_xlfn.MINIFS(Rights_Coverage_View!$M$2:$M$71,Rights_Coverage_View!$L$2:$L$71,$A14)</f>
        <v>0</v>
      </c>
      <c r="E14" s="0" t="n">
        <f aca="false">_xlfn.MINIFS(Rights_Coverage_View!$N$2:$N$71,Rights_Coverage_View!$L$2:$L$71,$A14)</f>
        <v>0</v>
      </c>
      <c r="F14" s="11" t="str">
        <f aca="false">IF(D14&gt;=$C14,"PASS","FAIL")</f>
        <v>PASS</v>
      </c>
      <c r="G14" s="11" t="str">
        <f aca="false">IF(E14&gt;=$C14,"PASS","FAIL")</f>
        <v>PASS</v>
      </c>
      <c r="H14" s="0" t="str">
        <f aca="false">IFERROR("Rights_Coverage_View!"&amp;ADDRESS(_xludf.aggregate(15,6,ROW(Rights_Coverage_View!$H$2:$H$100)/((Rights_Coverage_View!$B$2:$B$100=$A14)*(Rights_Coverage_View!$H$2:$H$100=D14)*(Rights_Coverage_View!$H$2:$H$100&lt;&gt;"")),1),8,4),"ERR")</f>
        <v>ERR</v>
      </c>
      <c r="I14" s="0" t="str">
        <f aca="false">IFERROR("Rights_Coverage_View!"&amp;ADDRESS(_xludf.aggregate(15,6,ROW(Rights_Coverage_View!$I$2:$I$100)/((Rights_Coverage_View!$B$2:$B$100=$A14)*(Rights_Coverage_View!$I$2:$I$100=E14)*(Rights_Coverage_View!$I$2:$I$100&lt;&gt;"")),1),9,4),"ERR")</f>
        <v>ERR</v>
      </c>
    </row>
    <row r="15" customFormat="false" ht="14.25" hidden="false" customHeight="true" outlineLevel="0" collapsed="false">
      <c r="A15" s="0" t="s">
        <v>67</v>
      </c>
      <c r="B15" s="0" t="n">
        <v>8</v>
      </c>
      <c r="C15" s="0" t="n">
        <v>-0.4</v>
      </c>
      <c r="D15" s="31" t="n">
        <f aca="false">_xlfn.MINIFS(Rights_Coverage_View!$M$2:$M$71,Rights_Coverage_View!$L$2:$L$71,$A15)</f>
        <v>0</v>
      </c>
      <c r="E15" s="31" t="n">
        <f aca="false">_xlfn.MINIFS(Rights_Coverage_View!$N$2:$N$71,Rights_Coverage_View!$L$2:$L$71,$A15)</f>
        <v>-0.0463335676706336</v>
      </c>
      <c r="F15" s="11" t="str">
        <f aca="false">IF(D15&gt;=$C15,"PASS","FAIL")</f>
        <v>PASS</v>
      </c>
      <c r="G15" s="11" t="str">
        <f aca="false">IF(E15&gt;=$C15,"PASS","FAIL")</f>
        <v>PASS</v>
      </c>
      <c r="H15" s="0" t="str">
        <f aca="false">IFERROR("Rights_Coverage_View!"&amp;ADDRESS(_xludf.aggregate(15,6,ROW(Rights_Coverage_View!$H$2:$H$100)/((Rights_Coverage_View!$B$2:$B$100=$A15)*(Rights_Coverage_View!$H$2:$H$100=D15)*(Rights_Coverage_View!$H$2:$H$100&lt;&gt;"")),1),8,4),"ERR")</f>
        <v>ERR</v>
      </c>
      <c r="I15" s="0" t="str">
        <f aca="false">IFERROR("Rights_Coverage_View!"&amp;ADDRESS(_xludf.aggregate(15,6,ROW(Rights_Coverage_View!$I$2:$I$100)/((Rights_Coverage_View!$B$2:$B$100=$A15)*(Rights_Coverage_View!$I$2:$I$100=E15)*(Rights_Coverage_View!$I$2:$I$100&lt;&gt;"")),1),9,4),"ERR")</f>
        <v>ERR</v>
      </c>
    </row>
    <row r="16" customFormat="false" ht="14.25" hidden="false" customHeight="true" outlineLevel="0" collapsed="false">
      <c r="D16" s="31" t="n">
        <f aca="false">MIN(D8:D15)</f>
        <v>-0.0855694362958967</v>
      </c>
      <c r="E16" s="31" t="n">
        <f aca="false">MIN(E8:E15)</f>
        <v>-0.0463335676706336</v>
      </c>
      <c r="F16" s="11"/>
    </row>
    <row r="17" customFormat="false" ht="14.25" hidden="false" customHeight="true" outlineLevel="0" collapsed="false">
      <c r="A17" s="10" t="s">
        <v>575</v>
      </c>
    </row>
    <row r="18" customFormat="false" ht="14.25" hidden="false" customHeight="true" outlineLevel="0" collapsed="false">
      <c r="A18" s="0" t="s">
        <v>576</v>
      </c>
      <c r="B18" s="11" t="s">
        <v>577</v>
      </c>
      <c r="C18" s="0" t="s">
        <v>578</v>
      </c>
      <c r="D18" s="0" t="str">
        <f aca="false">IF(COUNTIF(F8:F15,"FAIL")=0,"PASS","FAIL")</f>
        <v>PASS</v>
      </c>
      <c r="E18" s="0" t="s">
        <v>579</v>
      </c>
    </row>
    <row r="19" customFormat="false" ht="14.25" hidden="false" customHeight="true" outlineLevel="0" collapsed="false">
      <c r="A19" s="0" t="s">
        <v>580</v>
      </c>
      <c r="B19" s="11" t="s">
        <v>577</v>
      </c>
      <c r="C19" s="0" t="s">
        <v>581</v>
      </c>
      <c r="D19" s="0" t="str">
        <f aca="false">IF(COUNTIF(G8:G15,"FAIL")=0,"PASS","FAIL")</f>
        <v>PASS</v>
      </c>
    </row>
    <row r="20" customFormat="false" ht="14.25" hidden="false" customHeight="true" outlineLevel="0" collapsed="false">
      <c r="A20" s="0" t="s">
        <v>582</v>
      </c>
    </row>
    <row r="21" customFormat="false" ht="14.25" hidden="true" customHeight="true" outlineLevel="0" collapsed="false">
      <c r="A21" s="8" t="s">
        <v>583</v>
      </c>
    </row>
    <row r="22" customFormat="false" ht="14.25" hidden="true" customHeight="true" outlineLevel="0" collapsed="false">
      <c r="A22" s="8" t="s">
        <v>57</v>
      </c>
      <c r="B22" s="8" t="s">
        <v>58</v>
      </c>
      <c r="C22" s="8" t="s">
        <v>59</v>
      </c>
      <c r="D22" s="8" t="n">
        <v>0</v>
      </c>
      <c r="E22" s="8" t="n">
        <v>0</v>
      </c>
      <c r="F22" s="8" t="s">
        <v>584</v>
      </c>
    </row>
    <row r="23" customFormat="false" ht="14.25" hidden="true" customHeight="true" outlineLevel="0" collapsed="false">
      <c r="A23" s="0" t="s">
        <v>60</v>
      </c>
      <c r="B23" s="0" t="n">
        <v>1</v>
      </c>
      <c r="C23" s="0" t="n">
        <v>-0.9</v>
      </c>
      <c r="D23" s="31" t="n">
        <v>0</v>
      </c>
      <c r="E23" s="31" t="n">
        <v>0</v>
      </c>
      <c r="F23" s="11" t="s">
        <v>584</v>
      </c>
    </row>
    <row r="24" customFormat="false" ht="14.25" hidden="true" customHeight="true" outlineLevel="0" collapsed="false">
      <c r="A24" s="0" t="s">
        <v>61</v>
      </c>
      <c r="B24" s="0" t="n">
        <v>2</v>
      </c>
      <c r="C24" s="0" t="n">
        <v>-0.7</v>
      </c>
      <c r="D24" s="31" t="n">
        <v>-0.010211</v>
      </c>
      <c r="E24" s="31" t="n">
        <v>0</v>
      </c>
      <c r="F24" s="11" t="s">
        <v>584</v>
      </c>
    </row>
    <row r="25" customFormat="false" ht="14.25" hidden="true" customHeight="true" outlineLevel="0" collapsed="false">
      <c r="A25" s="0" t="s">
        <v>62</v>
      </c>
      <c r="B25" s="0" t="n">
        <v>3</v>
      </c>
      <c r="C25" s="0" t="n">
        <v>-0.65</v>
      </c>
      <c r="D25" s="31" t="n">
        <v>-0.046334</v>
      </c>
      <c r="E25" s="31" t="n">
        <v>0</v>
      </c>
      <c r="F25" s="11" t="s">
        <v>584</v>
      </c>
    </row>
    <row r="26" customFormat="false" ht="14.25" hidden="true" customHeight="true" outlineLevel="0" collapsed="false">
      <c r="A26" s="0" t="s">
        <v>63</v>
      </c>
      <c r="B26" s="0" t="n">
        <v>4</v>
      </c>
      <c r="C26" s="0" t="n">
        <v>-0.65</v>
      </c>
      <c r="D26" s="31" t="n">
        <v>-0.018476</v>
      </c>
      <c r="E26" s="31" t="n">
        <v>0</v>
      </c>
      <c r="F26" s="11" t="s">
        <v>584</v>
      </c>
    </row>
    <row r="27" customFormat="false" ht="14.25" hidden="true" customHeight="true" outlineLevel="0" collapsed="false">
      <c r="A27" s="0" t="s">
        <v>64</v>
      </c>
      <c r="B27" s="0" t="n">
        <v>5</v>
      </c>
      <c r="C27" s="0" t="n">
        <v>-0.5</v>
      </c>
      <c r="D27" s="31" t="n">
        <v>-0.046334</v>
      </c>
      <c r="E27" s="31" t="n">
        <v>0</v>
      </c>
      <c r="F27" s="11" t="s">
        <v>584</v>
      </c>
    </row>
    <row r="28" customFormat="false" ht="14.25" hidden="true" customHeight="true" outlineLevel="0" collapsed="false">
      <c r="A28" s="0" t="s">
        <v>65</v>
      </c>
      <c r="B28" s="0" t="n">
        <v>6</v>
      </c>
      <c r="C28" s="0" t="n">
        <v>-0.55</v>
      </c>
      <c r="D28" s="31" t="n">
        <v>0</v>
      </c>
      <c r="E28" s="31" t="n">
        <v>0</v>
      </c>
      <c r="F28" s="11" t="s">
        <v>584</v>
      </c>
    </row>
    <row r="29" customFormat="false" ht="14.25" hidden="true" customHeight="true" outlineLevel="0" collapsed="false">
      <c r="A29" s="0" t="s">
        <v>66</v>
      </c>
      <c r="B29" s="0" t="n">
        <v>7</v>
      </c>
      <c r="C29" s="0" t="n">
        <v>-0.45</v>
      </c>
      <c r="D29" s="0" t="n">
        <f aca="false">MIN(IF(Rights_Coverage_View!$B$2:$B$71="PROC",Rights_Coverage_View!$I$2:$I$71,1))</f>
        <v>1</v>
      </c>
      <c r="E29" s="0" t="n">
        <f aca="false">MAX(0,C29-D29)</f>
        <v>0</v>
      </c>
      <c r="F29" s="0" t="str">
        <f aca="false">IF(E29=0,"PASS","FAIL")</f>
        <v>PASS</v>
      </c>
    </row>
    <row r="30" customFormat="false" ht="14.25" hidden="true" customHeight="true" outlineLevel="0" collapsed="false">
      <c r="A30" s="0" t="s">
        <v>67</v>
      </c>
      <c r="B30" s="0" t="n">
        <v>8</v>
      </c>
      <c r="C30" s="0" t="n">
        <v>-0.4</v>
      </c>
      <c r="D30" s="31" t="n">
        <v>0</v>
      </c>
      <c r="E30" s="31" t="n">
        <v>0</v>
      </c>
      <c r="F30" s="11" t="s">
        <v>584</v>
      </c>
    </row>
    <row r="31" customFormat="false" ht="14.25" hidden="true" customHeight="true" outlineLevel="0" collapsed="false">
      <c r="D31" s="31"/>
      <c r="E31" s="31"/>
      <c r="F31" s="11"/>
    </row>
    <row r="32" customFormat="false" ht="14.25" hidden="true" customHeight="true" outlineLevel="0" collapsed="false"/>
    <row r="33" customFormat="false" ht="14.25" hidden="true" customHeight="true" outlineLevel="0" collapsed="false">
      <c r="A33" s="0" t="s">
        <v>585</v>
      </c>
      <c r="D33" s="0" t="str">
        <f aca="false">IF(COUNTIF(F23:F30,"FAIL")=0,"PASS","FAIL")</f>
        <v>PASS</v>
      </c>
      <c r="E33" s="0" t="s">
        <v>579</v>
      </c>
    </row>
    <row r="34" customFormat="false" ht="14.25" hidden="true" customHeight="true" outlineLevel="0" collapsed="false">
      <c r="A34" s="0" t="s">
        <v>586</v>
      </c>
      <c r="B34" s="11"/>
    </row>
    <row r="35" customFormat="false" ht="14.25" hidden="true" customHeight="true" outlineLevel="0" collapsed="false">
      <c r="A35" s="0" t="s">
        <v>575</v>
      </c>
    </row>
    <row r="36" customFormat="false" ht="14.25" hidden="true" customHeight="true" outlineLevel="0" collapsed="false">
      <c r="A36" s="8" t="s">
        <v>587</v>
      </c>
      <c r="B36" s="0" t="s">
        <v>588</v>
      </c>
    </row>
    <row r="37" customFormat="false" ht="14.25" hidden="true" customHeight="true" outlineLevel="0" collapsed="false">
      <c r="A37" s="0" t="s">
        <v>589</v>
      </c>
      <c r="B37" s="0" t="s">
        <v>590</v>
      </c>
    </row>
    <row r="38" customFormat="false" ht="14.25" hidden="true" customHeight="true" outlineLevel="0" collapsed="false">
      <c r="A38" s="0" t="s">
        <v>591</v>
      </c>
    </row>
    <row r="39" customFormat="false" ht="14.25" hidden="true" customHeight="true" outlineLevel="0" collapsed="false">
      <c r="A39" s="0" t="s">
        <v>592</v>
      </c>
    </row>
    <row r="40" customFormat="false" ht="13.5" hidden="true" customHeight="true" outlineLevel="0" collapsed="false"/>
    <row r="41" customFormat="false" ht="13.5" hidden="true" customHeight="true" outlineLevel="0" collapsed="false"/>
    <row r="42" customFormat="false" ht="13.5" hidden="true" customHeight="true" outlineLevel="0" collapsed="false"/>
    <row r="43" customFormat="false" ht="13.5" hidden="true" customHeight="true" outlineLevel="0" collapsed="false"/>
    <row r="44" customFormat="false" ht="13.5" hidden="true" customHeight="true" outlineLevel="0" collapsed="false"/>
    <row r="45" customFormat="false" ht="13.5" hidden="true" customHeight="true" outlineLevel="0" collapsed="false"/>
    <row r="46" customFormat="false" ht="13.5" hidden="true" customHeight="true" outlineLevel="0" collapsed="false"/>
    <row r="47" customFormat="false" ht="13.5" hidden="true" customHeight="true" outlineLevel="0" collapsed="false"/>
    <row r="48" customFormat="false" ht="13.5" hidden="true" customHeight="true" outlineLevel="0" collapsed="false"/>
    <row r="49" customFormat="false" ht="13.5" hidden="true" customHeight="true" outlineLevel="0" collapsed="false"/>
    <row r="50" customFormat="false" ht="13.5" hidden="true" customHeight="true" outlineLevel="0" collapsed="false"/>
    <row r="51" customFormat="false" ht="13.5" hidden="true" customHeight="true" outlineLevel="0" collapsed="false"/>
    <row r="52" customFormat="false" ht="13.5" hidden="true" customHeight="true" outlineLevel="0" collapsed="false"/>
    <row r="53" customFormat="false" ht="13.5" hidden="true" customHeight="true" outlineLevel="0" collapsed="false"/>
    <row r="54" customFormat="false" ht="13.5" hidden="true" customHeight="true" outlineLevel="0" collapsed="false"/>
    <row r="55" customFormat="false" ht="13.5" hidden="true" customHeight="true" outlineLevel="0" collapsed="false"/>
    <row r="56" customFormat="false" ht="13.5" hidden="true" customHeight="true" outlineLevel="0" collapsed="false"/>
    <row r="57" customFormat="false" ht="13.5" hidden="true" customHeight="true" outlineLevel="0" collapsed="false"/>
    <row r="58" customFormat="false" ht="13.5" hidden="true" customHeight="true" outlineLevel="0" collapsed="false"/>
    <row r="59" customFormat="false" ht="13.5" hidden="true" customHeight="true" outlineLevel="0" collapsed="false"/>
    <row r="60" customFormat="false" ht="13.5" hidden="tru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35" t="s">
        <v>593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4.25" hidden="false" customHeight="true" outlineLevel="0" collapsed="false"/>
    <row r="3" customFormat="false" ht="14.25" hidden="false" customHeight="true" outlineLevel="0" collapsed="false">
      <c r="A3" s="0" t="s">
        <v>594</v>
      </c>
    </row>
    <row r="4" customFormat="false" ht="14.25" hidden="false" customHeight="true" outlineLevel="0" collapsed="false">
      <c r="A4" s="0" t="s">
        <v>595</v>
      </c>
    </row>
    <row r="5" customFormat="false" ht="14.25" hidden="false" customHeight="true" outlineLevel="0" collapsed="false"/>
    <row r="6" customFormat="false" ht="14.25" hidden="false" customHeight="true" outlineLevel="0" collapsed="false">
      <c r="A6" s="10" t="s">
        <v>596</v>
      </c>
    </row>
    <row r="7" customFormat="false" ht="14.25" hidden="false" customHeight="true" outlineLevel="0" collapsed="false">
      <c r="A7" s="0" t="s">
        <v>597</v>
      </c>
      <c r="B7" s="0" t="n">
        <v>0.95</v>
      </c>
      <c r="H7" s="31"/>
      <c r="M7" s="0" t="s">
        <v>598</v>
      </c>
      <c r="N7" s="0" t="s">
        <v>599</v>
      </c>
      <c r="P7" s="0" t="s">
        <v>600</v>
      </c>
    </row>
    <row r="8" customFormat="false" ht="14.25" hidden="false" customHeight="true" outlineLevel="0" collapsed="false">
      <c r="A8" s="8" t="s">
        <v>601</v>
      </c>
      <c r="B8" s="0" t="n">
        <v>0.05</v>
      </c>
      <c r="L8" s="31"/>
      <c r="M8" s="0" t="n">
        <f aca="false">L8+ROW()/1000000</f>
        <v>8E-006</v>
      </c>
      <c r="N8" s="0" t="n">
        <f aca="false">RANK(M8,$M$8:$M$14,0)</f>
        <v>7</v>
      </c>
      <c r="P8" s="0" t="s">
        <v>525</v>
      </c>
      <c r="Q8" s="0" t="s">
        <v>526</v>
      </c>
      <c r="R8" s="0" t="s">
        <v>527</v>
      </c>
      <c r="S8" s="0" t="s">
        <v>602</v>
      </c>
      <c r="T8" s="0" t="s">
        <v>603</v>
      </c>
      <c r="U8" s="0" t="s">
        <v>604</v>
      </c>
    </row>
    <row r="9" customFormat="false" ht="14.25" hidden="false" customHeight="true" outlineLevel="0" collapsed="false">
      <c r="A9" s="8" t="s">
        <v>605</v>
      </c>
      <c r="B9" s="17" t="n">
        <f aca="false">CANON!B58</f>
        <v>0.2</v>
      </c>
      <c r="C9" s="8"/>
      <c r="D9" s="8"/>
      <c r="E9" s="8"/>
      <c r="F9" s="8"/>
      <c r="L9" s="31"/>
      <c r="M9" s="0" t="n">
        <f aca="false">L9+ROW()/1000000</f>
        <v>9E-006</v>
      </c>
      <c r="N9" s="0" t="n">
        <f aca="false">RANK(M9,$M$8:$M$14,0)</f>
        <v>6</v>
      </c>
      <c r="P9" s="0" t="n">
        <f aca="false">INDEX($J$8:$J$14,MATCH(1,$N$8:$N$14,0))</f>
        <v>0</v>
      </c>
      <c r="Q9" s="0" t="str">
        <f aca="false">IFERROR(VLOOKUP(P9,$J$8:$L$14,2,FALSE()),"")</f>
        <v/>
      </c>
      <c r="R9" s="0" t="str">
        <f aca="false">IFERROR(VLOOKUP(P9,$J$8:$L$14,3,FALSE()),"")</f>
        <v/>
      </c>
      <c r="S9" s="0" t="str">
        <f aca="false">IFERROR(Q9,"")</f>
        <v/>
      </c>
      <c r="U9" s="0" t="str">
        <f aca="false">IFERROR(T9*R9,"")</f>
        <v/>
      </c>
    </row>
    <row r="10" customFormat="false" ht="14.25" hidden="false" customHeight="true" outlineLevel="0" collapsed="false">
      <c r="A10" s="0" t="s">
        <v>606</v>
      </c>
      <c r="B10" s="0" t="s">
        <v>33</v>
      </c>
      <c r="L10" s="31"/>
      <c r="M10" s="0" t="n">
        <f aca="false">L10+ROW()/1000000</f>
        <v>1E-005</v>
      </c>
      <c r="N10" s="0" t="n">
        <f aca="false">RANK(M10,$M$8:$M$14,0)</f>
        <v>5</v>
      </c>
      <c r="P10" s="0" t="n">
        <f aca="false">INDEX($J$8:$J$14,MATCH(2,$N$8:$N$14,0))</f>
        <v>0</v>
      </c>
      <c r="Q10" s="0" t="str">
        <f aca="false">IFERROR(VLOOKUP(P10,$J$8:$L$14,2,FALSE()),"")</f>
        <v/>
      </c>
      <c r="R10" s="0" t="str">
        <f aca="false">IFERROR(VLOOKUP(P10,$J$8:$L$14,3,FALSE()),"")</f>
        <v/>
      </c>
      <c r="S10" s="0" t="str">
        <f aca="false">IFERROR(S9+Q10,"")</f>
        <v/>
      </c>
      <c r="U10" s="0" t="str">
        <f aca="false">IFERROR(T10*R10,"")</f>
        <v/>
      </c>
    </row>
    <row r="11" customFormat="false" ht="14.25" hidden="false" customHeight="true" outlineLevel="0" collapsed="false">
      <c r="L11" s="31"/>
      <c r="M11" s="0" t="n">
        <f aca="false">L11+ROW()/1000000</f>
        <v>1.1E-005</v>
      </c>
      <c r="N11" s="0" t="n">
        <f aca="false">RANK(M11,$M$8:$M$14,0)</f>
        <v>4</v>
      </c>
      <c r="P11" s="0" t="n">
        <f aca="false">INDEX($J$8:$J$14,MATCH(3,$N$8:$N$14,0))</f>
        <v>0</v>
      </c>
      <c r="Q11" s="0" t="str">
        <f aca="false">IFERROR(VLOOKUP(P11,$J$8:$L$14,2,FALSE()),"")</f>
        <v/>
      </c>
      <c r="R11" s="0" t="str">
        <f aca="false">IFERROR(VLOOKUP(P11,$J$8:$L$14,3,FALSE()),"")</f>
        <v/>
      </c>
      <c r="S11" s="0" t="str">
        <f aca="false">IFERROR(S10+Q11,"")</f>
        <v/>
      </c>
      <c r="U11" s="0" t="str">
        <f aca="false">IFERROR(T11*R11,"")</f>
        <v/>
      </c>
    </row>
    <row r="12" customFormat="false" ht="14.25" hidden="false" customHeight="true" outlineLevel="0" collapsed="false">
      <c r="A12" s="10" t="s">
        <v>607</v>
      </c>
      <c r="L12" s="31"/>
      <c r="M12" s="0" t="n">
        <f aca="false">L12+ROW()/1000000</f>
        <v>1.2E-005</v>
      </c>
      <c r="N12" s="0" t="n">
        <f aca="false">RANK(M12,$M$8:$M$14,0)</f>
        <v>3</v>
      </c>
      <c r="P12" s="0" t="n">
        <f aca="false">INDEX($J$8:$J$14,MATCH(4,$N$8:$N$14,0))</f>
        <v>0</v>
      </c>
      <c r="Q12" s="0" t="str">
        <f aca="false">IFERROR(VLOOKUP(P12,$J$8:$L$14,2,FALSE()),"")</f>
        <v/>
      </c>
      <c r="R12" s="0" t="str">
        <f aca="false">IFERROR(VLOOKUP(P12,$J$8:$L$14,3,FALSE()),"")</f>
        <v/>
      </c>
      <c r="S12" s="0" t="str">
        <f aca="false">IFERROR(S11+Q12,"")</f>
        <v/>
      </c>
      <c r="U12" s="0" t="str">
        <f aca="false">IFERROR(T12*R12,"")</f>
        <v/>
      </c>
    </row>
    <row r="13" customFormat="false" ht="14.25" hidden="false" customHeight="true" outlineLevel="0" collapsed="false">
      <c r="A13" s="0" t="s">
        <v>608</v>
      </c>
      <c r="L13" s="31"/>
      <c r="M13" s="0" t="n">
        <f aca="false">L13+ROW()/1000000</f>
        <v>1.3E-005</v>
      </c>
      <c r="N13" s="0" t="n">
        <f aca="false">RANK(M13,$M$8:$M$14,0)</f>
        <v>2</v>
      </c>
      <c r="P13" s="0" t="n">
        <f aca="false">INDEX($J$8:$J$14,MATCH(5,$N$8:$N$14,0))</f>
        <v>0</v>
      </c>
      <c r="Q13" s="0" t="str">
        <f aca="false">IFERROR(VLOOKUP(P13,$J$8:$L$14,2,FALSE()),"")</f>
        <v/>
      </c>
      <c r="R13" s="0" t="str">
        <f aca="false">IFERROR(VLOOKUP(P13,$J$8:$L$14,3,FALSE()),"")</f>
        <v/>
      </c>
      <c r="S13" s="0" t="str">
        <f aca="false">IFERROR(S12+Q13,"")</f>
        <v/>
      </c>
      <c r="U13" s="0" t="str">
        <f aca="false">IFERROR(T13*R13,"")</f>
        <v/>
      </c>
    </row>
    <row r="14" customFormat="false" ht="14.25" hidden="false" customHeight="true" outlineLevel="0" collapsed="false">
      <c r="A14" s="10" t="s">
        <v>599</v>
      </c>
      <c r="B14" s="10" t="s">
        <v>525</v>
      </c>
      <c r="C14" s="10" t="s">
        <v>527</v>
      </c>
      <c r="D14" s="10" t="s">
        <v>526</v>
      </c>
      <c r="E14" s="10" t="s">
        <v>602</v>
      </c>
      <c r="F14" s="10" t="s">
        <v>609</v>
      </c>
      <c r="G14" s="10" t="s">
        <v>610</v>
      </c>
      <c r="H14" s="10" t="s">
        <v>611</v>
      </c>
      <c r="L14" s="31"/>
      <c r="M14" s="0" t="n">
        <f aca="false">L14+ROW()/1000000</f>
        <v>1.4E-005</v>
      </c>
      <c r="N14" s="0" t="n">
        <f aca="false">RANK(M14,$M$8:$M$14,0)</f>
        <v>1</v>
      </c>
      <c r="P14" s="0" t="n">
        <f aca="false">INDEX($J$8:$J$14,MATCH(6,$N$8:$N$14,0))</f>
        <v>0</v>
      </c>
      <c r="Q14" s="0" t="str">
        <f aca="false">IFERROR(VLOOKUP(P14,$J$8:$L$14,2,FALSE()),"")</f>
        <v/>
      </c>
      <c r="R14" s="0" t="str">
        <f aca="false">IFERROR(VLOOKUP(P14,$J$8:$L$14,3,FALSE()),"")</f>
        <v/>
      </c>
      <c r="S14" s="0" t="str">
        <f aca="false">IFERROR(S13+Q14,"")</f>
        <v/>
      </c>
      <c r="U14" s="0" t="str">
        <f aca="false">IFERROR(T14*R14,"")</f>
        <v/>
      </c>
    </row>
    <row r="15" customFormat="false" ht="14.25" hidden="false" customHeight="true" outlineLevel="0" collapsed="false">
      <c r="A15" s="0" t="n">
        <v>1</v>
      </c>
      <c r="B15" s="0" t="s">
        <v>544</v>
      </c>
      <c r="C15" s="0" t="n">
        <v>0.0235</v>
      </c>
      <c r="D15" s="0" t="n">
        <v>0.03</v>
      </c>
      <c r="E15" s="0" t="n">
        <v>0.03</v>
      </c>
      <c r="F15" s="0" t="s">
        <v>76</v>
      </c>
      <c r="G15" s="0" t="n">
        <v>0.03</v>
      </c>
      <c r="H15" s="31" t="n">
        <v>0.000705</v>
      </c>
      <c r="P15" s="0" t="n">
        <f aca="false">INDEX($J$8:$J$14,MATCH(7,$N$8:$N$14,0))</f>
        <v>0</v>
      </c>
      <c r="Q15" s="0" t="str">
        <f aca="false">IFERROR(VLOOKUP(P15,$J$8:$L$14,2,FALSE()),"")</f>
        <v/>
      </c>
      <c r="R15" s="0" t="str">
        <f aca="false">IFERROR(VLOOKUP(P15,$J$8:$L$14,3,FALSE()),"")</f>
        <v/>
      </c>
      <c r="S15" s="0" t="str">
        <f aca="false">IFERROR(S14+Q15,"")</f>
        <v/>
      </c>
      <c r="U15" s="0" t="str">
        <f aca="false">IFERROR(T15*R15,"")</f>
        <v/>
      </c>
    </row>
    <row r="16" customFormat="false" ht="14.25" hidden="false" customHeight="true" outlineLevel="0" collapsed="false">
      <c r="A16" s="0" t="n">
        <v>2</v>
      </c>
      <c r="B16" s="0" t="s">
        <v>540</v>
      </c>
      <c r="C16" s="0" t="n">
        <v>0.0195</v>
      </c>
      <c r="D16" s="0" t="n">
        <v>0.07</v>
      </c>
      <c r="E16" s="0" t="n">
        <v>0.1</v>
      </c>
      <c r="F16" s="0" t="s">
        <v>612</v>
      </c>
      <c r="G16" s="0" t="n">
        <v>0.02</v>
      </c>
      <c r="H16" s="0" t="n">
        <v>0.00039</v>
      </c>
    </row>
    <row r="17" customFormat="false" ht="14.25" hidden="false" customHeight="true" outlineLevel="0" collapsed="false">
      <c r="A17" s="0" t="n">
        <v>3</v>
      </c>
      <c r="B17" s="0" t="s">
        <v>538</v>
      </c>
      <c r="C17" s="0" t="n">
        <v>0.0175</v>
      </c>
      <c r="D17" s="0" t="n">
        <v>0.08</v>
      </c>
      <c r="E17" s="0" t="n">
        <v>0.18</v>
      </c>
      <c r="F17" s="0" t="s">
        <v>36</v>
      </c>
      <c r="G17" s="0" t="n">
        <v>0</v>
      </c>
      <c r="H17" s="0" t="n">
        <v>0</v>
      </c>
    </row>
    <row r="18" customFormat="false" ht="14.25" hidden="false" customHeight="true" outlineLevel="0" collapsed="false">
      <c r="A18" s="8" t="n">
        <v>4</v>
      </c>
      <c r="B18" s="0" t="s">
        <v>542</v>
      </c>
      <c r="C18" s="0" t="n">
        <v>0.0135</v>
      </c>
      <c r="D18" s="0" t="n">
        <v>0.05</v>
      </c>
      <c r="E18" s="0" t="n">
        <v>0.23</v>
      </c>
      <c r="F18" s="0" t="s">
        <v>36</v>
      </c>
      <c r="G18" s="0" t="n">
        <v>0</v>
      </c>
      <c r="H18" s="0" t="n">
        <v>0</v>
      </c>
      <c r="M18" s="0" t="s">
        <v>598</v>
      </c>
      <c r="N18" s="0" t="s">
        <v>599</v>
      </c>
      <c r="P18" s="0" t="s">
        <v>600</v>
      </c>
    </row>
    <row r="19" customFormat="false" ht="14.25" hidden="false" customHeight="true" outlineLevel="0" collapsed="false">
      <c r="A19" s="36" t="n">
        <v>5</v>
      </c>
      <c r="B19" s="0" t="s">
        <v>546</v>
      </c>
      <c r="C19" s="0" t="n">
        <v>0.01</v>
      </c>
      <c r="D19" s="0" t="n">
        <v>0.02</v>
      </c>
      <c r="E19" s="0" t="n">
        <v>0.25</v>
      </c>
      <c r="F19" s="0" t="s">
        <v>36</v>
      </c>
      <c r="G19" s="0" t="n">
        <v>0</v>
      </c>
      <c r="H19" s="0" t="n">
        <v>0</v>
      </c>
      <c r="L19" s="31"/>
      <c r="M19" s="0" t="n">
        <f aca="false">L19+ROW()/1000000</f>
        <v>1.9E-005</v>
      </c>
      <c r="N19" s="0" t="n">
        <f aca="false">RANK(M19,$M$19:$M$25,0)</f>
        <v>7</v>
      </c>
      <c r="P19" s="0" t="s">
        <v>525</v>
      </c>
      <c r="Q19" s="0" t="s">
        <v>526</v>
      </c>
      <c r="R19" s="0" t="s">
        <v>527</v>
      </c>
      <c r="S19" s="0" t="s">
        <v>602</v>
      </c>
      <c r="T19" s="0" t="s">
        <v>603</v>
      </c>
      <c r="U19" s="0" t="s">
        <v>604</v>
      </c>
    </row>
    <row r="20" customFormat="false" ht="14.25" hidden="false" customHeight="true" outlineLevel="0" collapsed="false">
      <c r="A20" s="0" t="n">
        <v>6</v>
      </c>
      <c r="B20" s="0" t="s">
        <v>536</v>
      </c>
      <c r="C20" s="0" t="n">
        <v>0.007</v>
      </c>
      <c r="D20" s="0" t="n">
        <v>0.15</v>
      </c>
      <c r="E20" s="0" t="n">
        <v>0.4</v>
      </c>
      <c r="F20" s="0" t="s">
        <v>36</v>
      </c>
      <c r="G20" s="0" t="n">
        <v>0</v>
      </c>
      <c r="H20" s="0" t="n">
        <v>0</v>
      </c>
      <c r="L20" s="31"/>
      <c r="M20" s="0" t="n">
        <f aca="false">L20+ROW()/1000000</f>
        <v>2E-005</v>
      </c>
      <c r="N20" s="0" t="n">
        <f aca="false">RANK(M20,$M$19:$M$25,0)</f>
        <v>6</v>
      </c>
      <c r="P20" s="0" t="n">
        <f aca="false">INDEX($J$19:$J$25,MATCH(1,$N$19:$N$25,0))</f>
        <v>0</v>
      </c>
      <c r="Q20" s="0" t="str">
        <f aca="false">IFERROR(VLOOKUP(P20,$J$19:$L$25,2,FALSE()),"")</f>
        <v/>
      </c>
      <c r="R20" s="0" t="str">
        <f aca="false">IFERROR(VLOOKUP(P20,$J$19:$L$25,3,FALSE()),"")</f>
        <v/>
      </c>
      <c r="S20" s="0" t="str">
        <f aca="false">IFERROR(Q20,"")</f>
        <v/>
      </c>
      <c r="U20" s="0" t="str">
        <f aca="false">IFERROR(T20*R20,"")</f>
        <v/>
      </c>
    </row>
    <row r="21" customFormat="false" ht="14.25" hidden="false" customHeight="true" outlineLevel="0" collapsed="false">
      <c r="A21" s="8" t="n">
        <v>7</v>
      </c>
      <c r="B21" s="0" t="s">
        <v>533</v>
      </c>
      <c r="C21" s="0" t="n">
        <v>0</v>
      </c>
      <c r="D21" s="0" t="n">
        <v>0.6</v>
      </c>
      <c r="E21" s="0" t="n">
        <v>1</v>
      </c>
      <c r="F21" s="0" t="s">
        <v>36</v>
      </c>
      <c r="G21" s="0" t="n">
        <v>0</v>
      </c>
      <c r="H21" s="0" t="n">
        <v>0</v>
      </c>
      <c r="L21" s="31"/>
      <c r="M21" s="0" t="n">
        <f aca="false">L21+ROW()/1000000</f>
        <v>2.1E-005</v>
      </c>
      <c r="N21" s="0" t="n">
        <f aca="false">RANK(M21,$M$19:$M$25,0)</f>
        <v>5</v>
      </c>
      <c r="P21" s="0" t="n">
        <f aca="false">INDEX($J$19:$J$25,MATCH(2,$N$19:$N$25,0))</f>
        <v>0</v>
      </c>
      <c r="Q21" s="0" t="str">
        <f aca="false">IFERROR(VLOOKUP(P21,$J$19:$L$25,2,FALSE()),"")</f>
        <v/>
      </c>
      <c r="R21" s="0" t="str">
        <f aca="false">IFERROR(VLOOKUP(P21,$J$19:$L$25,3,FALSE()),"")</f>
        <v/>
      </c>
      <c r="S21" s="0" t="str">
        <f aca="false">IFERROR(S20+Q21,"")</f>
        <v/>
      </c>
      <c r="U21" s="0" t="str">
        <f aca="false">IFERROR(T21*R21,"")</f>
        <v/>
      </c>
    </row>
    <row r="22" customFormat="false" ht="14.25" hidden="false" customHeight="true" outlineLevel="0" collapsed="false">
      <c r="A22" s="8"/>
      <c r="B22" s="8"/>
      <c r="C22" s="8"/>
      <c r="D22" s="8"/>
      <c r="E22" s="8"/>
      <c r="F22" s="8"/>
      <c r="L22" s="31"/>
      <c r="M22" s="0" t="n">
        <f aca="false">L22+ROW()/1000000</f>
        <v>2.2E-005</v>
      </c>
      <c r="N22" s="0" t="n">
        <f aca="false">RANK(M22,$M$19:$M$25,0)</f>
        <v>4</v>
      </c>
      <c r="P22" s="0" t="n">
        <f aca="false">INDEX($J$19:$J$25,MATCH(3,$N$19:$N$25,0))</f>
        <v>0</v>
      </c>
      <c r="Q22" s="0" t="str">
        <f aca="false">IFERROR(VLOOKUP(P22,$J$19:$L$25,2,FALSE()),"")</f>
        <v/>
      </c>
      <c r="R22" s="0" t="str">
        <f aca="false">IFERROR(VLOOKUP(P22,$J$19:$L$25,3,FALSE()),"")</f>
        <v/>
      </c>
      <c r="S22" s="0" t="str">
        <f aca="false">IFERROR(S21+Q22,"")</f>
        <v/>
      </c>
      <c r="U22" s="0" t="str">
        <f aca="false">IFERROR(T22*R22,"")</f>
        <v/>
      </c>
    </row>
    <row r="23" customFormat="false" ht="14.25" hidden="false" customHeight="true" outlineLevel="0" collapsed="false">
      <c r="A23" s="0" t="s">
        <v>613</v>
      </c>
      <c r="L23" s="31"/>
      <c r="M23" s="0" t="n">
        <f aca="false">L23+ROW()/1000000</f>
        <v>2.3E-005</v>
      </c>
      <c r="N23" s="0" t="n">
        <f aca="false">RANK(M23,$M$19:$M$25,0)</f>
        <v>3</v>
      </c>
      <c r="P23" s="0" t="n">
        <f aca="false">INDEX($J$19:$J$25,MATCH(4,$N$19:$N$25,0))</f>
        <v>0</v>
      </c>
      <c r="Q23" s="0" t="str">
        <f aca="false">IFERROR(VLOOKUP(P23,$J$19:$L$25,2,FALSE()),"")</f>
        <v/>
      </c>
      <c r="R23" s="0" t="str">
        <f aca="false">IFERROR(VLOOKUP(P23,$J$19:$L$25,3,FALSE()),"")</f>
        <v/>
      </c>
      <c r="S23" s="0" t="str">
        <f aca="false">IFERROR(S22+Q23,"")</f>
        <v/>
      </c>
      <c r="U23" s="0" t="str">
        <f aca="false">IFERROR(T23*R23,"")</f>
        <v/>
      </c>
    </row>
    <row r="24" customFormat="false" ht="14.25" hidden="false" customHeight="true" outlineLevel="0" collapsed="false">
      <c r="A24" s="0" t="s">
        <v>614</v>
      </c>
      <c r="B24" s="0" t="n">
        <v>0.001095</v>
      </c>
      <c r="L24" s="31"/>
      <c r="M24" s="0" t="n">
        <f aca="false">L24+ROW()/1000000</f>
        <v>2.4E-005</v>
      </c>
      <c r="N24" s="0" t="n">
        <f aca="false">RANK(M24,$M$19:$M$25,0)</f>
        <v>2</v>
      </c>
      <c r="P24" s="0" t="n">
        <f aca="false">INDEX($J$19:$J$25,MATCH(5,$N$19:$N$25,0))</f>
        <v>0</v>
      </c>
      <c r="Q24" s="0" t="str">
        <f aca="false">IFERROR(VLOOKUP(P24,$J$19:$L$25,2,FALSE()),"")</f>
        <v/>
      </c>
      <c r="R24" s="0" t="str">
        <f aca="false">IFERROR(VLOOKUP(P24,$J$19:$L$25,3,FALSE()),"")</f>
        <v/>
      </c>
      <c r="S24" s="0" t="str">
        <f aca="false">IFERROR(S23+Q24,"")</f>
        <v/>
      </c>
      <c r="U24" s="0" t="str">
        <f aca="false">IFERROR(T24*R24,"")</f>
        <v/>
      </c>
    </row>
    <row r="25" customFormat="false" ht="14.25" hidden="false" customHeight="true" outlineLevel="0" collapsed="false">
      <c r="A25" s="0" t="s">
        <v>615</v>
      </c>
      <c r="B25" s="10" t="n">
        <v>0.0219</v>
      </c>
      <c r="L25" s="31"/>
      <c r="M25" s="0" t="n">
        <f aca="false">L25+ROW()/1000000</f>
        <v>2.5E-005</v>
      </c>
      <c r="N25" s="0" t="n">
        <f aca="false">RANK(M25,$M$19:$M$25,0)</f>
        <v>1</v>
      </c>
      <c r="P25" s="0" t="n">
        <f aca="false">INDEX($J$19:$J$25,MATCH(6,$N$19:$N$25,0))</f>
        <v>0</v>
      </c>
      <c r="Q25" s="0" t="str">
        <f aca="false">IFERROR(VLOOKUP(P25,$J$19:$L$25,2,FALSE()),"")</f>
        <v/>
      </c>
      <c r="R25" s="0" t="str">
        <f aca="false">IFERROR(VLOOKUP(P25,$J$19:$L$25,3,FALSE()),"")</f>
        <v/>
      </c>
      <c r="S25" s="0" t="str">
        <f aca="false">IFERROR(S24+Q25,"")</f>
        <v/>
      </c>
      <c r="U25" s="0" t="str">
        <f aca="false">IFERROR(T25*R25,"")</f>
        <v/>
      </c>
    </row>
    <row r="26" customFormat="false" ht="14.25" hidden="false" customHeight="true" outlineLevel="0" collapsed="false">
      <c r="A26" s="0" t="s">
        <v>616</v>
      </c>
      <c r="B26" s="11" t="s">
        <v>584</v>
      </c>
      <c r="C26" s="0" t="s">
        <v>617</v>
      </c>
      <c r="P26" s="0" t="n">
        <f aca="false">INDEX($J$19:$J$25,MATCH(7,$N$19:$N$25,0))</f>
        <v>0</v>
      </c>
      <c r="Q26" s="0" t="str">
        <f aca="false">IFERROR(VLOOKUP(P26,$J$19:$L$25,2,FALSE()),"")</f>
        <v/>
      </c>
      <c r="R26" s="0" t="str">
        <f aca="false">IFERROR(VLOOKUP(P26,$J$19:$L$25,3,FALSE()),"")</f>
        <v/>
      </c>
      <c r="S26" s="0" t="str">
        <f aca="false">IFERROR(S25+Q26,"")</f>
        <v/>
      </c>
      <c r="U26" s="0" t="str">
        <f aca="false">IFERROR(T26*R26,"")</f>
        <v/>
      </c>
    </row>
    <row r="27" customFormat="false" ht="14.25" hidden="false" customHeight="true" outlineLevel="0" collapsed="false"/>
    <row r="28" customFormat="false" ht="14.25" hidden="false" customHeight="true" outlineLevel="0" collapsed="false">
      <c r="H28" s="31"/>
    </row>
    <row r="29" customFormat="false" ht="14.25" hidden="false" customHeight="true" outlineLevel="0" collapsed="false">
      <c r="A29" s="10" t="s">
        <v>618</v>
      </c>
    </row>
    <row r="30" customFormat="false" ht="14.25" hidden="false" customHeight="true" outlineLevel="0" collapsed="false">
      <c r="A30" s="10" t="s">
        <v>599</v>
      </c>
      <c r="B30" s="10" t="s">
        <v>525</v>
      </c>
      <c r="C30" s="10" t="s">
        <v>527</v>
      </c>
      <c r="D30" s="10" t="s">
        <v>526</v>
      </c>
      <c r="E30" s="10" t="s">
        <v>602</v>
      </c>
      <c r="F30" s="10" t="s">
        <v>609</v>
      </c>
      <c r="G30" s="10" t="s">
        <v>610</v>
      </c>
      <c r="H30" s="10" t="s">
        <v>611</v>
      </c>
    </row>
    <row r="31" customFormat="false" ht="14.25" hidden="false" customHeight="true" outlineLevel="0" collapsed="false">
      <c r="A31" s="8" t="n">
        <v>1</v>
      </c>
      <c r="B31" s="0" t="s">
        <v>538</v>
      </c>
      <c r="C31" s="0" t="n">
        <v>0.0315</v>
      </c>
      <c r="D31" s="0" t="n">
        <v>0.08</v>
      </c>
      <c r="E31" s="0" t="n">
        <v>0.08</v>
      </c>
      <c r="F31" s="0" t="s">
        <v>612</v>
      </c>
      <c r="G31" s="0" t="n">
        <v>0.05</v>
      </c>
      <c r="H31" s="0" t="n">
        <v>0.001575</v>
      </c>
    </row>
    <row r="32" customFormat="false" ht="14.25" hidden="false" customHeight="true" outlineLevel="0" collapsed="false">
      <c r="A32" s="36" t="n">
        <v>2</v>
      </c>
      <c r="B32" s="0" t="s">
        <v>540</v>
      </c>
      <c r="C32" s="0" t="n">
        <v>0.0235</v>
      </c>
      <c r="D32" s="0" t="n">
        <v>0.07</v>
      </c>
      <c r="E32" s="0" t="n">
        <v>0.15</v>
      </c>
      <c r="F32" s="0" t="s">
        <v>36</v>
      </c>
      <c r="G32" s="0" t="n">
        <v>0</v>
      </c>
      <c r="H32" s="0" t="n">
        <v>0</v>
      </c>
    </row>
    <row r="33" customFormat="false" ht="14.25" hidden="false" customHeight="true" outlineLevel="0" collapsed="false">
      <c r="A33" s="0" t="n">
        <v>3</v>
      </c>
      <c r="B33" s="0" t="s">
        <v>544</v>
      </c>
      <c r="C33" s="0" t="n">
        <v>0.02175</v>
      </c>
      <c r="D33" s="0" t="n">
        <v>0.03</v>
      </c>
      <c r="E33" s="0" t="n">
        <v>0.18</v>
      </c>
      <c r="F33" s="0" t="s">
        <v>36</v>
      </c>
      <c r="G33" s="0" t="n">
        <v>0</v>
      </c>
      <c r="H33" s="0" t="n">
        <v>0</v>
      </c>
    </row>
    <row r="34" customFormat="false" ht="14.25" hidden="false" customHeight="true" outlineLevel="0" collapsed="false">
      <c r="A34" s="0" t="n">
        <v>4</v>
      </c>
      <c r="B34" s="0" t="s">
        <v>542</v>
      </c>
      <c r="C34" s="0" t="n">
        <v>0.0135</v>
      </c>
      <c r="D34" s="0" t="n">
        <v>0.05</v>
      </c>
      <c r="E34" s="0" t="n">
        <v>0.23</v>
      </c>
      <c r="F34" s="0" t="s">
        <v>36</v>
      </c>
      <c r="G34" s="0" t="n">
        <v>0</v>
      </c>
      <c r="H34" s="0" t="n">
        <v>0</v>
      </c>
    </row>
    <row r="35" customFormat="false" ht="14.25" hidden="false" customHeight="true" outlineLevel="0" collapsed="false">
      <c r="A35" s="8" t="n">
        <v>5</v>
      </c>
      <c r="B35" s="0" t="s">
        <v>536</v>
      </c>
      <c r="C35" s="0" t="n">
        <v>0.0105</v>
      </c>
      <c r="D35" s="0" t="n">
        <v>0.15</v>
      </c>
      <c r="E35" s="0" t="n">
        <v>0.38</v>
      </c>
      <c r="F35" s="0" t="s">
        <v>36</v>
      </c>
      <c r="G35" s="0" t="n">
        <v>0</v>
      </c>
      <c r="H35" s="0" t="n">
        <v>0</v>
      </c>
    </row>
    <row r="36" customFormat="false" ht="14.25" hidden="false" customHeight="true" outlineLevel="0" collapsed="false">
      <c r="A36" s="37" t="n">
        <v>6</v>
      </c>
      <c r="B36" s="0" t="s">
        <v>546</v>
      </c>
      <c r="C36" s="0" t="n">
        <v>0.007</v>
      </c>
      <c r="D36" s="0" t="n">
        <v>0.02</v>
      </c>
      <c r="E36" s="0" t="n">
        <v>0.4</v>
      </c>
      <c r="F36" s="0" t="s">
        <v>36</v>
      </c>
      <c r="G36" s="0" t="n">
        <v>0</v>
      </c>
      <c r="H36" s="0" t="n">
        <v>0</v>
      </c>
    </row>
    <row r="37" customFormat="false" ht="14.25" hidden="false" customHeight="true" outlineLevel="0" collapsed="false">
      <c r="A37" s="0" t="n">
        <v>7</v>
      </c>
      <c r="B37" s="0" t="s">
        <v>533</v>
      </c>
      <c r="C37" s="0" t="n">
        <v>0.003574</v>
      </c>
      <c r="D37" s="0" t="n">
        <v>0.6</v>
      </c>
      <c r="E37" s="0" t="n">
        <v>1</v>
      </c>
      <c r="F37" s="0" t="s">
        <v>36</v>
      </c>
      <c r="G37" s="0" t="n">
        <v>0</v>
      </c>
      <c r="H37" s="0" t="n">
        <v>0</v>
      </c>
    </row>
    <row r="38" customFormat="false" ht="14.25" hidden="false" customHeight="true" outlineLevel="0" collapsed="false">
      <c r="A38" s="38"/>
    </row>
    <row r="39" customFormat="false" ht="14.25" hidden="false" customHeight="true" outlineLevel="0" collapsed="false">
      <c r="A39" s="0" t="s">
        <v>619</v>
      </c>
    </row>
    <row r="40" customFormat="false" ht="14.25" hidden="false" customHeight="true" outlineLevel="0" collapsed="false">
      <c r="A40" s="0" t="s">
        <v>614</v>
      </c>
      <c r="B40" s="0" t="n">
        <v>0.001575</v>
      </c>
    </row>
    <row r="41" customFormat="false" ht="14.25" hidden="false" customHeight="true" outlineLevel="0" collapsed="false">
      <c r="A41" s="0" t="s">
        <v>620</v>
      </c>
      <c r="B41" s="10" t="n">
        <v>0.0315</v>
      </c>
    </row>
    <row r="42" customFormat="false" ht="14.25" hidden="false" customHeight="true" outlineLevel="0" collapsed="false">
      <c r="A42" s="0" t="s">
        <v>616</v>
      </c>
      <c r="B42" s="11" t="s">
        <v>584</v>
      </c>
      <c r="C42" s="0" t="s">
        <v>621</v>
      </c>
    </row>
    <row r="43" customFormat="false" ht="14.25" hidden="false" customHeight="true" outlineLevel="0" collapsed="false">
      <c r="A43" s="0" t="str">
        <f aca="false">IF(Dashboard!$B$36="YES","  2nd: Option "&amp;IF($H$15&lt;=$H$28,"B","A")&amp;" (CVaR = "&amp;TEXT(MAX($H$15,$H$28),"0.000")&amp;")","")</f>
        <v/>
      </c>
    </row>
    <row r="44" customFormat="false" ht="14.25" hidden="false" customHeight="true" outlineLevel="0" collapsed="false"/>
    <row r="45" customFormat="false" ht="14.25" hidden="false" customHeight="true" outlineLevel="0" collapsed="false">
      <c r="A45" s="39" t="s">
        <v>622</v>
      </c>
    </row>
    <row r="46" customFormat="false" ht="14.25" hidden="false" customHeight="true" outlineLevel="0" collapsed="false">
      <c r="A46" s="0" t="s">
        <v>623</v>
      </c>
    </row>
    <row r="47" customFormat="false" ht="14.25" hidden="false" customHeight="true" outlineLevel="0" collapsed="false">
      <c r="A47" s="0" t="s">
        <v>624</v>
      </c>
    </row>
    <row r="48" customFormat="false" ht="14.25" hidden="false" customHeight="true" outlineLevel="0" collapsed="false">
      <c r="A48" s="0" t="s">
        <v>625</v>
      </c>
    </row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3.5" hidden="false" customHeight="true" outlineLevel="0" collapsed="false"/>
    <row r="52" customFormat="false" ht="14.25" hidden="false" customHeight="true" outlineLevel="0" collapsed="false">
      <c r="A52" s="38"/>
    </row>
    <row r="53" customFormat="false" ht="14.25" hidden="false" customHeight="true" outlineLevel="0" collapsed="false"/>
    <row r="54" customFormat="false" ht="14.2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626</v>
      </c>
      <c r="B1" s="20"/>
      <c r="C1" s="20"/>
      <c r="D1" s="20"/>
      <c r="E1" s="20"/>
      <c r="F1" s="20"/>
      <c r="G1" s="20"/>
      <c r="H1" s="20"/>
    </row>
    <row r="2" customFormat="false" ht="14.25" hidden="false" customHeight="true" outlineLevel="0" collapsed="false">
      <c r="J2" s="0" t="s">
        <v>627</v>
      </c>
    </row>
    <row r="3" customFormat="false" ht="14.25" hidden="false" customHeight="true" outlineLevel="0" collapsed="false">
      <c r="A3" s="0" t="s">
        <v>628</v>
      </c>
      <c r="J3" s="0" t="s">
        <v>340</v>
      </c>
      <c r="K3" s="0" t="n">
        <f aca="false">CANON!B23</f>
        <v>0.05</v>
      </c>
    </row>
    <row r="4" customFormat="false" ht="14.25" hidden="false" customHeight="true" outlineLevel="0" collapsed="false">
      <c r="A4" s="0" t="str">
        <f aca="false">"θ_pos = "&amp;TEXT(Parameters!$B$28,"0.00")&amp;" | τ_c = "&amp;TEXT(Parameters!$B$27,"0.00")</f>
        <v>θ_pos = 0.05 | τ_c = -0.10</v>
      </c>
      <c r="J4" s="0" t="s">
        <v>629</v>
      </c>
      <c r="K4" s="0" t="n">
        <f aca="false">CANON!B24</f>
        <v>-0.1</v>
      </c>
    </row>
    <row r="5" customFormat="false" ht="14.25" hidden="false" customHeight="true" outlineLevel="0" collapsed="false">
      <c r="A5" s="37" t="str">
        <f aca="false">IF(Dashboard!$B$36="YES","NOTE: Informational only (TRC fallback active).","NOTE: Normal mode (containment evaluated for admissible options).")</f>
        <v>NOTE: Normal mode (containment evaluated for admissible options).</v>
      </c>
      <c r="J5" s="0" t="s">
        <v>400</v>
      </c>
      <c r="K5" s="0" t="s">
        <v>630</v>
      </c>
      <c r="L5" s="0" t="s">
        <v>631</v>
      </c>
    </row>
    <row r="6" customFormat="false" ht="14.25" hidden="false" customHeight="true" outlineLevel="0" collapsed="false">
      <c r="J6" s="0" t="s">
        <v>402</v>
      </c>
      <c r="K6" s="0" t="n">
        <f aca="false">(I_prop!B7+I_prop!C7+I_prop!D7+I_prop!E7+I_prop!F7+I_prop!G7+I_prop!H7)/7</f>
        <v>0.0560382485886524</v>
      </c>
      <c r="L6" s="0" t="n">
        <f aca="false">(I_prop!B18+I_prop!C18+I_prop!D18+I_prop!E18+I_prop!F18+I_prop!G18+I_prop!H18)/7</f>
        <v>-0.00661908109580481</v>
      </c>
    </row>
    <row r="7" customFormat="false" ht="14.25" hidden="false" customHeight="true" outlineLevel="0" collapsed="false">
      <c r="A7" s="8" t="s">
        <v>632</v>
      </c>
      <c r="J7" s="0" t="s">
        <v>404</v>
      </c>
      <c r="K7" s="0" t="n">
        <f aca="false">(I_prop!B8+I_prop!C8+I_prop!D8+I_prop!E8+I_prop!F8+I_prop!G8+I_prop!H8)/7</f>
        <v>0.00659459660486983</v>
      </c>
      <c r="L7" s="0" t="n">
        <f aca="false">(I_prop!B19+I_prop!C19+I_prop!D19+I_prop!E19+I_prop!F19+I_prop!G19+I_prop!H19)/7</f>
        <v>-0.0026394143482197</v>
      </c>
    </row>
    <row r="8" customFormat="false" ht="14.25" hidden="false" customHeight="true" outlineLevel="0" collapsed="false">
      <c r="A8" s="8" t="s">
        <v>400</v>
      </c>
      <c r="B8" s="8" t="n">
        <v>0.056</v>
      </c>
      <c r="C8" s="8" t="s">
        <v>76</v>
      </c>
      <c r="J8" s="0" t="s">
        <v>405</v>
      </c>
      <c r="K8" s="0" t="n">
        <f aca="false">(I_prop!B9+I_prop!C9+I_prop!D9+I_prop!E9+I_prop!F9+I_prop!G9+I_prop!H9)/7</f>
        <v>-0.0143601373053857</v>
      </c>
      <c r="L8" s="0" t="n">
        <f aca="false">(I_prop!B20+I_prop!C20+I_prop!D20+I_prop!E20+I_prop!F20+I_prop!G20+I_prop!H20)/7</f>
        <v>0.0106733399362981</v>
      </c>
    </row>
    <row r="9" customFormat="false" ht="14.25" hidden="false" customHeight="true" outlineLevel="0" collapsed="false">
      <c r="A9" s="0" t="s">
        <v>402</v>
      </c>
      <c r="B9" s="31" t="n">
        <v>0.0066</v>
      </c>
      <c r="C9" s="0" t="s">
        <v>36</v>
      </c>
      <c r="J9" s="0" t="s">
        <v>406</v>
      </c>
      <c r="K9" s="0" t="n">
        <f aca="false">(I_prop!B10+I_prop!C10+I_prop!D10+I_prop!E10+I_prop!F10+I_prop!G10+I_prop!H10)/7</f>
        <v>-0.0122242051851281</v>
      </c>
      <c r="L9" s="0" t="n">
        <f aca="false">(I_prop!B21+I_prop!C21+I_prop!D21+I_prop!E21+I_prop!F21+I_prop!G21+I_prop!H21)/7</f>
        <v>0.00145877937416746</v>
      </c>
    </row>
    <row r="10" customFormat="false" ht="14.25" hidden="false" customHeight="true" outlineLevel="0" collapsed="false">
      <c r="A10" s="0" t="s">
        <v>404</v>
      </c>
      <c r="B10" s="31" t="n">
        <v>-0.0144</v>
      </c>
      <c r="C10" s="0" t="s">
        <v>36</v>
      </c>
      <c r="J10" s="0" t="s">
        <v>407</v>
      </c>
      <c r="K10" s="0" t="n">
        <f aca="false">(I_prop!B11+I_prop!C11+I_prop!D11+I_prop!E11+I_prop!F11+I_prop!G11+I_prop!H11)/7</f>
        <v>0</v>
      </c>
      <c r="L10" s="0" t="n">
        <f aca="false">(I_prop!B22+I_prop!C22+I_prop!D22+I_prop!E22+I_prop!F22+I_prop!G22+I_prop!H22)/7</f>
        <v>0</v>
      </c>
    </row>
    <row r="11" customFormat="false" ht="14.25" hidden="false" customHeight="true" outlineLevel="0" collapsed="false">
      <c r="A11" s="0" t="s">
        <v>405</v>
      </c>
      <c r="B11" s="31" t="n">
        <v>-0.0122</v>
      </c>
      <c r="C11" s="0" t="s">
        <v>36</v>
      </c>
      <c r="J11" s="0" t="s">
        <v>408</v>
      </c>
      <c r="K11" s="0" t="n">
        <f aca="false">(I_prop!B12+I_prop!C12+I_prop!D12+I_prop!E12+I_prop!F12+I_prop!G12+I_prop!H12)/7</f>
        <v>0</v>
      </c>
      <c r="L11" s="0" t="n">
        <f aca="false">(I_prop!B23+I_prop!C23+I_prop!D23+I_prop!E23+I_prop!F23+I_prop!G23+I_prop!H23)/7</f>
        <v>0</v>
      </c>
    </row>
    <row r="12" customFormat="false" ht="14.25" hidden="false" customHeight="true" outlineLevel="0" collapsed="false">
      <c r="A12" s="0" t="s">
        <v>406</v>
      </c>
      <c r="B12" s="31" t="n">
        <v>0</v>
      </c>
      <c r="C12" s="0" t="s">
        <v>36</v>
      </c>
      <c r="J12" s="0" t="s">
        <v>410</v>
      </c>
      <c r="K12" s="0" t="n">
        <f aca="false">(I_prop!B13+I_prop!C13+I_prop!D13+I_prop!E13+I_prop!F13+I_prop!G13+I_prop!H13)/7</f>
        <v>0.00218807399390855</v>
      </c>
      <c r="L12" s="0" t="n">
        <f aca="false">(I_prop!B24+I_prop!C24+I_prop!D24+I_prop!E24+I_prop!F24+I_prop!G24+I_prop!H24)/7</f>
        <v>-0.00145877937416746</v>
      </c>
    </row>
    <row r="13" customFormat="false" ht="14.25" hidden="false" customHeight="true" outlineLevel="0" collapsed="false">
      <c r="A13" s="0" t="s">
        <v>407</v>
      </c>
      <c r="B13" s="31" t="n">
        <v>0</v>
      </c>
      <c r="C13" s="0" t="s">
        <v>36</v>
      </c>
    </row>
    <row r="14" customFormat="false" ht="14.25" hidden="false" customHeight="true" outlineLevel="0" collapsed="false">
      <c r="A14" s="0" t="s">
        <v>408</v>
      </c>
      <c r="B14" s="31" t="n">
        <v>0.0022</v>
      </c>
      <c r="C14" s="0" t="s">
        <v>36</v>
      </c>
      <c r="J14" s="0" t="s">
        <v>633</v>
      </c>
      <c r="K14" s="0" t="str">
        <f aca="false">IF(COUNTIF($K$6:$K$12,"&gt;="&amp;$K$3)=0,"PASS (vacuous)",IF(0&gt;=$K$4,"PASS","FAIL"))</f>
        <v>PASS</v>
      </c>
    </row>
    <row r="15" customFormat="false" ht="14.25" hidden="false" customHeight="true" outlineLevel="0" collapsed="false">
      <c r="A15" s="0" t="s">
        <v>410</v>
      </c>
      <c r="B15" s="31"/>
      <c r="C15" s="0" t="s">
        <v>36</v>
      </c>
      <c r="J15" s="0" t="s">
        <v>634</v>
      </c>
      <c r="K15" s="0" t="str">
        <f aca="false">IF(COUNTIF($L$6:$L$12,"&gt;="&amp;$K$3)=0,"PASS (vacuous)",IF(0&gt;=$K$4,"PASS","FAIL"))</f>
        <v>PASS (vacuous)</v>
      </c>
    </row>
    <row r="16" customFormat="false" ht="14.25" hidden="false" customHeight="true" outlineLevel="0" collapsed="false">
      <c r="A16" s="0" t="s">
        <v>635</v>
      </c>
    </row>
    <row r="17" customFormat="false" ht="14.25" hidden="false" customHeight="true" outlineLevel="0" collapsed="false"/>
    <row r="18" customFormat="false" ht="14.25" hidden="false" customHeight="true" outlineLevel="0" collapsed="false">
      <c r="A18" s="11" t="s">
        <v>636</v>
      </c>
    </row>
    <row r="19" customFormat="false" ht="13.5" hidden="false" customHeight="true" outlineLevel="0" collapsed="false"/>
    <row r="20" customFormat="false" ht="14.25" hidden="false" customHeight="true" outlineLevel="0" collapsed="false">
      <c r="A20" s="8" t="s">
        <v>637</v>
      </c>
    </row>
    <row r="21" customFormat="false" ht="14.25" hidden="false" customHeight="true" outlineLevel="0" collapsed="false">
      <c r="A21" s="8" t="s">
        <v>400</v>
      </c>
      <c r="B21" s="8" t="n">
        <v>-0.0066</v>
      </c>
      <c r="C21" s="8" t="s">
        <v>36</v>
      </c>
    </row>
    <row r="22" customFormat="false" ht="14.25" hidden="false" customHeight="true" outlineLevel="0" collapsed="false">
      <c r="A22" s="0" t="s">
        <v>402</v>
      </c>
      <c r="B22" s="0" t="n">
        <v>-0.0026</v>
      </c>
      <c r="C22" s="0" t="s">
        <v>36</v>
      </c>
    </row>
    <row r="23" customFormat="false" ht="14.25" hidden="false" customHeight="true" outlineLevel="0" collapsed="false">
      <c r="A23" s="0" t="s">
        <v>404</v>
      </c>
      <c r="B23" s="0" t="n">
        <v>0.0107</v>
      </c>
      <c r="C23" s="0" t="s">
        <v>36</v>
      </c>
    </row>
    <row r="24" customFormat="false" ht="14.25" hidden="false" customHeight="true" outlineLevel="0" collapsed="false">
      <c r="A24" s="0" t="s">
        <v>405</v>
      </c>
      <c r="B24" s="31" t="n">
        <v>0.0015</v>
      </c>
      <c r="C24" s="0" t="s">
        <v>36</v>
      </c>
    </row>
    <row r="25" customFormat="false" ht="14.25" hidden="false" customHeight="true" outlineLevel="0" collapsed="false">
      <c r="A25" s="0" t="s">
        <v>406</v>
      </c>
      <c r="B25" s="31" t="n">
        <v>0</v>
      </c>
      <c r="C25" s="0" t="s">
        <v>36</v>
      </c>
    </row>
    <row r="26" customFormat="false" ht="14.25" hidden="false" customHeight="true" outlineLevel="0" collapsed="false">
      <c r="A26" s="0" t="s">
        <v>407</v>
      </c>
      <c r="B26" s="31" t="n">
        <v>0</v>
      </c>
      <c r="C26" s="0" t="s">
        <v>36</v>
      </c>
    </row>
    <row r="27" customFormat="false" ht="14.25" hidden="false" customHeight="true" outlineLevel="0" collapsed="false">
      <c r="A27" s="0" t="s">
        <v>408</v>
      </c>
      <c r="B27" s="31" t="n">
        <v>-0.0015</v>
      </c>
      <c r="C27" s="0" t="s">
        <v>36</v>
      </c>
    </row>
    <row r="28" customFormat="false" ht="14.25" hidden="false" customHeight="true" outlineLevel="0" collapsed="false">
      <c r="A28" s="0" t="s">
        <v>410</v>
      </c>
      <c r="B28" s="31"/>
      <c r="C28" s="0" t="s">
        <v>36</v>
      </c>
    </row>
    <row r="29" customFormat="false" ht="14.25" hidden="false" customHeight="true" outlineLevel="0" collapsed="false">
      <c r="A29" s="0" t="s">
        <v>638</v>
      </c>
      <c r="B29" s="31"/>
    </row>
    <row r="30" customFormat="false" ht="14.25" hidden="false" customHeight="true" outlineLevel="0" collapsed="false">
      <c r="A30" s="0" t="s">
        <v>639</v>
      </c>
      <c r="B30" s="31"/>
    </row>
    <row r="31" customFormat="false" ht="14.25" hidden="false" customHeight="true" outlineLevel="0" collapsed="false">
      <c r="A31" s="11" t="s">
        <v>639</v>
      </c>
    </row>
    <row r="32" customFormat="false" ht="14.25" hidden="false" customHeight="true" outlineLevel="0" collapsed="false">
      <c r="A32" s="0" t="s">
        <v>640</v>
      </c>
    </row>
    <row r="33" customFormat="false" ht="14.25" hidden="false" customHeight="true" outlineLevel="0" collapsed="false">
      <c r="A33" s="8" t="s">
        <v>641</v>
      </c>
    </row>
    <row r="34" customFormat="false" ht="14.25" hidden="false" customHeight="true" outlineLevel="0" collapsed="false">
      <c r="A34" s="0" t="s">
        <v>642</v>
      </c>
    </row>
    <row r="35" customFormat="false" ht="14.25" hidden="false" customHeight="true" outlineLevel="0" collapsed="false">
      <c r="A35" s="0" t="str">
        <f aca="false">IF(Dashboard!$B$36="YES","NOTE: Informational only (TRC fallback active).","NOTE: Normal mode (containment evaluated for admissible options).")</f>
        <v>NOTE: Normal mode (containment evaluated for admissible options).</v>
      </c>
    </row>
    <row r="36" customFormat="false" ht="14.25" hidden="false" customHeight="true" outlineLevel="0" collapsed="false">
      <c r="A36" s="3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643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644</v>
      </c>
    </row>
    <row r="4" customFormat="false" ht="14.25" hidden="false" customHeight="true" outlineLevel="0" collapsed="false">
      <c r="A4" s="0" t="s">
        <v>645</v>
      </c>
    </row>
    <row r="5" customFormat="false" ht="14.25" hidden="false" customHeight="true" outlineLevel="0" collapsed="false">
      <c r="A5" s="37"/>
      <c r="B5" s="0" t="n">
        <v>0.005462</v>
      </c>
    </row>
    <row r="6" customFormat="false" ht="14.25" hidden="false" customHeight="true" outlineLevel="0" collapsed="false">
      <c r="B6" s="0" t="n">
        <v>0.000202</v>
      </c>
      <c r="C6" s="31" t="n">
        <f aca="false">B61</f>
        <v>0.0153129427168233</v>
      </c>
    </row>
    <row r="7" customFormat="false" ht="14.25" hidden="false" customHeight="true" outlineLevel="0" collapsed="false">
      <c r="A7" s="8" t="s">
        <v>646</v>
      </c>
      <c r="B7" s="0" t="s">
        <v>647</v>
      </c>
      <c r="C7" s="31" t="n">
        <f aca="false">B62</f>
        <v>-0.00112238738505248</v>
      </c>
    </row>
    <row r="8" customFormat="false" ht="13.5" hidden="false" customHeight="true" outlineLevel="0" collapsed="false"/>
    <row r="9" customFormat="false" ht="14.25" hidden="false" customHeight="true" outlineLevel="0" collapsed="false">
      <c r="A9" s="0" t="s">
        <v>648</v>
      </c>
    </row>
    <row r="10" customFormat="false" ht="14.25" hidden="false" customHeight="true" outlineLevel="0" collapsed="false">
      <c r="A10" s="0" t="s">
        <v>649</v>
      </c>
      <c r="B10" s="0" t="n">
        <v>0.138</v>
      </c>
      <c r="C10" s="40" t="n">
        <v>0.00282</v>
      </c>
    </row>
    <row r="11" customFormat="false" ht="14.25" hidden="false" customHeight="true" outlineLevel="0" collapsed="false">
      <c r="A11" s="0" t="s">
        <v>650</v>
      </c>
      <c r="B11" s="0" t="n">
        <v>0.098</v>
      </c>
      <c r="C11" s="40" t="n">
        <v>0.002</v>
      </c>
    </row>
    <row r="12" customFormat="false" ht="14.25" hidden="false" customHeight="true" outlineLevel="0" collapsed="false">
      <c r="A12" s="0" t="s">
        <v>651</v>
      </c>
      <c r="B12" s="31" t="n">
        <f aca="false">INDEX(I_prop!$B$7:$H$13, MATCH("U2", I_prop!$A$7:$A$13,0), MATCH("D1", I_prop!$B$6:$H$6,0))</f>
        <v>0.0461621762340888</v>
      </c>
      <c r="C12" s="40"/>
    </row>
    <row r="13" customFormat="false" ht="14.25" hidden="false" customHeight="true" outlineLevel="0" collapsed="false">
      <c r="A13" s="0" t="s">
        <v>652</v>
      </c>
      <c r="B13" s="31" t="n">
        <f aca="false">INDEX(I_prop!$B$7:$H$13, MATCH("U3", I_prop!$A$7:$A$13,0), MATCH("D1", I_prop!$B$6:$H$6,0))</f>
        <v>-0.0197952743221616</v>
      </c>
      <c r="C13" s="40"/>
    </row>
    <row r="14" customFormat="false" ht="14.25" hidden="false" customHeight="true" outlineLevel="0" collapsed="false">
      <c r="A14" s="0" t="s">
        <v>653</v>
      </c>
      <c r="B14" s="31" t="n">
        <f aca="false">INDEX(I_prop!$B$7:$H$13, MATCH("U3", I_prop!$A$7:$A$13,0), MATCH("D3", I_prop!$B$6:$H$6,0))</f>
        <v>-0.0807256868155385</v>
      </c>
      <c r="C14" s="40"/>
    </row>
    <row r="15" customFormat="false" ht="14.25" hidden="false" customHeight="true" outlineLevel="0" collapsed="false">
      <c r="A15" s="0" t="s">
        <v>654</v>
      </c>
      <c r="B15" s="31" t="n">
        <f aca="false">INDEX(I_prop!$B$7:$H$13, MATCH("U4", I_prop!$A$7:$A$13,0), MATCH("D1", I_prop!$B$6:$H$6,0))</f>
        <v>-0.0855694362958967</v>
      </c>
      <c r="C15" s="40"/>
    </row>
    <row r="16" customFormat="false" ht="14.25" hidden="false" customHeight="true" outlineLevel="0" collapsed="false">
      <c r="A16" s="0" t="s">
        <v>655</v>
      </c>
      <c r="B16" s="31" t="n">
        <f aca="false">INDEX(I_prop!$B$7:$H$13, MATCH("U7", I_prop!$A$7:$A$13,0), MATCH("D7", I_prop!$B$6:$H$6,0))</f>
        <v>0.0153165179573599</v>
      </c>
      <c r="C16" s="40"/>
    </row>
    <row r="17" customFormat="false" ht="14.25" hidden="false" customHeight="true" outlineLevel="0" collapsed="false">
      <c r="A17" s="0" t="s">
        <v>656</v>
      </c>
    </row>
    <row r="18" customFormat="false" ht="14.25" hidden="false" customHeight="true" outlineLevel="0" collapsed="false">
      <c r="A18" s="17"/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4.25" hidden="false" customHeight="true" outlineLevel="0" collapsed="false">
      <c r="A21" s="8" t="s">
        <v>657</v>
      </c>
    </row>
    <row r="22" customFormat="false" ht="14.25" hidden="false" customHeight="true" outlineLevel="0" collapsed="false">
      <c r="A22" s="0" t="s">
        <v>649</v>
      </c>
      <c r="B22" s="0" t="n">
        <v>-0.073</v>
      </c>
      <c r="C22" s="40" t="n">
        <v>-0.00149</v>
      </c>
    </row>
    <row r="23" customFormat="false" ht="14.25" hidden="false" customHeight="true" outlineLevel="0" collapsed="false">
      <c r="A23" s="0" t="s">
        <v>651</v>
      </c>
      <c r="B23" s="31" t="n">
        <f aca="false">INDEX(I_prop!$B$18:$H$24, MATCH("U2", I_prop!$A$18:$A$24,0), MATCH("D1", I_prop!$B$17:$H$17,0))</f>
        <v>-0.0184759004375379</v>
      </c>
      <c r="C23" s="40"/>
    </row>
    <row r="24" customFormat="false" ht="14.25" hidden="false" customHeight="true" outlineLevel="0" collapsed="false">
      <c r="A24" s="0" t="s">
        <v>652</v>
      </c>
      <c r="B24" s="31" t="n">
        <f aca="false">INDEX(I_prop!$B$18:$H$24, MATCH("U3", I_prop!$A$18:$A$24,0), MATCH("D1", I_prop!$B$17:$H$17,0))</f>
        <v>0.0131978073405774</v>
      </c>
      <c r="C24" s="40"/>
    </row>
    <row r="25" customFormat="false" ht="14.25" hidden="false" customHeight="true" outlineLevel="0" collapsed="false">
      <c r="A25" s="0" t="s">
        <v>653</v>
      </c>
      <c r="B25" s="31" t="n">
        <f aca="false">INDEX(I_prop!$B$18:$H$24, MATCH("U3", I_prop!$A$18:$A$24,0), MATCH("D3", I_prop!$B$17:$H$17,0))</f>
        <v>0.0615155722135092</v>
      </c>
      <c r="C25" s="40"/>
    </row>
    <row r="26" customFormat="false" ht="14.25" hidden="false" customHeight="true" outlineLevel="0" collapsed="false">
      <c r="A26" s="0" t="s">
        <v>654</v>
      </c>
      <c r="B26" s="31" t="n">
        <f aca="false">INDEX(I_prop!$B$18:$H$24, MATCH("U4", I_prop!$A$18:$A$24,0), MATCH("D1", I_prop!$B$17:$H$17,0))</f>
        <v>0.0102114556191722</v>
      </c>
      <c r="C26" s="40"/>
    </row>
    <row r="27" customFormat="false" ht="14.25" hidden="false" customHeight="true" outlineLevel="0" collapsed="false">
      <c r="A27" s="0" t="s">
        <v>655</v>
      </c>
      <c r="B27" s="31" t="n">
        <f aca="false">INDEX(I_prop!$B$18:$H$24, MATCH("U7", I_prop!$A$18:$A$24,0), MATCH("D7", I_prop!$B$17:$H$17,0))</f>
        <v>-0.0102114556191722</v>
      </c>
      <c r="C27" s="40"/>
    </row>
    <row r="28" customFormat="false" ht="14.25" hidden="false" customHeight="true" outlineLevel="0" collapsed="false">
      <c r="A28" s="0" t="s">
        <v>658</v>
      </c>
    </row>
    <row r="29" customFormat="false" ht="14.25" hidden="false" customHeight="true" outlineLevel="0" collapsed="false">
      <c r="A29" s="17"/>
    </row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4.25" hidden="false" customHeight="true" outlineLevel="0" collapsed="false">
      <c r="A32" s="8" t="s">
        <v>659</v>
      </c>
    </row>
    <row r="33" customFormat="false" ht="14.25" hidden="false" customHeight="true" outlineLevel="0" collapsed="false">
      <c r="A33" s="0" t="s">
        <v>656</v>
      </c>
    </row>
    <row r="34" customFormat="false" ht="14.25" hidden="false" customHeight="true" outlineLevel="0" collapsed="false">
      <c r="A34" s="0" t="s">
        <v>658</v>
      </c>
    </row>
    <row r="35" customFormat="false" ht="14.25" hidden="false" customHeight="true" outlineLevel="0" collapsed="false">
      <c r="A35" s="0" t="s">
        <v>660</v>
      </c>
    </row>
    <row r="36" customFormat="false" ht="14.25" hidden="false" customHeight="true" outlineLevel="0" collapsed="false">
      <c r="A36" s="0" t="s">
        <v>661</v>
      </c>
    </row>
    <row r="37" customFormat="false" ht="14.25" hidden="false" customHeight="true" outlineLevel="0" collapsed="false">
      <c r="A37" s="0" t="str">
        <f aca="false">"Gap/√(2σ²+ε) = "&amp;TEXT(ABS(CANON!B63-CANON!B64)/SQRT(2*CANON!B26^2+0.000001),"0.000")&amp;" &lt; δ = "&amp;TEXT(CANON!B22,"0.###")</f>
        <v>Gap/√(2σ²+ε) = 0.186 &lt; δ = 2</v>
      </c>
    </row>
    <row r="38" customFormat="false" ht="14.25" hidden="false" customHeight="true" outlineLevel="0" collapsed="false">
      <c r="A38" s="0" t="s">
        <v>662</v>
      </c>
    </row>
    <row r="39" customFormat="false" ht="14.25" hidden="false" customHeight="true" outlineLevel="0" collapsed="false">
      <c r="A39" s="37" t="s">
        <v>663</v>
      </c>
    </row>
    <row r="40" customFormat="false" ht="13.5" hidden="false" customHeight="true" outlineLevel="0" collapsed="false"/>
    <row r="41" customFormat="false" ht="14.25" hidden="false" customHeight="true" outlineLevel="0" collapsed="false">
      <c r="A41" s="8" t="s">
        <v>664</v>
      </c>
    </row>
    <row r="42" customFormat="false" ht="14.25" hidden="false" customHeight="true" outlineLevel="0" collapsed="false">
      <c r="A42" s="0" t="s">
        <v>665</v>
      </c>
    </row>
    <row r="43" customFormat="false" ht="14.25" hidden="false" customHeight="true" outlineLevel="0" collapsed="false">
      <c r="A43" s="37"/>
    </row>
    <row r="44" customFormat="false" ht="14.25" hidden="false" customHeight="true" outlineLevel="0" collapsed="false">
      <c r="A44" s="0" t="s">
        <v>666</v>
      </c>
    </row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4.25" hidden="false" customHeight="true" outlineLevel="0" collapsed="false">
      <c r="A50" s="0" t="s">
        <v>667</v>
      </c>
    </row>
    <row r="51" customFormat="false" ht="14.25" hidden="false" customHeight="true" outlineLevel="0" collapsed="false">
      <c r="B51" s="0" t="s">
        <v>413</v>
      </c>
      <c r="C51" s="0" t="s">
        <v>403</v>
      </c>
      <c r="D51" s="0" t="s">
        <v>412</v>
      </c>
      <c r="E51" s="0" t="s">
        <v>414</v>
      </c>
      <c r="F51" s="0" t="s">
        <v>411</v>
      </c>
      <c r="G51" s="0" t="s">
        <v>498</v>
      </c>
      <c r="H51" s="0" t="s">
        <v>409</v>
      </c>
      <c r="I51" s="0" t="s">
        <v>668</v>
      </c>
    </row>
    <row r="52" customFormat="false" ht="14.25" hidden="false" customHeight="true" outlineLevel="0" collapsed="false">
      <c r="A52" s="0" t="s">
        <v>400</v>
      </c>
      <c r="B52" s="31" t="n">
        <f aca="false">Parameters!$B$48</f>
        <v>0.142857142857143</v>
      </c>
      <c r="C52" s="31" t="n">
        <f aca="false">Parameters!$B$49</f>
        <v>0.142857142857143</v>
      </c>
      <c r="D52" s="31" t="n">
        <f aca="false">Parameters!$B$50</f>
        <v>0.142857142857143</v>
      </c>
      <c r="E52" s="31" t="n">
        <f aca="false">Parameters!$B$51</f>
        <v>0.142857142857143</v>
      </c>
      <c r="F52" s="31" t="n">
        <f aca="false">Parameters!$B$52</f>
        <v>0.142857142857143</v>
      </c>
      <c r="G52" s="31" t="n">
        <f aca="false">Parameters!$B$53</f>
        <v>0.142857142857143</v>
      </c>
      <c r="H52" s="31" t="n">
        <f aca="false">Parameters!$B$54</f>
        <v>0.142857142857143</v>
      </c>
    </row>
    <row r="53" customFormat="false" ht="14.25" hidden="false" customHeight="true" outlineLevel="0" collapsed="false">
      <c r="A53" s="0" t="s">
        <v>402</v>
      </c>
      <c r="B53" s="31" t="n">
        <f aca="false">$I53*B52</f>
        <v>0.043952380952381</v>
      </c>
      <c r="C53" s="31" t="n">
        <f aca="false">$I53*C52</f>
        <v>0.043952380952381</v>
      </c>
      <c r="D53" s="31" t="n">
        <f aca="false">$I53*D52</f>
        <v>0.043952380952381</v>
      </c>
      <c r="E53" s="31" t="n">
        <f aca="false">$I53*E52</f>
        <v>0.043952380952381</v>
      </c>
      <c r="F53" s="31" t="n">
        <f aca="false">$I53*F52</f>
        <v>0.043952380952381</v>
      </c>
      <c r="G53" s="31" t="n">
        <f aca="false">$I53*G52</f>
        <v>0.043952380952381</v>
      </c>
      <c r="H53" s="31" t="n">
        <f aca="false">$I53*H52</f>
        <v>0.043952380952381</v>
      </c>
      <c r="I53" s="31" t="n">
        <f aca="false">Parameters!$B$38</f>
        <v>0.307666666666667</v>
      </c>
    </row>
    <row r="54" customFormat="false" ht="14.25" hidden="false" customHeight="true" outlineLevel="0" collapsed="false">
      <c r="A54" s="0" t="s">
        <v>404</v>
      </c>
      <c r="B54" s="31" t="n">
        <f aca="false">$I54*B52</f>
        <v>0.0223333333333334</v>
      </c>
      <c r="C54" s="31" t="n">
        <f aca="false">$I54*C52</f>
        <v>0.0223333333333334</v>
      </c>
      <c r="D54" s="31" t="n">
        <f aca="false">$I54*D52</f>
        <v>0.0223333333333334</v>
      </c>
      <c r="E54" s="31" t="n">
        <f aca="false">$I54*E52</f>
        <v>0.0223333333333334</v>
      </c>
      <c r="F54" s="31" t="n">
        <f aca="false">$I54*F52</f>
        <v>0.0223333333333334</v>
      </c>
      <c r="G54" s="31" t="n">
        <f aca="false">$I54*G52</f>
        <v>0.0223333333333334</v>
      </c>
      <c r="H54" s="31" t="n">
        <f aca="false">$I54*H52</f>
        <v>0.0223333333333334</v>
      </c>
      <c r="I54" s="31" t="n">
        <f aca="false">Parameters!$B$39</f>
        <v>0.156333333333333</v>
      </c>
    </row>
    <row r="55" customFormat="false" ht="14.25" hidden="false" customHeight="true" outlineLevel="0" collapsed="false">
      <c r="A55" s="0" t="s">
        <v>405</v>
      </c>
      <c r="B55" s="31" t="n">
        <f aca="false">$I55*B52</f>
        <v>0.0174761904761905</v>
      </c>
      <c r="C55" s="31" t="n">
        <f aca="false">$I55*C52</f>
        <v>0.0174761904761905</v>
      </c>
      <c r="D55" s="31" t="n">
        <f aca="false">$I55*D52</f>
        <v>0.0174761904761905</v>
      </c>
      <c r="E55" s="31" t="n">
        <f aca="false">$I55*E52</f>
        <v>0.0174761904761905</v>
      </c>
      <c r="F55" s="31" t="n">
        <f aca="false">$I55*F52</f>
        <v>0.0174761904761905</v>
      </c>
      <c r="G55" s="31" t="n">
        <f aca="false">$I55*G52</f>
        <v>0.0174761904761905</v>
      </c>
      <c r="H55" s="31" t="n">
        <f aca="false">$I55*H52</f>
        <v>0.0174761904761905</v>
      </c>
      <c r="I55" s="31" t="n">
        <f aca="false">Parameters!$B$40</f>
        <v>0.122333333333333</v>
      </c>
    </row>
    <row r="56" customFormat="false" ht="14.25" hidden="false" customHeight="true" outlineLevel="0" collapsed="false">
      <c r="A56" s="0" t="s">
        <v>406</v>
      </c>
      <c r="B56" s="31" t="n">
        <f aca="false">$I56*B52</f>
        <v>0.0166666666666667</v>
      </c>
      <c r="C56" s="31" t="n">
        <f aca="false">$I56*C52</f>
        <v>0.0166666666666667</v>
      </c>
      <c r="D56" s="31" t="n">
        <f aca="false">$I56*D52</f>
        <v>0.0166666666666667</v>
      </c>
      <c r="E56" s="31" t="n">
        <f aca="false">$I56*E52</f>
        <v>0.0166666666666667</v>
      </c>
      <c r="F56" s="31" t="n">
        <f aca="false">$I56*F52</f>
        <v>0.0166666666666667</v>
      </c>
      <c r="G56" s="31" t="n">
        <f aca="false">$I56*G52</f>
        <v>0.0166666666666667</v>
      </c>
      <c r="H56" s="31" t="n">
        <f aca="false">$I56*H52</f>
        <v>0.0166666666666667</v>
      </c>
      <c r="I56" s="31" t="n">
        <f aca="false">Parameters!$B$41</f>
        <v>0.116666666666667</v>
      </c>
    </row>
    <row r="57" customFormat="false" ht="14.25" hidden="false" customHeight="true" outlineLevel="0" collapsed="false">
      <c r="A57" s="0" t="s">
        <v>407</v>
      </c>
      <c r="B57" s="31" t="n">
        <f aca="false">$I57*B52</f>
        <v>0.0130476190476191</v>
      </c>
      <c r="C57" s="31" t="n">
        <f aca="false">$I57*C52</f>
        <v>0.0130476190476191</v>
      </c>
      <c r="D57" s="31" t="n">
        <f aca="false">$I57*D52</f>
        <v>0.0130476190476191</v>
      </c>
      <c r="E57" s="31" t="n">
        <f aca="false">$I57*E52</f>
        <v>0.0130476190476191</v>
      </c>
      <c r="F57" s="31" t="n">
        <f aca="false">$I57*F52</f>
        <v>0.0130476190476191</v>
      </c>
      <c r="G57" s="31" t="n">
        <f aca="false">$I57*G52</f>
        <v>0.0130476190476191</v>
      </c>
      <c r="H57" s="31" t="n">
        <f aca="false">$I57*H52</f>
        <v>0.0130476190476191</v>
      </c>
      <c r="I57" s="31" t="n">
        <f aca="false">Parameters!$B$42</f>
        <v>0.0913333333333333</v>
      </c>
    </row>
    <row r="58" customFormat="false" ht="14.25" hidden="false" customHeight="true" outlineLevel="0" collapsed="false">
      <c r="A58" s="0" t="s">
        <v>408</v>
      </c>
      <c r="B58" s="31" t="n">
        <f aca="false">$I58*B52</f>
        <v>0.0147714285714286</v>
      </c>
      <c r="C58" s="31" t="n">
        <f aca="false">$I58*C52</f>
        <v>0.0147714285714286</v>
      </c>
      <c r="D58" s="31" t="n">
        <f aca="false">$I58*D52</f>
        <v>0.0147714285714286</v>
      </c>
      <c r="E58" s="31" t="n">
        <f aca="false">$I58*E52</f>
        <v>0.0147714285714286</v>
      </c>
      <c r="F58" s="31" t="n">
        <f aca="false">$I58*F52</f>
        <v>0.0147714285714286</v>
      </c>
      <c r="G58" s="31" t="n">
        <f aca="false">$I58*G52</f>
        <v>0.0147714285714286</v>
      </c>
      <c r="H58" s="31" t="n">
        <f aca="false">$I58*H52</f>
        <v>0.0147714285714286</v>
      </c>
      <c r="I58" s="31" t="n">
        <f aca="false">Parameters!$B$43</f>
        <v>0.1034</v>
      </c>
    </row>
    <row r="59" customFormat="false" ht="14.25" hidden="false" customHeight="true" outlineLevel="0" collapsed="false">
      <c r="A59" s="0" t="s">
        <v>410</v>
      </c>
      <c r="B59" s="31" t="n">
        <f aca="false">$I59*B52</f>
        <v>0.0146095238095238</v>
      </c>
      <c r="C59" s="31" t="n">
        <f aca="false">$I59*C52</f>
        <v>0.0146095238095238</v>
      </c>
      <c r="D59" s="31" t="n">
        <f aca="false">$I59*D52</f>
        <v>0.0146095238095238</v>
      </c>
      <c r="E59" s="31" t="n">
        <f aca="false">$I59*E52</f>
        <v>0.0146095238095238</v>
      </c>
      <c r="F59" s="31" t="n">
        <f aca="false">$I59*F52</f>
        <v>0.0146095238095238</v>
      </c>
      <c r="G59" s="31" t="n">
        <f aca="false">$I59*G52</f>
        <v>0.0146095238095238</v>
      </c>
      <c r="H59" s="31" t="n">
        <f aca="false">$I59*H52</f>
        <v>0.0146095238095238</v>
      </c>
      <c r="I59" s="31" t="n">
        <f aca="false">Parameters!$B$44</f>
        <v>0.102266666666667</v>
      </c>
    </row>
    <row r="60" customFormat="false" ht="13.5" hidden="false" customHeight="true" outlineLevel="0" collapsed="false"/>
    <row r="61" customFormat="false" ht="14.25" hidden="false" customHeight="true" outlineLevel="0" collapsed="false">
      <c r="A61" s="0" t="s">
        <v>669</v>
      </c>
      <c r="B61" s="31" t="n">
        <f aca="false">SUMPRODUCT(I_prop!$B$7:$H$13, $B$53:$H$59)</f>
        <v>0.0153129427168233</v>
      </c>
    </row>
    <row r="62" customFormat="false" ht="14.25" hidden="false" customHeight="true" outlineLevel="0" collapsed="false">
      <c r="A62" s="0" t="s">
        <v>670</v>
      </c>
      <c r="B62" s="31" t="n">
        <f aca="false">SUMPRODUCT(I_prop!$B$18:$H$24, $B$53:$H$59)</f>
        <v>-0.00112238738505248</v>
      </c>
    </row>
    <row r="63" customFormat="false" ht="14.25" hidden="false" customHeight="true" outlineLevel="0" collapsed="false">
      <c r="A63" s="0" t="s">
        <v>671</v>
      </c>
      <c r="B63" s="0" t="str">
        <f aca="false">IF(B61&gt;B62,"A",IF(B62&gt;B61,"B","TIE"))</f>
        <v>A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672</v>
      </c>
      <c r="B1" s="20"/>
      <c r="C1" s="20"/>
      <c r="D1" s="20"/>
      <c r="E1" s="20"/>
      <c r="F1" s="20"/>
      <c r="G1" s="20"/>
      <c r="H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673</v>
      </c>
    </row>
    <row r="4" customFormat="false" ht="14.25" hidden="false" customHeight="true" outlineLevel="0" collapsed="false">
      <c r="A4" s="0" t="s">
        <v>674</v>
      </c>
    </row>
    <row r="5" customFormat="false" ht="14.25" hidden="false" customHeight="true" outlineLevel="0" collapsed="false">
      <c r="A5" s="0" t="s">
        <v>675</v>
      </c>
    </row>
    <row r="6" customFormat="false" ht="14.25" hidden="false" customHeight="true" outlineLevel="0" collapsed="false">
      <c r="A6" s="37"/>
    </row>
    <row r="7" customFormat="false" ht="13.5" hidden="false" customHeight="true" outlineLevel="0" collapsed="false"/>
    <row r="8" customFormat="false" ht="14.25" hidden="false" customHeight="true" outlineLevel="0" collapsed="false">
      <c r="A8" s="8" t="s">
        <v>676</v>
      </c>
    </row>
    <row r="9" customFormat="false" ht="14.25" hidden="false" customHeight="true" outlineLevel="0" collapsed="false">
      <c r="A9" s="0" t="s">
        <v>677</v>
      </c>
    </row>
    <row r="10" customFormat="false" ht="14.25" hidden="false" customHeight="true" outlineLevel="0" collapsed="false">
      <c r="A10" s="0" t="s">
        <v>678</v>
      </c>
    </row>
    <row r="11" customFormat="false" ht="14.25" hidden="false" customHeight="true" outlineLevel="0" collapsed="false">
      <c r="A11" s="0" t="s">
        <v>679</v>
      </c>
    </row>
    <row r="12" customFormat="false" ht="14.25" hidden="false" customHeight="true" outlineLevel="0" collapsed="false">
      <c r="A12" s="0" t="s">
        <v>680</v>
      </c>
    </row>
    <row r="13" customFormat="false" ht="14.25" hidden="false" customHeight="true" outlineLevel="0" collapsed="false">
      <c r="A13" s="8" t="s">
        <v>400</v>
      </c>
      <c r="B13" s="8" t="s">
        <v>681</v>
      </c>
      <c r="C13" s="8" t="s">
        <v>682</v>
      </c>
      <c r="D13" s="8" t="s">
        <v>683</v>
      </c>
      <c r="E13" s="8" t="s">
        <v>684</v>
      </c>
      <c r="F13" s="8" t="s">
        <v>685</v>
      </c>
    </row>
    <row r="14" customFormat="false" ht="14.25" hidden="false" customHeight="true" outlineLevel="0" collapsed="false">
      <c r="A14" s="0" t="s">
        <v>402</v>
      </c>
      <c r="B14" s="0" t="n">
        <v>0.7</v>
      </c>
      <c r="C14" s="0" t="n">
        <v>0.7</v>
      </c>
      <c r="D14" s="0" t="n">
        <v>0.7</v>
      </c>
      <c r="E14" s="0" t="n">
        <v>1</v>
      </c>
      <c r="F14" s="31" t="n">
        <f aca="false">AVERAGE(B14:E14)</f>
        <v>0.775</v>
      </c>
    </row>
    <row r="15" customFormat="false" ht="14.25" hidden="false" customHeight="true" outlineLevel="0" collapsed="false">
      <c r="A15" s="0" t="s">
        <v>404</v>
      </c>
      <c r="B15" s="0" t="n">
        <v>0.7</v>
      </c>
      <c r="C15" s="0" t="n">
        <v>0.7</v>
      </c>
      <c r="D15" s="0" t="n">
        <v>0.7</v>
      </c>
      <c r="E15" s="0" t="n">
        <v>0.7</v>
      </c>
      <c r="F15" s="31" t="n">
        <f aca="false">AVERAGE(B15:E15)</f>
        <v>0.7</v>
      </c>
    </row>
    <row r="16" customFormat="false" ht="14.25" hidden="false" customHeight="true" outlineLevel="0" collapsed="false">
      <c r="A16" s="0" t="s">
        <v>405</v>
      </c>
      <c r="B16" s="0" t="n">
        <v>0.7</v>
      </c>
      <c r="C16" s="0" t="n">
        <v>0.7</v>
      </c>
      <c r="D16" s="0" t="n">
        <v>0.7</v>
      </c>
      <c r="E16" s="0" t="n">
        <v>0.7</v>
      </c>
      <c r="F16" s="31" t="n">
        <f aca="false">AVERAGE(B16:E16)</f>
        <v>0.7</v>
      </c>
    </row>
    <row r="17" customFormat="false" ht="14.25" hidden="false" customHeight="true" outlineLevel="0" collapsed="false">
      <c r="A17" s="0" t="s">
        <v>406</v>
      </c>
      <c r="B17" s="0" t="n">
        <v>0.7</v>
      </c>
      <c r="C17" s="0" t="n">
        <v>0.7</v>
      </c>
      <c r="D17" s="0" t="n">
        <v>0.7</v>
      </c>
      <c r="E17" s="0" t="n">
        <v>0.7</v>
      </c>
      <c r="F17" s="31" t="n">
        <f aca="false">AVERAGE(B17:E17)</f>
        <v>0.7</v>
      </c>
    </row>
    <row r="18" customFormat="false" ht="14.25" hidden="false" customHeight="true" outlineLevel="0" collapsed="false">
      <c r="A18" s="0" t="s">
        <v>407</v>
      </c>
      <c r="B18" s="0" t="n">
        <v>0.7</v>
      </c>
      <c r="C18" s="0" t="n">
        <v>0.7</v>
      </c>
      <c r="D18" s="0" t="n">
        <v>0.7</v>
      </c>
      <c r="E18" s="0" t="n">
        <v>0.7</v>
      </c>
      <c r="F18" s="31" t="n">
        <f aca="false">AVERAGE(B18:E18)</f>
        <v>0.7</v>
      </c>
    </row>
    <row r="19" customFormat="false" ht="14.25" hidden="false" customHeight="true" outlineLevel="0" collapsed="false">
      <c r="A19" s="0" t="s">
        <v>408</v>
      </c>
      <c r="B19" s="0" t="n">
        <v>0.7</v>
      </c>
      <c r="C19" s="0" t="n">
        <v>0.7</v>
      </c>
      <c r="D19" s="0" t="n">
        <v>0.7</v>
      </c>
      <c r="E19" s="0" t="n">
        <v>0.7</v>
      </c>
      <c r="F19" s="31" t="n">
        <f aca="false">AVERAGE(B19:E19)</f>
        <v>0.7</v>
      </c>
    </row>
    <row r="20" customFormat="false" ht="14.25" hidden="false" customHeight="true" outlineLevel="0" collapsed="false">
      <c r="A20" s="0" t="s">
        <v>410</v>
      </c>
      <c r="B20" s="0" t="n">
        <v>0.7</v>
      </c>
      <c r="C20" s="0" t="n">
        <v>0.7</v>
      </c>
      <c r="D20" s="0" t="n">
        <v>0.7</v>
      </c>
      <c r="E20" s="0" t="n">
        <v>0.7</v>
      </c>
      <c r="F20" s="31" t="n">
        <f aca="false">AVERAGE(B20:E20)</f>
        <v>0.7</v>
      </c>
    </row>
    <row r="21" customFormat="false" ht="13.5" hidden="false" customHeight="true" outlineLevel="0" collapsed="false"/>
    <row r="22" customFormat="false" ht="14.25" hidden="false" customHeight="true" outlineLevel="0" collapsed="false">
      <c r="A22" s="8" t="s">
        <v>686</v>
      </c>
      <c r="B22" s="31" t="n">
        <f aca="false">AVERAGE(F14:F20)</f>
        <v>0.710714285714286</v>
      </c>
    </row>
    <row r="23" customFormat="false" ht="14.25" hidden="false" customHeight="true" outlineLevel="0" collapsed="false">
      <c r="A23" s="0" t="s">
        <v>687</v>
      </c>
    </row>
    <row r="24" customFormat="false" ht="14.25" hidden="false" customHeight="true" outlineLevel="0" collapsed="false">
      <c r="A24" s="0" t="s">
        <v>688</v>
      </c>
    </row>
    <row r="25" customFormat="false" ht="13.5" hidden="false" customHeight="true" outlineLevel="0" collapsed="false"/>
    <row r="26" customFormat="false" ht="14.25" hidden="false" customHeight="true" outlineLevel="0" collapsed="false">
      <c r="A26" s="8" t="s">
        <v>689</v>
      </c>
    </row>
    <row r="27" customFormat="false" ht="14.25" hidden="false" customHeight="true" outlineLevel="0" collapsed="false">
      <c r="A27" s="0" t="s">
        <v>690</v>
      </c>
    </row>
    <row r="28" customFormat="false" ht="14.25" hidden="false" customHeight="true" outlineLevel="0" collapsed="false">
      <c r="A28" s="11" t="s">
        <v>691</v>
      </c>
    </row>
    <row r="29" customFormat="false" ht="14.25" hidden="false" customHeight="true" outlineLevel="0" collapsed="false">
      <c r="A29" s="0" t="s">
        <v>692</v>
      </c>
    </row>
    <row r="30" customFormat="false" ht="14.25" hidden="false" customHeight="true" outlineLevel="0" collapsed="false">
      <c r="A30" s="8" t="s">
        <v>693</v>
      </c>
    </row>
    <row r="31" customFormat="false" ht="14.25" hidden="false" customHeight="true" outlineLevel="0" collapsed="false">
      <c r="A31" s="37" t="s">
        <v>694</v>
      </c>
    </row>
    <row r="32" customFormat="false" ht="14.25" hidden="false" customHeight="true" outlineLevel="0" collapsed="false">
      <c r="A32" s="0" t="s">
        <v>695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4" min="3" style="0" width="25"/>
    <col collapsed="false" customWidth="true" hidden="false" outlineLevel="0" max="5" min="5" style="0" width="20"/>
  </cols>
  <sheetData>
    <row r="1" customFormat="false" ht="14.25" hidden="false" customHeight="true" outlineLevel="0" collapsed="false">
      <c r="A1" s="41" t="s">
        <v>696</v>
      </c>
    </row>
    <row r="2" customFormat="false" ht="14.25" hidden="false" customHeight="true" outlineLevel="0" collapsed="false">
      <c r="A2" s="0" t="str">
        <f aca="false">"Sheet: "&amp;CANON!B7&amp;" | Framework: "&amp;CANON!B5</f>
        <v>Sheet: v2.2 | Framework: Ripple_Logic v8.6</v>
      </c>
      <c r="B2" s="0" t="str">
        <f aca="false">"Sheet: "&amp;CANON!B7&amp;" | Framework: "&amp;CANON!B5</f>
        <v>Sheet: v2.2 | Framework: Ripple_Logic v8.6</v>
      </c>
    </row>
    <row r="3" customFormat="false" ht="14.25" hidden="false" customHeight="true" outlineLevel="0" collapsed="false">
      <c r="A3" s="8"/>
    </row>
    <row r="4" customFormat="false" ht="14.25" hidden="false" customHeight="true" outlineLevel="0" collapsed="false">
      <c r="A4" s="42" t="s">
        <v>697</v>
      </c>
      <c r="B4" s="43" t="s">
        <v>698</v>
      </c>
    </row>
    <row r="5" customFormat="false" ht="14.25" hidden="false" customHeight="true" outlineLevel="0" collapsed="false"/>
    <row r="6" customFormat="false" ht="14.25" hidden="false" customHeight="true" outlineLevel="0" collapsed="false">
      <c r="A6" s="8" t="s">
        <v>699</v>
      </c>
    </row>
    <row r="7" customFormat="false" ht="14.25" hidden="false" customHeight="true" outlineLevel="0" collapsed="false">
      <c r="A7" s="0" t="s">
        <v>700</v>
      </c>
      <c r="B7" s="0" t="str">
        <f aca="false">PCC!B5</f>
        <v>Remote Work Policy Implementation</v>
      </c>
    </row>
    <row r="8" customFormat="false" ht="14.25" hidden="false" customHeight="true" outlineLevel="0" collapsed="false">
      <c r="A8" s="0" t="s">
        <v>290</v>
      </c>
      <c r="B8" s="0" t="str">
        <f aca="false">PCC!B6</f>
        <v>2026-02-01</v>
      </c>
    </row>
    <row r="9" customFormat="false" ht="14.25" hidden="false" customHeight="true" outlineLevel="0" collapsed="false">
      <c r="A9" s="0" t="s">
        <v>701</v>
      </c>
      <c r="B9" s="0" t="str">
        <f aca="false">CANON!B10&amp;" ("&amp;IF(CANON!B10=1,"Personal",IF(CANON!B10=2,"Core","High-Stakes"))&amp;")"</f>
        <v>2 (Core)</v>
      </c>
    </row>
    <row r="10" customFormat="false" ht="14.25" hidden="false" customHeight="true" outlineLevel="0" collapsed="false">
      <c r="A10" s="0" t="s">
        <v>606</v>
      </c>
      <c r="B10" s="37" t="str">
        <f aca="false">CANON!B11</f>
        <v>ORG</v>
      </c>
    </row>
    <row r="11" customFormat="false" ht="14.25" hidden="false" customHeight="true" outlineLevel="0" collapsed="false">
      <c r="A11" s="0" t="s">
        <v>297</v>
      </c>
      <c r="B11" s="0" t="str">
        <f aca="false">CANON!B12</f>
        <v>NO</v>
      </c>
    </row>
    <row r="12" customFormat="false" ht="14.25" hidden="false" customHeight="true" outlineLevel="0" collapsed="false">
      <c r="A12" s="8" t="s">
        <v>702</v>
      </c>
      <c r="B12" s="18" t="str">
        <f aca="false">IF(CANON!B13=1,"YES","NO")</f>
        <v>YES</v>
      </c>
    </row>
    <row r="13" customFormat="false" ht="14.25" hidden="false" customHeight="true" outlineLevel="0" collapsed="false">
      <c r="A13" s="8"/>
      <c r="B13" s="8"/>
      <c r="C13" s="8"/>
      <c r="D13" s="44"/>
      <c r="E13" s="8"/>
    </row>
    <row r="14" customFormat="false" ht="14.25" hidden="false" customHeight="true" outlineLevel="0" collapsed="false">
      <c r="A14" s="8" t="s">
        <v>703</v>
      </c>
    </row>
    <row r="15" customFormat="false" ht="14.25" hidden="false" customHeight="true" outlineLevel="0" collapsed="false">
      <c r="A15" s="8" t="s">
        <v>704</v>
      </c>
      <c r="B15" s="8" t="s">
        <v>705</v>
      </c>
      <c r="C15" s="45" t="s">
        <v>706</v>
      </c>
      <c r="D15" s="45" t="s">
        <v>707</v>
      </c>
      <c r="E15" s="38" t="s">
        <v>708</v>
      </c>
    </row>
    <row r="16" customFormat="false" ht="14.25" hidden="false" customHeight="true" outlineLevel="0" collapsed="false">
      <c r="A16" s="0" t="s">
        <v>709</v>
      </c>
      <c r="B16" s="0" t="s">
        <v>209</v>
      </c>
      <c r="C16" s="0" t="str">
        <f aca="false">CANON!B51</f>
        <v>PASS</v>
      </c>
      <c r="D16" s="0" t="str">
        <f aca="false">CANON!B52</f>
        <v>PASS</v>
      </c>
      <c r="E16" s="37" t="str">
        <f aca="false">IF(AND(C14="PASS",D14="PASS"),"Both Pass",IF(C14="PASS","A only",IF(D14="PASS","B only","Neither")))</f>
        <v>Neither</v>
      </c>
    </row>
    <row r="17" customFormat="false" ht="14.25" hidden="false" customHeight="true" outlineLevel="0" collapsed="false">
      <c r="A17" s="0" t="s">
        <v>710</v>
      </c>
      <c r="B17" s="0" t="s">
        <v>711</v>
      </c>
      <c r="C17" s="18" t="str">
        <f aca="false">CANON!B56&amp;" (CVaR="&amp;TEXT(CANON!B54,"0.0000")&amp;")"</f>
        <v>PASS (CVaR=0.0219)</v>
      </c>
      <c r="D17" s="18" t="str">
        <f aca="false">CANON!B57&amp;" (CVaR="&amp;TEXT(CANON!B55,"0.0000")&amp;")"</f>
        <v>PASS (CVaR=0.0315)</v>
      </c>
      <c r="E17" s="37" t="str">
        <f aca="false">IF(AND(CANON!B56="PASS",CANON!B57="PASS"),"Both Pass",IF(CANON!B56="PASS","A only",IF(CANON!B57="PASS","B only","Neither")))</f>
        <v>Both Pass</v>
      </c>
    </row>
    <row r="18" customFormat="false" ht="14.25" hidden="false" customHeight="true" outlineLevel="0" collapsed="false">
      <c r="A18" s="0" t="s">
        <v>712</v>
      </c>
      <c r="B18" s="0" t="s">
        <v>218</v>
      </c>
      <c r="C18" s="31" t="str">
        <f aca="false">CANON!B60</f>
        <v>PASS</v>
      </c>
      <c r="D18" s="0" t="str">
        <f aca="false">CANON!B61</f>
        <v>PASS (vacuous)</v>
      </c>
      <c r="E18" s="37" t="str">
        <f aca="false">IF(AND(C16="PASS",D16="PASS"),"Both Pass","Review")</f>
        <v>Both Pass</v>
      </c>
    </row>
    <row r="19" customFormat="false" ht="14.25" hidden="false" customHeight="true" outlineLevel="0" collapsed="false">
      <c r="A19" s="8" t="s">
        <v>713</v>
      </c>
      <c r="B19" s="0" t="s">
        <v>714</v>
      </c>
      <c r="C19" s="0" t="str">
        <f aca="false">TEXT(CANON!B63,"0.000000")</f>
        <v>0.005462</v>
      </c>
      <c r="D19" s="0" t="str">
        <f aca="false">TEXT(CANON!B64,"0.000000")</f>
        <v>0.000202</v>
      </c>
      <c r="E19" s="0" t="str">
        <f aca="false">IF(CANON!B63&gt;CANON!B64,"A higher",IF(CANON!B64&gt;CANON!B63,"B higher","Tie"))</f>
        <v>A higher</v>
      </c>
    </row>
    <row r="20" customFormat="false" ht="14.25" hidden="false" customHeight="true" outlineLevel="0" collapsed="false">
      <c r="C20" s="31"/>
      <c r="D20" s="31"/>
    </row>
    <row r="21" customFormat="false" ht="14.25" hidden="false" customHeight="true" outlineLevel="0" collapsed="false">
      <c r="A21" s="8" t="s">
        <v>715</v>
      </c>
      <c r="B21" s="0" t="s">
        <v>716</v>
      </c>
    </row>
    <row r="22" customFormat="false" ht="14.25" hidden="false" customHeight="true" outlineLevel="0" collapsed="false">
      <c r="A22" s="8" t="s">
        <v>717</v>
      </c>
      <c r="B22" s="0" t="str">
        <f aca="false">CANON!B70</f>
        <v>NORMAL</v>
      </c>
    </row>
    <row r="23" customFormat="false" ht="14.25" hidden="false" customHeight="true" outlineLevel="0" collapsed="false">
      <c r="A23" s="0" t="s">
        <v>718</v>
      </c>
      <c r="B23" s="0" t="str">
        <f aca="false">IF(CANON!B71="","NONE (INVALID)",IF(CANON!B71="TIE","TIE (UCI required)","OPTION "&amp;CANON!B71))</f>
        <v>OPTION A</v>
      </c>
    </row>
    <row r="24" customFormat="false" ht="14.25" hidden="false" customHeight="true" outlineLevel="0" collapsed="false">
      <c r="A24" s="0" t="s">
        <v>719</v>
      </c>
      <c r="B24" s="36" t="str">
        <f aca="false">CANON!B72</f>
        <v>RLS comparison</v>
      </c>
    </row>
    <row r="25" customFormat="false" ht="14.25" hidden="false" customHeight="true" outlineLevel="0" collapsed="false">
      <c r="A25" s="46" t="s">
        <v>306</v>
      </c>
      <c r="B25" s="37" t="str">
        <f aca="false">Config!B15</f>
        <v>PLSS_LOCAL</v>
      </c>
    </row>
    <row r="26" customFormat="false" ht="14.25" hidden="false" customHeight="true" outlineLevel="0" collapsed="false">
      <c r="A26" s="46" t="s">
        <v>720</v>
      </c>
      <c r="B26" s="0" t="str">
        <f aca="false">IF(Config!B15="PLSS_LOCAL","See PLSS_Local_Scope for q_u and w_u^PLSS","Uniform weights active")</f>
        <v>See PLSS_Local_Scope for q_u and w_u^PLSS</v>
      </c>
    </row>
    <row r="27" customFormat="false" ht="14.25" hidden="false" customHeight="true" outlineLevel="0" collapsed="false">
      <c r="A27" s="8" t="s">
        <v>721</v>
      </c>
    </row>
    <row r="28" customFormat="false" ht="14.25" hidden="false" customHeight="true" outlineLevel="0" collapsed="false">
      <c r="A28" s="0" t="s">
        <v>722</v>
      </c>
      <c r="B28" s="0" t="str">
        <f aca="false">CANON!B81</f>
        <v>YES</v>
      </c>
    </row>
    <row r="29" customFormat="false" ht="14.25" hidden="false" customHeight="true" outlineLevel="0" collapsed="false">
      <c r="A29" s="37" t="s">
        <v>723</v>
      </c>
      <c r="B29" s="0" t="n">
        <f aca="false">CANON!B80</f>
        <v>0</v>
      </c>
    </row>
    <row r="30" customFormat="false" ht="14.25" hidden="false" customHeight="true" outlineLevel="0" collapsed="false">
      <c r="A30" s="0" t="s">
        <v>724</v>
      </c>
      <c r="B30" s="0" t="n">
        <f aca="false">CANON!B76</f>
        <v>0</v>
      </c>
    </row>
    <row r="31" customFormat="false" ht="14.25" hidden="false" customHeight="true" outlineLevel="0" collapsed="false">
      <c r="A31" s="0" t="s">
        <v>725</v>
      </c>
      <c r="B31" s="0" t="str">
        <f aca="false">IF(CANON!B77=TRUE(),"YES (BLOCKS CLAIM)","NO")</f>
        <v>NO</v>
      </c>
    </row>
    <row r="32" customFormat="false" ht="14.25" hidden="false" customHeight="true" outlineLevel="0" collapsed="false"/>
    <row r="33" customFormat="false" ht="17.25" hidden="false" customHeight="true" outlineLevel="0" collapsed="false">
      <c r="A33" s="8" t="s">
        <v>726</v>
      </c>
    </row>
    <row r="34" customFormat="false" ht="14.25" hidden="false" customHeight="true" outlineLevel="0" collapsed="false">
      <c r="A34" s="0" t="s">
        <v>727</v>
      </c>
      <c r="B34" s="18" t="n">
        <f aca="false">Audit_Flags!B21</f>
        <v>0</v>
      </c>
    </row>
    <row r="35" customFormat="false" ht="14.25" hidden="false" customHeight="true" outlineLevel="0" collapsed="false">
      <c r="A35" s="0" t="s">
        <v>728</v>
      </c>
      <c r="B35" s="47" t="n">
        <f aca="false">Audit_Flags!B22</f>
        <v>0</v>
      </c>
    </row>
    <row r="36" customFormat="false" ht="14.25" hidden="false" customHeight="true" outlineLevel="0" collapsed="false">
      <c r="A36" s="0" t="s">
        <v>729</v>
      </c>
      <c r="B36" s="18" t="n">
        <f aca="false">Audit_Flags!B23</f>
        <v>1</v>
      </c>
    </row>
    <row r="37" customFormat="false" ht="14.25" hidden="false" customHeight="true" outlineLevel="0" collapsed="false">
      <c r="A37" s="0" t="s">
        <v>730</v>
      </c>
      <c r="B37" s="18" t="n">
        <f aca="false">Audit_Flags!B24</f>
        <v>1</v>
      </c>
    </row>
    <row r="38" customFormat="false" ht="14.25" hidden="false" customHeight="true" outlineLevel="0" collapsed="false">
      <c r="B38" s="36"/>
    </row>
    <row r="39" customFormat="false" ht="14.25" hidden="false" customHeight="true" outlineLevel="0" collapsed="false">
      <c r="A39" s="0" t="s">
        <v>731</v>
      </c>
      <c r="B39" s="0" t="s">
        <v>732</v>
      </c>
    </row>
    <row r="40" customFormat="false" ht="14.25" hidden="false" customHeight="true" outlineLevel="0" collapsed="false"/>
    <row r="41" customFormat="false" ht="14.25" hidden="false" customHeight="true" outlineLevel="0" collapsed="false">
      <c r="A41" s="8"/>
    </row>
    <row r="42" customFormat="false" ht="14.25" hidden="false" customHeight="true" outlineLevel="0" collapsed="false">
      <c r="A42" s="18" t="str">
        <f aca="false">Audit_Flags!B26</f>
        <v>NO</v>
      </c>
    </row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>
      <c r="A45" s="0" t="s">
        <v>733</v>
      </c>
      <c r="B45" s="0" t="n">
        <f aca="false">Audit_Flags!B24</f>
        <v>1</v>
      </c>
    </row>
    <row r="46" customFormat="false" ht="13.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>
      <c r="A49" s="8" t="s">
        <v>734</v>
      </c>
    </row>
    <row r="50" customFormat="false" ht="14.25" hidden="false" customHeight="true" outlineLevel="0" collapsed="false">
      <c r="A50" s="0" t="s">
        <v>735</v>
      </c>
    </row>
    <row r="51" customFormat="false" ht="14.25" hidden="false" customHeight="true" outlineLevel="0" collapsed="false">
      <c r="A51" s="0" t="s">
        <v>736</v>
      </c>
    </row>
    <row r="52" customFormat="false" ht="14.25" hidden="false" customHeight="false" outlineLevel="0" collapsed="false">
      <c r="A52" s="18" t="str">
        <f aca="false">TEXT(DATE(2026,2,2)+90,"YYYY-MM-DD")</f>
        <v>2026-05-03</v>
      </c>
    </row>
    <row r="53" customFormat="false" ht="14.25" hidden="false" customHeight="false" outlineLevel="0" collapsed="false">
      <c r="A53" s="0" t="s"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45"/>
    <col collapsed="false" customWidth="true" hidden="false" outlineLevel="0" max="5" min="5" style="0" width="25"/>
  </cols>
  <sheetData>
    <row r="1" customFormat="false" ht="14.25" hidden="false" customHeight="true" outlineLevel="0" collapsed="false">
      <c r="A1" s="10" t="s">
        <v>738</v>
      </c>
    </row>
    <row r="2" customFormat="false" ht="14.25" hidden="false" customHeight="true" outlineLevel="0" collapsed="false">
      <c r="A2" s="0" t="s">
        <v>739</v>
      </c>
    </row>
    <row r="3" customFormat="false" ht="14.25" hidden="false" customHeight="true" outlineLevel="0" collapsed="false">
      <c r="A3" s="8" t="s">
        <v>740</v>
      </c>
      <c r="B3" s="8"/>
      <c r="C3" s="8"/>
      <c r="D3" s="8"/>
      <c r="E3" s="8"/>
    </row>
    <row r="4" customFormat="false" ht="14.25" hidden="false" customHeight="true" outlineLevel="0" collapsed="false">
      <c r="A4" s="10" t="s">
        <v>741</v>
      </c>
      <c r="B4" s="10" t="s">
        <v>742</v>
      </c>
      <c r="C4" s="48" t="s">
        <v>743</v>
      </c>
      <c r="D4" s="10" t="s">
        <v>453</v>
      </c>
      <c r="E4" s="10" t="s">
        <v>744</v>
      </c>
      <c r="F4" s="10" t="s">
        <v>184</v>
      </c>
      <c r="G4" s="10" t="s">
        <v>745</v>
      </c>
      <c r="H4" s="10" t="s">
        <v>746</v>
      </c>
    </row>
    <row r="5" customFormat="false" ht="14.25" hidden="false" customHeight="true" outlineLevel="0" collapsed="false">
      <c r="A5" s="0" t="s">
        <v>747</v>
      </c>
      <c r="B5" s="18" t="str">
        <f aca="false">IF(AND(CANON!B13=1,CANON!B76&gt;0),"YES","NO")</f>
        <v>NO</v>
      </c>
      <c r="C5" s="49" t="s">
        <v>748</v>
      </c>
      <c r="D5" s="0" t="s">
        <v>749</v>
      </c>
      <c r="E5" s="0" t="str">
        <f aca="false">IF(AND(CANON!$B$13=1,CANON!$B$76&gt;0),"YES","NO")</f>
        <v>NO</v>
      </c>
      <c r="F5" s="0" t="s">
        <v>750</v>
      </c>
      <c r="G5" s="0" t="str">
        <f aca="false">IF(B5="YES",A5,"")</f>
        <v/>
      </c>
      <c r="H5" s="0" t="str">
        <f aca="false">IF(B5="YES",C5,"")</f>
        <v/>
      </c>
      <c r="I5" s="0" t="str">
        <f aca="false">IF($H5="INVALID",$G5,"")</f>
        <v/>
      </c>
      <c r="J5" s="0" t="str">
        <f aca="false">IF($H5="ESCALATE",$G5,"")</f>
        <v/>
      </c>
      <c r="K5" s="0" t="str">
        <f aca="false">IF($H5="REVIEW",$G5,"")</f>
        <v/>
      </c>
      <c r="L5" s="0" t="str">
        <f aca="false">IF($G5&lt;&gt;"",$G5&amp;" ("&amp;$H5&amp;")","")</f>
        <v/>
      </c>
    </row>
    <row r="6" customFormat="false" ht="14.25" hidden="false" customHeight="true" outlineLevel="0" collapsed="false">
      <c r="A6" s="0" t="s">
        <v>751</v>
      </c>
      <c r="B6" s="18" t="str">
        <f aca="false">IF(WTSL_Categories!$B$17 &lt; WTSL_Categories!$B$16,"YES","NO")</f>
        <v>NO</v>
      </c>
      <c r="C6" s="49" t="s">
        <v>752</v>
      </c>
      <c r="D6" s="0" t="s">
        <v>753</v>
      </c>
      <c r="E6" s="0" t="str">
        <f aca="false">IF(WTSL_Categories!$B$17 &lt; WTSL_Categories!$B$16,"YES","NO")</f>
        <v>NO</v>
      </c>
      <c r="F6" s="0" t="s">
        <v>754</v>
      </c>
      <c r="G6" s="0" t="str">
        <f aca="false">IF(B6="YES",A6,"")</f>
        <v/>
      </c>
      <c r="H6" s="0" t="str">
        <f aca="false">IF(B6="YES",C6,"")</f>
        <v/>
      </c>
      <c r="I6" s="0" t="str">
        <f aca="false">IF($H6="INVALID",$G6,"")</f>
        <v/>
      </c>
      <c r="J6" s="0" t="str">
        <f aca="false">IF($H6="ESCALATE",$G6,"")</f>
        <v/>
      </c>
      <c r="K6" s="0" t="str">
        <f aca="false">IF($H6="REVIEW",$G6,"")</f>
        <v/>
      </c>
      <c r="L6" s="0" t="str">
        <f aca="false">IF($G6&lt;&gt;"",$G6&amp;" ("&amp;$H6&amp;")","")</f>
        <v/>
      </c>
    </row>
    <row r="7" customFormat="false" ht="14.25" hidden="false" customHeight="true" outlineLevel="0" collapsed="false">
      <c r="A7" s="0" t="s">
        <v>755</v>
      </c>
      <c r="B7" s="18" t="str">
        <f aca="false">IF(Config!B2&lt;&gt;CANON!B7,"YES","NO")</f>
        <v>NO</v>
      </c>
      <c r="C7" s="49" t="s">
        <v>748</v>
      </c>
      <c r="D7" s="0" t="s">
        <v>756</v>
      </c>
      <c r="E7" s="0" t="s">
        <v>757</v>
      </c>
      <c r="F7" s="0" t="s">
        <v>189</v>
      </c>
      <c r="G7" s="0" t="str">
        <f aca="false">IF(B7="YES",A7,"")</f>
        <v/>
      </c>
      <c r="H7" s="0" t="str">
        <f aca="false">IF(B7="YES",C7,"")</f>
        <v/>
      </c>
      <c r="I7" s="0" t="str">
        <f aca="false">IF($H7="INVALID",$G7,"")</f>
        <v/>
      </c>
      <c r="J7" s="0" t="str">
        <f aca="false">IF($H7="ESCALATE",$G7,"")</f>
        <v/>
      </c>
      <c r="K7" s="0" t="str">
        <f aca="false">IF($H7="REVIEW",$G7,"")</f>
        <v/>
      </c>
      <c r="L7" s="0" t="str">
        <f aca="false">IF($G7&lt;&gt;"",$G7&amp;" ("&amp;$H7&amp;")","")</f>
        <v/>
      </c>
    </row>
    <row r="8" customFormat="false" ht="14.25" hidden="false" customHeight="true" outlineLevel="0" collapsed="false">
      <c r="A8" s="0" t="s">
        <v>758</v>
      </c>
      <c r="B8" s="18" t="str">
        <f aca="false">IF(CANON!B38&lt;&gt;8,"YES","NO")</f>
        <v>NO</v>
      </c>
      <c r="C8" s="49" t="s">
        <v>748</v>
      </c>
      <c r="D8" s="0" t="s">
        <v>759</v>
      </c>
      <c r="E8" s="0" t="s">
        <v>760</v>
      </c>
      <c r="F8" s="0" t="s">
        <v>206</v>
      </c>
      <c r="G8" s="0" t="str">
        <f aca="false">IF(B8="YES",A8,"")</f>
        <v/>
      </c>
      <c r="H8" s="0" t="str">
        <f aca="false">IF(B8="YES",C8,"")</f>
        <v/>
      </c>
      <c r="I8" s="0" t="str">
        <f aca="false">IF($H8="INVALID",$G8,"")</f>
        <v/>
      </c>
      <c r="J8" s="0" t="str">
        <f aca="false">IF($H8="ESCALATE",$G8,"")</f>
        <v/>
      </c>
      <c r="K8" s="0" t="str">
        <f aca="false">IF($H8="REVIEW",$G8,"")</f>
        <v/>
      </c>
      <c r="L8" s="0" t="str">
        <f aca="false">IF($G8&lt;&gt;"",$G8&amp;" ("&amp;$H8&amp;")","")</f>
        <v/>
      </c>
    </row>
    <row r="9" customFormat="false" ht="14.25" hidden="false" customHeight="true" outlineLevel="0" collapsed="false">
      <c r="A9" s="0" t="s">
        <v>761</v>
      </c>
      <c r="B9" s="18" t="str">
        <f aca="false">IF(OR(CANON!B71="",CANON!B71="NONE"),"YES","NO")</f>
        <v>NO</v>
      </c>
      <c r="C9" s="50" t="s">
        <v>748</v>
      </c>
      <c r="D9" s="0" t="s">
        <v>762</v>
      </c>
      <c r="E9" s="0" t="s">
        <v>763</v>
      </c>
      <c r="F9" s="0" t="s">
        <v>237</v>
      </c>
      <c r="G9" s="0" t="str">
        <f aca="false">IF(B9="YES",A9,"")</f>
        <v/>
      </c>
      <c r="H9" s="0" t="str">
        <f aca="false">IF(B9="YES",C9,"")</f>
        <v/>
      </c>
      <c r="I9" s="0" t="str">
        <f aca="false">IF($H9="INVALID",$G9,"")</f>
        <v/>
      </c>
      <c r="J9" s="0" t="str">
        <f aca="false">IF($H9="ESCALATE",$G9,"")</f>
        <v/>
      </c>
      <c r="K9" s="0" t="str">
        <f aca="false">IF($H9="REVIEW",$G9,"")</f>
        <v/>
      </c>
      <c r="L9" s="0" t="str">
        <f aca="false">IF($G9&lt;&gt;"",$G9&amp;" ("&amp;$H9&amp;")","")</f>
        <v/>
      </c>
    </row>
    <row r="10" customFormat="false" ht="14.25" hidden="false" customHeight="true" outlineLevel="0" collapsed="false">
      <c r="A10" s="0" t="s">
        <v>764</v>
      </c>
      <c r="B10" s="18" t="str">
        <f aca="false">IF(AND(CANON!B67&gt;0,CANON!B68=0),"YES","NO")</f>
        <v>NO</v>
      </c>
      <c r="C10" s="50" t="s">
        <v>752</v>
      </c>
      <c r="D10" s="0" t="s">
        <v>765</v>
      </c>
      <c r="E10" s="0" t="s">
        <v>766</v>
      </c>
      <c r="F10" s="0" t="s">
        <v>767</v>
      </c>
      <c r="G10" s="0" t="str">
        <f aca="false">IF(B10="YES",A10,"")</f>
        <v/>
      </c>
      <c r="H10" s="0" t="str">
        <f aca="false">IF(B10="YES",C10,"")</f>
        <v/>
      </c>
      <c r="I10" s="0" t="str">
        <f aca="false">IF($H10="INVALID",$G10,"")</f>
        <v/>
      </c>
      <c r="J10" s="0" t="str">
        <f aca="false">IF($H10="ESCALATE",$G10,"")</f>
        <v/>
      </c>
      <c r="K10" s="0" t="str">
        <f aca="false">IF($H10="REVIEW",$G10,"")</f>
        <v/>
      </c>
      <c r="L10" s="0" t="str">
        <f aca="false">IF($G10&lt;&gt;"",$G10&amp;" ("&amp;$H10&amp;")","")</f>
        <v/>
      </c>
    </row>
    <row r="11" customFormat="false" ht="14.25" hidden="false" customHeight="true" outlineLevel="0" collapsed="false">
      <c r="A11" s="0" t="s">
        <v>768</v>
      </c>
      <c r="B11" s="18" t="str">
        <f aca="false">IF(CANON!B67=0,"YES","NO")</f>
        <v>NO</v>
      </c>
      <c r="C11" s="50" t="s">
        <v>752</v>
      </c>
      <c r="D11" s="0" t="s">
        <v>769</v>
      </c>
      <c r="E11" s="0" t="s">
        <v>770</v>
      </c>
      <c r="F11" s="0" t="s">
        <v>771</v>
      </c>
      <c r="G11" s="0" t="str">
        <f aca="false">IF(B11="YES",A11,"")</f>
        <v/>
      </c>
      <c r="H11" s="0" t="str">
        <f aca="false">IF(B11="YES",C11,"")</f>
        <v/>
      </c>
      <c r="I11" s="0" t="str">
        <f aca="false">IF($H11="INVALID",$G11,"")</f>
        <v/>
      </c>
      <c r="J11" s="0" t="str">
        <f aca="false">IF($H11="ESCALATE",$G11,"")</f>
        <v/>
      </c>
      <c r="K11" s="0" t="str">
        <f aca="false">IF($H11="REVIEW",$G11,"")</f>
        <v/>
      </c>
      <c r="L11" s="0" t="str">
        <f aca="false">IF($G11&lt;&gt;"",$G11&amp;" ("&amp;$H11&amp;")","")</f>
        <v/>
      </c>
    </row>
    <row r="12" customFormat="false" ht="14.25" hidden="false" customHeight="true" outlineLevel="0" collapsed="false">
      <c r="A12" s="0" t="s">
        <v>103</v>
      </c>
      <c r="B12" s="18" t="str">
        <f aca="false">IF(CANON!B73="YES","YES","NO")</f>
        <v>NO</v>
      </c>
      <c r="C12" s="50" t="s">
        <v>752</v>
      </c>
      <c r="D12" s="0" t="s">
        <v>772</v>
      </c>
      <c r="E12" s="0" t="s">
        <v>773</v>
      </c>
      <c r="F12" s="0" t="s">
        <v>774</v>
      </c>
      <c r="G12" s="0" t="str">
        <f aca="false">IF(B12="YES",A12,"")</f>
        <v/>
      </c>
      <c r="H12" s="0" t="str">
        <f aca="false">IF(B12="YES",C12,"")</f>
        <v/>
      </c>
      <c r="I12" s="0" t="str">
        <f aca="false">IF($H12="INVALID",$G12,"")</f>
        <v/>
      </c>
      <c r="J12" s="0" t="str">
        <f aca="false">IF($H12="ESCALATE",$G12,"")</f>
        <v/>
      </c>
      <c r="K12" s="0" t="str">
        <f aca="false">IF($H12="REVIEW",$G12,"")</f>
        <v/>
      </c>
      <c r="L12" s="0" t="str">
        <f aca="false">IF($G12&lt;&gt;"",$G12&amp;" ("&amp;$H12&amp;")","")</f>
        <v/>
      </c>
    </row>
    <row r="13" customFormat="false" ht="14.25" hidden="false" customHeight="true" outlineLevel="0" collapsed="false">
      <c r="A13" s="0" t="s">
        <v>775</v>
      </c>
      <c r="B13" s="18" t="str">
        <f aca="false">IF(AND(CANON!$B$8&gt;=2,OR(CANON!$B$137="",CANON!$B$26="",CANON!$B$26&lt;=0)),"YES","NO")</f>
        <v>NO</v>
      </c>
      <c r="C13" s="51" t="s">
        <v>752</v>
      </c>
      <c r="D13" s="0" t="s">
        <v>776</v>
      </c>
      <c r="E13" s="0" t="str">
        <f aca="false">IF(AND(CANON!$B$8&gt;=2,OR(CANON!$B$137="",CANON!$B$26="",CANON!$B$26&lt;=0)),"YES","NO")</f>
        <v>NO</v>
      </c>
      <c r="F13" s="0" t="s">
        <v>777</v>
      </c>
      <c r="G13" s="0" t="str">
        <f aca="false">IF(B13="YES",A13,"")</f>
        <v/>
      </c>
      <c r="H13" s="0" t="str">
        <f aca="false">IF(B13="YES",C13,"")</f>
        <v/>
      </c>
      <c r="I13" s="0" t="str">
        <f aca="false">IF($H13="INVALID",$G13,"")</f>
        <v/>
      </c>
      <c r="J13" s="0" t="str">
        <f aca="false">IF($H13="ESCALATE",$G13,"")</f>
        <v/>
      </c>
      <c r="K13" s="0" t="str">
        <f aca="false">IF($H13="REVIEW",$G13,"")</f>
        <v/>
      </c>
      <c r="L13" s="0" t="str">
        <f aca="false">IF($G13&lt;&gt;"",$G13&amp;" ("&amp;$H13&amp;")","")</f>
        <v/>
      </c>
    </row>
    <row r="14" customFormat="false" ht="14.25" hidden="false" customHeight="true" outlineLevel="0" collapsed="false">
      <c r="A14" s="0" t="s">
        <v>778</v>
      </c>
      <c r="B14" s="18" t="str">
        <f aca="false">IF(AND(Subgroup_Overrides!B17=0,Subgroup_Analysis!B46=0),"YES","NO")</f>
        <v>NO</v>
      </c>
      <c r="C14" s="51" t="s">
        <v>779</v>
      </c>
      <c r="D14" s="0" t="s">
        <v>780</v>
      </c>
      <c r="E14" s="0" t="s">
        <v>781</v>
      </c>
      <c r="F14" s="0" t="s">
        <v>782</v>
      </c>
      <c r="G14" s="0" t="str">
        <f aca="false">IF(B14="YES",A14,"")</f>
        <v/>
      </c>
      <c r="H14" s="0" t="str">
        <f aca="false">IF(B14="YES",C14,"")</f>
        <v/>
      </c>
      <c r="I14" s="0" t="str">
        <f aca="false">IF($H14="INVALID",$G14,"")</f>
        <v/>
      </c>
      <c r="J14" s="0" t="str">
        <f aca="false">IF($H14="ESCALATE",$G14,"")</f>
        <v/>
      </c>
      <c r="K14" s="0" t="str">
        <f aca="false">IF($H14="REVIEW",$G14,"")</f>
        <v/>
      </c>
      <c r="L14" s="0" t="str">
        <f aca="false">IF($G14&lt;&gt;"",$G14&amp;" ("&amp;$H14&amp;")","")</f>
        <v/>
      </c>
    </row>
    <row r="15" customFormat="false" ht="14.25" hidden="false" customHeight="true" outlineLevel="0" collapsed="false">
      <c r="A15" s="0" t="s">
        <v>783</v>
      </c>
      <c r="B15" s="18" t="str">
        <f aca="false">IF(ABS(CANON!B63-CANON!B64)/SQRT(2*CANON!B26^2+0.000001)&lt;CANON!B22,"YES","NO")</f>
        <v>YES</v>
      </c>
      <c r="C15" s="51" t="s">
        <v>779</v>
      </c>
      <c r="D15" s="0" t="s">
        <v>784</v>
      </c>
      <c r="E15" s="0" t="str">
        <f aca="false">IF(AND(CANON!$B$8&gt;=2,RLS!$B$38="YES"),"YES","NO")</f>
        <v>NO</v>
      </c>
      <c r="F15" s="0" t="s">
        <v>785</v>
      </c>
      <c r="G15" s="0" t="str">
        <f aca="false">IF(B15="YES",A15,"")</f>
        <v>NONDECISIVE_GAP_REVIEW</v>
      </c>
      <c r="H15" s="0" t="str">
        <f aca="false">IF(B15="YES",C15,"")</f>
        <v>REVIEW</v>
      </c>
      <c r="I15" s="0" t="str">
        <f aca="false">IF($H15="INVALID",$G15,"")</f>
        <v/>
      </c>
      <c r="J15" s="0" t="str">
        <f aca="false">IF($H15="ESCALATE",$G15,"")</f>
        <v/>
      </c>
      <c r="K15" s="0" t="str">
        <f aca="false">IF($H15="REVIEW",$G15,"")</f>
        <v>NONDECISIVE_GAP_REVIEW</v>
      </c>
      <c r="L15" s="0" t="str">
        <f aca="false">IF($G15&lt;&gt;"",$G15&amp;" ("&amp;$H15&amp;")","")</f>
        <v>NONDECISIVE_GAP_REVIEW (REVIEW)</v>
      </c>
    </row>
    <row r="16" customFormat="false" ht="14.25" hidden="false" customHeight="true" outlineLevel="0" collapsed="false">
      <c r="A16" s="0" t="s">
        <v>786</v>
      </c>
      <c r="B16" s="18" t="str">
        <f aca="false">IF(CANON!B10&gt;=3,"YES","NO")</f>
        <v>NO</v>
      </c>
      <c r="C16" s="0" t="s">
        <v>779</v>
      </c>
      <c r="D16" s="0" t="s">
        <v>787</v>
      </c>
      <c r="E16" s="0" t="s">
        <v>788</v>
      </c>
      <c r="F16" s="0" t="s">
        <v>789</v>
      </c>
      <c r="G16" s="0" t="str">
        <f aca="false">IF(B16="YES",A16,"")</f>
        <v/>
      </c>
      <c r="H16" s="0" t="str">
        <f aca="false">IF(B16="YES",C16,"")</f>
        <v/>
      </c>
      <c r="I16" s="0" t="str">
        <f aca="false">IF($H16="INVALID",$G16,"")</f>
        <v/>
      </c>
      <c r="J16" s="0" t="str">
        <f aca="false">IF($H16="ESCALATE",$G16,"")</f>
        <v/>
      </c>
      <c r="K16" s="0" t="str">
        <f aca="false">IF($H16="REVIEW",$G16,"")</f>
        <v/>
      </c>
      <c r="L16" s="0" t="str">
        <f aca="false">IF($G16&lt;&gt;"",$G16&amp;" ("&amp;$H16&amp;")","")</f>
        <v/>
      </c>
    </row>
    <row r="17" customFormat="false" ht="14.25" hidden="false" customHeight="true" outlineLevel="0" collapsed="false">
      <c r="A17" s="0" t="s">
        <v>790</v>
      </c>
      <c r="B17" s="18" t="str">
        <f aca="false">IF(Sensitivity_Analysis!B3="NOT PERFORMED","YES","NO")</f>
        <v>NO</v>
      </c>
      <c r="C17" s="0" t="s">
        <v>779</v>
      </c>
      <c r="D17" s="0" t="s">
        <v>791</v>
      </c>
      <c r="E17" s="0" t="s">
        <v>792</v>
      </c>
      <c r="F17" s="0" t="s">
        <v>793</v>
      </c>
      <c r="G17" s="0" t="str">
        <f aca="false">IF(B17="YES",A17,"")</f>
        <v/>
      </c>
      <c r="H17" s="0" t="str">
        <f aca="false">IF(B17="YES",C17,"")</f>
        <v/>
      </c>
      <c r="I17" s="0" t="str">
        <f aca="false">IF($H17="INVALID",$G17,"")</f>
        <v/>
      </c>
      <c r="J17" s="0" t="str">
        <f aca="false">IF($H17="ESCALATE",$G17,"")</f>
        <v/>
      </c>
      <c r="K17" s="0" t="str">
        <f aca="false">IF($H17="REVIEW",$G17,"")</f>
        <v/>
      </c>
      <c r="L17" s="0" t="str">
        <f aca="false">IF($G17&lt;&gt;"",$G17&amp;" ("&amp;$H17&amp;")","")</f>
        <v/>
      </c>
    </row>
    <row r="18" customFormat="false" ht="14.25" hidden="false" customHeight="true" outlineLevel="0" collapsed="false">
      <c r="A18" s="8" t="s">
        <v>794</v>
      </c>
      <c r="B18" s="18" t="str">
        <f aca="false">IF(SUMPRODUCT(--((B5:B17&lt;&gt;"YES")*(B5:B17&lt;&gt;"NO")))+SUMPRODUCT(--((B25:B28&lt;&gt;"YES")*(B25:B28&lt;&gt;"NO")))&gt;0,"YES","NO")</f>
        <v>NO</v>
      </c>
      <c r="C18" s="0" t="s">
        <v>748</v>
      </c>
      <c r="D18" s="0" t="s">
        <v>795</v>
      </c>
      <c r="E18" s="0" t="s">
        <v>796</v>
      </c>
      <c r="F18" s="0" t="s">
        <v>797</v>
      </c>
      <c r="G18" s="0" t="str">
        <f aca="false">IF(B18="YES",A18,"")</f>
        <v/>
      </c>
      <c r="H18" s="0" t="str">
        <f aca="false">IF(B18="YES",C18,"")</f>
        <v/>
      </c>
      <c r="I18" s="0" t="str">
        <f aca="false">IF($H18="INVALID",$G18,"")</f>
        <v/>
      </c>
      <c r="J18" s="0" t="str">
        <f aca="false">IF($H18="ESCALATE",$G18,"")</f>
        <v/>
      </c>
      <c r="K18" s="0" t="str">
        <f aca="false">IF($H18="REVIEW",$G18,"")</f>
        <v/>
      </c>
      <c r="L18" s="0" t="str">
        <f aca="false">IF($G18&lt;&gt;"",$G18&amp;" ("&amp;$H18&amp;")","")</f>
        <v/>
      </c>
    </row>
    <row r="19" customFormat="false" ht="14.25" hidden="false" customHeight="true" outlineLevel="0" collapsed="false">
      <c r="I19" s="0" t="s">
        <v>798</v>
      </c>
      <c r="J19" s="0" t="str">
        <f aca="false">IF(_xlfn.TEXTJOIN(", ",TRUE(),$L$5:$L$18,$L$25:$L$28)="","(none)",_xlfn.TEXTJOIN(", ",TRUE(),$L$5:$L$18,$L$25:$L$28))</f>
        <v>NONDECISIVE_GAP_REVIEW (REVIEW)</v>
      </c>
    </row>
    <row r="20" customFormat="false" ht="14.25" hidden="false" customHeight="true" outlineLevel="0" collapsed="false">
      <c r="A20" s="10" t="s">
        <v>799</v>
      </c>
      <c r="I20" s="0" t="s">
        <v>800</v>
      </c>
      <c r="J20" s="0" t="str">
        <f aca="false">IF(_xlfn.TEXTJOIN(", ",TRUE(),$I$5:$I$18,$I$25:$I$28)="","(none)",_xlfn.TEXTJOIN(", ",TRUE(),$I$5:$I$18,$I$25:$I$28))</f>
        <v>(none)</v>
      </c>
    </row>
    <row r="21" customFormat="false" ht="14.25" hidden="false" customHeight="true" outlineLevel="0" collapsed="false">
      <c r="A21" s="0" t="s">
        <v>801</v>
      </c>
      <c r="B21" s="9" t="n">
        <f aca="false">COUNTIFS(B5:B18,"YES",C5:C18,"INVALID")+COUNTIFS(B25:B28,"YES",C25:C28,"INVALID")</f>
        <v>0</v>
      </c>
      <c r="C21" s="0" t="s">
        <v>802</v>
      </c>
      <c r="I21" s="0" t="s">
        <v>803</v>
      </c>
      <c r="J21" s="0" t="str">
        <f aca="false">IF(_xlfn.TEXTJOIN(", ",TRUE(),$J$5:$J$18,$J$25:$J$28)="","(none)",_xlfn.TEXTJOIN(", ",TRUE(),$J$5:$J$18,$J$25:$J$28))</f>
        <v>(none)</v>
      </c>
    </row>
    <row r="22" customFormat="false" ht="14.25" hidden="false" customHeight="true" outlineLevel="0" collapsed="false">
      <c r="A22" s="0" t="s">
        <v>804</v>
      </c>
      <c r="B22" s="9" t="n">
        <f aca="false">COUNTIFS(B5:B18,"YES",C5:C18,"ESCALATE")+COUNTIFS(B25:B28,"YES",C25:C28,"ESCALATE")</f>
        <v>0</v>
      </c>
      <c r="C22" s="0" t="s">
        <v>802</v>
      </c>
      <c r="I22" s="0" t="s">
        <v>805</v>
      </c>
      <c r="J22" s="0" t="str">
        <f aca="false">IF(_xlfn.TEXTJOIN(", ",TRUE(),$K$5:$K$18,$K$25:$K$28)="","(none)",_xlfn.TEXTJOIN(", ",TRUE(),$K$5:$K$18,$K$25:$K$28))</f>
        <v>NONDECISIVE_GAP_REVIEW</v>
      </c>
    </row>
    <row r="23" customFormat="false" ht="14.25" hidden="false" customHeight="true" outlineLevel="0" collapsed="false">
      <c r="A23" s="0" t="s">
        <v>806</v>
      </c>
      <c r="B23" s="9" t="n">
        <f aca="false">COUNTIFS(B5:B18,"YES",C5:C18,"REVIEW")+COUNTIFS(B25:B28,"YES",C25:C28,"REVIEW")</f>
        <v>1</v>
      </c>
      <c r="C23" s="0" t="s">
        <v>802</v>
      </c>
    </row>
    <row r="24" customFormat="false" ht="14.25" hidden="false" customHeight="true" outlineLevel="0" collapsed="false">
      <c r="A24" s="0" t="s">
        <v>807</v>
      </c>
      <c r="B24" s="9" t="n">
        <f aca="false">SUM(B21:B23)</f>
        <v>1</v>
      </c>
      <c r="C24" s="0" t="s">
        <v>802</v>
      </c>
    </row>
    <row r="25" customFormat="false" ht="13.5" hidden="false" customHeight="true" outlineLevel="0" collapsed="false">
      <c r="A25" s="14" t="s">
        <v>808</v>
      </c>
      <c r="B25" s="14" t="str">
        <f aca="false">IF(AND(CANON!B133="REDUCED",OR(CANON!B134="NONE",CANON!B134="")),"YES","NO")</f>
        <v>NO</v>
      </c>
      <c r="C25" s="14" t="s">
        <v>779</v>
      </c>
      <c r="D25" s="14" t="s">
        <v>809</v>
      </c>
      <c r="E25" s="14" t="s">
        <v>810</v>
      </c>
      <c r="F25" s="14" t="s">
        <v>811</v>
      </c>
      <c r="G25" s="0" t="str">
        <f aca="false">IF(B25="YES",A25,"")</f>
        <v/>
      </c>
      <c r="H25" s="0" t="str">
        <f aca="false">IF(B25="YES",C25,"")</f>
        <v/>
      </c>
      <c r="I25" s="0" t="str">
        <f aca="false">IF($H25="INVALID",$G25,"")</f>
        <v/>
      </c>
      <c r="J25" s="0" t="str">
        <f aca="false">IF($H25="ESCALATE",$G25,"")</f>
        <v/>
      </c>
      <c r="K25" s="0" t="str">
        <f aca="false">IF($H25="REVIEW",$G25,"")</f>
        <v/>
      </c>
      <c r="L25" s="0" t="str">
        <f aca="false">IF($G25&lt;&gt;"",$G25&amp;" ("&amp;$H25&amp;")","")</f>
        <v/>
      </c>
    </row>
    <row r="26" customFormat="false" ht="14.25" hidden="false" customHeight="true" outlineLevel="0" collapsed="false">
      <c r="A26" s="14" t="s">
        <v>812</v>
      </c>
      <c r="B26" s="14" t="str">
        <f aca="false">IF(AND(CANON!$B$10&gt;=2,CANON!B130&lt;IF(CANON!$B$10=2,1,IF(CANON!$B$10=3,2,0))),"YES","NO")</f>
        <v>NO</v>
      </c>
      <c r="C26" s="14" t="s">
        <v>752</v>
      </c>
      <c r="D26" s="14" t="s">
        <v>813</v>
      </c>
      <c r="E26" s="14" t="s">
        <v>814</v>
      </c>
      <c r="F26" s="14" t="s">
        <v>815</v>
      </c>
      <c r="G26" s="0" t="str">
        <f aca="false">IF(B26="YES",A26,"")</f>
        <v/>
      </c>
      <c r="H26" s="0" t="str">
        <f aca="false">IF(B26="YES",C26,"")</f>
        <v/>
      </c>
      <c r="I26" s="0" t="str">
        <f aca="false">IF($H26="INVALID",$G26,"")</f>
        <v/>
      </c>
      <c r="J26" s="0" t="str">
        <f aca="false">IF($H26="ESCALATE",$G26,"")</f>
        <v/>
      </c>
      <c r="K26" s="0" t="str">
        <f aca="false">IF($H26="REVIEW",$G26,"")</f>
        <v/>
      </c>
      <c r="L26" s="0" t="str">
        <f aca="false">IF($G26&lt;&gt;"",$G26&amp;" ("&amp;$H26&amp;")","")</f>
        <v/>
      </c>
    </row>
    <row r="27" customFormat="false" ht="14.25" hidden="false" customHeight="true" outlineLevel="0" collapsed="false">
      <c r="A27" s="14" t="s">
        <v>816</v>
      </c>
      <c r="B27" s="14" t="str">
        <f aca="false">IF(AND(CANON!$B$10&gt;=2,CANON!B130=IF(CANON!$B$10=2,1,IF(CANON!$B$10=3,2,0)),CANON!B131=""),"YES","NO")</f>
        <v>NO</v>
      </c>
      <c r="C27" s="14" t="s">
        <v>779</v>
      </c>
      <c r="D27" s="14" t="s">
        <v>817</v>
      </c>
      <c r="E27" s="14" t="s">
        <v>818</v>
      </c>
      <c r="F27" s="14" t="s">
        <v>815</v>
      </c>
      <c r="G27" s="0" t="str">
        <f aca="false">IF(B27="YES",A27,"")</f>
        <v/>
      </c>
      <c r="H27" s="0" t="str">
        <f aca="false">IF(B27="YES",C27,"")</f>
        <v/>
      </c>
      <c r="I27" s="0" t="str">
        <f aca="false">IF($H27="INVALID",$G27,"")</f>
        <v/>
      </c>
      <c r="J27" s="0" t="str">
        <f aca="false">IF($H27="ESCALATE",$G27,"")</f>
        <v/>
      </c>
      <c r="K27" s="0" t="str">
        <f aca="false">IF($H27="REVIEW",$G27,"")</f>
        <v/>
      </c>
      <c r="L27" s="0" t="str">
        <f aca="false">IF($G27&lt;&gt;"",$G27&amp;" ("&amp;$H27&amp;")","")</f>
        <v/>
      </c>
    </row>
    <row r="28" customFormat="false" ht="13.5" hidden="false" customHeight="true" outlineLevel="0" collapsed="false">
      <c r="A28" s="14" t="s">
        <v>819</v>
      </c>
      <c r="B28" s="14" t="str">
        <f aca="false">IF(AND(CANON!$B$10&gt;=2,OR(CANON!B137="",CANON!B137=0)),"YES","NO")</f>
        <v>NO</v>
      </c>
      <c r="C28" s="14" t="s">
        <v>748</v>
      </c>
      <c r="D28" s="14" t="s">
        <v>820</v>
      </c>
      <c r="E28" s="14" t="s">
        <v>821</v>
      </c>
      <c r="F28" s="14" t="s">
        <v>822</v>
      </c>
      <c r="G28" s="0" t="str">
        <f aca="false">IF(B28="YES",A28,"")</f>
        <v/>
      </c>
      <c r="H28" s="0" t="str">
        <f aca="false">IF(B28="YES",C28,"")</f>
        <v/>
      </c>
      <c r="I28" s="0" t="str">
        <f aca="false">IF($H28="INVALID",$G28,"")</f>
        <v/>
      </c>
      <c r="J28" s="0" t="str">
        <f aca="false">IF($H28="ESCALATE",$G28,"")</f>
        <v/>
      </c>
      <c r="K28" s="0" t="str">
        <f aca="false">IF($H28="REVIEW",$G28,"")</f>
        <v/>
      </c>
      <c r="L28" s="0" t="str">
        <f aca="false">IF($G28&lt;&gt;"",$G28&amp;" ("&amp;$H28&amp;")","")</f>
        <v/>
      </c>
    </row>
    <row r="29" customFormat="false" ht="14.25" hidden="false" customHeight="true" outlineLevel="0" collapsed="false">
      <c r="A29" s="10" t="s">
        <v>823</v>
      </c>
    </row>
    <row r="30" customFormat="false" ht="14.25" hidden="false" customHeight="true" outlineLevel="0" collapsed="false">
      <c r="A30" s="0" t="s">
        <v>824</v>
      </c>
      <c r="B30" s="0" t="n">
        <f aca="false">CANON!B80</f>
        <v>0</v>
      </c>
    </row>
    <row r="31" customFormat="false" ht="14.25" hidden="false" customHeight="true" outlineLevel="0" collapsed="false">
      <c r="A31" s="0" t="s">
        <v>825</v>
      </c>
      <c r="B31" s="0" t="str">
        <f aca="false">IF(B30=B21,"✓ SSOT","❌ DRIFT")</f>
        <v>✓ SSOT</v>
      </c>
    </row>
    <row r="34" customFormat="false" ht="14.25" hidden="false" customHeight="true" outlineLevel="0" collapsed="false">
      <c r="A34" s="52" t="s">
        <v>826</v>
      </c>
      <c r="B34" s="52"/>
      <c r="C34" s="52"/>
      <c r="D34" s="52"/>
      <c r="E34" s="52"/>
      <c r="F34" s="52"/>
    </row>
    <row r="35" customFormat="false" ht="41.25" hidden="false" customHeight="true" outlineLevel="0" collapsed="false">
      <c r="A35" s="53" t="s">
        <v>827</v>
      </c>
      <c r="B35" s="53"/>
      <c r="C35" s="53"/>
      <c r="D35" s="53"/>
      <c r="E35" s="53"/>
      <c r="F35" s="53"/>
    </row>
    <row r="37" customFormat="false" ht="14.25" hidden="false" customHeight="true" outlineLevel="0" collapsed="false">
      <c r="A37" s="54" t="s">
        <v>741</v>
      </c>
      <c r="B37" s="54" t="s">
        <v>828</v>
      </c>
      <c r="C37" s="54" t="s">
        <v>829</v>
      </c>
      <c r="D37" s="54" t="s">
        <v>830</v>
      </c>
    </row>
    <row r="38" customFormat="false" ht="28.5" hidden="false" customHeight="true" outlineLevel="0" collapsed="false">
      <c r="A38" s="55" t="s">
        <v>755</v>
      </c>
      <c r="B38" s="55" t="s">
        <v>831</v>
      </c>
      <c r="C38" s="55" t="s">
        <v>832</v>
      </c>
      <c r="D38" s="55" t="s">
        <v>833</v>
      </c>
    </row>
    <row r="39" customFormat="false" ht="28.5" hidden="false" customHeight="true" outlineLevel="0" collapsed="false">
      <c r="A39" s="55" t="s">
        <v>758</v>
      </c>
      <c r="B39" s="55" t="s">
        <v>831</v>
      </c>
      <c r="C39" s="55" t="s">
        <v>832</v>
      </c>
      <c r="D39" s="55" t="s">
        <v>834</v>
      </c>
    </row>
    <row r="40" customFormat="false" ht="14.25" hidden="false" customHeight="true" outlineLevel="0" collapsed="false">
      <c r="A40" s="55" t="s">
        <v>761</v>
      </c>
      <c r="B40" s="55" t="s">
        <v>831</v>
      </c>
      <c r="C40" s="55" t="s">
        <v>832</v>
      </c>
      <c r="D40" s="55" t="s">
        <v>835</v>
      </c>
    </row>
    <row r="41" customFormat="false" ht="28.5" hidden="false" customHeight="true" outlineLevel="0" collapsed="false">
      <c r="A41" s="55" t="s">
        <v>794</v>
      </c>
      <c r="B41" s="55" t="s">
        <v>831</v>
      </c>
      <c r="C41" s="55" t="s">
        <v>832</v>
      </c>
      <c r="D41" s="55" t="s">
        <v>836</v>
      </c>
    </row>
    <row r="42" customFormat="false" ht="28.5" hidden="false" customHeight="true" outlineLevel="0" collapsed="false">
      <c r="A42" s="55" t="s">
        <v>783</v>
      </c>
      <c r="B42" s="55" t="s">
        <v>831</v>
      </c>
      <c r="C42" s="55" t="s">
        <v>837</v>
      </c>
      <c r="D42" s="55" t="s">
        <v>838</v>
      </c>
    </row>
    <row r="43" customFormat="false" ht="28.5" hidden="false" customHeight="true" outlineLevel="0" collapsed="false">
      <c r="A43" s="55" t="s">
        <v>786</v>
      </c>
      <c r="B43" s="55" t="s">
        <v>831</v>
      </c>
      <c r="C43" s="55" t="s">
        <v>839</v>
      </c>
      <c r="D43" s="55" t="s">
        <v>840</v>
      </c>
    </row>
    <row r="44" customFormat="false" ht="28.5" hidden="false" customHeight="true" outlineLevel="0" collapsed="false">
      <c r="A44" s="55" t="s">
        <v>790</v>
      </c>
      <c r="B44" s="55" t="s">
        <v>831</v>
      </c>
      <c r="C44" s="55" t="s">
        <v>841</v>
      </c>
      <c r="D44" s="55" t="s">
        <v>842</v>
      </c>
    </row>
    <row r="45" customFormat="false" ht="14.25" hidden="false" customHeight="true" outlineLevel="0" collapsed="false">
      <c r="A45" s="55" t="s">
        <v>808</v>
      </c>
      <c r="B45" s="55" t="s">
        <v>831</v>
      </c>
      <c r="C45" s="55" t="s">
        <v>843</v>
      </c>
      <c r="D45" s="55" t="s">
        <v>844</v>
      </c>
    </row>
  </sheetData>
  <mergeCells count="2">
    <mergeCell ref="A34:F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845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3.5" hidden="false" customHeight="true" outlineLevel="0" collapsed="false"/>
    <row r="3" customFormat="false" ht="14.25" hidden="false" customHeight="true" outlineLevel="0" collapsed="false">
      <c r="A3" s="8" t="s">
        <v>846</v>
      </c>
    </row>
    <row r="4" customFormat="false" ht="14.25" hidden="false" customHeight="true" outlineLevel="0" collapsed="false">
      <c r="A4" s="0" t="s">
        <v>847</v>
      </c>
      <c r="B4" s="0" t="s">
        <v>848</v>
      </c>
    </row>
    <row r="5" customFormat="false" ht="14.25" hidden="false" customHeight="true" outlineLevel="0" collapsed="false">
      <c r="A5" s="0" t="s">
        <v>849</v>
      </c>
      <c r="B5" s="0" t="s">
        <v>850</v>
      </c>
    </row>
    <row r="6" customFormat="false" ht="14.25" hidden="false" customHeight="true" outlineLevel="0" collapsed="false">
      <c r="A6" s="0" t="s">
        <v>17</v>
      </c>
      <c r="B6" s="0" t="s">
        <v>851</v>
      </c>
    </row>
    <row r="7" customFormat="false" ht="14.25" hidden="false" customHeight="true" outlineLevel="0" collapsed="false">
      <c r="A7" s="0" t="s">
        <v>852</v>
      </c>
      <c r="B7" s="0" t="s">
        <v>853</v>
      </c>
    </row>
    <row r="8" customFormat="false" ht="14.25" hidden="false" customHeight="true" outlineLevel="0" collapsed="false">
      <c r="A8" s="0" t="s">
        <v>854</v>
      </c>
      <c r="B8" s="0" t="s">
        <v>855</v>
      </c>
    </row>
    <row r="9" customFormat="false" ht="14.25" hidden="false" customHeight="true" outlineLevel="0" collapsed="false">
      <c r="A9" s="0" t="s">
        <v>856</v>
      </c>
      <c r="B9" s="0" t="s">
        <v>857</v>
      </c>
    </row>
    <row r="10" customFormat="false" ht="14.25" hidden="false" customHeight="true" outlineLevel="0" collapsed="false">
      <c r="A10" s="0" t="s">
        <v>858</v>
      </c>
      <c r="B10" s="0" t="s">
        <v>33</v>
      </c>
    </row>
    <row r="11" customFormat="false" ht="14.25" hidden="false" customHeight="true" outlineLevel="0" collapsed="false">
      <c r="A11" s="0" t="s">
        <v>859</v>
      </c>
      <c r="B11" s="18" t="str">
        <f aca="false">CANON!B7</f>
        <v>v2.2</v>
      </c>
    </row>
    <row r="12" customFormat="false" ht="14.25" hidden="false" customHeight="true" outlineLevel="0" collapsed="false">
      <c r="A12" s="0" t="s">
        <v>860</v>
      </c>
      <c r="B12" s="0" t="str">
        <f aca="false">CANON!B5</f>
        <v>Ripple_Logic v8.6</v>
      </c>
    </row>
    <row r="13" customFormat="false" ht="14.25" hidden="false" customHeight="true" outlineLevel="0" collapsed="false">
      <c r="A13" s="0" t="s">
        <v>861</v>
      </c>
      <c r="B13" s="0" t="str">
        <f aca="false">CANON!B6</f>
        <v>SGP v4.3</v>
      </c>
    </row>
    <row r="14" customFormat="false" ht="14.25" hidden="false" customHeight="true" outlineLevel="0" collapsed="false">
      <c r="B14" s="0" t="s">
        <v>76</v>
      </c>
    </row>
    <row r="15" customFormat="false" ht="14.25" hidden="false" customHeight="true" outlineLevel="0" collapsed="false">
      <c r="A15" s="0" t="s">
        <v>111</v>
      </c>
      <c r="B15" s="0" t="str">
        <f aca="false">IF(CANON!B81="YES","YES (Tier 2 Conformant, "&amp;CANON!B7&amp;")","NO")</f>
        <v>YES (Tier 2 Conformant, v2.2)</v>
      </c>
    </row>
    <row r="16" customFormat="false" ht="14.25" hidden="false" customHeight="true" outlineLevel="0" collapsed="false">
      <c r="A16" s="8" t="s">
        <v>862</v>
      </c>
    </row>
    <row r="17" customFormat="false" ht="14.25" hidden="false" customHeight="true" outlineLevel="0" collapsed="false">
      <c r="A17" s="0" t="s">
        <v>863</v>
      </c>
      <c r="B17" s="0" t="s">
        <v>864</v>
      </c>
    </row>
    <row r="18" customFormat="false" ht="14.25" hidden="false" customHeight="true" outlineLevel="0" collapsed="false">
      <c r="A18" s="0" t="s">
        <v>865</v>
      </c>
      <c r="B18" s="0" t="s">
        <v>171</v>
      </c>
    </row>
    <row r="19" customFormat="false" ht="14.25" hidden="false" customHeight="true" outlineLevel="0" collapsed="false">
      <c r="A19" s="0" t="s">
        <v>866</v>
      </c>
      <c r="B19" s="0" t="s">
        <v>867</v>
      </c>
    </row>
    <row r="20" customFormat="false" ht="14.25" hidden="false" customHeight="true" outlineLevel="0" collapsed="false">
      <c r="A20" s="0" t="s">
        <v>868</v>
      </c>
      <c r="B20" s="0" t="n">
        <v>2</v>
      </c>
    </row>
    <row r="21" customFormat="false" ht="14.25" hidden="false" customHeight="true" outlineLevel="0" collapsed="false">
      <c r="A21" s="0" t="s">
        <v>869</v>
      </c>
      <c r="B21" s="0" t="n">
        <v>2</v>
      </c>
    </row>
    <row r="22" customFormat="false" ht="14.25" hidden="false" customHeight="true" outlineLevel="0" collapsed="false">
      <c r="A22" s="0" t="s">
        <v>870</v>
      </c>
      <c r="B22" s="0" t="n">
        <v>-0.1</v>
      </c>
    </row>
    <row r="23" customFormat="false" ht="14.25" hidden="false" customHeight="true" outlineLevel="0" collapsed="false">
      <c r="A23" s="0" t="s">
        <v>340</v>
      </c>
      <c r="B23" s="0" t="n">
        <v>0.05</v>
      </c>
    </row>
    <row r="24" customFormat="false" ht="14.25" hidden="false" customHeight="true" outlineLevel="0" collapsed="false">
      <c r="A24" s="0" t="s">
        <v>134</v>
      </c>
      <c r="B24" s="0" t="n">
        <v>25</v>
      </c>
    </row>
    <row r="25" customFormat="false" ht="14.25" hidden="false" customHeight="true" outlineLevel="0" collapsed="false">
      <c r="A25" s="0" t="s">
        <v>871</v>
      </c>
      <c r="B25" s="0" t="n">
        <f aca="false">CANON!B18</f>
        <v>0.95</v>
      </c>
    </row>
    <row r="26" customFormat="false" ht="14.25" hidden="false" customHeight="true" outlineLevel="0" collapsed="false">
      <c r="A26" s="0" t="s">
        <v>872</v>
      </c>
      <c r="B26" s="0" t="n">
        <f aca="false">CANON!B58</f>
        <v>0.2</v>
      </c>
    </row>
    <row r="27" customFormat="false" ht="13.5" hidden="false" customHeight="true" outlineLevel="0" collapsed="false">
      <c r="A27" s="0" t="s">
        <v>873</v>
      </c>
      <c r="B27" s="0" t="str">
        <f aca="false">CANON!B137</f>
        <v>C</v>
      </c>
      <c r="C27" s="0" t="s">
        <v>874</v>
      </c>
    </row>
    <row r="28" customFormat="false" ht="13.5" hidden="false" customHeight="true" outlineLevel="0" collapsed="false">
      <c r="A28" s="0" t="s">
        <v>875</v>
      </c>
      <c r="B28" s="0" t="n">
        <f aca="false">CANON!B26</f>
        <v>0.02</v>
      </c>
      <c r="C28" s="0" t="s">
        <v>876</v>
      </c>
    </row>
    <row r="29" customFormat="false" ht="14.25" hidden="false" customHeight="true" outlineLevel="0" collapsed="false">
      <c r="A29" s="8" t="s">
        <v>877</v>
      </c>
    </row>
    <row r="30" customFormat="false" ht="14.25" hidden="false" customHeight="true" outlineLevel="0" collapsed="false">
      <c r="A30" s="0" t="s">
        <v>878</v>
      </c>
      <c r="B30" s="0" t="s">
        <v>879</v>
      </c>
    </row>
    <row r="31" customFormat="false" ht="14.25" hidden="false" customHeight="true" outlineLevel="0" collapsed="false">
      <c r="A31" s="0" t="s">
        <v>880</v>
      </c>
      <c r="B31" s="0" t="s">
        <v>881</v>
      </c>
    </row>
    <row r="32" customFormat="false" ht="14.25" hidden="false" customHeight="true" outlineLevel="0" collapsed="false">
      <c r="A32" s="0" t="s">
        <v>882</v>
      </c>
      <c r="B32" s="11" t="n">
        <f aca="false">COUNTA(Rights_Coverage!$B$7:$B$76)</f>
        <v>70</v>
      </c>
    </row>
    <row r="33" customFormat="false" ht="14.25" hidden="false" customHeight="true" outlineLevel="0" collapsed="false">
      <c r="A33" s="0" t="s">
        <v>883</v>
      </c>
      <c r="B33" s="0" t="s">
        <v>884</v>
      </c>
    </row>
    <row r="34" customFormat="false" ht="13.5" hidden="false" customHeight="true" outlineLevel="0" collapsed="false">
      <c r="A34" s="0" t="s">
        <v>885</v>
      </c>
      <c r="B34" s="0" t="s">
        <v>886</v>
      </c>
      <c r="C34" s="0" t="s">
        <v>887</v>
      </c>
    </row>
    <row r="35" customFormat="false" ht="13.5" hidden="false" customHeight="true" outlineLevel="0" collapsed="false">
      <c r="A35" s="0" t="s">
        <v>888</v>
      </c>
      <c r="B35" s="0" t="s">
        <v>889</v>
      </c>
      <c r="C35" s="0" t="s">
        <v>890</v>
      </c>
    </row>
    <row r="36" customFormat="false" ht="14.25" hidden="false" customHeight="true" outlineLevel="0" collapsed="false">
      <c r="A36" s="0" t="s">
        <v>891</v>
      </c>
      <c r="B36" s="0" t="s">
        <v>892</v>
      </c>
      <c r="C36" s="0" t="s">
        <v>893</v>
      </c>
    </row>
    <row r="37" customFormat="false" ht="14.25" hidden="false" customHeight="true" outlineLevel="0" collapsed="false">
      <c r="A37" s="0" t="s">
        <v>894</v>
      </c>
      <c r="B37" s="0" t="s">
        <v>895</v>
      </c>
      <c r="C37" s="0" t="s">
        <v>896</v>
      </c>
    </row>
    <row r="38" customFormat="false" ht="14.25" hidden="false" customHeight="true" outlineLevel="0" collapsed="false">
      <c r="A38" s="8" t="s">
        <v>897</v>
      </c>
    </row>
    <row r="39" customFormat="false" ht="14.25" hidden="false" customHeight="true" outlineLevel="0" collapsed="false">
      <c r="A39" s="0" t="s">
        <v>898</v>
      </c>
    </row>
    <row r="40" customFormat="false" ht="14.25" hidden="false" customHeight="true" outlineLevel="0" collapsed="false">
      <c r="A40" s="0" t="s">
        <v>899</v>
      </c>
      <c r="B40" s="0" t="s">
        <v>584</v>
      </c>
    </row>
    <row r="41" customFormat="false" ht="14.25" hidden="false" customHeight="true" outlineLevel="0" collapsed="false">
      <c r="A41" s="0" t="s">
        <v>900</v>
      </c>
      <c r="B41" s="0" t="s">
        <v>584</v>
      </c>
    </row>
    <row r="42" customFormat="false" ht="14.25" hidden="false" customHeight="true" outlineLevel="0" collapsed="false">
      <c r="A42" s="0" t="s">
        <v>901</v>
      </c>
      <c r="B42" s="0" t="s">
        <v>902</v>
      </c>
    </row>
    <row r="43" customFormat="false" ht="13.5" hidden="false" customHeight="true" outlineLevel="0" collapsed="false">
      <c r="A43" s="0" t="s">
        <v>903</v>
      </c>
      <c r="B43" s="0" t="s">
        <v>904</v>
      </c>
    </row>
    <row r="44" customFormat="false" ht="14.25" hidden="false" customHeight="true" outlineLevel="0" collapsed="false">
      <c r="A44" s="0" t="s">
        <v>905</v>
      </c>
      <c r="B44" s="0" t="str">
        <f aca="false">IF(WTSL_Categories!$B$17&gt;=WTSL_Categories!$B$16,"YES","NO")</f>
        <v>YES</v>
      </c>
    </row>
    <row r="45" customFormat="false" ht="14.25" hidden="false" customHeight="true" outlineLevel="0" collapsed="false"/>
    <row r="46" customFormat="false" ht="14.25" hidden="false" customHeight="true" outlineLevel="0" collapsed="false">
      <c r="B46" s="0" t="s">
        <v>584</v>
      </c>
    </row>
    <row r="47" customFormat="false" ht="14.25" hidden="false" customHeight="true" outlineLevel="0" collapsed="false">
      <c r="A47" s="8" t="s">
        <v>906</v>
      </c>
      <c r="B47" s="0" t="s">
        <v>584</v>
      </c>
    </row>
    <row r="48" customFormat="false" ht="14.25" hidden="false" customHeight="true" outlineLevel="0" collapsed="false">
      <c r="A48" s="0" t="s">
        <v>907</v>
      </c>
      <c r="B48" s="11" t="s">
        <v>584</v>
      </c>
    </row>
    <row r="49" customFormat="false" ht="14.25" hidden="false" customHeight="true" outlineLevel="0" collapsed="false">
      <c r="A49" s="0" t="s">
        <v>908</v>
      </c>
      <c r="B49" s="11" t="s">
        <v>584</v>
      </c>
    </row>
    <row r="50" customFormat="false" ht="14.25" hidden="false" customHeight="true" outlineLevel="0" collapsed="false">
      <c r="A50" s="0" t="s">
        <v>909</v>
      </c>
      <c r="B50" s="37" t="s">
        <v>590</v>
      </c>
    </row>
    <row r="51" customFormat="false" ht="14.25" hidden="false" customHeight="true" outlineLevel="0" collapsed="false">
      <c r="A51" s="0" t="s">
        <v>85</v>
      </c>
      <c r="B51" s="36" t="n">
        <v>0.0219</v>
      </c>
    </row>
    <row r="52" customFormat="false" ht="14.25" hidden="false" customHeight="true" outlineLevel="0" collapsed="false">
      <c r="A52" s="0" t="s">
        <v>86</v>
      </c>
      <c r="B52" s="36" t="n">
        <v>0.0315</v>
      </c>
    </row>
    <row r="53" customFormat="false" ht="14.25" hidden="false" customHeight="true" outlineLevel="0" collapsed="false">
      <c r="A53" s="0" t="s">
        <v>910</v>
      </c>
      <c r="B53" s="36" t="s">
        <v>588</v>
      </c>
    </row>
    <row r="54" customFormat="false" ht="14.25" hidden="false" customHeight="true" outlineLevel="0" collapsed="false">
      <c r="A54" s="0" t="s">
        <v>911</v>
      </c>
      <c r="B54" s="37" t="s">
        <v>36</v>
      </c>
    </row>
    <row r="55" customFormat="false" ht="14.25" hidden="false" customHeight="true" outlineLevel="0" collapsed="false">
      <c r="A55" s="0" t="s">
        <v>912</v>
      </c>
      <c r="B55" s="11" t="str">
        <f aca="false">CANON!B60</f>
        <v>PASS</v>
      </c>
      <c r="C55" s="0" t="s">
        <v>913</v>
      </c>
    </row>
    <row r="56" customFormat="false" ht="14.25" hidden="false" customHeight="true" outlineLevel="0" collapsed="false">
      <c r="A56" s="0" t="s">
        <v>914</v>
      </c>
      <c r="B56" s="11" t="str">
        <f aca="false">CANON!B61</f>
        <v>PASS (vacuous)</v>
      </c>
      <c r="C56" s="0" t="s">
        <v>913</v>
      </c>
    </row>
    <row r="57" customFormat="false" ht="14.25" hidden="false" customHeight="true" outlineLevel="0" collapsed="false">
      <c r="A57" s="0" t="s">
        <v>93</v>
      </c>
      <c r="B57" s="0" t="n">
        <v>0.005462</v>
      </c>
    </row>
    <row r="58" customFormat="false" ht="13.5" hidden="false" customHeight="true" outlineLevel="0" collapsed="false">
      <c r="A58" s="0" t="s">
        <v>94</v>
      </c>
      <c r="B58" s="0" t="n">
        <v>0.000202</v>
      </c>
    </row>
    <row r="59" customFormat="false" ht="14.25" hidden="false" customHeight="true" outlineLevel="0" collapsed="false">
      <c r="A59" s="0" t="s">
        <v>915</v>
      </c>
      <c r="B59" s="0" t="s">
        <v>36</v>
      </c>
    </row>
    <row r="60" customFormat="false" ht="14.25" hidden="false" customHeight="true" outlineLevel="0" collapsed="false"/>
    <row r="61" customFormat="false" ht="14.25" hidden="false" customHeight="true" outlineLevel="0" collapsed="false">
      <c r="B61" s="0" t="n">
        <v>0.005462</v>
      </c>
    </row>
    <row r="62" customFormat="false" ht="14.25" hidden="false" customHeight="true" outlineLevel="0" collapsed="false">
      <c r="A62" s="8" t="s">
        <v>916</v>
      </c>
      <c r="B62" s="0" t="n">
        <v>0.000202</v>
      </c>
    </row>
    <row r="63" customFormat="false" ht="14.25" hidden="false" customHeight="true" outlineLevel="0" collapsed="false">
      <c r="A63" s="0" t="s">
        <v>917</v>
      </c>
      <c r="B63" s="0" t="str">
        <f aca="false">CANON!B70</f>
        <v>NORMAL</v>
      </c>
    </row>
    <row r="64" customFormat="false" ht="14.25" hidden="false" customHeight="true" outlineLevel="0" collapsed="false">
      <c r="A64" s="0" t="s">
        <v>918</v>
      </c>
      <c r="B64" s="0" t="str">
        <f aca="false">CANON!B72</f>
        <v>RLS comparison</v>
      </c>
    </row>
    <row r="65" customFormat="false" ht="14.25" hidden="false" customHeight="true" outlineLevel="0" collapsed="false">
      <c r="A65" s="0" t="s">
        <v>919</v>
      </c>
      <c r="B65" s="38" t="str">
        <f aca="false">IF(CANON!B71="","None",CANON!B71)</f>
        <v>A</v>
      </c>
    </row>
    <row r="66" customFormat="false" ht="14.25" hidden="false" customHeight="true" outlineLevel="0" collapsed="false">
      <c r="A66" s="0" t="s">
        <v>920</v>
      </c>
      <c r="B66" s="0" t="str">
        <f aca="false">IF(Dashboard!$B$36="YES",TEXT(MIN(TRC!$H$15,TRC!$H$28)-Config!$B$12,"0.000")&amp;" above τ_TRC","0.000")</f>
        <v>0.000</v>
      </c>
    </row>
    <row r="67" customFormat="false" ht="14.25" hidden="false" customHeight="true" outlineLevel="0" collapsed="false">
      <c r="A67" s="0" t="s">
        <v>921</v>
      </c>
      <c r="B67" s="0" t="s">
        <v>922</v>
      </c>
    </row>
    <row r="68" customFormat="false" ht="14.25" hidden="false" customHeight="true" outlineLevel="0" collapsed="false">
      <c r="A68" s="0" t="s">
        <v>923</v>
      </c>
      <c r="B68" s="0" t="str">
        <f aca="false">CANON!B73</f>
        <v>NO</v>
      </c>
    </row>
    <row r="69" customFormat="false" ht="14.25" hidden="false" customHeight="true" outlineLevel="0" collapsed="false">
      <c r="A69" s="0" t="s">
        <v>924</v>
      </c>
      <c r="B69" s="0" t="s">
        <v>489</v>
      </c>
    </row>
    <row r="70" customFormat="false" ht="14.25" hidden="false" customHeight="true" outlineLevel="0" collapsed="false">
      <c r="A70" s="0" t="s">
        <v>925</v>
      </c>
      <c r="B70" s="0" t="s">
        <v>588</v>
      </c>
    </row>
    <row r="71" customFormat="false" ht="14.25" hidden="false" customHeight="true" outlineLevel="0" collapsed="false">
      <c r="A71" s="0" t="s">
        <v>926</v>
      </c>
      <c r="B71" s="0" t="s">
        <v>588</v>
      </c>
    </row>
    <row r="72" customFormat="false" ht="14.25" hidden="false" customHeight="true" outlineLevel="0" collapsed="false">
      <c r="B72" s="0" t="s">
        <v>76</v>
      </c>
    </row>
    <row r="73" customFormat="false" ht="14.25" hidden="false" customHeight="true" outlineLevel="0" collapsed="false">
      <c r="A73" s="10" t="s">
        <v>927</v>
      </c>
    </row>
    <row r="74" customFormat="false" ht="14.25" hidden="false" customHeight="true" outlineLevel="0" collapsed="false">
      <c r="A74" s="8" t="s">
        <v>928</v>
      </c>
      <c r="B74" s="0" t="n">
        <f aca="false">Audit_Flags!B21</f>
        <v>0</v>
      </c>
    </row>
    <row r="75" customFormat="false" ht="14.25" hidden="false" customHeight="true" outlineLevel="0" collapsed="false">
      <c r="A75" s="0" t="s">
        <v>929</v>
      </c>
      <c r="B75" s="0" t="n">
        <f aca="false">Audit_Flags!B22</f>
        <v>0</v>
      </c>
    </row>
    <row r="76" customFormat="false" ht="14.25" hidden="false" customHeight="true" outlineLevel="0" collapsed="false">
      <c r="A76" s="37" t="s">
        <v>930</v>
      </c>
      <c r="B76" s="0" t="n">
        <f aca="false">Audit_Flags!B23</f>
        <v>1</v>
      </c>
      <c r="C76" s="0" t="s">
        <v>931</v>
      </c>
    </row>
    <row r="77" customFormat="false" ht="13.5" hidden="false" customHeight="true" outlineLevel="0" collapsed="false">
      <c r="A77" s="0" t="s">
        <v>932</v>
      </c>
      <c r="B77" s="0" t="str">
        <f aca="false">Audit_Flags!$J$19</f>
        <v>NONDECISIVE_GAP_REVIEW (REVIEW)</v>
      </c>
    </row>
    <row r="78" customFormat="false" ht="14.25" hidden="false" customHeight="true" outlineLevel="0" collapsed="false">
      <c r="B78" s="0" t="s">
        <v>933</v>
      </c>
    </row>
    <row r="79" customFormat="false" ht="14.25" hidden="false" customHeight="true" outlineLevel="0" collapsed="false"/>
    <row r="80" customFormat="false" ht="14.25" hidden="false" customHeight="true" outlineLevel="0" collapsed="false">
      <c r="A80" s="10" t="s">
        <v>934</v>
      </c>
    </row>
    <row r="81" customFormat="false" ht="14.25" hidden="false" customHeight="true" outlineLevel="0" collapsed="false">
      <c r="A81" s="8" t="s">
        <v>935</v>
      </c>
      <c r="B81" s="0" t="s">
        <v>936</v>
      </c>
    </row>
    <row r="82" customFormat="false" ht="14.25" hidden="false" customHeight="true" outlineLevel="0" collapsed="false">
      <c r="A82" s="0" t="s">
        <v>937</v>
      </c>
      <c r="B82" s="0" t="s">
        <v>938</v>
      </c>
    </row>
    <row r="83" customFormat="false" ht="14.25" hidden="false" customHeight="true" outlineLevel="0" collapsed="false">
      <c r="A83" s="0" t="s">
        <v>939</v>
      </c>
      <c r="B83" s="0" t="s">
        <v>940</v>
      </c>
    </row>
    <row r="84" customFormat="false" ht="14.25" hidden="false" customHeight="true" outlineLevel="0" collapsed="false">
      <c r="A84" s="0" t="s">
        <v>941</v>
      </c>
      <c r="B84" s="0" t="s">
        <v>942</v>
      </c>
    </row>
    <row r="85" customFormat="false" ht="13.5" hidden="false" customHeight="true" outlineLevel="0" collapsed="false">
      <c r="A85" s="0" t="s">
        <v>943</v>
      </c>
      <c r="B85" s="0" t="str">
        <f aca="false">"NCAR quarterly. REVIEW flags: "&amp;IF(Audit_Flags!B26="","(none)",Audit_Flags!B26)&amp;". Reflect: "&amp;$B$102&amp;"."</f>
        <v>NCAR quarterly. REVIEW flags: NO. Reflect: .</v>
      </c>
    </row>
    <row r="86" customFormat="false" ht="13.5" hidden="false" customHeight="true" outlineLevel="0" collapsed="false">
      <c r="A86" s="0" t="s">
        <v>944</v>
      </c>
      <c r="B86" s="0" t="s">
        <v>945</v>
      </c>
    </row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>
      <c r="A89" s="8" t="s">
        <v>946</v>
      </c>
    </row>
    <row r="90" customFormat="false" ht="14.25" hidden="false" customHeight="true" outlineLevel="0" collapsed="false">
      <c r="A90" s="0" t="str">
        <f aca="false">IF(Dashboard!$B$36="YES","Objective: Reduce selected option CVaR ("&amp;TEXT(MIN(TRC!$H$15,TRC!$H$28),"0.000")&amp;") to ≤ τ_TRC ("&amp;TEXT(Config!$B$12,"0.00")&amp;") via mitigation within a defined timeline.","Objective: Maintain CVaR ≤ τ_TRC ("&amp;TEXT(Config!$B$12,"0.00")&amp;") and monitor tail-risk assumptions.")</f>
        <v>Objective: Maintain CVaR ≤ τ_TRC (0.20) and monitor tail-risk assumptions.</v>
      </c>
    </row>
    <row r="91" customFormat="false" ht="14.25" hidden="false" customHeight="true" outlineLevel="0" collapsed="false">
      <c r="A91" s="0" t="s">
        <v>947</v>
      </c>
      <c r="B91" s="0" t="s">
        <v>948</v>
      </c>
      <c r="C91" s="0" t="s">
        <v>949</v>
      </c>
    </row>
    <row r="92" customFormat="false" ht="14.25" hidden="false" customHeight="true" outlineLevel="0" collapsed="false">
      <c r="A92" s="0" t="s">
        <v>950</v>
      </c>
      <c r="B92" s="0" t="s">
        <v>951</v>
      </c>
      <c r="C92" s="0" t="s">
        <v>949</v>
      </c>
    </row>
    <row r="93" customFormat="false" ht="14.25" hidden="false" customHeight="true" outlineLevel="0" collapsed="false">
      <c r="A93" s="0" t="s">
        <v>952</v>
      </c>
      <c r="B93" s="0" t="s">
        <v>953</v>
      </c>
      <c r="C93" s="0" t="s">
        <v>949</v>
      </c>
    </row>
    <row r="94" customFormat="false" ht="14.25" hidden="false" customHeight="true" outlineLevel="0" collapsed="false">
      <c r="A94" s="0" t="s">
        <v>954</v>
      </c>
      <c r="B94" s="0" t="s">
        <v>955</v>
      </c>
      <c r="C94" s="0" t="s">
        <v>949</v>
      </c>
    </row>
    <row r="95" customFormat="false" ht="14.25" hidden="false" customHeight="true" outlineLevel="0" collapsed="false">
      <c r="A95" s="0" t="s">
        <v>956</v>
      </c>
      <c r="B95" s="0" t="s">
        <v>957</v>
      </c>
      <c r="C95" s="0" t="s">
        <v>949</v>
      </c>
    </row>
    <row r="96" customFormat="false" ht="13.5" hidden="false" customHeight="true" outlineLevel="0" collapsed="false">
      <c r="A96" s="0" t="s">
        <v>958</v>
      </c>
      <c r="B96" s="0" t="s">
        <v>959</v>
      </c>
      <c r="C96" s="0" t="str">
        <f aca="false">IF(Dashboard!$B$36="YES","Mitigation required (CVaR above τ_TRC).","Headroom = "&amp;TEXT(CANON!$B$106-IF(CANON!$B$71="A",CANON!$B$104,IF(CANON!$B$71="B",CANON!$B$105,"")),"0.000")&amp;" (τ_TRC - CVaR_selected). Monitor assumptions + rerun TRC on change.")</f>
        <v>Headroom = 0.178 (τ_TRC - CVaR_selected). Monitor assumptions + rerun TRC on change.</v>
      </c>
      <c r="D96" s="0" t="n">
        <f aca="false">CANON!B106-IF(CANON!B71="A",CANON!B104,CANON!B105)</f>
        <v>0.1781</v>
      </c>
    </row>
    <row r="97" customFormat="false" ht="14.25" hidden="false" customHeight="true" outlineLevel="0" collapsed="false">
      <c r="A97" s="4" t="s">
        <v>960</v>
      </c>
      <c r="B97" s="0" t="n">
        <f aca="false">Audit_Flags!$F$2</f>
        <v>0</v>
      </c>
    </row>
    <row r="98" customFormat="false" ht="14.25" hidden="false" customHeight="true" outlineLevel="0" collapsed="false"/>
    <row r="99" customFormat="false" ht="14.25" hidden="false" customHeight="true" outlineLevel="0" collapsed="false">
      <c r="A99" s="8" t="s">
        <v>961</v>
      </c>
    </row>
    <row r="100" customFormat="false" ht="14.25" hidden="false" customHeight="true" outlineLevel="0" collapsed="false">
      <c r="A100" s="0" t="s">
        <v>962</v>
      </c>
    </row>
    <row r="101" customFormat="false" ht="14.25" hidden="false" customHeight="true" outlineLevel="0" collapsed="false">
      <c r="A101" s="0" t="s">
        <v>963</v>
      </c>
      <c r="B101" s="0" t="s">
        <v>964</v>
      </c>
    </row>
    <row r="102" customFormat="false" ht="14.25" hidden="false" customHeight="true" outlineLevel="0" collapsed="false">
      <c r="A102" s="0" t="s">
        <v>965</v>
      </c>
    </row>
    <row r="103" customFormat="false" ht="13.5" hidden="false" customHeight="true" outlineLevel="0" collapsed="false">
      <c r="A103" s="0" t="s">
        <v>966</v>
      </c>
    </row>
    <row r="104" customFormat="false" ht="13.5" hidden="false" customHeight="true" outlineLevel="0" collapsed="false">
      <c r="A104" s="0" t="s">
        <v>967</v>
      </c>
      <c r="B104" s="18" t="str">
        <f aca="false">TEXT(DATE(2026,2,2)+90,"YYYY-MM-DD")</f>
        <v>2026-05-03</v>
      </c>
    </row>
    <row r="105" customFormat="false" ht="13.5" hidden="false" customHeight="true" outlineLevel="0" collapsed="false"/>
    <row r="106" customFormat="false" ht="13.5" hidden="false" customHeight="true" outlineLevel="0" collapsed="false">
      <c r="A106" s="0" t="s">
        <v>968</v>
      </c>
    </row>
    <row r="107" customFormat="false" ht="13.5" hidden="false" customHeight="true" outlineLevel="0" collapsed="false">
      <c r="A107" s="0" t="s">
        <v>969</v>
      </c>
      <c r="B107" s="0" t="s">
        <v>970</v>
      </c>
    </row>
    <row r="108" customFormat="false" ht="14.25" hidden="false" customHeight="true" outlineLevel="0" collapsed="false">
      <c r="A108" s="0" t="s">
        <v>971</v>
      </c>
      <c r="B108" s="0" t="s">
        <v>972</v>
      </c>
      <c r="C108" s="0" t="s">
        <v>973</v>
      </c>
    </row>
    <row r="109" customFormat="false" ht="15" hidden="false" customHeight="true" outlineLevel="0" collapsed="false">
      <c r="A109" s="0" t="s">
        <v>974</v>
      </c>
      <c r="B109" s="0" t="s">
        <v>975</v>
      </c>
    </row>
    <row r="110" customFormat="false" ht="13.5" hidden="false" customHeight="true" outlineLevel="0" collapsed="false"/>
    <row r="111" customFormat="false" ht="13.5" hidden="false" customHeight="true" outlineLevel="0" collapsed="false">
      <c r="A111" s="12" t="s">
        <v>976</v>
      </c>
    </row>
    <row r="112" customFormat="false" ht="13.5" hidden="false" customHeight="true" outlineLevel="0" collapsed="false">
      <c r="A112" s="14" t="s">
        <v>977</v>
      </c>
      <c r="B112" s="14" t="str">
        <f aca="false">CANON!B133</f>
        <v>FULL</v>
      </c>
      <c r="C112" s="16" t="s">
        <v>978</v>
      </c>
    </row>
    <row r="113" customFormat="false" ht="13.5" hidden="false" customHeight="true" outlineLevel="0" collapsed="false">
      <c r="A113" s="14" t="s">
        <v>979</v>
      </c>
      <c r="B113" s="14" t="str">
        <f aca="false">CANON!B134</f>
        <v>U1,U2,U3,U4,U5,U6,U7</v>
      </c>
      <c r="C113" s="13"/>
    </row>
    <row r="114" customFormat="false" ht="13.5" hidden="false" customHeight="true" outlineLevel="0" collapsed="false">
      <c r="A114" s="14" t="s">
        <v>980</v>
      </c>
      <c r="B114" s="14" t="str">
        <f aca="false">CANON!B135</f>
        <v>NONE</v>
      </c>
      <c r="C114" s="13"/>
    </row>
    <row r="115" customFormat="false" ht="13.5" hidden="false" customHeight="true" outlineLevel="0" collapsed="false">
      <c r="A115" s="14" t="s">
        <v>981</v>
      </c>
      <c r="B115" s="15" t="s">
        <v>982</v>
      </c>
      <c r="C115" s="13"/>
    </row>
    <row r="116" customFormat="false" ht="14.25" hidden="false" customHeight="true" outlineLevel="0" collapsed="false">
      <c r="A116" s="14" t="s">
        <v>983</v>
      </c>
      <c r="B116" s="15" t="s">
        <v>984</v>
      </c>
      <c r="C116" s="13"/>
    </row>
    <row r="117" customFormat="false" ht="13.5" hidden="false" customHeight="true" outlineLevel="0" collapsed="false">
      <c r="A117" s="14" t="s">
        <v>985</v>
      </c>
      <c r="B117" s="15" t="s">
        <v>986</v>
      </c>
      <c r="C117" s="13"/>
    </row>
    <row r="118" customFormat="false" ht="13.5" hidden="false" customHeight="true" outlineLevel="0" collapsed="false"/>
    <row r="119" customFormat="false" ht="14.25" hidden="false" customHeight="true" outlineLevel="0" collapsed="false">
      <c r="A119" s="56" t="s">
        <v>987</v>
      </c>
    </row>
    <row r="120" customFormat="false" ht="15" hidden="false" customHeight="true" outlineLevel="0" collapsed="false">
      <c r="A120" s="16" t="s">
        <v>988</v>
      </c>
    </row>
    <row r="121" customFormat="false" ht="13.5" hidden="false" customHeight="true" outlineLevel="0" collapsed="false"/>
    <row r="122" customFormat="false" ht="13.5" hidden="false" customHeight="true" outlineLevel="0" collapsed="false">
      <c r="A122" s="12" t="s">
        <v>989</v>
      </c>
    </row>
    <row r="123" customFormat="false" ht="14.25" hidden="false" customHeight="true" outlineLevel="0" collapsed="false">
      <c r="A123" s="16" t="s">
        <v>990</v>
      </c>
    </row>
    <row r="124" customFormat="false" ht="13.5" hidden="false" customHeight="true" outlineLevel="0" collapsed="false">
      <c r="A124" s="16" t="s">
        <v>991</v>
      </c>
    </row>
    <row r="125" customFormat="false" ht="13.5" hidden="false" customHeight="true" outlineLevel="0" collapsed="false"/>
    <row r="126" customFormat="false" ht="13.5" hidden="false" customHeight="true" outlineLevel="0" collapsed="false">
      <c r="A126" s="57" t="s">
        <v>992</v>
      </c>
      <c r="B126" s="57" t="s">
        <v>993</v>
      </c>
      <c r="C126" s="57" t="s">
        <v>994</v>
      </c>
      <c r="D126" s="57" t="s">
        <v>995</v>
      </c>
      <c r="E126" s="57" t="s">
        <v>996</v>
      </c>
      <c r="F126" s="57" t="s">
        <v>997</v>
      </c>
      <c r="G126" s="57" t="s">
        <v>998</v>
      </c>
      <c r="H126" s="57" t="s">
        <v>999</v>
      </c>
    </row>
    <row r="127" customFormat="false" ht="13.5" hidden="false" customHeight="true" outlineLevel="0" collapsed="false">
      <c r="A127" s="15" t="s">
        <v>1000</v>
      </c>
      <c r="B127" s="15" t="s">
        <v>1001</v>
      </c>
      <c r="C127" s="15" t="s">
        <v>1002</v>
      </c>
      <c r="D127" s="15" t="s">
        <v>1003</v>
      </c>
      <c r="E127" s="15" t="s">
        <v>1004</v>
      </c>
      <c r="F127" s="15" t="s">
        <v>1005</v>
      </c>
      <c r="G127" s="15" t="s">
        <v>1006</v>
      </c>
      <c r="H127" s="15" t="s">
        <v>1007</v>
      </c>
    </row>
    <row r="128" customFormat="false" ht="13.5" hidden="false" customHeight="true" outlineLevel="0" collapsed="false">
      <c r="A128" s="15" t="s">
        <v>1008</v>
      </c>
      <c r="B128" s="15" t="s">
        <v>1009</v>
      </c>
      <c r="C128" s="15" t="s">
        <v>1010</v>
      </c>
      <c r="D128" s="15" t="s">
        <v>1011</v>
      </c>
      <c r="E128" s="15" t="s">
        <v>404</v>
      </c>
      <c r="F128" s="15" t="s">
        <v>1012</v>
      </c>
      <c r="G128" s="15" t="s">
        <v>1013</v>
      </c>
      <c r="H128" s="15" t="s">
        <v>1007</v>
      </c>
    </row>
    <row r="129" customFormat="false" ht="13.5" hidden="false" customHeight="true" outlineLevel="0" collapsed="false">
      <c r="A129" s="15" t="s">
        <v>1014</v>
      </c>
      <c r="B129" s="15" t="s">
        <v>1015</v>
      </c>
      <c r="C129" s="15" t="s">
        <v>1016</v>
      </c>
      <c r="D129" s="15" t="s">
        <v>1017</v>
      </c>
      <c r="E129" s="15" t="s">
        <v>405</v>
      </c>
      <c r="F129" s="15" t="s">
        <v>1018</v>
      </c>
      <c r="G129" s="15" t="s">
        <v>1019</v>
      </c>
      <c r="H129" s="15" t="s">
        <v>1007</v>
      </c>
    </row>
    <row r="130" customFormat="false" ht="14.25" hidden="false" customHeight="true" outlineLevel="0" collapsed="false">
      <c r="A130" s="15" t="s">
        <v>1020</v>
      </c>
      <c r="B130" s="15" t="s">
        <v>1021</v>
      </c>
      <c r="C130" s="15" t="s">
        <v>1022</v>
      </c>
      <c r="D130" s="15" t="s">
        <v>1023</v>
      </c>
      <c r="E130" s="15" t="s">
        <v>406</v>
      </c>
      <c r="F130" s="15" t="s">
        <v>1024</v>
      </c>
      <c r="G130" s="15" t="s">
        <v>1025</v>
      </c>
      <c r="H130" s="15" t="s">
        <v>1007</v>
      </c>
    </row>
    <row r="131" customFormat="false" ht="13.5" hidden="false" customHeight="true" outlineLevel="0" collapsed="false">
      <c r="A131" s="15" t="s">
        <v>1026</v>
      </c>
      <c r="B131" s="15" t="s">
        <v>1027</v>
      </c>
      <c r="C131" s="15" t="s">
        <v>1016</v>
      </c>
      <c r="D131" s="15" t="s">
        <v>1028</v>
      </c>
      <c r="E131" s="15" t="s">
        <v>1029</v>
      </c>
      <c r="F131" s="15" t="s">
        <v>1030</v>
      </c>
      <c r="G131" s="15" t="s">
        <v>1031</v>
      </c>
      <c r="H131" s="15" t="s">
        <v>1032</v>
      </c>
    </row>
    <row r="132" customFormat="false" ht="13.5" hidden="false" customHeight="true" outlineLevel="0" collapsed="false"/>
    <row r="133" customFormat="false" ht="14.25" hidden="false" customHeight="true" outlineLevel="0" collapsed="false">
      <c r="A133" s="58" t="s">
        <v>1033</v>
      </c>
    </row>
    <row r="134" customFormat="false" ht="15" hidden="false" customHeight="true" outlineLevel="0" collapsed="false">
      <c r="A134" s="16" t="s">
        <v>1034</v>
      </c>
    </row>
    <row r="135" customFormat="false" ht="13.5" hidden="false" customHeight="true" outlineLevel="0" collapsed="false"/>
    <row r="136" customFormat="false" ht="13.5" hidden="false" customHeight="true" outlineLevel="0" collapsed="false">
      <c r="A136" s="12" t="s">
        <v>1035</v>
      </c>
    </row>
    <row r="137" customFormat="false" ht="13.5" hidden="false" customHeight="true" outlineLevel="0" collapsed="false">
      <c r="A137" s="16" t="s">
        <v>1036</v>
      </c>
    </row>
    <row r="138" customFormat="false" ht="13.5" hidden="false" customHeight="true" outlineLevel="0" collapsed="false">
      <c r="A138" s="14" t="s">
        <v>1037</v>
      </c>
      <c r="B138" s="14" t="n">
        <f aca="false">CANON!B130</f>
        <v>1</v>
      </c>
      <c r="C138" s="16" t="s">
        <v>1038</v>
      </c>
    </row>
    <row r="139" customFormat="false" ht="13.5" hidden="false" customHeight="true" outlineLevel="0" collapsed="false">
      <c r="A139" s="14" t="s">
        <v>1039</v>
      </c>
      <c r="B139" s="14" t="str">
        <f aca="false">CANON!B131</f>
        <v>Key stakeholders identified; roles mapped to scopes; coverage documented</v>
      </c>
      <c r="C139" s="13"/>
    </row>
    <row r="140" customFormat="false" ht="13.5" hidden="false" customHeight="true" outlineLevel="0" collapsed="false">
      <c r="A140" s="14" t="s">
        <v>1040</v>
      </c>
      <c r="B140" s="14" t="str">
        <f aca="false">CANON!B132</f>
        <v>Expand to SCI-2: structured discovery protocol with evidence refs</v>
      </c>
      <c r="C140" s="16" t="s">
        <v>1041</v>
      </c>
    </row>
    <row r="141" customFormat="false" ht="14.25" hidden="false" customHeight="true" outlineLevel="0" collapsed="false">
      <c r="A141" s="14" t="s">
        <v>1042</v>
      </c>
      <c r="B141" s="14" t="str">
        <f aca="false">IF(CANON!$B$10=2,"SCI-1",IF(CANON!$B$10=3,"SCI-2","N/A"))</f>
        <v>SCI-1</v>
      </c>
      <c r="C141" s="13"/>
    </row>
    <row r="142" customFormat="false" ht="15" hidden="false" customHeight="true" outlineLevel="0" collapsed="false">
      <c r="A142" s="14" t="s">
        <v>1043</v>
      </c>
      <c r="B142" s="14" t="str">
        <f aca="false">IF(CANON!B130&gt;=IF(CANON!$B$10=2,1,IF(CANON!$B$10=3,2,0)),"YES","NO")</f>
        <v>YES</v>
      </c>
      <c r="C142" s="13"/>
    </row>
    <row r="143" customFormat="false" ht="13.5" hidden="false" customHeight="true" outlineLevel="0" collapsed="false"/>
    <row r="144" customFormat="false" ht="13.5" hidden="false" customHeight="true" outlineLevel="0" collapsed="false">
      <c r="A144" s="12" t="s">
        <v>1044</v>
      </c>
    </row>
    <row r="145" customFormat="false" ht="13.5" hidden="false" customHeight="true" outlineLevel="0" collapsed="false">
      <c r="A145" s="14" t="s">
        <v>1045</v>
      </c>
    </row>
    <row r="146" customFormat="false" ht="13.5" hidden="false" customHeight="true" outlineLevel="0" collapsed="false">
      <c r="A146" s="14" t="s">
        <v>1046</v>
      </c>
    </row>
    <row r="147" customFormat="false" ht="13.5" hidden="false" customHeight="true" outlineLevel="0" collapsed="false">
      <c r="A147" s="14" t="s">
        <v>1047</v>
      </c>
    </row>
    <row r="148" customFormat="false" ht="14.25" hidden="false" customHeight="true" outlineLevel="0" collapsed="false">
      <c r="A148" s="14" t="s">
        <v>1048</v>
      </c>
    </row>
    <row r="149" customFormat="false" ht="14.25" hidden="false" customHeight="true" outlineLevel="0" collapsed="false">
      <c r="A149" s="23" t="s">
        <v>1049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19" min="9" style="0" width="12"/>
  </cols>
  <sheetData>
    <row r="1" customFormat="false" ht="14.25" hidden="false" customHeight="true" outlineLevel="0" collapsed="false">
      <c r="A1" s="59" t="s">
        <v>1050</v>
      </c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1051</v>
      </c>
      <c r="B3" s="37" t="s">
        <v>1052</v>
      </c>
    </row>
    <row r="4" customFormat="false" ht="14.25" hidden="false" customHeight="true" outlineLevel="0" collapsed="false">
      <c r="A4" s="0" t="s">
        <v>1053</v>
      </c>
      <c r="B4" s="0" t="s">
        <v>1054</v>
      </c>
    </row>
    <row r="5" customFormat="false" ht="14.25" hidden="false" customHeight="true" outlineLevel="0" collapsed="false">
      <c r="A5" s="8" t="s">
        <v>1055</v>
      </c>
      <c r="B5" s="0" t="str">
        <f aca="false">"SENSITIVITY_NOT_RUN = "&amp;IF(B3="NOT PERFORMED","YES","NO")&amp;" (REVIEW severity)"</f>
        <v>SENSITIVITY_NOT_RUN = NO (REVIEW severity)</v>
      </c>
    </row>
    <row r="6" customFormat="false" ht="14.25" hidden="false" customHeight="true" outlineLevel="0" collapsed="false"/>
    <row r="7" customFormat="false" ht="14.25" hidden="false" customHeight="true" outlineLevel="0" collapsed="false">
      <c r="A7" s="10" t="s">
        <v>1056</v>
      </c>
    </row>
    <row r="8" customFormat="false" ht="14.25" hidden="false" customHeight="true" outlineLevel="0" collapsed="false">
      <c r="A8" s="10" t="s">
        <v>1057</v>
      </c>
      <c r="B8" s="10" t="s">
        <v>1058</v>
      </c>
      <c r="C8" s="10" t="s">
        <v>1059</v>
      </c>
      <c r="D8" s="10" t="s">
        <v>1060</v>
      </c>
      <c r="E8" s="10" t="s">
        <v>1061</v>
      </c>
      <c r="F8" s="10" t="s">
        <v>1062</v>
      </c>
    </row>
    <row r="9" customFormat="false" ht="14.25" hidden="false" customHeight="true" outlineLevel="0" collapsed="false">
      <c r="A9" s="0" t="s">
        <v>1063</v>
      </c>
      <c r="B9" s="0" t="s">
        <v>1064</v>
      </c>
      <c r="C9" s="0" t="s">
        <v>1065</v>
      </c>
      <c r="D9" s="0" t="str">
        <f aca="false">D34</f>
        <v>A</v>
      </c>
      <c r="E9" s="0" t="str">
        <f aca="false">IF(D9=$D$14,"YES","NO")</f>
        <v>YES</v>
      </c>
      <c r="F9" s="0" t="s">
        <v>1066</v>
      </c>
    </row>
    <row r="10" customFormat="false" ht="14.25" hidden="false" customHeight="true" outlineLevel="0" collapsed="false">
      <c r="A10" s="0" t="s">
        <v>1067</v>
      </c>
      <c r="B10" s="0" t="s">
        <v>1068</v>
      </c>
      <c r="C10" s="0" t="s">
        <v>1065</v>
      </c>
      <c r="D10" s="0" t="str">
        <f aca="false">D35</f>
        <v>A</v>
      </c>
      <c r="E10" s="0" t="str">
        <f aca="false">IF(D10=$D$14,"YES","NO")</f>
        <v>YES</v>
      </c>
      <c r="F10" s="0" t="s">
        <v>1066</v>
      </c>
    </row>
    <row r="11" customFormat="false" ht="14.25" hidden="false" customHeight="true" outlineLevel="0" collapsed="false">
      <c r="A11" s="0" t="s">
        <v>1069</v>
      </c>
      <c r="B11" s="0" t="s">
        <v>1070</v>
      </c>
      <c r="C11" s="0" t="s">
        <v>1065</v>
      </c>
      <c r="D11" s="0" t="str">
        <f aca="false">D36</f>
        <v>A</v>
      </c>
      <c r="E11" s="0" t="str">
        <f aca="false">IF(D11=$D$14,"YES","NO")</f>
        <v>YES</v>
      </c>
      <c r="F11" s="0" t="s">
        <v>1066</v>
      </c>
    </row>
    <row r="12" customFormat="false" ht="14.25" hidden="false" customHeight="true" outlineLevel="0" collapsed="false">
      <c r="A12" s="0" t="s">
        <v>1071</v>
      </c>
      <c r="B12" s="0" t="s">
        <v>1072</v>
      </c>
      <c r="C12" s="0" t="s">
        <v>1073</v>
      </c>
      <c r="D12" s="0" t="str">
        <f aca="false">N122&amp;", "&amp;N123</f>
        <v>PASS, PASS</v>
      </c>
      <c r="E12" s="0" t="str">
        <f aca="false">IF(AND(N122="PASS",N123="PASS"),"YES","NO")</f>
        <v>YES</v>
      </c>
      <c r="F12" s="0" t="s">
        <v>1074</v>
      </c>
    </row>
    <row r="13" customFormat="false" ht="14.25" hidden="false" customHeight="true" outlineLevel="0" collapsed="false">
      <c r="A13" s="10" t="s">
        <v>1075</v>
      </c>
      <c r="B13" s="10" t="s">
        <v>93</v>
      </c>
      <c r="C13" s="10" t="s">
        <v>94</v>
      </c>
      <c r="D13" s="10" t="s">
        <v>1076</v>
      </c>
      <c r="E13" s="10" t="s">
        <v>1077</v>
      </c>
    </row>
    <row r="14" customFormat="false" ht="14.25" hidden="false" customHeight="true" outlineLevel="0" collapsed="false">
      <c r="A14" s="0" t="s">
        <v>1078</v>
      </c>
      <c r="B14" s="31" t="n">
        <f aca="false">RLS!B61</f>
        <v>0.0153129427168233</v>
      </c>
      <c r="C14" s="31" t="n">
        <f aca="false">RLS!B62</f>
        <v>-0.00112238738505248</v>
      </c>
      <c r="D14" s="0" t="str">
        <f aca="false">IF(B14&gt;=C14,"A","B")</f>
        <v>A</v>
      </c>
      <c r="E14" s="0" t="n">
        <f aca="false">B14-C14</f>
        <v>0.0164353301018758</v>
      </c>
    </row>
    <row r="15" customFormat="false" ht="14.25" hidden="false" customHeight="true" outlineLevel="0" collapsed="false">
      <c r="A15" s="8" t="s">
        <v>1079</v>
      </c>
    </row>
    <row r="16" customFormat="false" ht="14.25" hidden="false" customHeight="true" outlineLevel="0" collapsed="false">
      <c r="A16" s="0" t="s">
        <v>1080</v>
      </c>
      <c r="B16" s="0" t="str">
        <f aca="false">IF(AND($D$34=$D$14,$D$35=$D$14,$D$36=$D$14,$N$122="PASS",$N$123="PASS"),"STABLE","CHANGES DETECTED")</f>
        <v>STABLE</v>
      </c>
    </row>
    <row r="17" customFormat="false" ht="14.25" hidden="false" customHeight="true" outlineLevel="0" collapsed="false"/>
    <row r="18" customFormat="false" ht="14.25" hidden="false" customHeight="true" outlineLevel="0" collapsed="false">
      <c r="A18" s="11"/>
    </row>
    <row r="19" customFormat="false" ht="13.5" hidden="false" customHeight="true" outlineLevel="0" collapsed="false"/>
    <row r="20" customFormat="false" ht="14.25" hidden="false" customHeight="true" outlineLevel="0" collapsed="false">
      <c r="A20" s="8"/>
      <c r="K20" s="0" t="s">
        <v>413</v>
      </c>
      <c r="L20" s="0" t="s">
        <v>403</v>
      </c>
      <c r="M20" s="0" t="s">
        <v>412</v>
      </c>
      <c r="N20" s="0" t="s">
        <v>414</v>
      </c>
      <c r="O20" s="0" t="s">
        <v>411</v>
      </c>
      <c r="P20" s="0" t="s">
        <v>498</v>
      </c>
      <c r="Q20" s="0" t="s">
        <v>409</v>
      </c>
    </row>
    <row r="21" customFormat="false" ht="14.25" hidden="false" customHeight="true" outlineLevel="0" collapsed="false">
      <c r="J21" s="0" t="s">
        <v>1081</v>
      </c>
      <c r="K21" s="22" t="n">
        <f aca="false">Parameters!$B$48</f>
        <v>0.142857142857143</v>
      </c>
      <c r="L21" s="22" t="n">
        <f aca="false">Parameters!$B$49</f>
        <v>0.142857142857143</v>
      </c>
      <c r="M21" s="22" t="n">
        <f aca="false">Parameters!$B$50</f>
        <v>0.142857142857143</v>
      </c>
      <c r="N21" s="22" t="n">
        <f aca="false">Parameters!$B$51</f>
        <v>0.142857142857143</v>
      </c>
      <c r="O21" s="22" t="n">
        <f aca="false">Parameters!$B$52</f>
        <v>0.142857142857143</v>
      </c>
      <c r="P21" s="22" t="n">
        <f aca="false">Parameters!$B$53</f>
        <v>0.142857142857143</v>
      </c>
      <c r="Q21" s="22" t="n">
        <f aca="false">Parameters!$B$54</f>
        <v>0.142857142857143</v>
      </c>
    </row>
    <row r="22" customFormat="false" ht="14.25" hidden="false" customHeight="true" outlineLevel="0" collapsed="false">
      <c r="J22" s="0" t="s">
        <v>1082</v>
      </c>
      <c r="K22" s="0" t="n">
        <v>1.1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1</v>
      </c>
    </row>
    <row r="23" customFormat="false" ht="14.25" hidden="false" customHeight="true" outlineLevel="0" collapsed="false">
      <c r="J23" s="0" t="s">
        <v>1083</v>
      </c>
      <c r="K23" s="0" t="n">
        <f aca="false">K$21*K$22/SUMPRODUCT($K$21:$Q$21,$K$22:$Q$22)</f>
        <v>0.154929577464789</v>
      </c>
      <c r="L23" s="0" t="n">
        <f aca="false">L$21*L$22/SUMPRODUCT($K$21:$Q$21,$K$22:$Q$22)</f>
        <v>0.140845070422535</v>
      </c>
      <c r="M23" s="0" t="n">
        <f aca="false">M$21*M$22/SUMPRODUCT($K$21:$Q$21,$K$22:$Q$22)</f>
        <v>0.140845070422535</v>
      </c>
      <c r="N23" s="0" t="n">
        <f aca="false">N$21*N$22/SUMPRODUCT($K$21:$Q$21,$K$22:$Q$22)</f>
        <v>0.140845070422535</v>
      </c>
      <c r="O23" s="0" t="n">
        <f aca="false">O$21*O$22/SUMPRODUCT($K$21:$Q$21,$K$22:$Q$22)</f>
        <v>0.140845070422535</v>
      </c>
      <c r="P23" s="0" t="n">
        <f aca="false">P$21*P$22/SUMPRODUCT($K$21:$Q$21,$K$22:$Q$22)</f>
        <v>0.140845070422535</v>
      </c>
      <c r="Q23" s="0" t="n">
        <f aca="false">Q$21*Q$22/SUMPRODUCT($K$21:$Q$21,$K$22:$Q$22)</f>
        <v>0.140845070422535</v>
      </c>
    </row>
    <row r="24" customFormat="false" ht="14.25" hidden="false" customHeight="true" outlineLevel="0" collapsed="false">
      <c r="J24" s="0" t="s">
        <v>1084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1.1</v>
      </c>
    </row>
    <row r="25" customFormat="false" ht="14.25" hidden="false" customHeight="true" outlineLevel="0" collapsed="false">
      <c r="A25" s="0" t="s">
        <v>1085</v>
      </c>
      <c r="J25" s="0" t="s">
        <v>1086</v>
      </c>
      <c r="K25" s="0" t="n">
        <f aca="false">K$21*K$24/SUMPRODUCT($K$21:$Q$21,$K$24:$Q$24)</f>
        <v>0.140845070422535</v>
      </c>
      <c r="L25" s="0" t="n">
        <f aca="false">L$21*L$24/SUMPRODUCT($K$21:$Q$21,$K$24:$Q$24)</f>
        <v>0.140845070422535</v>
      </c>
      <c r="M25" s="0" t="n">
        <f aca="false">M$21*M$24/SUMPRODUCT($K$21:$Q$21,$K$24:$Q$24)</f>
        <v>0.140845070422535</v>
      </c>
      <c r="N25" s="0" t="n">
        <f aca="false">N$21*N$24/SUMPRODUCT($K$21:$Q$21,$K$24:$Q$24)</f>
        <v>0.140845070422535</v>
      </c>
      <c r="O25" s="0" t="n">
        <f aca="false">O$21*O$24/SUMPRODUCT($K$21:$Q$21,$K$24:$Q$24)</f>
        <v>0.140845070422535</v>
      </c>
      <c r="P25" s="0" t="n">
        <f aca="false">P$21*P$24/SUMPRODUCT($K$21:$Q$21,$K$24:$Q$24)</f>
        <v>0.140845070422535</v>
      </c>
      <c r="Q25" s="0" t="n">
        <f aca="false">Q$21*Q$24/SUMPRODUCT($K$21:$Q$21,$K$24:$Q$24)</f>
        <v>0.154929577464789</v>
      </c>
    </row>
    <row r="26" customFormat="false" ht="13.5" hidden="false" customHeight="true" outlineLevel="0" collapsed="false">
      <c r="J26" s="0" t="s">
        <v>1087</v>
      </c>
      <c r="K26" s="0" t="n">
        <v>1</v>
      </c>
      <c r="L26" s="0" t="n">
        <v>1</v>
      </c>
      <c r="M26" s="0" t="n">
        <v>1.1</v>
      </c>
      <c r="N26" s="0" t="n">
        <v>1</v>
      </c>
      <c r="O26" s="0" t="n">
        <v>1.1</v>
      </c>
      <c r="P26" s="0" t="n">
        <v>1</v>
      </c>
      <c r="Q26" s="0" t="n">
        <v>1</v>
      </c>
    </row>
    <row r="27" customFormat="false" ht="14.25" hidden="false" customHeight="true" outlineLevel="0" collapsed="false">
      <c r="A27" s="8" t="s">
        <v>1088</v>
      </c>
      <c r="J27" s="0" t="s">
        <v>1089</v>
      </c>
      <c r="K27" s="0" t="n">
        <f aca="false">K$21*K$26/SUMPRODUCT($K$21:$Q$21,$K$26:$Q$26)</f>
        <v>0.138888888888889</v>
      </c>
      <c r="L27" s="0" t="n">
        <f aca="false">L$21*L$26/SUMPRODUCT($K$21:$Q$21,$K$26:$Q$26)</f>
        <v>0.138888888888889</v>
      </c>
      <c r="M27" s="0" t="n">
        <f aca="false">M$21*M$26/SUMPRODUCT($K$21:$Q$21,$K$26:$Q$26)</f>
        <v>0.152777777777778</v>
      </c>
      <c r="N27" s="0" t="n">
        <f aca="false">N$21*N$26/SUMPRODUCT($K$21:$Q$21,$K$26:$Q$26)</f>
        <v>0.138888888888889</v>
      </c>
      <c r="O27" s="0" t="n">
        <f aca="false">O$21*O$26/SUMPRODUCT($K$21:$Q$21,$K$26:$Q$26)</f>
        <v>0.152777777777778</v>
      </c>
      <c r="P27" s="0" t="n">
        <f aca="false">P$21*P$26/SUMPRODUCT($K$21:$Q$21,$K$26:$Q$26)</f>
        <v>0.138888888888889</v>
      </c>
      <c r="Q27" s="0" t="n">
        <f aca="false">Q$21*Q$26/SUMPRODUCT($K$21:$Q$21,$K$26:$Q$26)</f>
        <v>0.138888888888889</v>
      </c>
    </row>
    <row r="28" customFormat="false" ht="14.25" hidden="false" customHeight="true" outlineLevel="0" collapsed="false">
      <c r="A28" s="0" t="s">
        <v>1090</v>
      </c>
    </row>
    <row r="29" customFormat="false" ht="14.25" hidden="false" customHeight="true" outlineLevel="0" collapsed="false">
      <c r="A29" s="0" t="s">
        <v>1091</v>
      </c>
      <c r="J29" s="0" t="s">
        <v>1092</v>
      </c>
    </row>
    <row r="30" customFormat="false" ht="14.25" hidden="false" customHeight="true" outlineLevel="0" collapsed="false">
      <c r="I30" s="0" t="s">
        <v>402</v>
      </c>
      <c r="J30" s="22" t="n">
        <f aca="false">Parameters!$B$38</f>
        <v>0.307666666666667</v>
      </c>
      <c r="K30" s="0" t="n">
        <f aca="false">$J30*K$23</f>
        <v>0.0476666666666667</v>
      </c>
      <c r="L30" s="0" t="n">
        <f aca="false">$J30*L$23</f>
        <v>0.0433333333333333</v>
      </c>
      <c r="M30" s="0" t="n">
        <f aca="false">$J30*M$23</f>
        <v>0.0433333333333333</v>
      </c>
      <c r="N30" s="0" t="n">
        <f aca="false">$J30*N$23</f>
        <v>0.0433333333333333</v>
      </c>
      <c r="O30" s="0" t="n">
        <f aca="false">$J30*O$23</f>
        <v>0.0433333333333333</v>
      </c>
      <c r="P30" s="0" t="n">
        <f aca="false">$J30*P$23</f>
        <v>0.0433333333333333</v>
      </c>
      <c r="Q30" s="0" t="n">
        <f aca="false">$J30*Q$23</f>
        <v>0.0433333333333333</v>
      </c>
    </row>
    <row r="31" customFormat="false" ht="13.5" hidden="false" customHeight="true" outlineLevel="0" collapsed="false">
      <c r="I31" s="0" t="s">
        <v>404</v>
      </c>
      <c r="J31" s="22" t="n">
        <f aca="false">Parameters!$B$39</f>
        <v>0.156333333333333</v>
      </c>
      <c r="K31" s="0" t="n">
        <f aca="false">$J31*K$23</f>
        <v>0.0242206572769953</v>
      </c>
      <c r="L31" s="0" t="n">
        <f aca="false">$J31*L$23</f>
        <v>0.022018779342723</v>
      </c>
      <c r="M31" s="0" t="n">
        <f aca="false">$J31*M$23</f>
        <v>0.022018779342723</v>
      </c>
      <c r="N31" s="0" t="n">
        <f aca="false">$J31*N$23</f>
        <v>0.022018779342723</v>
      </c>
      <c r="O31" s="0" t="n">
        <f aca="false">$J31*O$23</f>
        <v>0.022018779342723</v>
      </c>
      <c r="P31" s="0" t="n">
        <f aca="false">$J31*P$23</f>
        <v>0.022018779342723</v>
      </c>
      <c r="Q31" s="0" t="n">
        <f aca="false">$J31*Q$23</f>
        <v>0.022018779342723</v>
      </c>
    </row>
    <row r="32" customFormat="false" ht="14.25" hidden="false" customHeight="true" outlineLevel="0" collapsed="false">
      <c r="A32" s="8" t="s">
        <v>1093</v>
      </c>
      <c r="I32" s="0" t="s">
        <v>405</v>
      </c>
      <c r="J32" s="22" t="n">
        <f aca="false">Parameters!$B$40</f>
        <v>0.122333333333333</v>
      </c>
      <c r="K32" s="0" t="n">
        <f aca="false">$J32*K$23</f>
        <v>0.0189530516431925</v>
      </c>
      <c r="L32" s="0" t="n">
        <f aca="false">$J32*L$23</f>
        <v>0.0172300469483568</v>
      </c>
      <c r="M32" s="0" t="n">
        <f aca="false">$J32*M$23</f>
        <v>0.0172300469483568</v>
      </c>
      <c r="N32" s="0" t="n">
        <f aca="false">$J32*N$23</f>
        <v>0.0172300469483568</v>
      </c>
      <c r="O32" s="0" t="n">
        <f aca="false">$J32*O$23</f>
        <v>0.0172300469483568</v>
      </c>
      <c r="P32" s="0" t="n">
        <f aca="false">$J32*P$23</f>
        <v>0.0172300469483568</v>
      </c>
      <c r="Q32" s="0" t="n">
        <f aca="false">$J32*Q$23</f>
        <v>0.0172300469483568</v>
      </c>
    </row>
    <row r="33" customFormat="false" ht="14.25" hidden="false" customHeight="true" outlineLevel="0" collapsed="false">
      <c r="A33" s="10" t="s">
        <v>1094</v>
      </c>
      <c r="B33" s="10"/>
      <c r="C33" s="10"/>
      <c r="D33" s="10"/>
      <c r="E33" s="10"/>
      <c r="I33" s="0" t="s">
        <v>406</v>
      </c>
      <c r="J33" s="22" t="n">
        <f aca="false">Parameters!$B$41</f>
        <v>0.116666666666667</v>
      </c>
      <c r="K33" s="0" t="n">
        <f aca="false">$J33*K$23</f>
        <v>0.018075117370892</v>
      </c>
      <c r="L33" s="0" t="n">
        <f aca="false">$J33*L$23</f>
        <v>0.0164319248826291</v>
      </c>
      <c r="M33" s="0" t="n">
        <f aca="false">$J33*M$23</f>
        <v>0.0164319248826291</v>
      </c>
      <c r="N33" s="0" t="n">
        <f aca="false">$J33*N$23</f>
        <v>0.0164319248826291</v>
      </c>
      <c r="O33" s="0" t="n">
        <f aca="false">$J33*O$23</f>
        <v>0.0164319248826291</v>
      </c>
      <c r="P33" s="0" t="n">
        <f aca="false">$J33*P$23</f>
        <v>0.0164319248826291</v>
      </c>
      <c r="Q33" s="0" t="n">
        <f aca="false">$J33*Q$23</f>
        <v>0.0164319248826291</v>
      </c>
    </row>
    <row r="34" customFormat="false" ht="14.25" hidden="false" customHeight="true" outlineLevel="0" collapsed="false">
      <c r="A34" s="0" t="s">
        <v>1095</v>
      </c>
      <c r="B34" s="0" t="n">
        <f aca="false">SUMPRODUCT(I_prop!$B$7:$H$13,$K$30:$Q$36)</f>
        <v>0.0150241965389995</v>
      </c>
      <c r="C34" s="0" t="n">
        <f aca="false">SUMPRODUCT(I_prop!$B$18:$H$24,$K$30:$Q$36)</f>
        <v>-0.00110774151833579</v>
      </c>
      <c r="D34" s="0" t="str">
        <f aca="false">IF(B34&gt;=C34,"A","B")</f>
        <v>A</v>
      </c>
      <c r="E34" s="0" t="n">
        <f aca="false">B34-C34</f>
        <v>0.0161319380573353</v>
      </c>
      <c r="I34" s="0" t="s">
        <v>407</v>
      </c>
      <c r="J34" s="22" t="n">
        <f aca="false">Parameters!$B$42</f>
        <v>0.0913333333333333</v>
      </c>
      <c r="K34" s="0" t="n">
        <f aca="false">$J34*K$23</f>
        <v>0.014150234741784</v>
      </c>
      <c r="L34" s="0" t="n">
        <f aca="false">$J34*L$23</f>
        <v>0.0128638497652582</v>
      </c>
      <c r="M34" s="0" t="n">
        <f aca="false">$J34*M$23</f>
        <v>0.0128638497652582</v>
      </c>
      <c r="N34" s="0" t="n">
        <f aca="false">$J34*N$23</f>
        <v>0.0128638497652582</v>
      </c>
      <c r="O34" s="0" t="n">
        <f aca="false">$J34*O$23</f>
        <v>0.0128638497652582</v>
      </c>
      <c r="P34" s="0" t="n">
        <f aca="false">$J34*P$23</f>
        <v>0.0128638497652582</v>
      </c>
      <c r="Q34" s="0" t="n">
        <f aca="false">$J34*Q$23</f>
        <v>0.0128638497652582</v>
      </c>
    </row>
    <row r="35" customFormat="false" ht="14.25" hidden="false" customHeight="true" outlineLevel="0" collapsed="false">
      <c r="A35" s="0" t="s">
        <v>1096</v>
      </c>
      <c r="B35" s="0" t="n">
        <f aca="false">SUMPRODUCT(I_prop!$B$7:$H$13,$K$40:$Q$46)</f>
        <v>0.015119329005832</v>
      </c>
      <c r="C35" s="0" t="n">
        <f aca="false">SUMPRODUCT(I_prop!$B$18:$H$24,$K$40:$Q$46)</f>
        <v>-0.00112128744340368</v>
      </c>
      <c r="D35" s="0" t="str">
        <f aca="false">IF(B35&gt;=C35,"A","B")</f>
        <v>A</v>
      </c>
      <c r="E35" s="0" t="n">
        <f aca="false">B35-C35</f>
        <v>0.0162406164492357</v>
      </c>
      <c r="I35" s="0" t="s">
        <v>408</v>
      </c>
      <c r="J35" s="22" t="n">
        <f aca="false">Parameters!$B$43</f>
        <v>0.1034</v>
      </c>
      <c r="K35" s="0" t="n">
        <f aca="false">$J35*K$23</f>
        <v>0.0160197183098592</v>
      </c>
      <c r="L35" s="0" t="n">
        <f aca="false">$J35*L$23</f>
        <v>0.0145633802816901</v>
      </c>
      <c r="M35" s="0" t="n">
        <f aca="false">$J35*M$23</f>
        <v>0.0145633802816901</v>
      </c>
      <c r="N35" s="0" t="n">
        <f aca="false">$J35*N$23</f>
        <v>0.0145633802816901</v>
      </c>
      <c r="O35" s="0" t="n">
        <f aca="false">$J35*O$23</f>
        <v>0.0145633802816901</v>
      </c>
      <c r="P35" s="0" t="n">
        <f aca="false">$J35*P$23</f>
        <v>0.0145633802816901</v>
      </c>
      <c r="Q35" s="0" t="n">
        <f aca="false">$J35*Q$23</f>
        <v>0.0145633802816901</v>
      </c>
    </row>
    <row r="36" customFormat="false" ht="13.5" hidden="false" customHeight="true" outlineLevel="0" collapsed="false">
      <c r="A36" s="0" t="s">
        <v>1097</v>
      </c>
      <c r="B36" s="0" t="n">
        <f aca="false">SUMPRODUCT(I_prop!$B$7:$H$13,$K$50:$Q$56)</f>
        <v>0.0158144718551195</v>
      </c>
      <c r="C36" s="0" t="n">
        <f aca="false">SUMPRODUCT(I_prop!$B$18:$H$24,$K$50:$Q$56)</f>
        <v>-0.00118468064267897</v>
      </c>
      <c r="D36" s="0" t="str">
        <f aca="false">IF(B36&gt;=C36,"A","B")</f>
        <v>A</v>
      </c>
      <c r="E36" s="0" t="n">
        <f aca="false">B36-C36</f>
        <v>0.0169991524977984</v>
      </c>
      <c r="I36" s="0" t="s">
        <v>410</v>
      </c>
      <c r="J36" s="22" t="n">
        <f aca="false">Parameters!$B$44</f>
        <v>0.102266666666667</v>
      </c>
      <c r="K36" s="0" t="n">
        <f aca="false">$J36*K$23</f>
        <v>0.0158441314553991</v>
      </c>
      <c r="L36" s="0" t="n">
        <f aca="false">$J36*L$23</f>
        <v>0.0144037558685446</v>
      </c>
      <c r="M36" s="0" t="n">
        <f aca="false">$J36*M$23</f>
        <v>0.0144037558685446</v>
      </c>
      <c r="N36" s="0" t="n">
        <f aca="false">$J36*N$23</f>
        <v>0.0144037558685446</v>
      </c>
      <c r="O36" s="0" t="n">
        <f aca="false">$J36*O$23</f>
        <v>0.0144037558685446</v>
      </c>
      <c r="P36" s="0" t="n">
        <f aca="false">$J36*P$23</f>
        <v>0.0144037558685446</v>
      </c>
      <c r="Q36" s="0" t="n">
        <f aca="false">$J36*Q$23</f>
        <v>0.0144037558685446</v>
      </c>
    </row>
    <row r="37" customFormat="false" ht="14.25" hidden="false" customHeight="true" outlineLevel="0" collapsed="false">
      <c r="A37" s="37" t="s">
        <v>1098</v>
      </c>
    </row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>
      <c r="I40" s="0" t="s">
        <v>402</v>
      </c>
      <c r="J40" s="22" t="n">
        <f aca="false">Parameters!$B$38</f>
        <v>0.307666666666667</v>
      </c>
      <c r="K40" s="0" t="n">
        <f aca="false">$J40*K$25</f>
        <v>0.0433333333333333</v>
      </c>
      <c r="L40" s="0" t="n">
        <f aca="false">$J40*L$25</f>
        <v>0.0433333333333333</v>
      </c>
      <c r="M40" s="0" t="n">
        <f aca="false">$J40*M$25</f>
        <v>0.0433333333333333</v>
      </c>
      <c r="N40" s="0" t="n">
        <f aca="false">$J40*N$25</f>
        <v>0.0433333333333333</v>
      </c>
      <c r="O40" s="0" t="n">
        <f aca="false">$J40*O$25</f>
        <v>0.0433333333333333</v>
      </c>
      <c r="P40" s="0" t="n">
        <f aca="false">$J40*P$25</f>
        <v>0.0433333333333333</v>
      </c>
      <c r="Q40" s="0" t="n">
        <f aca="false">$J40*Q$25</f>
        <v>0.0476666666666667</v>
      </c>
    </row>
    <row r="41" customFormat="false" ht="13.5" hidden="false" customHeight="true" outlineLevel="0" collapsed="false">
      <c r="I41" s="0" t="s">
        <v>404</v>
      </c>
      <c r="J41" s="22" t="n">
        <f aca="false">Parameters!$B$39</f>
        <v>0.156333333333333</v>
      </c>
      <c r="K41" s="0" t="n">
        <f aca="false">$J41*K$25</f>
        <v>0.022018779342723</v>
      </c>
      <c r="L41" s="0" t="n">
        <f aca="false">$J41*L$25</f>
        <v>0.022018779342723</v>
      </c>
      <c r="M41" s="0" t="n">
        <f aca="false">$J41*M$25</f>
        <v>0.022018779342723</v>
      </c>
      <c r="N41" s="0" t="n">
        <f aca="false">$J41*N$25</f>
        <v>0.022018779342723</v>
      </c>
      <c r="O41" s="0" t="n">
        <f aca="false">$J41*O$25</f>
        <v>0.022018779342723</v>
      </c>
      <c r="P41" s="0" t="n">
        <f aca="false">$J41*P$25</f>
        <v>0.022018779342723</v>
      </c>
      <c r="Q41" s="0" t="n">
        <f aca="false">$J41*Q$25</f>
        <v>0.0242206572769953</v>
      </c>
    </row>
    <row r="42" customFormat="false" ht="13.5" hidden="false" customHeight="true" outlineLevel="0" collapsed="false">
      <c r="I42" s="0" t="s">
        <v>405</v>
      </c>
      <c r="J42" s="22" t="n">
        <f aca="false">Parameters!$B$40</f>
        <v>0.122333333333333</v>
      </c>
      <c r="K42" s="0" t="n">
        <f aca="false">$J42*K$25</f>
        <v>0.0172300469483568</v>
      </c>
      <c r="L42" s="0" t="n">
        <f aca="false">$J42*L$25</f>
        <v>0.0172300469483568</v>
      </c>
      <c r="M42" s="0" t="n">
        <f aca="false">$J42*M$25</f>
        <v>0.0172300469483568</v>
      </c>
      <c r="N42" s="0" t="n">
        <f aca="false">$J42*N$25</f>
        <v>0.0172300469483568</v>
      </c>
      <c r="O42" s="0" t="n">
        <f aca="false">$J42*O$25</f>
        <v>0.0172300469483568</v>
      </c>
      <c r="P42" s="0" t="n">
        <f aca="false">$J42*P$25</f>
        <v>0.0172300469483568</v>
      </c>
      <c r="Q42" s="0" t="n">
        <f aca="false">$J42*Q$25</f>
        <v>0.0189530516431925</v>
      </c>
    </row>
    <row r="43" customFormat="false" ht="13.5" hidden="false" customHeight="true" outlineLevel="0" collapsed="false">
      <c r="I43" s="0" t="s">
        <v>406</v>
      </c>
      <c r="J43" s="22" t="n">
        <f aca="false">Parameters!$B$41</f>
        <v>0.116666666666667</v>
      </c>
      <c r="K43" s="0" t="n">
        <f aca="false">$J43*K$25</f>
        <v>0.0164319248826291</v>
      </c>
      <c r="L43" s="0" t="n">
        <f aca="false">$J43*L$25</f>
        <v>0.0164319248826291</v>
      </c>
      <c r="M43" s="0" t="n">
        <f aca="false">$J43*M$25</f>
        <v>0.0164319248826291</v>
      </c>
      <c r="N43" s="0" t="n">
        <f aca="false">$J43*N$25</f>
        <v>0.0164319248826291</v>
      </c>
      <c r="O43" s="0" t="n">
        <f aca="false">$J43*O$25</f>
        <v>0.0164319248826291</v>
      </c>
      <c r="P43" s="0" t="n">
        <f aca="false">$J43*P$25</f>
        <v>0.0164319248826291</v>
      </c>
      <c r="Q43" s="0" t="n">
        <f aca="false">$J43*Q$25</f>
        <v>0.018075117370892</v>
      </c>
    </row>
    <row r="44" customFormat="false" ht="13.5" hidden="false" customHeight="true" outlineLevel="0" collapsed="false">
      <c r="I44" s="0" t="s">
        <v>407</v>
      </c>
      <c r="J44" s="22" t="n">
        <f aca="false">Parameters!$B$42</f>
        <v>0.0913333333333333</v>
      </c>
      <c r="K44" s="0" t="n">
        <f aca="false">$J44*K$25</f>
        <v>0.0128638497652582</v>
      </c>
      <c r="L44" s="0" t="n">
        <f aca="false">$J44*L$25</f>
        <v>0.0128638497652582</v>
      </c>
      <c r="M44" s="0" t="n">
        <f aca="false">$J44*M$25</f>
        <v>0.0128638497652582</v>
      </c>
      <c r="N44" s="0" t="n">
        <f aca="false">$J44*N$25</f>
        <v>0.0128638497652582</v>
      </c>
      <c r="O44" s="0" t="n">
        <f aca="false">$J44*O$25</f>
        <v>0.0128638497652582</v>
      </c>
      <c r="P44" s="0" t="n">
        <f aca="false">$J44*P$25</f>
        <v>0.0128638497652582</v>
      </c>
      <c r="Q44" s="0" t="n">
        <f aca="false">$J44*Q$25</f>
        <v>0.014150234741784</v>
      </c>
    </row>
    <row r="45" customFormat="false" ht="13.5" hidden="false" customHeight="true" outlineLevel="0" collapsed="false">
      <c r="I45" s="0" t="s">
        <v>408</v>
      </c>
      <c r="J45" s="22" t="n">
        <f aca="false">Parameters!$B$43</f>
        <v>0.1034</v>
      </c>
      <c r="K45" s="0" t="n">
        <f aca="false">$J45*K$25</f>
        <v>0.0145633802816901</v>
      </c>
      <c r="L45" s="0" t="n">
        <f aca="false">$J45*L$25</f>
        <v>0.0145633802816901</v>
      </c>
      <c r="M45" s="0" t="n">
        <f aca="false">$J45*M$25</f>
        <v>0.0145633802816901</v>
      </c>
      <c r="N45" s="0" t="n">
        <f aca="false">$J45*N$25</f>
        <v>0.0145633802816901</v>
      </c>
      <c r="O45" s="0" t="n">
        <f aca="false">$J45*O$25</f>
        <v>0.0145633802816901</v>
      </c>
      <c r="P45" s="0" t="n">
        <f aca="false">$J45*P$25</f>
        <v>0.0145633802816901</v>
      </c>
      <c r="Q45" s="0" t="n">
        <f aca="false">$J45*Q$25</f>
        <v>0.0160197183098592</v>
      </c>
    </row>
    <row r="46" customFormat="false" ht="13.5" hidden="false" customHeight="true" outlineLevel="0" collapsed="false">
      <c r="I46" s="0" t="s">
        <v>410</v>
      </c>
      <c r="J46" s="22" t="n">
        <f aca="false">Parameters!$B$44</f>
        <v>0.102266666666667</v>
      </c>
      <c r="K46" s="0" t="n">
        <f aca="false">$J46*K$25</f>
        <v>0.0144037558685446</v>
      </c>
      <c r="L46" s="0" t="n">
        <f aca="false">$J46*L$25</f>
        <v>0.0144037558685446</v>
      </c>
      <c r="M46" s="0" t="n">
        <f aca="false">$J46*M$25</f>
        <v>0.0144037558685446</v>
      </c>
      <c r="N46" s="0" t="n">
        <f aca="false">$J46*N$25</f>
        <v>0.0144037558685446</v>
      </c>
      <c r="O46" s="0" t="n">
        <f aca="false">$J46*O$25</f>
        <v>0.0144037558685446</v>
      </c>
      <c r="P46" s="0" t="n">
        <f aca="false">$J46*P$25</f>
        <v>0.0144037558685446</v>
      </c>
      <c r="Q46" s="0" t="n">
        <f aca="false">$J46*Q$25</f>
        <v>0.0158441314553991</v>
      </c>
    </row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>
      <c r="I50" s="0" t="s">
        <v>402</v>
      </c>
      <c r="J50" s="22" t="n">
        <f aca="false">Parameters!$B$38</f>
        <v>0.307666666666667</v>
      </c>
      <c r="K50" s="0" t="n">
        <f aca="false">$J50*K$27</f>
        <v>0.0427314814814815</v>
      </c>
      <c r="L50" s="0" t="n">
        <f aca="false">$J50*L$27</f>
        <v>0.0427314814814815</v>
      </c>
      <c r="M50" s="0" t="n">
        <f aca="false">$J50*M$27</f>
        <v>0.0470046296296296</v>
      </c>
      <c r="N50" s="0" t="n">
        <f aca="false">$J50*N$27</f>
        <v>0.0427314814814815</v>
      </c>
      <c r="O50" s="0" t="n">
        <f aca="false">$J50*O$27</f>
        <v>0.0470046296296296</v>
      </c>
      <c r="P50" s="0" t="n">
        <f aca="false">$J50*P$27</f>
        <v>0.0427314814814815</v>
      </c>
      <c r="Q50" s="0" t="n">
        <f aca="false">$J50*Q$27</f>
        <v>0.0427314814814815</v>
      </c>
    </row>
    <row r="51" customFormat="false" ht="13.5" hidden="false" customHeight="true" outlineLevel="0" collapsed="false">
      <c r="I51" s="0" t="s">
        <v>404</v>
      </c>
      <c r="J51" s="22" t="n">
        <f aca="false">Parameters!$B$39</f>
        <v>0.156333333333333</v>
      </c>
      <c r="K51" s="0" t="n">
        <f aca="false">$J51*K$27</f>
        <v>0.021712962962963</v>
      </c>
      <c r="L51" s="0" t="n">
        <f aca="false">$J51*L$27</f>
        <v>0.021712962962963</v>
      </c>
      <c r="M51" s="0" t="n">
        <f aca="false">$J51*M$27</f>
        <v>0.0238842592592593</v>
      </c>
      <c r="N51" s="0" t="n">
        <f aca="false">$J51*N$27</f>
        <v>0.021712962962963</v>
      </c>
      <c r="O51" s="0" t="n">
        <f aca="false">$J51*O$27</f>
        <v>0.0238842592592593</v>
      </c>
      <c r="P51" s="0" t="n">
        <f aca="false">$J51*P$27</f>
        <v>0.021712962962963</v>
      </c>
      <c r="Q51" s="0" t="n">
        <f aca="false">$J51*Q$27</f>
        <v>0.021712962962963</v>
      </c>
    </row>
    <row r="52" customFormat="false" ht="13.5" hidden="false" customHeight="true" outlineLevel="0" collapsed="false">
      <c r="I52" s="0" t="s">
        <v>405</v>
      </c>
      <c r="J52" s="22" t="n">
        <f aca="false">Parameters!$B$40</f>
        <v>0.122333333333333</v>
      </c>
      <c r="K52" s="0" t="n">
        <f aca="false">$J52*K$27</f>
        <v>0.0169907407407407</v>
      </c>
      <c r="L52" s="0" t="n">
        <f aca="false">$J52*L$27</f>
        <v>0.0169907407407407</v>
      </c>
      <c r="M52" s="0" t="n">
        <f aca="false">$J52*M$27</f>
        <v>0.0186898148148148</v>
      </c>
      <c r="N52" s="0" t="n">
        <f aca="false">$J52*N$27</f>
        <v>0.0169907407407407</v>
      </c>
      <c r="O52" s="0" t="n">
        <f aca="false">$J52*O$27</f>
        <v>0.0186898148148148</v>
      </c>
      <c r="P52" s="0" t="n">
        <f aca="false">$J52*P$27</f>
        <v>0.0169907407407407</v>
      </c>
      <c r="Q52" s="0" t="n">
        <f aca="false">$J52*Q$27</f>
        <v>0.0169907407407407</v>
      </c>
    </row>
    <row r="53" customFormat="false" ht="13.5" hidden="false" customHeight="true" outlineLevel="0" collapsed="false">
      <c r="I53" s="0" t="s">
        <v>406</v>
      </c>
      <c r="J53" s="22" t="n">
        <f aca="false">Parameters!$B$41</f>
        <v>0.116666666666667</v>
      </c>
      <c r="K53" s="0" t="n">
        <f aca="false">$J53*K$27</f>
        <v>0.0162037037037037</v>
      </c>
      <c r="L53" s="0" t="n">
        <f aca="false">$J53*L$27</f>
        <v>0.0162037037037037</v>
      </c>
      <c r="M53" s="0" t="n">
        <f aca="false">$J53*M$27</f>
        <v>0.0178240740740741</v>
      </c>
      <c r="N53" s="0" t="n">
        <f aca="false">$J53*N$27</f>
        <v>0.0162037037037037</v>
      </c>
      <c r="O53" s="0" t="n">
        <f aca="false">$J53*O$27</f>
        <v>0.0178240740740741</v>
      </c>
      <c r="P53" s="0" t="n">
        <f aca="false">$J53*P$27</f>
        <v>0.0162037037037037</v>
      </c>
      <c r="Q53" s="0" t="n">
        <f aca="false">$J53*Q$27</f>
        <v>0.0162037037037037</v>
      </c>
    </row>
    <row r="54" customFormat="false" ht="13.5" hidden="false" customHeight="true" outlineLevel="0" collapsed="false">
      <c r="I54" s="0" t="s">
        <v>407</v>
      </c>
      <c r="J54" s="22" t="n">
        <f aca="false">Parameters!$B$42</f>
        <v>0.0913333333333333</v>
      </c>
      <c r="K54" s="0" t="n">
        <f aca="false">$J54*K$27</f>
        <v>0.0126851851851852</v>
      </c>
      <c r="L54" s="0" t="n">
        <f aca="false">$J54*L$27</f>
        <v>0.0126851851851852</v>
      </c>
      <c r="M54" s="0" t="n">
        <f aca="false">$J54*M$27</f>
        <v>0.0139537037037037</v>
      </c>
      <c r="N54" s="0" t="n">
        <f aca="false">$J54*N$27</f>
        <v>0.0126851851851852</v>
      </c>
      <c r="O54" s="0" t="n">
        <f aca="false">$J54*O$27</f>
        <v>0.0139537037037037</v>
      </c>
      <c r="P54" s="0" t="n">
        <f aca="false">$J54*P$27</f>
        <v>0.0126851851851852</v>
      </c>
      <c r="Q54" s="0" t="n">
        <f aca="false">$J54*Q$27</f>
        <v>0.0126851851851852</v>
      </c>
    </row>
    <row r="55" customFormat="false" ht="13.5" hidden="false" customHeight="true" outlineLevel="0" collapsed="false">
      <c r="I55" s="0" t="s">
        <v>408</v>
      </c>
      <c r="J55" s="22" t="n">
        <f aca="false">Parameters!$B$43</f>
        <v>0.1034</v>
      </c>
      <c r="K55" s="0" t="n">
        <f aca="false">$J55*K$27</f>
        <v>0.0143611111111111</v>
      </c>
      <c r="L55" s="0" t="n">
        <f aca="false">$J55*L$27</f>
        <v>0.0143611111111111</v>
      </c>
      <c r="M55" s="0" t="n">
        <f aca="false">$J55*M$27</f>
        <v>0.0157972222222222</v>
      </c>
      <c r="N55" s="0" t="n">
        <f aca="false">$J55*N$27</f>
        <v>0.0143611111111111</v>
      </c>
      <c r="O55" s="0" t="n">
        <f aca="false">$J55*O$27</f>
        <v>0.0157972222222222</v>
      </c>
      <c r="P55" s="0" t="n">
        <f aca="false">$J55*P$27</f>
        <v>0.0143611111111111</v>
      </c>
      <c r="Q55" s="0" t="n">
        <f aca="false">$J55*Q$27</f>
        <v>0.0143611111111111</v>
      </c>
    </row>
    <row r="56" customFormat="false" ht="13.5" hidden="false" customHeight="true" outlineLevel="0" collapsed="false">
      <c r="I56" s="0" t="s">
        <v>410</v>
      </c>
      <c r="J56" s="22" t="n">
        <f aca="false">Parameters!$B$44</f>
        <v>0.102266666666667</v>
      </c>
      <c r="K56" s="0" t="n">
        <f aca="false">$J56*K$27</f>
        <v>0.0142037037037037</v>
      </c>
      <c r="L56" s="0" t="n">
        <f aca="false">$J56*L$27</f>
        <v>0.0142037037037037</v>
      </c>
      <c r="M56" s="0" t="n">
        <f aca="false">$J56*M$27</f>
        <v>0.0156240740740741</v>
      </c>
      <c r="N56" s="0" t="n">
        <f aca="false">$J56*N$27</f>
        <v>0.0142037037037037</v>
      </c>
      <c r="O56" s="0" t="n">
        <f aca="false">$J56*O$27</f>
        <v>0.0156240740740741</v>
      </c>
      <c r="P56" s="0" t="n">
        <f aca="false">$J56*P$27</f>
        <v>0.0142037037037037</v>
      </c>
      <c r="Q56" s="0" t="n">
        <f aca="false">$J56*Q$27</f>
        <v>0.0142037037037037</v>
      </c>
    </row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>
      <c r="J100" s="0" t="s">
        <v>525</v>
      </c>
      <c r="K100" s="0" t="s">
        <v>1099</v>
      </c>
      <c r="L100" s="0" t="s">
        <v>1100</v>
      </c>
      <c r="M100" s="0" t="s">
        <v>1101</v>
      </c>
      <c r="N100" s="0" t="s">
        <v>1102</v>
      </c>
      <c r="O100" s="0" t="s">
        <v>1103</v>
      </c>
    </row>
    <row r="101" customFormat="false" ht="13.5" hidden="false" customHeight="true" outlineLevel="0" collapsed="false">
      <c r="J101" s="0" t="str">
        <f aca="false">TRC!B15</f>
        <v>S06</v>
      </c>
      <c r="K101" s="0" t="n">
        <f aca="false">TRC!D15</f>
        <v>0.03</v>
      </c>
      <c r="L101" s="0" t="n">
        <f aca="false">IF(OR(J101="S06",J101="S04",J101="S03"),1.2,1)</f>
        <v>1.2</v>
      </c>
      <c r="M101" s="0" t="n">
        <f aca="false">K101*L101/SUMPRODUCT($K$101:$K$107,$L$101:$L$107)</f>
        <v>0.0347490347490347</v>
      </c>
      <c r="N101" s="0" t="n">
        <f aca="false">IF(OR(J101="S06",J101="S04",J101="S03"),0.8,1)</f>
        <v>0.8</v>
      </c>
      <c r="O101" s="0" t="n">
        <f aca="false">K101*N101/SUMPRODUCT($K$101:$K$107,$N$101:$N$107)</f>
        <v>0.024896265560166</v>
      </c>
    </row>
    <row r="102" customFormat="false" ht="13.5" hidden="false" customHeight="true" outlineLevel="0" collapsed="false">
      <c r="J102" s="0" t="str">
        <f aca="false">TRC!B16</f>
        <v>S04</v>
      </c>
      <c r="K102" s="0" t="n">
        <f aca="false">TRC!D16</f>
        <v>0.07</v>
      </c>
      <c r="L102" s="0" t="n">
        <f aca="false">IF(OR(J102="S06",J102="S04",J102="S03"),1.2,1)</f>
        <v>1.2</v>
      </c>
      <c r="M102" s="0" t="n">
        <f aca="false">K102*L102/SUMPRODUCT($K$101:$K$107,$L$101:$L$107)</f>
        <v>0.0810810810810811</v>
      </c>
      <c r="N102" s="0" t="n">
        <f aca="false">IF(OR(J102="S06",J102="S04",J102="S03"),0.8,1)</f>
        <v>0.8</v>
      </c>
      <c r="O102" s="0" t="n">
        <f aca="false">K102*N102/SUMPRODUCT($K$101:$K$107,$N$101:$N$107)</f>
        <v>0.058091286307054</v>
      </c>
    </row>
    <row r="103" customFormat="false" ht="13.5" hidden="false" customHeight="true" outlineLevel="0" collapsed="false">
      <c r="J103" s="0" t="str">
        <f aca="false">TRC!B17</f>
        <v>S03</v>
      </c>
      <c r="K103" s="0" t="n">
        <f aca="false">TRC!D17</f>
        <v>0.08</v>
      </c>
      <c r="L103" s="0" t="n">
        <f aca="false">IF(OR(J103="S06",J103="S04",J103="S03"),1.2,1)</f>
        <v>1.2</v>
      </c>
      <c r="M103" s="0" t="n">
        <f aca="false">K103*L103/SUMPRODUCT($K$101:$K$107,$L$101:$L$107)</f>
        <v>0.0926640926640927</v>
      </c>
      <c r="N103" s="0" t="n">
        <f aca="false">IF(OR(J103="S06",J103="S04",J103="S03"),0.8,1)</f>
        <v>0.8</v>
      </c>
      <c r="O103" s="0" t="n">
        <f aca="false">K103*N103/SUMPRODUCT($K$101:$K$107,$N$101:$N$107)</f>
        <v>0.0663900414937759</v>
      </c>
    </row>
    <row r="104" customFormat="false" ht="13.5" hidden="false" customHeight="true" outlineLevel="0" collapsed="false">
      <c r="J104" s="0" t="str">
        <f aca="false">TRC!B18</f>
        <v>S05</v>
      </c>
      <c r="K104" s="0" t="n">
        <f aca="false">TRC!D18</f>
        <v>0.05</v>
      </c>
      <c r="L104" s="0" t="n">
        <f aca="false">IF(OR(J104="S06",J104="S04",J104="S03"),1.2,1)</f>
        <v>1</v>
      </c>
      <c r="M104" s="0" t="n">
        <f aca="false">K104*L104/SUMPRODUCT($K$101:$K$107,$L$101:$L$107)</f>
        <v>0.0482625482625483</v>
      </c>
      <c r="N104" s="0" t="n">
        <f aca="false">IF(OR(J104="S06",J104="S04",J104="S03"),0.8,1)</f>
        <v>1</v>
      </c>
      <c r="O104" s="0" t="n">
        <f aca="false">K104*N104/SUMPRODUCT($K$101:$K$107,$N$101:$N$107)</f>
        <v>0.0518672199170125</v>
      </c>
    </row>
    <row r="105" customFormat="false" ht="13.5" hidden="false" customHeight="true" outlineLevel="0" collapsed="false">
      <c r="J105" s="0" t="str">
        <f aca="false">TRC!B19</f>
        <v>S07</v>
      </c>
      <c r="K105" s="0" t="n">
        <f aca="false">TRC!D19</f>
        <v>0.02</v>
      </c>
      <c r="L105" s="0" t="n">
        <f aca="false">IF(OR(J105="S06",J105="S04",J105="S03"),1.2,1)</f>
        <v>1</v>
      </c>
      <c r="M105" s="0" t="n">
        <f aca="false">K105*L105/SUMPRODUCT($K$101:$K$107,$L$101:$L$107)</f>
        <v>0.0193050193050193</v>
      </c>
      <c r="N105" s="0" t="n">
        <f aca="false">IF(OR(J105="S06",J105="S04",J105="S03"),0.8,1)</f>
        <v>1</v>
      </c>
      <c r="O105" s="0" t="n">
        <f aca="false">K105*N105/SUMPRODUCT($K$101:$K$107,$N$101:$N$107)</f>
        <v>0.020746887966805</v>
      </c>
    </row>
    <row r="106" customFormat="false" ht="13.5" hidden="false" customHeight="true" outlineLevel="0" collapsed="false">
      <c r="J106" s="0" t="str">
        <f aca="false">TRC!B20</f>
        <v>S02</v>
      </c>
      <c r="K106" s="0" t="n">
        <f aca="false">TRC!D20</f>
        <v>0.15</v>
      </c>
      <c r="L106" s="0" t="n">
        <f aca="false">IF(OR(J106="S06",J106="S04",J106="S03"),1.2,1)</f>
        <v>1</v>
      </c>
      <c r="M106" s="0" t="n">
        <f aca="false">K106*L106/SUMPRODUCT($K$101:$K$107,$L$101:$L$107)</f>
        <v>0.144787644787645</v>
      </c>
      <c r="N106" s="0" t="n">
        <f aca="false">IF(OR(J106="S06",J106="S04",J106="S03"),0.8,1)</f>
        <v>1</v>
      </c>
      <c r="O106" s="0" t="n">
        <f aca="false">K106*N106/SUMPRODUCT($K$101:$K$107,$N$101:$N$107)</f>
        <v>0.155601659751037</v>
      </c>
    </row>
    <row r="107" customFormat="false" ht="13.5" hidden="false" customHeight="true" outlineLevel="0" collapsed="false">
      <c r="J107" s="0" t="str">
        <f aca="false">TRC!B21</f>
        <v>S01</v>
      </c>
      <c r="K107" s="0" t="n">
        <f aca="false">TRC!D21</f>
        <v>0.6</v>
      </c>
      <c r="L107" s="0" t="n">
        <f aca="false">IF(OR(J107="S06",J107="S04",J107="S03"),1.2,1)</f>
        <v>1</v>
      </c>
      <c r="M107" s="0" t="n">
        <f aca="false">K107*L107/SUMPRODUCT($K$101:$K$107,$L$101:$L$107)</f>
        <v>0.579150579150579</v>
      </c>
      <c r="N107" s="0" t="n">
        <f aca="false">IF(OR(J107="S06",J107="S04",J107="S03"),0.8,1)</f>
        <v>1</v>
      </c>
      <c r="O107" s="0" t="n">
        <f aca="false">K107*N107/SUMPRODUCT($K$101:$K$107,$N$101:$N$107)</f>
        <v>0.622406639004149</v>
      </c>
    </row>
    <row r="108" customFormat="false" ht="13.5" hidden="false" customHeight="true" outlineLevel="0" collapsed="false"/>
    <row r="109" customFormat="false" ht="13.5" hidden="false" customHeight="true" outlineLevel="0" collapsed="false">
      <c r="J109" s="0" t="s">
        <v>1104</v>
      </c>
    </row>
    <row r="110" customFormat="false" ht="13.5" hidden="false" customHeight="true" outlineLevel="0" collapsed="false">
      <c r="J110" s="0" t="s">
        <v>599</v>
      </c>
      <c r="K110" s="0" t="s">
        <v>525</v>
      </c>
      <c r="L110" s="0" t="s">
        <v>527</v>
      </c>
      <c r="M110" s="0" t="s">
        <v>1105</v>
      </c>
      <c r="N110" s="0" t="s">
        <v>602</v>
      </c>
      <c r="O110" s="0" t="s">
        <v>603</v>
      </c>
      <c r="P110" s="0" t="s">
        <v>487</v>
      </c>
      <c r="R110" s="0" t="s">
        <v>1106</v>
      </c>
      <c r="S110" s="0" t="n">
        <f aca="false">TRC!B8</f>
        <v>0.05</v>
      </c>
    </row>
    <row r="111" customFormat="false" ht="13.5" hidden="false" customHeight="true" outlineLevel="0" collapsed="false">
      <c r="J111" s="0" t="n">
        <v>1</v>
      </c>
      <c r="K111" s="0" t="str">
        <f aca="false">TRC!B15</f>
        <v>S06</v>
      </c>
      <c r="L111" s="0" t="n">
        <f aca="false">TRC!C15</f>
        <v>0.0235</v>
      </c>
      <c r="M111" s="0" t="n">
        <f aca="false">VLOOKUP(K111,$J$101:$M$107,4,FALSE())</f>
        <v>0.0347490347490347</v>
      </c>
      <c r="N111" s="0" t="n">
        <f aca="false">M111</f>
        <v>0.0347490347490347</v>
      </c>
      <c r="O111" s="0" t="n">
        <f aca="false">MIN(M111,$S$110)</f>
        <v>0.0347490347490347</v>
      </c>
      <c r="P111" s="0" t="n">
        <f aca="false">O111*L111</f>
        <v>0.000816602316602317</v>
      </c>
      <c r="R111" s="0" t="s">
        <v>872</v>
      </c>
      <c r="S111" s="0" t="n">
        <f aca="false">TRC!B9</f>
        <v>0.2</v>
      </c>
    </row>
    <row r="112" customFormat="false" ht="13.5" hidden="false" customHeight="true" outlineLevel="0" collapsed="false">
      <c r="J112" s="0" t="n">
        <v>2</v>
      </c>
      <c r="K112" s="0" t="str">
        <f aca="false">TRC!B16</f>
        <v>S04</v>
      </c>
      <c r="L112" s="0" t="n">
        <f aca="false">TRC!C16</f>
        <v>0.0195</v>
      </c>
      <c r="M112" s="0" t="n">
        <f aca="false">VLOOKUP(K112,$J$101:$M$107,4,FALSE())</f>
        <v>0.0810810810810811</v>
      </c>
      <c r="N112" s="0" t="n">
        <f aca="false">N111+M112</f>
        <v>0.115830115830116</v>
      </c>
      <c r="O112" s="0" t="n">
        <f aca="false">MAX(0,MIN(M112,$S$110-N111))</f>
        <v>0.0152509652509653</v>
      </c>
      <c r="P112" s="0" t="n">
        <f aca="false">O112*L112</f>
        <v>0.000297393822393823</v>
      </c>
    </row>
    <row r="113" customFormat="false" ht="13.5" hidden="false" customHeight="true" outlineLevel="0" collapsed="false">
      <c r="J113" s="0" t="n">
        <v>3</v>
      </c>
      <c r="K113" s="0" t="str">
        <f aca="false">TRC!B17</f>
        <v>S03</v>
      </c>
      <c r="L113" s="0" t="n">
        <f aca="false">TRC!C17</f>
        <v>0.0175</v>
      </c>
      <c r="M113" s="0" t="n">
        <f aca="false">VLOOKUP(K113,$J$101:$M$107,4,FALSE())</f>
        <v>0.0926640926640927</v>
      </c>
      <c r="N113" s="0" t="n">
        <f aca="false">N112+M113</f>
        <v>0.208494208494208</v>
      </c>
      <c r="O113" s="0" t="n">
        <f aca="false">MAX(0,MIN(M113,$S$110-N112))</f>
        <v>0</v>
      </c>
      <c r="P113" s="0" t="n">
        <f aca="false">O113*L113</f>
        <v>0</v>
      </c>
    </row>
    <row r="114" customFormat="false" ht="13.5" hidden="false" customHeight="true" outlineLevel="0" collapsed="false">
      <c r="J114" s="0" t="n">
        <v>4</v>
      </c>
      <c r="K114" s="0" t="str">
        <f aca="false">TRC!B18</f>
        <v>S05</v>
      </c>
      <c r="L114" s="0" t="n">
        <f aca="false">TRC!C18</f>
        <v>0.0135</v>
      </c>
      <c r="M114" s="0" t="n">
        <f aca="false">VLOOKUP(K114,$J$101:$M$107,4,FALSE())</f>
        <v>0.0482625482625483</v>
      </c>
      <c r="N114" s="0" t="n">
        <f aca="false">N113+M114</f>
        <v>0.256756756756757</v>
      </c>
      <c r="O114" s="0" t="n">
        <f aca="false">MAX(0,MIN(M114,$S$110-N113))</f>
        <v>0</v>
      </c>
      <c r="P114" s="0" t="n">
        <f aca="false">O114*L114</f>
        <v>0</v>
      </c>
    </row>
    <row r="115" customFormat="false" ht="13.5" hidden="false" customHeight="true" outlineLevel="0" collapsed="false">
      <c r="J115" s="0" t="n">
        <v>5</v>
      </c>
      <c r="K115" s="0" t="str">
        <f aca="false">TRC!B19</f>
        <v>S07</v>
      </c>
      <c r="L115" s="0" t="n">
        <f aca="false">TRC!C19</f>
        <v>0.01</v>
      </c>
      <c r="M115" s="0" t="n">
        <f aca="false">VLOOKUP(K115,$J$101:$M$107,4,FALSE())</f>
        <v>0.0193050193050193</v>
      </c>
      <c r="N115" s="0" t="n">
        <f aca="false">N114+M115</f>
        <v>0.276061776061776</v>
      </c>
      <c r="O115" s="0" t="n">
        <f aca="false">MAX(0,MIN(M115,$S$110-N114))</f>
        <v>0</v>
      </c>
      <c r="P115" s="0" t="n">
        <f aca="false">O115*L115</f>
        <v>0</v>
      </c>
    </row>
    <row r="116" customFormat="false" ht="13.5" hidden="false" customHeight="true" outlineLevel="0" collapsed="false">
      <c r="J116" s="0" t="n">
        <v>6</v>
      </c>
      <c r="K116" s="0" t="str">
        <f aca="false">TRC!B20</f>
        <v>S02</v>
      </c>
      <c r="L116" s="0" t="n">
        <f aca="false">TRC!C20</f>
        <v>0.007</v>
      </c>
      <c r="M116" s="0" t="n">
        <f aca="false">VLOOKUP(K116,$J$101:$M$107,4,FALSE())</f>
        <v>0.144787644787645</v>
      </c>
      <c r="N116" s="0" t="n">
        <f aca="false">N115+M116</f>
        <v>0.420849420849421</v>
      </c>
      <c r="O116" s="0" t="n">
        <f aca="false">MAX(0,MIN(M116,$S$110-N115))</f>
        <v>0</v>
      </c>
      <c r="P116" s="0" t="n">
        <f aca="false">O116*L116</f>
        <v>0</v>
      </c>
    </row>
    <row r="117" customFormat="false" ht="13.5" hidden="false" customHeight="true" outlineLevel="0" collapsed="false">
      <c r="J117" s="0" t="n">
        <v>7</v>
      </c>
      <c r="K117" s="0" t="str">
        <f aca="false">TRC!B21</f>
        <v>S01</v>
      </c>
      <c r="L117" s="0" t="n">
        <f aca="false">TRC!C21</f>
        <v>0</v>
      </c>
      <c r="M117" s="0" t="n">
        <f aca="false">VLOOKUP(K117,$J$101:$M$107,4,FALSE())</f>
        <v>0.579150579150579</v>
      </c>
      <c r="N117" s="0" t="n">
        <f aca="false">N116+M117</f>
        <v>1</v>
      </c>
      <c r="O117" s="0" t="n">
        <f aca="false">MAX(0,MIN(M117,$S$110-N116))</f>
        <v>0</v>
      </c>
      <c r="P117" s="0" t="n">
        <f aca="false">O117*L117</f>
        <v>0</v>
      </c>
    </row>
    <row r="118" customFormat="false" ht="13.5" hidden="false" customHeight="true" outlineLevel="0" collapsed="false"/>
    <row r="119" customFormat="false" ht="13.5" hidden="false" customHeight="true" outlineLevel="0" collapsed="false">
      <c r="R119" s="0" t="s">
        <v>1107</v>
      </c>
      <c r="S119" s="0" t="n">
        <f aca="false">SUM(P111:P117)/$S$110</f>
        <v>0.0222799227799228</v>
      </c>
    </row>
    <row r="120" customFormat="false" ht="13.5" hidden="false" customHeight="true" outlineLevel="0" collapsed="false">
      <c r="R120" s="0" t="s">
        <v>1108</v>
      </c>
      <c r="S120" s="0" t="str">
        <f aca="false">IF(S119&lt;=$S$111,"PASS","FAIL")</f>
        <v>PASS</v>
      </c>
    </row>
    <row r="121" customFormat="false" ht="13.5" hidden="false" customHeight="true" outlineLevel="0" collapsed="false">
      <c r="M121" s="0" t="s">
        <v>1109</v>
      </c>
      <c r="N121" s="0" t="s">
        <v>489</v>
      </c>
      <c r="O121" s="0" t="s">
        <v>507</v>
      </c>
    </row>
    <row r="122" customFormat="false" ht="13.5" hidden="false" customHeight="true" outlineLevel="0" collapsed="false">
      <c r="M122" s="0" t="s">
        <v>1110</v>
      </c>
      <c r="N122" s="0" t="str">
        <f aca="false">S120</f>
        <v>PASS</v>
      </c>
      <c r="O122" s="0" t="str">
        <f aca="false">S142</f>
        <v>PASS</v>
      </c>
    </row>
    <row r="123" customFormat="false" ht="13.5" hidden="false" customHeight="true" outlineLevel="0" collapsed="false">
      <c r="N123" s="0" t="str">
        <f aca="false">S162</f>
        <v>PASS</v>
      </c>
      <c r="O123" s="0" t="str">
        <f aca="false">S175</f>
        <v>PASS</v>
      </c>
    </row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>
      <c r="J131" s="0" t="s">
        <v>1111</v>
      </c>
    </row>
    <row r="132" customFormat="false" ht="13.5" hidden="false" customHeight="true" outlineLevel="0" collapsed="false">
      <c r="J132" s="0" t="s">
        <v>599</v>
      </c>
      <c r="K132" s="0" t="s">
        <v>525</v>
      </c>
      <c r="L132" s="0" t="s">
        <v>527</v>
      </c>
      <c r="M132" s="0" t="s">
        <v>1105</v>
      </c>
      <c r="N132" s="0" t="s">
        <v>602</v>
      </c>
      <c r="O132" s="0" t="s">
        <v>603</v>
      </c>
      <c r="P132" s="0" t="s">
        <v>487</v>
      </c>
    </row>
    <row r="133" customFormat="false" ht="13.5" hidden="false" customHeight="true" outlineLevel="0" collapsed="false">
      <c r="J133" s="0" t="n">
        <v>1</v>
      </c>
      <c r="K133" s="0" t="str">
        <f aca="false">TRC!B31</f>
        <v>S03</v>
      </c>
      <c r="L133" s="0" t="n">
        <f aca="false">TRC!C31</f>
        <v>0.0315</v>
      </c>
      <c r="M133" s="0" t="n">
        <f aca="false">VLOOKUP(K133,$J$101:$M$107,4,FALSE())</f>
        <v>0.0926640926640927</v>
      </c>
      <c r="N133" s="0" t="n">
        <f aca="false">M133</f>
        <v>0.0926640926640927</v>
      </c>
      <c r="O133" s="0" t="n">
        <f aca="false">MIN(M133,$S$110)</f>
        <v>0.05</v>
      </c>
      <c r="P133" s="0" t="n">
        <f aca="false">O133*L133</f>
        <v>0.001575</v>
      </c>
    </row>
    <row r="134" customFormat="false" ht="13.5" hidden="false" customHeight="true" outlineLevel="0" collapsed="false">
      <c r="J134" s="0" t="n">
        <v>2</v>
      </c>
      <c r="K134" s="0" t="str">
        <f aca="false">TRC!B32</f>
        <v>S04</v>
      </c>
      <c r="L134" s="0" t="n">
        <f aca="false">TRC!C32</f>
        <v>0.0235</v>
      </c>
      <c r="M134" s="0" t="n">
        <f aca="false">VLOOKUP(K134,$J$101:$M$107,4,FALSE())</f>
        <v>0.0810810810810811</v>
      </c>
      <c r="N134" s="0" t="n">
        <f aca="false">N133+M134</f>
        <v>0.173745173745174</v>
      </c>
      <c r="O134" s="0" t="n">
        <f aca="false">MAX(0,MIN(M134,$S$110-N133))</f>
        <v>0</v>
      </c>
      <c r="P134" s="0" t="n">
        <f aca="false">O134*L134</f>
        <v>0</v>
      </c>
    </row>
    <row r="135" customFormat="false" ht="13.5" hidden="false" customHeight="true" outlineLevel="0" collapsed="false">
      <c r="J135" s="0" t="n">
        <v>3</v>
      </c>
      <c r="K135" s="0" t="str">
        <f aca="false">TRC!B33</f>
        <v>S06</v>
      </c>
      <c r="L135" s="0" t="n">
        <f aca="false">TRC!C33</f>
        <v>0.02175</v>
      </c>
      <c r="M135" s="0" t="n">
        <f aca="false">VLOOKUP(K135,$J$101:$M$107,4,FALSE())</f>
        <v>0.0347490347490347</v>
      </c>
      <c r="N135" s="0" t="n">
        <f aca="false">N134+M135</f>
        <v>0.208494208494208</v>
      </c>
      <c r="O135" s="0" t="n">
        <f aca="false">MAX(0,MIN(M135,$S$110-N134))</f>
        <v>0</v>
      </c>
      <c r="P135" s="0" t="n">
        <f aca="false">O135*L135</f>
        <v>0</v>
      </c>
    </row>
    <row r="136" customFormat="false" ht="13.5" hidden="false" customHeight="true" outlineLevel="0" collapsed="false">
      <c r="J136" s="0" t="n">
        <v>4</v>
      </c>
      <c r="K136" s="0" t="str">
        <f aca="false">TRC!B34</f>
        <v>S05</v>
      </c>
      <c r="L136" s="0" t="n">
        <f aca="false">TRC!C34</f>
        <v>0.0135</v>
      </c>
      <c r="M136" s="0" t="n">
        <f aca="false">VLOOKUP(K136,$J$101:$M$107,4,FALSE())</f>
        <v>0.0482625482625483</v>
      </c>
      <c r="N136" s="0" t="n">
        <f aca="false">N135+M136</f>
        <v>0.256756756756757</v>
      </c>
      <c r="O136" s="0" t="n">
        <f aca="false">MAX(0,MIN(M136,$S$110-N135))</f>
        <v>0</v>
      </c>
      <c r="P136" s="0" t="n">
        <f aca="false">O136*L136</f>
        <v>0</v>
      </c>
    </row>
    <row r="137" customFormat="false" ht="13.5" hidden="false" customHeight="true" outlineLevel="0" collapsed="false">
      <c r="J137" s="0" t="n">
        <v>5</v>
      </c>
      <c r="K137" s="0" t="str">
        <f aca="false">TRC!B35</f>
        <v>S02</v>
      </c>
      <c r="L137" s="0" t="n">
        <f aca="false">TRC!C35</f>
        <v>0.0105</v>
      </c>
      <c r="M137" s="0" t="n">
        <f aca="false">VLOOKUP(K137,$J$101:$M$107,4,FALSE())</f>
        <v>0.144787644787645</v>
      </c>
      <c r="N137" s="0" t="n">
        <f aca="false">N136+M137</f>
        <v>0.401544401544402</v>
      </c>
      <c r="O137" s="0" t="n">
        <f aca="false">MAX(0,MIN(M137,$S$110-N136))</f>
        <v>0</v>
      </c>
      <c r="P137" s="0" t="n">
        <f aca="false">O137*L137</f>
        <v>0</v>
      </c>
    </row>
    <row r="138" customFormat="false" ht="13.5" hidden="false" customHeight="true" outlineLevel="0" collapsed="false">
      <c r="J138" s="0" t="n">
        <v>6</v>
      </c>
      <c r="K138" s="0" t="str">
        <f aca="false">TRC!B36</f>
        <v>S07</v>
      </c>
      <c r="L138" s="0" t="n">
        <f aca="false">TRC!C36</f>
        <v>0.007</v>
      </c>
      <c r="M138" s="0" t="n">
        <f aca="false">VLOOKUP(K138,$J$101:$M$107,4,FALSE())</f>
        <v>0.0193050193050193</v>
      </c>
      <c r="N138" s="0" t="n">
        <f aca="false">N137+M138</f>
        <v>0.420849420849421</v>
      </c>
      <c r="O138" s="0" t="n">
        <f aca="false">MAX(0,MIN(M138,$S$110-N137))</f>
        <v>0</v>
      </c>
      <c r="P138" s="0" t="n">
        <f aca="false">O138*L138</f>
        <v>0</v>
      </c>
    </row>
    <row r="139" customFormat="false" ht="13.5" hidden="false" customHeight="true" outlineLevel="0" collapsed="false">
      <c r="J139" s="0" t="n">
        <v>7</v>
      </c>
      <c r="K139" s="0" t="str">
        <f aca="false">TRC!B37</f>
        <v>S01</v>
      </c>
      <c r="L139" s="0" t="n">
        <f aca="false">TRC!C37</f>
        <v>0.003574</v>
      </c>
      <c r="M139" s="0" t="n">
        <f aca="false">VLOOKUP(K139,$J$101:$M$107,4,FALSE())</f>
        <v>0.579150579150579</v>
      </c>
      <c r="N139" s="0" t="n">
        <f aca="false">N138+M139</f>
        <v>1</v>
      </c>
      <c r="O139" s="0" t="n">
        <f aca="false">MAX(0,MIN(M139,$S$110-N138))</f>
        <v>0</v>
      </c>
      <c r="P139" s="0" t="n">
        <f aca="false">O139*L139</f>
        <v>0</v>
      </c>
    </row>
    <row r="140" customFormat="false" ht="13.5" hidden="false" customHeight="true" outlineLevel="0" collapsed="false"/>
    <row r="141" customFormat="false" ht="13.5" hidden="false" customHeight="true" outlineLevel="0" collapsed="false">
      <c r="R141" s="0" t="s">
        <v>1112</v>
      </c>
      <c r="S141" s="0" t="n">
        <f aca="false">SUM(P133:P139)/$S$110</f>
        <v>0.0315</v>
      </c>
    </row>
    <row r="142" customFormat="false" ht="13.5" hidden="false" customHeight="true" outlineLevel="0" collapsed="false">
      <c r="R142" s="0" t="s">
        <v>1113</v>
      </c>
      <c r="S142" s="0" t="str">
        <f aca="false">IF(S141&lt;=$S$111,"PASS","FAIL")</f>
        <v>PASS</v>
      </c>
    </row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>
      <c r="J151" s="0" t="s">
        <v>1114</v>
      </c>
    </row>
    <row r="152" customFormat="false" ht="13.5" hidden="false" customHeight="true" outlineLevel="0" collapsed="false">
      <c r="J152" s="0" t="s">
        <v>599</v>
      </c>
      <c r="K152" s="0" t="s">
        <v>525</v>
      </c>
      <c r="L152" s="0" t="s">
        <v>527</v>
      </c>
      <c r="M152" s="0" t="s">
        <v>1105</v>
      </c>
      <c r="N152" s="0" t="s">
        <v>602</v>
      </c>
      <c r="O152" s="0" t="s">
        <v>603</v>
      </c>
      <c r="P152" s="0" t="s">
        <v>487</v>
      </c>
    </row>
    <row r="153" customFormat="false" ht="13.5" hidden="false" customHeight="true" outlineLevel="0" collapsed="false">
      <c r="J153" s="0" t="n">
        <v>1</v>
      </c>
      <c r="K153" s="0" t="str">
        <f aca="false">TRC!B15</f>
        <v>S06</v>
      </c>
      <c r="L153" s="0" t="n">
        <f aca="false">TRC!C15</f>
        <v>0.0235</v>
      </c>
      <c r="M153" s="0" t="n">
        <f aca="false">VLOOKUP(K153,$J$101:$O$107,6,FALSE())</f>
        <v>0.024896265560166</v>
      </c>
      <c r="N153" s="0" t="n">
        <f aca="false">M153</f>
        <v>0.024896265560166</v>
      </c>
      <c r="O153" s="0" t="n">
        <f aca="false">MIN(M153,$S$110)</f>
        <v>0.024896265560166</v>
      </c>
      <c r="P153" s="0" t="n">
        <f aca="false">O153*L153</f>
        <v>0.000585062240663901</v>
      </c>
    </row>
    <row r="154" customFormat="false" ht="13.5" hidden="false" customHeight="true" outlineLevel="0" collapsed="false">
      <c r="J154" s="0" t="n">
        <v>2</v>
      </c>
      <c r="K154" s="0" t="str">
        <f aca="false">TRC!B16</f>
        <v>S04</v>
      </c>
      <c r="L154" s="0" t="n">
        <f aca="false">TRC!C16</f>
        <v>0.0195</v>
      </c>
      <c r="M154" s="0" t="n">
        <f aca="false">VLOOKUP(K154,$J$101:$O$107,6,FALSE())</f>
        <v>0.058091286307054</v>
      </c>
      <c r="N154" s="0" t="n">
        <f aca="false">N153+M154</f>
        <v>0.0829875518672199</v>
      </c>
      <c r="O154" s="0" t="n">
        <f aca="false">MAX(0,MIN(M154,$S$110-N153))</f>
        <v>0.025103734439834</v>
      </c>
      <c r="P154" s="0" t="n">
        <f aca="false">O154*L154</f>
        <v>0.000489522821576764</v>
      </c>
    </row>
    <row r="155" customFormat="false" ht="13.5" hidden="false" customHeight="true" outlineLevel="0" collapsed="false">
      <c r="J155" s="0" t="n">
        <v>3</v>
      </c>
      <c r="K155" s="0" t="str">
        <f aca="false">TRC!B17</f>
        <v>S03</v>
      </c>
      <c r="L155" s="0" t="n">
        <f aca="false">TRC!C17</f>
        <v>0.0175</v>
      </c>
      <c r="M155" s="0" t="n">
        <f aca="false">VLOOKUP(K155,$J$101:$O$107,6,FALSE())</f>
        <v>0.0663900414937759</v>
      </c>
      <c r="N155" s="0" t="n">
        <f aca="false">N154+M155</f>
        <v>0.149377593360996</v>
      </c>
      <c r="O155" s="0" t="n">
        <f aca="false">MAX(0,MIN(M155,$S$110-N154))</f>
        <v>0</v>
      </c>
      <c r="P155" s="0" t="n">
        <f aca="false">O155*L155</f>
        <v>0</v>
      </c>
    </row>
    <row r="156" customFormat="false" ht="13.5" hidden="false" customHeight="true" outlineLevel="0" collapsed="false">
      <c r="J156" s="0" t="n">
        <v>4</v>
      </c>
      <c r="K156" s="0" t="str">
        <f aca="false">TRC!B18</f>
        <v>S05</v>
      </c>
      <c r="L156" s="0" t="n">
        <f aca="false">TRC!C18</f>
        <v>0.0135</v>
      </c>
      <c r="M156" s="0" t="n">
        <f aca="false">VLOOKUP(K156,$J$101:$O$107,6,FALSE())</f>
        <v>0.0518672199170125</v>
      </c>
      <c r="N156" s="0" t="n">
        <f aca="false">N155+M156</f>
        <v>0.201244813278008</v>
      </c>
      <c r="O156" s="0" t="n">
        <f aca="false">MAX(0,MIN(M156,$S$110-N155))</f>
        <v>0</v>
      </c>
      <c r="P156" s="0" t="n">
        <f aca="false">O156*L156</f>
        <v>0</v>
      </c>
    </row>
    <row r="157" customFormat="false" ht="13.5" hidden="false" customHeight="true" outlineLevel="0" collapsed="false">
      <c r="J157" s="0" t="n">
        <v>5</v>
      </c>
      <c r="K157" s="0" t="str">
        <f aca="false">TRC!B19</f>
        <v>S07</v>
      </c>
      <c r="L157" s="0" t="n">
        <f aca="false">TRC!C19</f>
        <v>0.01</v>
      </c>
      <c r="M157" s="0" t="n">
        <f aca="false">VLOOKUP(K157,$J$101:$O$107,6,FALSE())</f>
        <v>0.020746887966805</v>
      </c>
      <c r="N157" s="0" t="n">
        <f aca="false">N156+M157</f>
        <v>0.221991701244813</v>
      </c>
      <c r="O157" s="0" t="n">
        <f aca="false">MAX(0,MIN(M157,$S$110-N156))</f>
        <v>0</v>
      </c>
      <c r="P157" s="0" t="n">
        <f aca="false">O157*L157</f>
        <v>0</v>
      </c>
    </row>
    <row r="158" customFormat="false" ht="13.5" hidden="false" customHeight="true" outlineLevel="0" collapsed="false">
      <c r="J158" s="0" t="n">
        <v>6</v>
      </c>
      <c r="K158" s="0" t="str">
        <f aca="false">TRC!B20</f>
        <v>S02</v>
      </c>
      <c r="L158" s="0" t="n">
        <f aca="false">TRC!C20</f>
        <v>0.007</v>
      </c>
      <c r="M158" s="0" t="n">
        <f aca="false">VLOOKUP(K158,$J$101:$O$107,6,FALSE())</f>
        <v>0.155601659751037</v>
      </c>
      <c r="N158" s="0" t="n">
        <f aca="false">N157+M158</f>
        <v>0.377593360995851</v>
      </c>
      <c r="O158" s="0" t="n">
        <f aca="false">MAX(0,MIN(M158,$S$110-N157))</f>
        <v>0</v>
      </c>
      <c r="P158" s="0" t="n">
        <f aca="false">O158*L158</f>
        <v>0</v>
      </c>
    </row>
    <row r="159" customFormat="false" ht="13.5" hidden="false" customHeight="true" outlineLevel="0" collapsed="false">
      <c r="J159" s="0" t="n">
        <v>7</v>
      </c>
      <c r="K159" s="0" t="str">
        <f aca="false">TRC!B21</f>
        <v>S01</v>
      </c>
      <c r="L159" s="0" t="n">
        <f aca="false">TRC!C21</f>
        <v>0</v>
      </c>
      <c r="M159" s="0" t="n">
        <f aca="false">VLOOKUP(K159,$J$101:$O$107,6,FALSE())</f>
        <v>0.622406639004149</v>
      </c>
      <c r="N159" s="0" t="n">
        <f aca="false">N158+M159</f>
        <v>1</v>
      </c>
      <c r="O159" s="0" t="n">
        <f aca="false">MAX(0,MIN(M159,$S$110-N158))</f>
        <v>0</v>
      </c>
      <c r="P159" s="0" t="n">
        <f aca="false">O159*L159</f>
        <v>0</v>
      </c>
    </row>
    <row r="160" customFormat="false" ht="13.5" hidden="false" customHeight="true" outlineLevel="0" collapsed="false"/>
    <row r="161" customFormat="false" ht="13.5" hidden="false" customHeight="true" outlineLevel="0" collapsed="false">
      <c r="R161" s="0" t="s">
        <v>1115</v>
      </c>
      <c r="S161" s="0" t="n">
        <f aca="false">SUM(P153:P159)/$S$110</f>
        <v>0.0214917012448133</v>
      </c>
    </row>
    <row r="162" customFormat="false" ht="13.5" hidden="false" customHeight="true" outlineLevel="0" collapsed="false">
      <c r="R162" s="0" t="s">
        <v>1116</v>
      </c>
      <c r="S162" s="0" t="str">
        <f aca="false">IF(S161&lt;=$S$111,"PASS","FAIL")</f>
        <v>PASS</v>
      </c>
    </row>
    <row r="163" customFormat="false" ht="13.5" hidden="false" customHeight="true" outlineLevel="0" collapsed="false"/>
    <row r="164" customFormat="false" ht="13.5" hidden="false" customHeight="true" outlineLevel="0" collapsed="false">
      <c r="J164" s="0" t="s">
        <v>1117</v>
      </c>
    </row>
    <row r="165" customFormat="false" ht="13.5" hidden="false" customHeight="true" outlineLevel="0" collapsed="false">
      <c r="J165" s="0" t="s">
        <v>599</v>
      </c>
      <c r="K165" s="0" t="s">
        <v>525</v>
      </c>
      <c r="L165" s="0" t="s">
        <v>527</v>
      </c>
      <c r="M165" s="0" t="s">
        <v>1105</v>
      </c>
      <c r="N165" s="0" t="s">
        <v>602</v>
      </c>
      <c r="O165" s="0" t="s">
        <v>603</v>
      </c>
      <c r="P165" s="0" t="s">
        <v>487</v>
      </c>
    </row>
    <row r="166" customFormat="false" ht="13.5" hidden="false" customHeight="true" outlineLevel="0" collapsed="false">
      <c r="J166" s="0" t="n">
        <v>1</v>
      </c>
      <c r="K166" s="0" t="str">
        <f aca="false">TRC!B31</f>
        <v>S03</v>
      </c>
      <c r="L166" s="0" t="n">
        <f aca="false">TRC!C31</f>
        <v>0.0315</v>
      </c>
      <c r="M166" s="0" t="n">
        <f aca="false">VLOOKUP(K166,$J$101:$O$107,6,FALSE())</f>
        <v>0.0663900414937759</v>
      </c>
      <c r="N166" s="0" t="n">
        <f aca="false">M166</f>
        <v>0.0663900414937759</v>
      </c>
      <c r="O166" s="0" t="n">
        <f aca="false">MIN(M166,$S$110)</f>
        <v>0.05</v>
      </c>
      <c r="P166" s="0" t="n">
        <f aca="false">O166*L166</f>
        <v>0.001575</v>
      </c>
    </row>
    <row r="167" customFormat="false" ht="13.5" hidden="false" customHeight="true" outlineLevel="0" collapsed="false">
      <c r="J167" s="0" t="n">
        <v>2</v>
      </c>
      <c r="K167" s="0" t="str">
        <f aca="false">TRC!B32</f>
        <v>S04</v>
      </c>
      <c r="L167" s="0" t="n">
        <f aca="false">TRC!C32</f>
        <v>0.0235</v>
      </c>
      <c r="M167" s="0" t="n">
        <f aca="false">VLOOKUP(K167,$J$101:$O$107,6,FALSE())</f>
        <v>0.058091286307054</v>
      </c>
      <c r="N167" s="0" t="n">
        <f aca="false">N166+M167</f>
        <v>0.12448132780083</v>
      </c>
      <c r="O167" s="0" t="n">
        <f aca="false">MAX(0,MIN(M167,$S$110-N166))</f>
        <v>0</v>
      </c>
      <c r="P167" s="0" t="n">
        <f aca="false">O167*L167</f>
        <v>0</v>
      </c>
    </row>
    <row r="168" customFormat="false" ht="13.5" hidden="false" customHeight="true" outlineLevel="0" collapsed="false">
      <c r="J168" s="0" t="n">
        <v>3</v>
      </c>
      <c r="K168" s="0" t="str">
        <f aca="false">TRC!B33</f>
        <v>S06</v>
      </c>
      <c r="L168" s="0" t="n">
        <f aca="false">TRC!C33</f>
        <v>0.02175</v>
      </c>
      <c r="M168" s="0" t="n">
        <f aca="false">VLOOKUP(K168,$J$101:$O$107,6,FALSE())</f>
        <v>0.024896265560166</v>
      </c>
      <c r="N168" s="0" t="n">
        <f aca="false">N167+M168</f>
        <v>0.149377593360996</v>
      </c>
      <c r="O168" s="0" t="n">
        <f aca="false">MAX(0,MIN(M168,$S$110-N167))</f>
        <v>0</v>
      </c>
      <c r="P168" s="0" t="n">
        <f aca="false">O168*L168</f>
        <v>0</v>
      </c>
    </row>
    <row r="169" customFormat="false" ht="13.5" hidden="false" customHeight="true" outlineLevel="0" collapsed="false">
      <c r="J169" s="0" t="n">
        <v>4</v>
      </c>
      <c r="K169" s="0" t="str">
        <f aca="false">TRC!B34</f>
        <v>S05</v>
      </c>
      <c r="L169" s="0" t="n">
        <f aca="false">TRC!C34</f>
        <v>0.0135</v>
      </c>
      <c r="M169" s="0" t="n">
        <f aca="false">VLOOKUP(K169,$J$101:$O$107,6,FALSE())</f>
        <v>0.0518672199170125</v>
      </c>
      <c r="N169" s="0" t="n">
        <f aca="false">N168+M169</f>
        <v>0.201244813278008</v>
      </c>
      <c r="O169" s="0" t="n">
        <f aca="false">MAX(0,MIN(M169,$S$110-N168))</f>
        <v>0</v>
      </c>
      <c r="P169" s="0" t="n">
        <f aca="false">O169*L169</f>
        <v>0</v>
      </c>
    </row>
    <row r="170" customFormat="false" ht="13.5" hidden="false" customHeight="true" outlineLevel="0" collapsed="false">
      <c r="J170" s="0" t="n">
        <v>5</v>
      </c>
      <c r="K170" s="0" t="str">
        <f aca="false">TRC!B35</f>
        <v>S02</v>
      </c>
      <c r="L170" s="0" t="n">
        <f aca="false">TRC!C35</f>
        <v>0.0105</v>
      </c>
      <c r="M170" s="0" t="n">
        <f aca="false">VLOOKUP(K170,$J$101:$O$107,6,FALSE())</f>
        <v>0.155601659751037</v>
      </c>
      <c r="N170" s="0" t="n">
        <f aca="false">N169+M170</f>
        <v>0.356846473029046</v>
      </c>
      <c r="O170" s="0" t="n">
        <f aca="false">MAX(0,MIN(M170,$S$110-N169))</f>
        <v>0</v>
      </c>
      <c r="P170" s="0" t="n">
        <f aca="false">O170*L170</f>
        <v>0</v>
      </c>
    </row>
    <row r="171" customFormat="false" ht="13.5" hidden="false" customHeight="true" outlineLevel="0" collapsed="false">
      <c r="J171" s="0" t="n">
        <v>6</v>
      </c>
      <c r="K171" s="0" t="str">
        <f aca="false">TRC!B36</f>
        <v>S07</v>
      </c>
      <c r="L171" s="0" t="n">
        <f aca="false">TRC!C36</f>
        <v>0.007</v>
      </c>
      <c r="M171" s="0" t="n">
        <f aca="false">VLOOKUP(K171,$J$101:$O$107,6,FALSE())</f>
        <v>0.020746887966805</v>
      </c>
      <c r="N171" s="0" t="n">
        <f aca="false">N170+M171</f>
        <v>0.377593360995851</v>
      </c>
      <c r="O171" s="0" t="n">
        <f aca="false">MAX(0,MIN(M171,$S$110-N170))</f>
        <v>0</v>
      </c>
      <c r="P171" s="0" t="n">
        <f aca="false">O171*L171</f>
        <v>0</v>
      </c>
    </row>
    <row r="172" customFormat="false" ht="13.5" hidden="false" customHeight="true" outlineLevel="0" collapsed="false">
      <c r="J172" s="0" t="n">
        <v>7</v>
      </c>
      <c r="K172" s="0" t="str">
        <f aca="false">TRC!B37</f>
        <v>S01</v>
      </c>
      <c r="L172" s="0" t="n">
        <f aca="false">TRC!C37</f>
        <v>0.003574</v>
      </c>
      <c r="M172" s="0" t="n">
        <f aca="false">VLOOKUP(K172,$J$101:$O$107,6,FALSE())</f>
        <v>0.622406639004149</v>
      </c>
      <c r="N172" s="0" t="n">
        <f aca="false">N171+M172</f>
        <v>1</v>
      </c>
      <c r="O172" s="0" t="n">
        <f aca="false">MAX(0,MIN(M172,$S$110-N171))</f>
        <v>0</v>
      </c>
      <c r="P172" s="0" t="n">
        <f aca="false">O172*L172</f>
        <v>0</v>
      </c>
    </row>
    <row r="173" customFormat="false" ht="13.5" hidden="false" customHeight="true" outlineLevel="0" collapsed="false"/>
    <row r="174" customFormat="false" ht="13.5" hidden="false" customHeight="true" outlineLevel="0" collapsed="false">
      <c r="R174" s="0" t="s">
        <v>1118</v>
      </c>
      <c r="S174" s="0" t="n">
        <f aca="false">SUM(P166:P172)/$S$110</f>
        <v>0.0315</v>
      </c>
    </row>
    <row r="175" customFormat="false" ht="13.5" hidden="false" customHeight="true" outlineLevel="0" collapsed="false">
      <c r="R175" s="0" t="s">
        <v>1119</v>
      </c>
      <c r="S175" s="0" t="str">
        <f aca="false">IF(S174&lt;=$S$111,"PASS","FAIL")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1120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1121</v>
      </c>
    </row>
    <row r="4" customFormat="false" ht="13.5" hidden="false" customHeight="true" outlineLevel="0" collapsed="false"/>
    <row r="5" customFormat="false" ht="14.25" hidden="false" customHeight="true" outlineLevel="0" collapsed="false">
      <c r="A5" s="8" t="s">
        <v>1122</v>
      </c>
    </row>
    <row r="6" customFormat="false" ht="13.5" hidden="false" customHeight="true" outlineLevel="0" collapsed="false"/>
    <row r="7" customFormat="false" ht="14.25" hidden="false" customHeight="true" outlineLevel="0" collapsed="false">
      <c r="A7" s="8" t="s">
        <v>1123</v>
      </c>
    </row>
    <row r="8" customFormat="false" ht="14.25" hidden="false" customHeight="true" outlineLevel="0" collapsed="false">
      <c r="A8" s="0" t="s">
        <v>1124</v>
      </c>
    </row>
    <row r="9" customFormat="false" ht="14.25" hidden="false" customHeight="true" outlineLevel="0" collapsed="false">
      <c r="A9" s="8" t="s">
        <v>1125</v>
      </c>
      <c r="B9" s="8" t="s">
        <v>1126</v>
      </c>
      <c r="C9" s="8" t="s">
        <v>429</v>
      </c>
    </row>
    <row r="10" customFormat="false" ht="14.25" hidden="false" customHeight="true" outlineLevel="0" collapsed="false">
      <c r="A10" s="0" t="s">
        <v>1127</v>
      </c>
      <c r="B10" s="0" t="n">
        <v>-0.069</v>
      </c>
      <c r="C10" s="0" t="s">
        <v>1075</v>
      </c>
    </row>
    <row r="11" customFormat="false" ht="14.25" hidden="false" customHeight="true" outlineLevel="0" collapsed="false">
      <c r="A11" s="0" t="s">
        <v>1128</v>
      </c>
      <c r="B11" s="0" t="n">
        <v>-0.1</v>
      </c>
      <c r="C11" s="0" t="s">
        <v>1129</v>
      </c>
    </row>
    <row r="12" customFormat="false" ht="14.25" hidden="false" customHeight="true" outlineLevel="0" collapsed="false">
      <c r="A12" s="0" t="s">
        <v>1130</v>
      </c>
      <c r="B12" s="0" t="n">
        <v>-0.12</v>
      </c>
      <c r="C12" s="0" t="s">
        <v>1131</v>
      </c>
    </row>
    <row r="13" customFormat="false" ht="14.25" hidden="false" customHeight="true" outlineLevel="0" collapsed="false">
      <c r="A13" s="0" t="s">
        <v>1132</v>
      </c>
      <c r="B13" s="0" t="n">
        <v>-0.15</v>
      </c>
      <c r="C13" s="0" t="s">
        <v>1133</v>
      </c>
    </row>
    <row r="14" customFormat="false" ht="14.25" hidden="false" customHeight="true" outlineLevel="0" collapsed="false">
      <c r="A14" s="0" t="s">
        <v>1134</v>
      </c>
      <c r="B14" s="0" t="n">
        <v>-0.15</v>
      </c>
      <c r="C14" s="0" t="s">
        <v>1135</v>
      </c>
    </row>
    <row r="15" customFormat="false" ht="14.25" hidden="false" customHeight="true" outlineLevel="0" collapsed="false">
      <c r="A15" s="11" t="s">
        <v>1136</v>
      </c>
    </row>
    <row r="16" customFormat="false" ht="13.5" hidden="false" customHeight="true" outlineLevel="0" collapsed="false"/>
    <row r="17" customFormat="false" ht="14.25" hidden="false" customHeight="true" outlineLevel="0" collapsed="false">
      <c r="A17" s="8" t="s">
        <v>1137</v>
      </c>
    </row>
    <row r="18" customFormat="false" ht="14.25" hidden="false" customHeight="true" outlineLevel="0" collapsed="false">
      <c r="A18" s="0" t="s">
        <v>1138</v>
      </c>
    </row>
    <row r="19" customFormat="false" ht="14.25" hidden="false" customHeight="true" outlineLevel="0" collapsed="false">
      <c r="A19" s="0" t="s">
        <v>1139</v>
      </c>
    </row>
    <row r="20" customFormat="false" ht="14.25" hidden="false" customHeight="true" outlineLevel="0" collapsed="false">
      <c r="A20" s="11" t="s">
        <v>1140</v>
      </c>
    </row>
    <row r="21" customFormat="false" ht="13.5" hidden="false" customHeight="true" outlineLevel="0" collapsed="false"/>
    <row r="22" customFormat="false" ht="14.25" hidden="false" customHeight="true" outlineLevel="0" collapsed="false">
      <c r="A22" s="8" t="s">
        <v>1141</v>
      </c>
    </row>
    <row r="23" customFormat="false" ht="14.25" hidden="false" customHeight="true" outlineLevel="0" collapsed="false">
      <c r="A23" s="0" t="s">
        <v>1138</v>
      </c>
    </row>
    <row r="24" customFormat="false" ht="14.25" hidden="false" customHeight="true" outlineLevel="0" collapsed="false">
      <c r="A24" s="0" t="s">
        <v>1142</v>
      </c>
    </row>
    <row r="25" customFormat="false" ht="14.25" hidden="false" customHeight="true" outlineLevel="0" collapsed="false">
      <c r="A25" s="11" t="s">
        <v>1143</v>
      </c>
    </row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4.25" hidden="false" customHeight="true" outlineLevel="0" collapsed="false">
      <c r="A28" s="8" t="s">
        <v>1144</v>
      </c>
    </row>
    <row r="29" customFormat="false" ht="13.5" hidden="false" customHeight="true" outlineLevel="0" collapsed="false"/>
    <row r="30" customFormat="false" ht="14.25" hidden="false" customHeight="true" outlineLevel="0" collapsed="false">
      <c r="A30" s="8" t="s">
        <v>1145</v>
      </c>
    </row>
    <row r="31" customFormat="false" ht="14.25" hidden="false" customHeight="true" outlineLevel="0" collapsed="false">
      <c r="A31" s="0" t="s">
        <v>1146</v>
      </c>
    </row>
    <row r="32" customFormat="false" ht="14.25" hidden="false" customHeight="true" outlineLevel="0" collapsed="false">
      <c r="A32" s="0" t="s">
        <v>1147</v>
      </c>
    </row>
    <row r="33" customFormat="false" ht="14.25" hidden="false" customHeight="true" outlineLevel="0" collapsed="false">
      <c r="A33" s="11" t="s">
        <v>1148</v>
      </c>
    </row>
    <row r="34" customFormat="false" ht="13.5" hidden="false" customHeight="true" outlineLevel="0" collapsed="false"/>
    <row r="35" customFormat="false" ht="14.25" hidden="false" customHeight="true" outlineLevel="0" collapsed="false">
      <c r="A35" s="0" t="s">
        <v>1149</v>
      </c>
    </row>
    <row r="36" customFormat="false" ht="14.25" hidden="false" customHeight="true" outlineLevel="0" collapsed="false">
      <c r="A36" s="11" t="s">
        <v>1150</v>
      </c>
    </row>
    <row r="37" customFormat="false" ht="13.5" hidden="false" customHeight="true" outlineLevel="0" collapsed="false"/>
    <row r="38" customFormat="false" ht="14.25" hidden="false" customHeight="true" outlineLevel="0" collapsed="false">
      <c r="A38" s="0" t="s">
        <v>1151</v>
      </c>
    </row>
    <row r="39" customFormat="false" ht="14.25" hidden="false" customHeight="true" outlineLevel="0" collapsed="false">
      <c r="A39" s="11" t="s">
        <v>1152</v>
      </c>
    </row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4.25" hidden="false" customHeight="true" outlineLevel="0" collapsed="false">
      <c r="A42" s="8" t="s">
        <v>1153</v>
      </c>
    </row>
    <row r="43" customFormat="false" ht="14.25" hidden="false" customHeight="true" outlineLevel="0" collapsed="false">
      <c r="A43" s="0" t="s">
        <v>1154</v>
      </c>
    </row>
    <row r="44" customFormat="false" ht="14.25" hidden="false" customHeight="true" outlineLevel="0" collapsed="false">
      <c r="A44" s="0" t="s">
        <v>1155</v>
      </c>
    </row>
    <row r="45" customFormat="false" ht="14.25" hidden="false" customHeight="true" outlineLevel="0" collapsed="false">
      <c r="A45" s="11" t="s">
        <v>1156</v>
      </c>
    </row>
    <row r="46" customFormat="false" ht="13.5" hidden="false" customHeight="true" outlineLevel="0" collapsed="false">
      <c r="A46" s="0" t="s">
        <v>1157</v>
      </c>
      <c r="B46" s="0" t="n">
        <f aca="false">IF(COUNTIF($A$1:$A$200,"WORST-OFF")&gt;0,1,0)</f>
        <v>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10" t="s">
        <v>1158</v>
      </c>
    </row>
    <row r="2" customFormat="false" ht="14.25" hidden="false" customHeight="true" outlineLevel="0" collapsed="false"/>
    <row r="3" customFormat="false" ht="14.25" hidden="false" customHeight="true" outlineLevel="0" collapsed="false">
      <c r="A3" s="10" t="s">
        <v>1159</v>
      </c>
    </row>
    <row r="4" customFormat="false" ht="14.25" hidden="false" customHeight="true" outlineLevel="0" collapsed="false">
      <c r="A4" s="0" t="s">
        <v>1160</v>
      </c>
    </row>
    <row r="5" customFormat="false" ht="14.25" hidden="false" customHeight="true" outlineLevel="0" collapsed="false">
      <c r="A5" s="60" t="s">
        <v>1161</v>
      </c>
    </row>
    <row r="6" customFormat="false" ht="14.25" hidden="false" customHeight="true" outlineLevel="0" collapsed="false">
      <c r="A6" s="60"/>
    </row>
    <row r="7" customFormat="false" ht="14.25" hidden="false" customHeight="true" outlineLevel="0" collapsed="false">
      <c r="A7" s="60" t="s">
        <v>1162</v>
      </c>
      <c r="B7" s="0" t="n">
        <v>1.5</v>
      </c>
    </row>
    <row r="8" customFormat="false" ht="14.25" hidden="false" customHeight="true" outlineLevel="0" collapsed="false">
      <c r="A8" s="60"/>
    </row>
    <row r="9" customFormat="false" ht="14.25" hidden="false" customHeight="true" outlineLevel="0" collapsed="false">
      <c r="A9" s="10" t="s">
        <v>1163</v>
      </c>
    </row>
    <row r="10" customFormat="false" ht="14.25" hidden="false" customHeight="true" outlineLevel="0" collapsed="false">
      <c r="A10" s="10" t="s">
        <v>1164</v>
      </c>
      <c r="B10" s="10" t="s">
        <v>1165</v>
      </c>
      <c r="C10" s="10" t="s">
        <v>1166</v>
      </c>
      <c r="D10" s="10" t="s">
        <v>400</v>
      </c>
      <c r="E10" s="10" t="s">
        <v>401</v>
      </c>
      <c r="F10" s="10" t="s">
        <v>1167</v>
      </c>
      <c r="G10" s="10" t="s">
        <v>184</v>
      </c>
    </row>
    <row r="11" customFormat="false" ht="14.25" hidden="false" customHeight="true" outlineLevel="0" collapsed="false">
      <c r="A11" s="60"/>
    </row>
    <row r="12" customFormat="false" ht="14.25" hidden="false" customHeight="true" outlineLevel="0" collapsed="false">
      <c r="A12" s="10"/>
    </row>
    <row r="13" customFormat="false" ht="14.2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</row>
    <row r="14" customFormat="false" ht="14.25" hidden="false" customHeight="true" outlineLevel="0" collapsed="false">
      <c r="A14" s="10" t="s">
        <v>1168</v>
      </c>
    </row>
    <row r="15" customFormat="false" ht="14.25" hidden="false" customHeight="true" outlineLevel="0" collapsed="false">
      <c r="A15" s="60" t="s">
        <v>1169</v>
      </c>
      <c r="B15" s="0" t="s">
        <v>1170</v>
      </c>
    </row>
    <row r="16" customFormat="false" ht="14.25" hidden="false" customHeight="true" outlineLevel="0" collapsed="false">
      <c r="A16" s="10" t="s">
        <v>1171</v>
      </c>
      <c r="B16" s="0" t="n">
        <f aca="false">COUNT(F11:F100)</f>
        <v>0</v>
      </c>
    </row>
    <row r="17" customFormat="false" ht="14.25" hidden="false" customHeight="true" outlineLevel="0" collapsed="false">
      <c r="A17" s="60" t="s">
        <v>1172</v>
      </c>
      <c r="B17" s="9" t="n">
        <f aca="false">COUNT(F11:F100)</f>
        <v>0</v>
      </c>
    </row>
    <row r="18" customFormat="false" ht="14.25" hidden="false" customHeight="true" outlineLevel="0" collapsed="false">
      <c r="A18" s="60" t="s">
        <v>1173</v>
      </c>
      <c r="B18" s="9" t="str">
        <f aca="false">IF(B17=0,"YES","NO")</f>
        <v>YES</v>
      </c>
    </row>
    <row r="19" customFormat="false" ht="14.25" hidden="false" customHeight="true" outlineLevel="0" collapsed="false">
      <c r="A19" s="60" t="s">
        <v>1174</v>
      </c>
      <c r="B19" s="0" t="str">
        <f aca="false">Audit_Flags!B14</f>
        <v>NO</v>
      </c>
    </row>
    <row r="20" customFormat="false" ht="14.25" hidden="false" customHeight="true" outlineLevel="0" collapsed="false">
      <c r="A20" s="10" t="s">
        <v>1175</v>
      </c>
    </row>
    <row r="21" customFormat="false" ht="14.25" hidden="false" customHeight="true" outlineLevel="0" collapsed="false">
      <c r="A21" s="60" t="s">
        <v>1176</v>
      </c>
    </row>
    <row r="22" customFormat="false" ht="14.25" hidden="false" customHeight="true" outlineLevel="0" collapsed="false">
      <c r="A22" s="60" t="s">
        <v>1177</v>
      </c>
    </row>
    <row r="23" customFormat="false" ht="14.25" hidden="false" customHeight="true" outlineLevel="0" collapsed="false">
      <c r="A23" s="60" t="s">
        <v>1178</v>
      </c>
    </row>
    <row r="24" customFormat="false" ht="14.25" hidden="false" customHeight="true" outlineLevel="0" collapsed="false">
      <c r="A24" s="60"/>
    </row>
    <row r="25" customFormat="false" ht="14.25" hidden="false" customHeight="true" outlineLevel="0" collapsed="false">
      <c r="A25" s="60"/>
    </row>
    <row r="26" customFormat="false" ht="14.25" hidden="false" customHeight="true" outlineLevel="0" collapsed="false">
      <c r="A26" s="60"/>
    </row>
    <row r="27" customFormat="false" ht="14.25" hidden="false" customHeight="true" outlineLevel="0" collapsed="false">
      <c r="A27" s="60"/>
    </row>
    <row r="28" customFormat="false" ht="14.25" hidden="false" customHeight="true" outlineLevel="0" collapsed="false">
      <c r="A28" s="60"/>
    </row>
    <row r="29" customFormat="false" ht="14.25" hidden="false" customHeight="true" outlineLevel="0" collapsed="false">
      <c r="A29" s="60"/>
    </row>
    <row r="30" customFormat="false" ht="14.25" hidden="false" customHeight="true" outlineLevel="0" collapsed="false">
      <c r="A30" s="60"/>
    </row>
    <row r="31" customFormat="false" ht="14.25" hidden="false" customHeight="true" outlineLevel="0" collapsed="false">
      <c r="A31" s="60"/>
    </row>
    <row r="32" customFormat="false" ht="14.25" hidden="false" customHeight="true" outlineLevel="0" collapsed="false">
      <c r="A32" s="60"/>
    </row>
    <row r="33" customFormat="false" ht="14.25" hidden="false" customHeight="true" outlineLevel="0" collapsed="false">
      <c r="A33" s="60"/>
    </row>
    <row r="34" customFormat="false" ht="14.25" hidden="false" customHeight="true" outlineLevel="0" collapsed="false">
      <c r="A34" s="60"/>
    </row>
    <row r="35" customFormat="false" ht="14.25" hidden="false" customHeight="true" outlineLevel="0" collapsed="false">
      <c r="A35" s="60"/>
    </row>
    <row r="36" customFormat="false" ht="14.25" hidden="false" customHeight="true" outlineLevel="0" collapsed="false">
      <c r="A36" s="60"/>
    </row>
    <row r="37" customFormat="false" ht="14.25" hidden="false" customHeight="true" outlineLevel="0" collapsed="false">
      <c r="A37" s="60"/>
    </row>
    <row r="38" customFormat="false" ht="14.25" hidden="false" customHeight="true" outlineLevel="0" collapsed="false">
      <c r="A38" s="60"/>
    </row>
    <row r="39" customFormat="false" ht="14.25" hidden="false" customHeight="true" outlineLevel="0" collapsed="false">
      <c r="A39" s="60"/>
    </row>
    <row r="40" customFormat="false" ht="14.25" hidden="false" customHeight="true" outlineLevel="0" collapsed="false">
      <c r="A40" s="60"/>
    </row>
    <row r="41" customFormat="false" ht="14.25" hidden="false" customHeight="true" outlineLevel="0" collapsed="false">
      <c r="A41" s="60"/>
    </row>
    <row r="42" customFormat="false" ht="14.25" hidden="false" customHeight="true" outlineLevel="0" collapsed="false">
      <c r="A42" s="60"/>
    </row>
    <row r="43" customFormat="false" ht="14.25" hidden="false" customHeight="true" outlineLevel="0" collapsed="false">
      <c r="A43" s="60"/>
    </row>
    <row r="44" customFormat="false" ht="14.25" hidden="false" customHeight="true" outlineLevel="0" collapsed="false">
      <c r="A44" s="60"/>
    </row>
    <row r="45" customFormat="false" ht="14.25" hidden="false" customHeight="true" outlineLevel="0" collapsed="false">
      <c r="A45" s="60"/>
    </row>
    <row r="46" customFormat="false" ht="14.25" hidden="false" customHeight="true" outlineLevel="0" collapsed="false">
      <c r="A46" s="60"/>
    </row>
    <row r="47" customFormat="false" ht="14.25" hidden="false" customHeight="true" outlineLevel="0" collapsed="false">
      <c r="A47" s="60"/>
    </row>
    <row r="48" customFormat="false" ht="14.25" hidden="false" customHeight="true" outlineLevel="0" collapsed="false">
      <c r="A48" s="60"/>
    </row>
    <row r="49" customFormat="false" ht="14.25" hidden="false" customHeight="true" outlineLevel="0" collapsed="false">
      <c r="A49" s="60"/>
    </row>
    <row r="50" customFormat="false" ht="14.25" hidden="false" customHeight="true" outlineLevel="0" collapsed="false">
      <c r="A50" s="60"/>
    </row>
    <row r="51" customFormat="false" ht="14.25" hidden="false" customHeight="true" outlineLevel="0" collapsed="false">
      <c r="A51" s="60"/>
    </row>
    <row r="52" customFormat="false" ht="14.25" hidden="false" customHeight="true" outlineLevel="0" collapsed="false">
      <c r="A52" s="60"/>
    </row>
    <row r="53" customFormat="false" ht="14.25" hidden="false" customHeight="true" outlineLevel="0" collapsed="false">
      <c r="A53" s="60"/>
    </row>
    <row r="54" customFormat="false" ht="14.25" hidden="false" customHeight="true" outlineLevel="0" collapsed="false">
      <c r="A54" s="60"/>
    </row>
    <row r="55" customFormat="false" ht="14.25" hidden="false" customHeight="true" outlineLevel="0" collapsed="false">
      <c r="A55" s="60"/>
    </row>
    <row r="56" customFormat="false" ht="14.25" hidden="false" customHeight="true" outlineLevel="0" collapsed="false">
      <c r="A56" s="60"/>
    </row>
    <row r="57" customFormat="false" ht="14.25" hidden="false" customHeight="true" outlineLevel="0" collapsed="false">
      <c r="A57" s="60"/>
    </row>
    <row r="58" customFormat="false" ht="14.25" hidden="false" customHeight="true" outlineLevel="0" collapsed="false">
      <c r="A58" s="60"/>
    </row>
    <row r="59" customFormat="false" ht="14.25" hidden="false" customHeight="true" outlineLevel="0" collapsed="false">
      <c r="A59" s="60"/>
    </row>
    <row r="60" customFormat="false" ht="14.25" hidden="false" customHeight="true" outlineLevel="0" collapsed="false">
      <c r="A60" s="60"/>
    </row>
    <row r="61" customFormat="false" ht="14.25" hidden="false" customHeight="true" outlineLevel="0" collapsed="false">
      <c r="A61" s="60"/>
    </row>
    <row r="62" customFormat="false" ht="14.25" hidden="false" customHeight="true" outlineLevel="0" collapsed="false">
      <c r="A62" s="60"/>
    </row>
    <row r="63" customFormat="false" ht="14.25" hidden="false" customHeight="true" outlineLevel="0" collapsed="false">
      <c r="A63" s="60"/>
    </row>
    <row r="64" customFormat="false" ht="14.25" hidden="false" customHeight="true" outlineLevel="0" collapsed="false">
      <c r="A64" s="60"/>
    </row>
    <row r="65" customFormat="false" ht="14.25" hidden="false" customHeight="true" outlineLevel="0" collapsed="false">
      <c r="A65" s="60"/>
    </row>
    <row r="66" customFormat="false" ht="14.25" hidden="false" customHeight="true" outlineLevel="0" collapsed="false">
      <c r="A66" s="60"/>
    </row>
    <row r="67" customFormat="false" ht="14.25" hidden="false" customHeight="true" outlineLevel="0" collapsed="false">
      <c r="A67" s="60"/>
    </row>
    <row r="68" customFormat="false" ht="14.25" hidden="false" customHeight="true" outlineLevel="0" collapsed="false">
      <c r="A68" s="60"/>
    </row>
    <row r="69" customFormat="false" ht="14.25" hidden="false" customHeight="true" outlineLevel="0" collapsed="false">
      <c r="A69" s="60"/>
    </row>
    <row r="70" customFormat="false" ht="14.25" hidden="false" customHeight="true" outlineLevel="0" collapsed="false">
      <c r="A70" s="60"/>
    </row>
    <row r="71" customFormat="false" ht="14.25" hidden="false" customHeight="true" outlineLevel="0" collapsed="false">
      <c r="A71" s="60"/>
    </row>
    <row r="72" customFormat="false" ht="14.25" hidden="false" customHeight="true" outlineLevel="0" collapsed="false">
      <c r="A72" s="60"/>
    </row>
    <row r="73" customFormat="false" ht="14.25" hidden="false" customHeight="true" outlineLevel="0" collapsed="false">
      <c r="A73" s="60"/>
    </row>
    <row r="74" customFormat="false" ht="14.25" hidden="false" customHeight="true" outlineLevel="0" collapsed="false">
      <c r="A74" s="60"/>
    </row>
    <row r="75" customFormat="false" ht="14.25" hidden="false" customHeight="true" outlineLevel="0" collapsed="false">
      <c r="A75" s="60"/>
    </row>
    <row r="76" customFormat="false" ht="14.25" hidden="false" customHeight="true" outlineLevel="0" collapsed="false">
      <c r="A76" s="60"/>
    </row>
    <row r="77" customFormat="false" ht="14.25" hidden="false" customHeight="true" outlineLevel="0" collapsed="false">
      <c r="A77" s="60"/>
    </row>
    <row r="78" customFormat="false" ht="14.25" hidden="false" customHeight="true" outlineLevel="0" collapsed="false">
      <c r="A78" s="60"/>
    </row>
    <row r="79" customFormat="false" ht="14.25" hidden="false" customHeight="true" outlineLevel="0" collapsed="false">
      <c r="A79" s="60"/>
    </row>
    <row r="80" customFormat="false" ht="14.25" hidden="false" customHeight="true" outlineLevel="0" collapsed="false">
      <c r="A80" s="60"/>
    </row>
    <row r="81" customFormat="false" ht="14.25" hidden="false" customHeight="true" outlineLevel="0" collapsed="false">
      <c r="A81" s="60"/>
    </row>
    <row r="82" customFormat="false" ht="14.25" hidden="false" customHeight="true" outlineLevel="0" collapsed="false">
      <c r="A82" s="60"/>
    </row>
    <row r="83" customFormat="false" ht="14.25" hidden="false" customHeight="true" outlineLevel="0" collapsed="false">
      <c r="A83" s="60"/>
    </row>
    <row r="84" customFormat="false" ht="14.25" hidden="false" customHeight="true" outlineLevel="0" collapsed="false">
      <c r="A84" s="60"/>
    </row>
    <row r="85" customFormat="false" ht="14.25" hidden="false" customHeight="true" outlineLevel="0" collapsed="false">
      <c r="A85" s="60"/>
    </row>
    <row r="86" customFormat="false" ht="14.25" hidden="false" customHeight="true" outlineLevel="0" collapsed="false">
      <c r="A86" s="60"/>
    </row>
    <row r="87" customFormat="false" ht="14.25" hidden="false" customHeight="true" outlineLevel="0" collapsed="false">
      <c r="A87" s="60"/>
    </row>
    <row r="88" customFormat="false" ht="14.25" hidden="false" customHeight="true" outlineLevel="0" collapsed="false">
      <c r="A88" s="60"/>
    </row>
    <row r="89" customFormat="false" ht="14.25" hidden="false" customHeight="true" outlineLevel="0" collapsed="false">
      <c r="A89" s="60"/>
    </row>
    <row r="90" customFormat="false" ht="14.25" hidden="false" customHeight="true" outlineLevel="0" collapsed="false">
      <c r="A90" s="60"/>
    </row>
    <row r="91" customFormat="false" ht="14.25" hidden="false" customHeight="true" outlineLevel="0" collapsed="false">
      <c r="A91" s="60"/>
    </row>
    <row r="92" customFormat="false" ht="14.25" hidden="false" customHeight="true" outlineLevel="0" collapsed="false">
      <c r="A92" s="60"/>
    </row>
    <row r="93" customFormat="false" ht="14.25" hidden="false" customHeight="true" outlineLevel="0" collapsed="false">
      <c r="A93" s="60"/>
    </row>
    <row r="94" customFormat="false" ht="14.25" hidden="false" customHeight="true" outlineLevel="0" collapsed="false">
      <c r="A94" s="60"/>
    </row>
    <row r="95" customFormat="false" ht="14.25" hidden="false" customHeight="true" outlineLevel="0" collapsed="false">
      <c r="A95" s="60"/>
    </row>
    <row r="96" customFormat="false" ht="14.25" hidden="false" customHeight="true" outlineLevel="0" collapsed="false">
      <c r="A96" s="60"/>
    </row>
    <row r="97" customFormat="false" ht="14.25" hidden="false" customHeight="true" outlineLevel="0" collapsed="false">
      <c r="A97" s="60"/>
    </row>
    <row r="98" customFormat="false" ht="14.25" hidden="false" customHeight="true" outlineLevel="0" collapsed="false">
      <c r="A98" s="60"/>
    </row>
    <row r="99" customFormat="false" ht="14.25" hidden="false" customHeight="true" outlineLevel="0" collapsed="false">
      <c r="A99" s="60"/>
    </row>
    <row r="100" customFormat="false" ht="14.25" hidden="false" customHeight="true" outlineLevel="0" collapsed="false">
      <c r="A100" s="60"/>
    </row>
    <row r="101" customFormat="false" ht="14.25" hidden="false" customHeight="true" outlineLevel="0" collapsed="false">
      <c r="A101" s="60"/>
    </row>
    <row r="102" customFormat="false" ht="14.25" hidden="false" customHeight="true" outlineLevel="0" collapsed="false">
      <c r="A102" s="60"/>
    </row>
    <row r="103" customFormat="false" ht="14.25" hidden="false" customHeight="true" outlineLevel="0" collapsed="false">
      <c r="A103" s="60"/>
    </row>
    <row r="104" customFormat="false" ht="14.25" hidden="false" customHeight="true" outlineLevel="0" collapsed="false">
      <c r="A104" s="60"/>
    </row>
    <row r="105" customFormat="false" ht="14.25" hidden="false" customHeight="true" outlineLevel="0" collapsed="false">
      <c r="A105" s="60"/>
    </row>
    <row r="106" customFormat="false" ht="14.25" hidden="false" customHeight="true" outlineLevel="0" collapsed="false">
      <c r="A106" s="60"/>
    </row>
    <row r="107" customFormat="false" ht="14.25" hidden="false" customHeight="true" outlineLevel="0" collapsed="false">
      <c r="A107" s="60"/>
    </row>
    <row r="108" customFormat="false" ht="14.25" hidden="false" customHeight="true" outlineLevel="0" collapsed="false">
      <c r="A108" s="60"/>
    </row>
    <row r="109" customFormat="false" ht="14.25" hidden="false" customHeight="true" outlineLevel="0" collapsed="false">
      <c r="A109" s="60"/>
    </row>
    <row r="110" customFormat="false" ht="14.25" hidden="false" customHeight="true" outlineLevel="0" collapsed="false">
      <c r="A110" s="60"/>
    </row>
    <row r="111" customFormat="false" ht="14.25" hidden="false" customHeight="true" outlineLevel="0" collapsed="false">
      <c r="A111" s="60"/>
    </row>
    <row r="112" customFormat="false" ht="14.25" hidden="false" customHeight="true" outlineLevel="0" collapsed="false">
      <c r="A112" s="60"/>
    </row>
    <row r="113" customFormat="false" ht="14.25" hidden="false" customHeight="true" outlineLevel="0" collapsed="false">
      <c r="A113" s="60"/>
    </row>
    <row r="114" customFormat="false" ht="14.25" hidden="false" customHeight="true" outlineLevel="0" collapsed="false">
      <c r="A114" s="60"/>
    </row>
    <row r="115" customFormat="false" ht="14.25" hidden="false" customHeight="true" outlineLevel="0" collapsed="false">
      <c r="A115" s="60"/>
    </row>
    <row r="116" customFormat="false" ht="14.25" hidden="false" customHeight="true" outlineLevel="0" collapsed="false">
      <c r="A116" s="60"/>
    </row>
    <row r="117" customFormat="false" ht="14.25" hidden="false" customHeight="true" outlineLevel="0" collapsed="false">
      <c r="A117" s="60"/>
    </row>
    <row r="118" customFormat="false" ht="14.25" hidden="false" customHeight="true" outlineLevel="0" collapsed="false">
      <c r="A118" s="60"/>
    </row>
    <row r="119" customFormat="false" ht="14.25" hidden="false" customHeight="true" outlineLevel="0" collapsed="false">
      <c r="A119" s="60"/>
    </row>
    <row r="120" customFormat="false" ht="14.25" hidden="false" customHeight="true" outlineLevel="0" collapsed="false">
      <c r="A120" s="60"/>
    </row>
    <row r="121" customFormat="false" ht="14.25" hidden="false" customHeight="true" outlineLevel="0" collapsed="false">
      <c r="A121" s="60"/>
    </row>
    <row r="122" customFormat="false" ht="14.25" hidden="false" customHeight="true" outlineLevel="0" collapsed="false">
      <c r="A122" s="60"/>
    </row>
    <row r="123" customFormat="false" ht="14.25" hidden="false" customHeight="true" outlineLevel="0" collapsed="false">
      <c r="A123" s="60"/>
    </row>
    <row r="124" customFormat="false" ht="14.25" hidden="false" customHeight="true" outlineLevel="0" collapsed="false">
      <c r="A124" s="60"/>
    </row>
    <row r="125" customFormat="false" ht="14.25" hidden="false" customHeight="true" outlineLevel="0" collapsed="false">
      <c r="A125" s="60"/>
    </row>
    <row r="126" customFormat="false" ht="14.25" hidden="false" customHeight="true" outlineLevel="0" collapsed="false">
      <c r="A126" s="60"/>
    </row>
    <row r="127" customFormat="false" ht="14.25" hidden="false" customHeight="true" outlineLevel="0" collapsed="false">
      <c r="A127" s="60"/>
    </row>
    <row r="128" customFormat="false" ht="14.25" hidden="false" customHeight="true" outlineLevel="0" collapsed="false">
      <c r="A128" s="60"/>
    </row>
    <row r="129" customFormat="false" ht="14.25" hidden="false" customHeight="true" outlineLevel="0" collapsed="false">
      <c r="A129" s="60"/>
    </row>
    <row r="130" customFormat="false" ht="14.25" hidden="false" customHeight="true" outlineLevel="0" collapsed="false">
      <c r="A130" s="60"/>
    </row>
    <row r="131" customFormat="false" ht="14.25" hidden="false" customHeight="true" outlineLevel="0" collapsed="false">
      <c r="A131" s="60"/>
    </row>
    <row r="132" customFormat="false" ht="14.25" hidden="false" customHeight="true" outlineLevel="0" collapsed="false">
      <c r="A132" s="60"/>
    </row>
    <row r="133" customFormat="false" ht="14.25" hidden="false" customHeight="true" outlineLevel="0" collapsed="false">
      <c r="A133" s="60"/>
    </row>
    <row r="134" customFormat="false" ht="14.25" hidden="false" customHeight="true" outlineLevel="0" collapsed="false">
      <c r="A134" s="60"/>
    </row>
    <row r="135" customFormat="false" ht="14.25" hidden="false" customHeight="true" outlineLevel="0" collapsed="false">
      <c r="A135" s="60"/>
    </row>
    <row r="136" customFormat="false" ht="14.25" hidden="false" customHeight="true" outlineLevel="0" collapsed="false">
      <c r="A136" s="60"/>
    </row>
    <row r="137" customFormat="false" ht="14.25" hidden="false" customHeight="true" outlineLevel="0" collapsed="false">
      <c r="A137" s="60"/>
    </row>
    <row r="138" customFormat="false" ht="14.25" hidden="false" customHeight="true" outlineLevel="0" collapsed="false">
      <c r="A138" s="60"/>
    </row>
    <row r="139" customFormat="false" ht="14.25" hidden="false" customHeight="true" outlineLevel="0" collapsed="false">
      <c r="A139" s="60"/>
    </row>
    <row r="140" customFormat="false" ht="14.25" hidden="false" customHeight="true" outlineLevel="0" collapsed="false">
      <c r="A140" s="60"/>
    </row>
    <row r="141" customFormat="false" ht="14.25" hidden="false" customHeight="true" outlineLevel="0" collapsed="false">
      <c r="A141" s="60"/>
    </row>
    <row r="142" customFormat="false" ht="14.25" hidden="false" customHeight="true" outlineLevel="0" collapsed="false">
      <c r="A142" s="60"/>
    </row>
    <row r="143" customFormat="false" ht="14.25" hidden="false" customHeight="true" outlineLevel="0" collapsed="false">
      <c r="A143" s="60"/>
    </row>
    <row r="144" customFormat="false" ht="14.25" hidden="false" customHeight="true" outlineLevel="0" collapsed="false">
      <c r="A144" s="60"/>
    </row>
    <row r="145" customFormat="false" ht="14.25" hidden="false" customHeight="true" outlineLevel="0" collapsed="false">
      <c r="A145" s="60"/>
    </row>
    <row r="146" customFormat="false" ht="14.25" hidden="false" customHeight="true" outlineLevel="0" collapsed="false">
      <c r="A146" s="60"/>
    </row>
    <row r="147" customFormat="false" ht="14.25" hidden="false" customHeight="true" outlineLevel="0" collapsed="false">
      <c r="A147" s="60"/>
    </row>
    <row r="148" customFormat="false" ht="14.25" hidden="false" customHeight="true" outlineLevel="0" collapsed="false">
      <c r="A148" s="60"/>
    </row>
    <row r="149" customFormat="false" ht="14.25" hidden="false" customHeight="true" outlineLevel="0" collapsed="false">
      <c r="A149" s="60"/>
    </row>
    <row r="150" customFormat="false" ht="14.25" hidden="false" customHeight="true" outlineLevel="0" collapsed="false">
      <c r="A150" s="60"/>
    </row>
    <row r="151" customFormat="false" ht="14.25" hidden="false" customHeight="true" outlineLevel="0" collapsed="false">
      <c r="A151" s="60"/>
    </row>
    <row r="152" customFormat="false" ht="14.25" hidden="false" customHeight="true" outlineLevel="0" collapsed="false">
      <c r="A152" s="60"/>
    </row>
    <row r="153" customFormat="false" ht="14.25" hidden="false" customHeight="true" outlineLevel="0" collapsed="false">
      <c r="A153" s="60"/>
    </row>
    <row r="154" customFormat="false" ht="14.25" hidden="false" customHeight="true" outlineLevel="0" collapsed="false">
      <c r="A154" s="60"/>
    </row>
    <row r="155" customFormat="false" ht="14.25" hidden="false" customHeight="true" outlineLevel="0" collapsed="false">
      <c r="A155" s="60"/>
    </row>
    <row r="156" customFormat="false" ht="14.25" hidden="false" customHeight="true" outlineLevel="0" collapsed="false">
      <c r="A156" s="60"/>
    </row>
    <row r="157" customFormat="false" ht="14.25" hidden="false" customHeight="true" outlineLevel="0" collapsed="false">
      <c r="A157" s="60"/>
    </row>
    <row r="158" customFormat="false" ht="14.25" hidden="false" customHeight="true" outlineLevel="0" collapsed="false">
      <c r="A158" s="60"/>
    </row>
    <row r="159" customFormat="false" ht="14.25" hidden="false" customHeight="true" outlineLevel="0" collapsed="false">
      <c r="A159" s="60"/>
    </row>
    <row r="160" customFormat="false" ht="14.25" hidden="false" customHeight="true" outlineLevel="0" collapsed="false">
      <c r="A160" s="60"/>
    </row>
    <row r="161" customFormat="false" ht="14.25" hidden="false" customHeight="true" outlineLevel="0" collapsed="false">
      <c r="A161" s="60"/>
    </row>
    <row r="162" customFormat="false" ht="14.25" hidden="false" customHeight="true" outlineLevel="0" collapsed="false">
      <c r="A162" s="60"/>
    </row>
    <row r="163" customFormat="false" ht="14.25" hidden="false" customHeight="true" outlineLevel="0" collapsed="false">
      <c r="A163" s="60"/>
    </row>
    <row r="164" customFormat="false" ht="14.25" hidden="false" customHeight="true" outlineLevel="0" collapsed="false">
      <c r="A164" s="60"/>
    </row>
    <row r="165" customFormat="false" ht="14.25" hidden="false" customHeight="true" outlineLevel="0" collapsed="false">
      <c r="A165" s="60"/>
    </row>
    <row r="166" customFormat="false" ht="14.25" hidden="false" customHeight="true" outlineLevel="0" collapsed="false">
      <c r="A166" s="60"/>
    </row>
    <row r="167" customFormat="false" ht="14.25" hidden="false" customHeight="true" outlineLevel="0" collapsed="false">
      <c r="A167" s="60"/>
    </row>
    <row r="168" customFormat="false" ht="14.25" hidden="false" customHeight="true" outlineLevel="0" collapsed="false">
      <c r="A168" s="60"/>
    </row>
    <row r="169" customFormat="false" ht="14.25" hidden="false" customHeight="true" outlineLevel="0" collapsed="false">
      <c r="A169" s="60"/>
    </row>
    <row r="170" customFormat="false" ht="14.25" hidden="false" customHeight="true" outlineLevel="0" collapsed="false">
      <c r="A170" s="60"/>
    </row>
    <row r="171" customFormat="false" ht="14.25" hidden="false" customHeight="true" outlineLevel="0" collapsed="false">
      <c r="A171" s="60"/>
    </row>
    <row r="172" customFormat="false" ht="14.25" hidden="false" customHeight="true" outlineLevel="0" collapsed="false">
      <c r="A172" s="60"/>
    </row>
    <row r="173" customFormat="false" ht="14.25" hidden="false" customHeight="true" outlineLevel="0" collapsed="false">
      <c r="A173" s="60"/>
    </row>
    <row r="174" customFormat="false" ht="14.25" hidden="false" customHeight="true" outlineLevel="0" collapsed="false">
      <c r="A174" s="60"/>
    </row>
    <row r="175" customFormat="false" ht="14.25" hidden="false" customHeight="true" outlineLevel="0" collapsed="false">
      <c r="A175" s="60"/>
    </row>
    <row r="176" customFormat="false" ht="14.25" hidden="false" customHeight="true" outlineLevel="0" collapsed="false">
      <c r="A176" s="60"/>
    </row>
    <row r="177" customFormat="false" ht="14.25" hidden="false" customHeight="true" outlineLevel="0" collapsed="false">
      <c r="A177" s="60"/>
    </row>
    <row r="178" customFormat="false" ht="14.25" hidden="false" customHeight="true" outlineLevel="0" collapsed="false">
      <c r="A178" s="60"/>
    </row>
    <row r="179" customFormat="false" ht="14.25" hidden="false" customHeight="true" outlineLevel="0" collapsed="false">
      <c r="A179" s="60"/>
    </row>
    <row r="180" customFormat="false" ht="14.25" hidden="false" customHeight="true" outlineLevel="0" collapsed="false">
      <c r="A180" s="60"/>
    </row>
    <row r="181" customFormat="false" ht="14.25" hidden="false" customHeight="true" outlineLevel="0" collapsed="false">
      <c r="A181" s="60"/>
    </row>
    <row r="182" customFormat="false" ht="14.25" hidden="false" customHeight="true" outlineLevel="0" collapsed="false">
      <c r="A182" s="60"/>
    </row>
    <row r="183" customFormat="false" ht="14.25" hidden="false" customHeight="true" outlineLevel="0" collapsed="false">
      <c r="A183" s="60"/>
    </row>
    <row r="184" customFormat="false" ht="14.25" hidden="false" customHeight="true" outlineLevel="0" collapsed="false">
      <c r="A184" s="60"/>
    </row>
    <row r="185" customFormat="false" ht="14.25" hidden="false" customHeight="true" outlineLevel="0" collapsed="false">
      <c r="A185" s="60"/>
    </row>
    <row r="186" customFormat="false" ht="14.25" hidden="false" customHeight="true" outlineLevel="0" collapsed="false">
      <c r="A186" s="60"/>
    </row>
    <row r="187" customFormat="false" ht="14.25" hidden="false" customHeight="true" outlineLevel="0" collapsed="false">
      <c r="A187" s="60"/>
    </row>
    <row r="188" customFormat="false" ht="14.25" hidden="false" customHeight="true" outlineLevel="0" collapsed="false">
      <c r="A188" s="60"/>
    </row>
    <row r="189" customFormat="false" ht="14.25" hidden="false" customHeight="true" outlineLevel="0" collapsed="false">
      <c r="A189" s="60"/>
    </row>
    <row r="190" customFormat="false" ht="14.25" hidden="false" customHeight="true" outlineLevel="0" collapsed="false">
      <c r="A190" s="60"/>
    </row>
    <row r="191" customFormat="false" ht="14.25" hidden="false" customHeight="true" outlineLevel="0" collapsed="false">
      <c r="A191" s="60"/>
    </row>
    <row r="192" customFormat="false" ht="14.25" hidden="false" customHeight="true" outlineLevel="0" collapsed="false">
      <c r="A192" s="60"/>
    </row>
    <row r="193" customFormat="false" ht="14.25" hidden="false" customHeight="true" outlineLevel="0" collapsed="false">
      <c r="A193" s="60"/>
    </row>
    <row r="194" customFormat="false" ht="14.25" hidden="false" customHeight="true" outlineLevel="0" collapsed="false">
      <c r="A194" s="60"/>
    </row>
    <row r="195" customFormat="false" ht="14.25" hidden="false" customHeight="true" outlineLevel="0" collapsed="false">
      <c r="A195" s="60"/>
    </row>
    <row r="196" customFormat="false" ht="14.25" hidden="false" customHeight="true" outlineLevel="0" collapsed="false">
      <c r="A196" s="60"/>
    </row>
    <row r="197" customFormat="false" ht="14.25" hidden="false" customHeight="true" outlineLevel="0" collapsed="false">
      <c r="A197" s="60"/>
    </row>
    <row r="198" customFormat="false" ht="14.25" hidden="false" customHeight="true" outlineLevel="0" collapsed="false">
      <c r="A198" s="60"/>
    </row>
    <row r="199" customFormat="false" ht="14.25" hidden="false" customHeight="true" outlineLevel="0" collapsed="false">
      <c r="A199" s="60"/>
    </row>
    <row r="200" customFormat="false" ht="14.25" hidden="false" customHeight="true" outlineLevel="0" collapsed="false">
      <c r="A200" s="60"/>
    </row>
  </sheetData>
  <dataValidations count="3">
    <dataValidation allowBlank="true" errorStyle="stop" operator="equal" showDropDown="false" showErrorMessage="false" showInputMessage="false" sqref="A5:A200" type="list">
      <formula1>"A,B,C,D,E"</formula1>
      <formula2>0</formula2>
    </dataValidation>
    <dataValidation allowBlank="true" errorStyle="stop" operator="equal" showDropDown="false" showErrorMessage="false" showInputMessage="false" sqref="B5:B200" type="list">
      <formula1>"U1,U2,U3,U4,U5,U6,U7"</formula1>
      <formula2>0</formula2>
    </dataValidation>
    <dataValidation allowBlank="true" errorStyle="stop" operator="equal" showDropDown="false" showErrorMessage="false" showInputMessage="false" sqref="C5:C200" type="list">
      <formula1>"D1,D2,D3,D4,D5,D6,D7"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1179</v>
      </c>
      <c r="B1" s="20"/>
      <c r="C1" s="20"/>
      <c r="D1" s="20"/>
      <c r="E1" s="20"/>
      <c r="F1" s="20"/>
      <c r="G1" s="20"/>
      <c r="H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1180</v>
      </c>
    </row>
    <row r="4" customFormat="false" ht="14.25" hidden="false" customHeight="true" outlineLevel="0" collapsed="false">
      <c r="A4" s="0" t="s">
        <v>1181</v>
      </c>
    </row>
    <row r="5" customFormat="false" ht="13.5" hidden="false" customHeight="true" outlineLevel="0" collapsed="false"/>
    <row r="6" customFormat="false" ht="14.25" hidden="false" customHeight="true" outlineLevel="0" collapsed="false">
      <c r="A6" s="8" t="s">
        <v>1182</v>
      </c>
    </row>
    <row r="7" customFormat="false" ht="14.25" hidden="false" customHeight="true" outlineLevel="0" collapsed="false">
      <c r="A7" s="0" t="s">
        <v>1183</v>
      </c>
    </row>
    <row r="8" customFormat="false" ht="14.25" hidden="false" customHeight="true" outlineLevel="0" collapsed="false">
      <c r="A8" s="0" t="s">
        <v>1184</v>
      </c>
    </row>
    <row r="9" customFormat="false" ht="14.25" hidden="false" customHeight="true" outlineLevel="0" collapsed="false">
      <c r="A9" s="0" t="s">
        <v>1185</v>
      </c>
    </row>
    <row r="10" customFormat="false" ht="13.5" hidden="false" customHeight="true" outlineLevel="0" collapsed="false"/>
    <row r="11" customFormat="false" ht="14.25" hidden="false" customHeight="true" outlineLevel="0" collapsed="false">
      <c r="A11" s="8" t="s">
        <v>1186</v>
      </c>
    </row>
    <row r="12" customFormat="false" ht="14.25" hidden="false" customHeight="true" outlineLevel="0" collapsed="false">
      <c r="A12" s="8" t="s">
        <v>476</v>
      </c>
      <c r="B12" s="8" t="s">
        <v>1187</v>
      </c>
      <c r="C12" s="8" t="s">
        <v>1188</v>
      </c>
      <c r="D12" s="8" t="s">
        <v>1189</v>
      </c>
      <c r="E12" s="8" t="s">
        <v>1190</v>
      </c>
    </row>
    <row r="13" customFormat="false" ht="14.25" hidden="false" customHeight="true" outlineLevel="0" collapsed="false">
      <c r="A13" s="0" t="s">
        <v>1191</v>
      </c>
      <c r="B13" s="0" t="s">
        <v>1192</v>
      </c>
      <c r="C13" s="0" t="s">
        <v>1193</v>
      </c>
      <c r="D13" s="0" t="n">
        <v>1</v>
      </c>
      <c r="E13" s="0" t="s">
        <v>1194</v>
      </c>
    </row>
    <row r="14" customFormat="false" ht="14.25" hidden="false" customHeight="true" outlineLevel="0" collapsed="false">
      <c r="A14" s="0" t="s">
        <v>1195</v>
      </c>
      <c r="B14" s="0" t="s">
        <v>1196</v>
      </c>
      <c r="C14" s="0" t="s">
        <v>1193</v>
      </c>
      <c r="D14" s="0" t="n">
        <v>1</v>
      </c>
      <c r="E14" s="0" t="s">
        <v>1194</v>
      </c>
    </row>
    <row r="15" customFormat="false" ht="14.25" hidden="false" customHeight="true" outlineLevel="0" collapsed="false">
      <c r="A15" s="0" t="s">
        <v>1197</v>
      </c>
      <c r="B15" s="0" t="s">
        <v>1198</v>
      </c>
      <c r="C15" s="0" t="s">
        <v>1193</v>
      </c>
      <c r="D15" s="0" t="n">
        <v>1</v>
      </c>
      <c r="E15" s="0" t="s">
        <v>1194</v>
      </c>
    </row>
    <row r="16" customFormat="false" ht="14.25" hidden="false" customHeight="true" outlineLevel="0" collapsed="false">
      <c r="A16" s="0" t="s">
        <v>1199</v>
      </c>
      <c r="B16" s="0" t="s">
        <v>1200</v>
      </c>
      <c r="C16" s="0" t="s">
        <v>1193</v>
      </c>
      <c r="D16" s="0" t="n">
        <v>1</v>
      </c>
      <c r="E16" s="0" t="s">
        <v>1194</v>
      </c>
    </row>
    <row r="17" customFormat="false" ht="14.25" hidden="false" customHeight="true" outlineLevel="0" collapsed="false">
      <c r="A17" s="0" t="s">
        <v>1201</v>
      </c>
      <c r="B17" s="0" t="s">
        <v>1202</v>
      </c>
      <c r="C17" s="0" t="s">
        <v>1193</v>
      </c>
      <c r="D17" s="0" t="n">
        <v>1</v>
      </c>
      <c r="E17" s="0" t="s">
        <v>1194</v>
      </c>
    </row>
    <row r="18" customFormat="false" ht="14.25" hidden="false" customHeight="true" outlineLevel="0" collapsed="false">
      <c r="A18" s="0" t="s">
        <v>1203</v>
      </c>
      <c r="B18" s="0" t="s">
        <v>1204</v>
      </c>
      <c r="C18" s="0" t="s">
        <v>1193</v>
      </c>
      <c r="D18" s="0" t="n">
        <v>1</v>
      </c>
      <c r="E18" s="0" t="s">
        <v>1194</v>
      </c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4.25" hidden="false" customHeight="true" outlineLevel="0" collapsed="false">
      <c r="A21" s="8" t="s">
        <v>1205</v>
      </c>
    </row>
    <row r="22" customFormat="false" ht="14.25" hidden="false" customHeight="true" outlineLevel="0" collapsed="false">
      <c r="A22" s="0" t="s">
        <v>1206</v>
      </c>
    </row>
    <row r="23" customFormat="false" ht="14.25" hidden="false" customHeight="true" outlineLevel="0" collapsed="false">
      <c r="A23" s="0" t="s">
        <v>1207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1208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3.5" hidden="false" customHeight="true" outlineLevel="0" collapsed="false"/>
    <row r="3" customFormat="false" ht="14.25" hidden="false" customHeight="true" outlineLevel="0" collapsed="false">
      <c r="A3" s="0" t="s">
        <v>1209</v>
      </c>
    </row>
    <row r="4" customFormat="false" ht="14.25" hidden="false" customHeight="true" outlineLevel="0" collapsed="false">
      <c r="A4" s="0" t="s">
        <v>1210</v>
      </c>
    </row>
    <row r="5" customFormat="false" ht="13.5" hidden="false" customHeight="true" outlineLevel="0" collapsed="false"/>
    <row r="6" customFormat="false" ht="14.25" hidden="false" customHeight="true" outlineLevel="0" collapsed="false">
      <c r="A6" s="8" t="s">
        <v>1211</v>
      </c>
    </row>
    <row r="7" customFormat="false" ht="14.25" hidden="false" customHeight="true" outlineLevel="0" collapsed="false">
      <c r="A7" s="0" t="s">
        <v>1212</v>
      </c>
    </row>
    <row r="8" customFormat="false" ht="14.25" hidden="false" customHeight="true" outlineLevel="0" collapsed="false">
      <c r="A8" s="0" t="s">
        <v>1213</v>
      </c>
    </row>
    <row r="9" customFormat="false" ht="14.25" hidden="false" customHeight="true" outlineLevel="0" collapsed="false">
      <c r="A9" s="0" t="s">
        <v>1214</v>
      </c>
    </row>
    <row r="10" customFormat="false" ht="14.25" hidden="false" customHeight="true" outlineLevel="0" collapsed="false">
      <c r="A10" s="0" t="s">
        <v>1215</v>
      </c>
    </row>
    <row r="11" customFormat="false" ht="14.25" hidden="false" customHeight="true" outlineLevel="0" collapsed="false">
      <c r="A11" s="0" t="s">
        <v>1216</v>
      </c>
    </row>
    <row r="12" customFormat="false" ht="14.25" hidden="false" customHeight="true" outlineLevel="0" collapsed="false">
      <c r="A12" s="0" t="s">
        <v>1217</v>
      </c>
    </row>
    <row r="13" customFormat="false" ht="14.25" hidden="false" customHeight="true" outlineLevel="0" collapsed="false">
      <c r="A13" s="0" t="s">
        <v>1218</v>
      </c>
    </row>
    <row r="14" customFormat="false" ht="13.5" hidden="false" customHeight="true" outlineLevel="0" collapsed="false"/>
    <row r="15" customFormat="false" ht="14.25" hidden="false" customHeight="true" outlineLevel="0" collapsed="false">
      <c r="A15" s="8" t="s">
        <v>1219</v>
      </c>
    </row>
    <row r="16" customFormat="false" ht="14.25" hidden="false" customHeight="true" outlineLevel="0" collapsed="false">
      <c r="A16" s="8" t="s">
        <v>1220</v>
      </c>
      <c r="B16" s="8" t="s">
        <v>122</v>
      </c>
    </row>
    <row r="17" customFormat="false" ht="14.25" hidden="false" customHeight="true" outlineLevel="0" collapsed="false">
      <c r="A17" s="0" t="s">
        <v>1221</v>
      </c>
      <c r="B17" s="11" t="s">
        <v>1222</v>
      </c>
    </row>
    <row r="18" customFormat="false" ht="14.25" hidden="false" customHeight="true" outlineLevel="0" collapsed="false">
      <c r="A18" s="0" t="s">
        <v>1223</v>
      </c>
      <c r="B18" s="11" t="s">
        <v>1222</v>
      </c>
    </row>
    <row r="19" customFormat="false" ht="14.25" hidden="false" customHeight="true" outlineLevel="0" collapsed="false">
      <c r="A19" s="0" t="s">
        <v>1224</v>
      </c>
      <c r="B19" s="11" t="s">
        <v>1222</v>
      </c>
    </row>
    <row r="20" customFormat="false" ht="14.25" hidden="false" customHeight="true" outlineLevel="0" collapsed="false">
      <c r="A20" s="0" t="s">
        <v>1225</v>
      </c>
      <c r="B20" s="11" t="s">
        <v>1222</v>
      </c>
    </row>
    <row r="21" customFormat="false" ht="14.25" hidden="false" customHeight="true" outlineLevel="0" collapsed="false">
      <c r="A21" s="0" t="s">
        <v>1226</v>
      </c>
      <c r="B21" s="11" t="s">
        <v>1222</v>
      </c>
    </row>
    <row r="22" customFormat="false" ht="14.25" hidden="false" customHeight="true" outlineLevel="0" collapsed="false">
      <c r="A22" s="0" t="s">
        <v>1227</v>
      </c>
      <c r="B22" s="11" t="s">
        <v>1228</v>
      </c>
    </row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4.25" hidden="false" customHeight="true" outlineLevel="0" collapsed="false">
      <c r="A25" s="8" t="s">
        <v>1229</v>
      </c>
    </row>
    <row r="26" customFormat="false" ht="14.25" hidden="false" customHeight="true" outlineLevel="0" collapsed="false">
      <c r="A26" s="11" t="s">
        <v>1230</v>
      </c>
    </row>
    <row r="27" customFormat="false" ht="13.5" hidden="false" customHeight="true" outlineLevel="0" collapsed="false"/>
    <row r="28" customFormat="false" ht="14.25" hidden="false" customHeight="true" outlineLevel="0" collapsed="false">
      <c r="A28" s="8" t="s">
        <v>1231</v>
      </c>
    </row>
    <row r="29" customFormat="false" ht="14.25" hidden="false" customHeight="true" outlineLevel="0" collapsed="false">
      <c r="A29" s="0" t="s">
        <v>1232</v>
      </c>
    </row>
    <row r="30" customFormat="false" ht="14.25" hidden="false" customHeight="true" outlineLevel="0" collapsed="false">
      <c r="A30" s="0" t="s">
        <v>1233</v>
      </c>
    </row>
    <row r="31" customFormat="false" ht="14.25" hidden="false" customHeight="true" outlineLevel="0" collapsed="false">
      <c r="A31" s="0" t="s">
        <v>1234</v>
      </c>
    </row>
    <row r="32" customFormat="false" ht="14.25" hidden="false" customHeight="true" outlineLevel="0" collapsed="false">
      <c r="A32" s="0" t="s">
        <v>1235</v>
      </c>
    </row>
    <row r="33" customFormat="false" ht="13.5" hidden="false" customHeight="true" outlineLevel="0" collapsed="false"/>
    <row r="34" customFormat="false" ht="14.25" hidden="false" customHeight="true" outlineLevel="0" collapsed="false">
      <c r="A34" s="0" t="s">
        <v>1236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1237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3.5" hidden="false" customHeight="true" outlineLevel="0" collapsed="false"/>
    <row r="3" customFormat="false" ht="14.25" hidden="false" customHeight="true" outlineLevel="0" collapsed="false">
      <c r="A3" s="42" t="s">
        <v>1238</v>
      </c>
    </row>
    <row r="4" customFormat="false" ht="14.25" hidden="false" customHeight="true" outlineLevel="0" collapsed="false">
      <c r="A4" s="4" t="s">
        <v>1239</v>
      </c>
    </row>
    <row r="5" customFormat="false" ht="14.25" hidden="false" customHeight="true" outlineLevel="0" collapsed="false">
      <c r="A5" s="8" t="s">
        <v>1240</v>
      </c>
    </row>
    <row r="6" customFormat="false" ht="14.25" hidden="false" customHeight="true" outlineLevel="0" collapsed="false">
      <c r="A6" s="0" t="s">
        <v>1241</v>
      </c>
    </row>
    <row r="7" customFormat="false" ht="14.25" hidden="false" customHeight="true" outlineLevel="0" collapsed="false">
      <c r="A7" s="0" t="s">
        <v>1242</v>
      </c>
    </row>
    <row r="8" customFormat="false" ht="14.25" hidden="false" customHeight="true" outlineLevel="0" collapsed="false">
      <c r="A8" s="0" t="s">
        <v>1243</v>
      </c>
    </row>
    <row r="9" customFormat="false" ht="14.25" hidden="false" customHeight="true" outlineLevel="0" collapsed="false">
      <c r="A9" s="0" t="s">
        <v>1244</v>
      </c>
    </row>
    <row r="10" customFormat="false" ht="14.25" hidden="false" customHeight="true" outlineLevel="0" collapsed="false">
      <c r="A10" s="0" t="s">
        <v>1245</v>
      </c>
    </row>
    <row r="11" customFormat="false" ht="14.25" hidden="false" customHeight="true" outlineLevel="0" collapsed="false">
      <c r="A11" s="0" t="s">
        <v>1246</v>
      </c>
    </row>
    <row r="12" customFormat="false" ht="13.5" hidden="false" customHeight="true" outlineLevel="0" collapsed="false">
      <c r="A12" s="0" t="s">
        <v>1247</v>
      </c>
    </row>
    <row r="13" customFormat="false" ht="14.25" hidden="false" customHeight="true" outlineLevel="0" collapsed="false">
      <c r="A13" s="0" t="s">
        <v>1248</v>
      </c>
    </row>
    <row r="14" customFormat="false" ht="14.25" hidden="false" customHeight="true" outlineLevel="0" collapsed="false">
      <c r="A14" s="0" t="s">
        <v>1249</v>
      </c>
    </row>
    <row r="15" customFormat="false" ht="14.25" hidden="false" customHeight="true" outlineLevel="0" collapsed="false">
      <c r="A15" s="8" t="s">
        <v>1250</v>
      </c>
    </row>
    <row r="16" customFormat="false" ht="14.25" hidden="false" customHeight="true" outlineLevel="0" collapsed="false">
      <c r="A16" s="0" t="n">
        <v>1</v>
      </c>
      <c r="B16" s="0" t="s">
        <v>1251</v>
      </c>
      <c r="C16" s="0" t="s">
        <v>1252</v>
      </c>
    </row>
    <row r="17" customFormat="false" ht="14.25" hidden="false" customHeight="true" outlineLevel="0" collapsed="false">
      <c r="A17" s="0" t="n">
        <v>2</v>
      </c>
      <c r="B17" s="0" t="s">
        <v>1253</v>
      </c>
      <c r="C17" s="0" t="s">
        <v>1254</v>
      </c>
    </row>
    <row r="18" customFormat="false" ht="14.25" hidden="false" customHeight="true" outlineLevel="0" collapsed="false">
      <c r="A18" s="0" t="n">
        <v>3</v>
      </c>
      <c r="B18" s="0" t="s">
        <v>1255</v>
      </c>
      <c r="C18" s="0" t="s">
        <v>1256</v>
      </c>
    </row>
    <row r="19" customFormat="false" ht="14.25" hidden="false" customHeight="true" outlineLevel="0" collapsed="false">
      <c r="A19" s="0" t="n">
        <v>4</v>
      </c>
      <c r="B19" s="0" t="s">
        <v>1257</v>
      </c>
      <c r="C19" s="0" t="s">
        <v>1258</v>
      </c>
    </row>
    <row r="20" customFormat="false" ht="14.25" hidden="false" customHeight="true" outlineLevel="0" collapsed="false">
      <c r="A20" s="0" t="n">
        <v>5</v>
      </c>
      <c r="B20" s="0" t="s">
        <v>1259</v>
      </c>
      <c r="C20" s="0" t="s">
        <v>1260</v>
      </c>
    </row>
    <row r="21" customFormat="false" ht="14.25" hidden="false" customHeight="true" outlineLevel="0" collapsed="false">
      <c r="A21" s="0" t="n">
        <v>6</v>
      </c>
      <c r="B21" s="0" t="s">
        <v>1261</v>
      </c>
      <c r="C21" s="0" t="s">
        <v>1262</v>
      </c>
    </row>
    <row r="22" customFormat="false" ht="14.25" hidden="false" customHeight="true" outlineLevel="0" collapsed="false">
      <c r="A22" s="0" t="n">
        <v>7</v>
      </c>
      <c r="B22" s="0" t="s">
        <v>1263</v>
      </c>
      <c r="C22" s="0" t="s">
        <v>1264</v>
      </c>
    </row>
    <row r="23" customFormat="false" ht="14.25" hidden="false" customHeight="true" outlineLevel="0" collapsed="false">
      <c r="A23" s="0" t="n">
        <v>8</v>
      </c>
      <c r="B23" s="0" t="s">
        <v>1126</v>
      </c>
      <c r="C23" s="0" t="s">
        <v>1265</v>
      </c>
    </row>
    <row r="24" customFormat="false" ht="14.25" hidden="false" customHeight="true" outlineLevel="0" collapsed="false">
      <c r="A24" s="0" t="n">
        <v>9</v>
      </c>
      <c r="B24" s="0" t="s">
        <v>209</v>
      </c>
      <c r="C24" s="0" t="s">
        <v>1266</v>
      </c>
    </row>
    <row r="25" customFormat="false" ht="14.25" hidden="false" customHeight="true" outlineLevel="0" collapsed="false">
      <c r="A25" s="0" t="n">
        <v>10</v>
      </c>
      <c r="B25" s="0" t="s">
        <v>711</v>
      </c>
      <c r="C25" s="0" t="s">
        <v>1267</v>
      </c>
    </row>
    <row r="26" customFormat="false" ht="14.25" hidden="false" customHeight="true" outlineLevel="0" collapsed="false">
      <c r="A26" s="0" t="n">
        <v>11</v>
      </c>
      <c r="B26" s="0" t="s">
        <v>218</v>
      </c>
      <c r="C26" s="0" t="s">
        <v>1268</v>
      </c>
    </row>
    <row r="27" customFormat="false" ht="14.25" hidden="false" customHeight="true" outlineLevel="0" collapsed="false">
      <c r="A27" s="0" t="n">
        <v>12</v>
      </c>
      <c r="B27" s="0" t="s">
        <v>714</v>
      </c>
      <c r="C27" s="0" t="s">
        <v>1269</v>
      </c>
    </row>
    <row r="28" customFormat="false" ht="14.25" hidden="false" customHeight="true" outlineLevel="0" collapsed="false">
      <c r="A28" s="0" t="n">
        <v>13</v>
      </c>
      <c r="B28" s="0" t="s">
        <v>1270</v>
      </c>
      <c r="C28" s="0" t="s">
        <v>1271</v>
      </c>
    </row>
    <row r="29" customFormat="false" ht="14.25" hidden="false" customHeight="true" outlineLevel="0" collapsed="false">
      <c r="A29" s="0" t="n">
        <v>14</v>
      </c>
      <c r="B29" s="0" t="s">
        <v>203</v>
      </c>
      <c r="C29" s="0" t="s">
        <v>1272</v>
      </c>
    </row>
    <row r="30" customFormat="false" ht="14.25" hidden="false" customHeight="true" outlineLevel="0" collapsed="false">
      <c r="A30" s="0" t="n">
        <v>15</v>
      </c>
      <c r="B30" s="0" t="s">
        <v>1273</v>
      </c>
      <c r="C30" s="0" t="s">
        <v>1274</v>
      </c>
    </row>
    <row r="31" customFormat="false" ht="14.25" hidden="false" customHeight="true" outlineLevel="0" collapsed="false">
      <c r="A31" s="0" t="n">
        <v>16</v>
      </c>
      <c r="B31" s="0" t="s">
        <v>1275</v>
      </c>
      <c r="C31" s="0" t="s">
        <v>1276</v>
      </c>
    </row>
    <row r="32" customFormat="false" ht="14.25" hidden="false" customHeight="true" outlineLevel="0" collapsed="false">
      <c r="A32" s="0" t="n">
        <v>17</v>
      </c>
      <c r="B32" s="0" t="s">
        <v>1277</v>
      </c>
      <c r="C32" s="0" t="s">
        <v>1278</v>
      </c>
    </row>
    <row r="33" customFormat="false" ht="14.25" hidden="false" customHeight="true" outlineLevel="0" collapsed="false">
      <c r="A33" s="0" t="n">
        <v>18</v>
      </c>
      <c r="B33" s="0" t="s">
        <v>1279</v>
      </c>
      <c r="C33" s="0" t="s">
        <v>1280</v>
      </c>
    </row>
    <row r="34" customFormat="false" ht="14.25" hidden="false" customHeight="true" outlineLevel="0" collapsed="false">
      <c r="A34" s="0" t="n">
        <v>19</v>
      </c>
      <c r="B34" s="0" t="s">
        <v>1281</v>
      </c>
      <c r="C34" s="0" t="s">
        <v>1282</v>
      </c>
    </row>
    <row r="35" customFormat="false" ht="13.5" hidden="false" customHeight="true" outlineLevel="0" collapsed="false">
      <c r="A35" s="0" t="n">
        <v>20</v>
      </c>
      <c r="B35" s="0" t="s">
        <v>1283</v>
      </c>
      <c r="C35" s="0" t="s">
        <v>1284</v>
      </c>
    </row>
    <row r="36" customFormat="false" ht="13.5" hidden="false" customHeight="true" outlineLevel="0" collapsed="false">
      <c r="A36" s="0" t="n">
        <v>21</v>
      </c>
      <c r="B36" s="0" t="s">
        <v>1285</v>
      </c>
      <c r="C36" s="0" t="s">
        <v>1286</v>
      </c>
    </row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>
      <c r="A39" s="8" t="s">
        <v>1287</v>
      </c>
    </row>
    <row r="40" customFormat="false" ht="14.25" hidden="false" customHeight="true" outlineLevel="0" collapsed="false">
      <c r="A40" s="0" t="s">
        <v>1288</v>
      </c>
    </row>
    <row r="41" customFormat="false" ht="14.25" hidden="false" customHeight="true" outlineLevel="0" collapsed="false">
      <c r="A41" s="0" t="s">
        <v>1289</v>
      </c>
    </row>
    <row r="42" customFormat="false" ht="14.25" hidden="false" customHeight="true" outlineLevel="0" collapsed="false">
      <c r="A42" s="0" t="s">
        <v>1290</v>
      </c>
    </row>
    <row r="43" customFormat="false" ht="14.25" hidden="false" customHeight="true" outlineLevel="0" collapsed="false">
      <c r="A43" s="0" t="s">
        <v>1291</v>
      </c>
    </row>
    <row r="44" customFormat="false" ht="14.25" hidden="false" customHeight="false" outlineLevel="0" collapsed="false">
      <c r="A44" s="0" t="s">
        <v>1292</v>
      </c>
    </row>
    <row r="45" customFormat="false" ht="15" hidden="false" customHeight="true" outlineLevel="0" collapsed="false">
      <c r="A45" s="0" t="s">
        <v>1293</v>
      </c>
    </row>
    <row r="46" customFormat="false" ht="13.5" hidden="false" customHeight="true" outlineLevel="0" collapsed="false"/>
    <row r="47" customFormat="false" ht="13.5" hidden="false" customHeight="true" outlineLevel="0" collapsed="false">
      <c r="A47" s="12" t="s">
        <v>1294</v>
      </c>
    </row>
    <row r="48" customFormat="false" ht="13.5" hidden="false" customHeight="true" outlineLevel="0" collapsed="false">
      <c r="A48" s="14" t="s">
        <v>1295</v>
      </c>
    </row>
    <row r="49" customFormat="false" ht="13.5" hidden="false" customHeight="true" outlineLevel="0" collapsed="false">
      <c r="A49" s="14" t="s">
        <v>1296</v>
      </c>
    </row>
    <row r="50" customFormat="false" ht="13.5" hidden="false" customHeight="true" outlineLevel="0" collapsed="false">
      <c r="A50" s="14" t="s">
        <v>1297</v>
      </c>
    </row>
    <row r="51" customFormat="false" ht="13.5" hidden="false" customHeight="true" outlineLevel="0" collapsed="false">
      <c r="A51" s="14" t="s">
        <v>1298</v>
      </c>
    </row>
    <row r="52" customFormat="false" ht="13.5" hidden="false" customHeight="true" outlineLevel="0" collapsed="false">
      <c r="A52" s="14" t="s">
        <v>1299</v>
      </c>
    </row>
    <row r="53" customFormat="false" ht="14.25" hidden="false" customHeight="false" outlineLevel="0" collapsed="false">
      <c r="A53" s="14" t="s">
        <v>1300</v>
      </c>
    </row>
    <row r="54" customFormat="false" ht="14.25" hidden="false" customHeight="false" outlineLevel="0" collapsed="false">
      <c r="A54" s="14" t="s">
        <v>1301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true" zeroHeight="false" outlineLevelRow="0" outlineLevelCol="0"/>
  <sheetData>
    <row r="1" customFormat="false" ht="14.25" hidden="false" customHeight="true" outlineLevel="0" collapsed="false">
      <c r="A1" s="20" t="s">
        <v>1302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4.25" hidden="false" customHeight="true" outlineLevel="0" collapsed="false">
      <c r="A2" s="0" t="str">
        <f aca="false">CANON!B7</f>
        <v>v2.2</v>
      </c>
    </row>
    <row r="3" customFormat="false" ht="14.25" hidden="false" customHeight="true" outlineLevel="0" collapsed="false">
      <c r="A3" s="8" t="str">
        <f aca="false">"Sheet Version: "&amp;CANON!B7</f>
        <v>Sheet Version: v2.2</v>
      </c>
    </row>
    <row r="4" customFormat="false" ht="14.25" hidden="false" customHeight="true" outlineLevel="0" collapsed="false">
      <c r="A4" s="0" t="str">
        <f aca="false">"Framework: "&amp;CANON!B5</f>
        <v>Framework: Ripple_Logic v8.6</v>
      </c>
    </row>
    <row r="5" customFormat="false" ht="14.25" hidden="false" customHeight="true" outlineLevel="0" collapsed="false">
      <c r="A5" s="0" t="str">
        <f aca="false">"SGP: "&amp;CANON!B6</f>
        <v>SGP: SGP v4.3</v>
      </c>
    </row>
    <row r="6" customFormat="false" ht="14.25" hidden="false" customHeight="true" outlineLevel="0" collapsed="false">
      <c r="A6" s="0" t="str">
        <f aca="false">"SGP: "&amp;CANON!B6</f>
        <v>SGP: SGP v4.3</v>
      </c>
    </row>
    <row r="7" customFormat="false" ht="14.25" hidden="false" customHeight="true" outlineLevel="0" collapsed="false">
      <c r="A7" s="0" t="s">
        <v>1303</v>
      </c>
    </row>
    <row r="8" customFormat="false" ht="14.25" hidden="false" customHeight="true" outlineLevel="0" collapsed="false">
      <c r="A8" s="0" t="s">
        <v>1304</v>
      </c>
      <c r="B8" s="0" t="s">
        <v>1305</v>
      </c>
      <c r="C8" s="0" t="s">
        <v>1306</v>
      </c>
    </row>
    <row r="9" customFormat="false" ht="14.25" hidden="false" customHeight="true" outlineLevel="0" collapsed="false">
      <c r="A9" s="8" t="s">
        <v>1307</v>
      </c>
    </row>
    <row r="10" customFormat="false" ht="14.25" hidden="false" customHeight="true" outlineLevel="0" collapsed="false">
      <c r="A10" s="8" t="s">
        <v>1308</v>
      </c>
      <c r="B10" s="8" t="s">
        <v>17</v>
      </c>
      <c r="C10" s="8" t="s">
        <v>1309</v>
      </c>
    </row>
    <row r="11" customFormat="false" ht="14.25" hidden="false" customHeight="true" outlineLevel="0" collapsed="false">
      <c r="A11" s="0" t="s">
        <v>28</v>
      </c>
      <c r="B11" s="0" t="s">
        <v>291</v>
      </c>
      <c r="C11" s="0" t="s">
        <v>1310</v>
      </c>
    </row>
    <row r="12" customFormat="false" ht="14.25" hidden="false" customHeight="true" outlineLevel="0" collapsed="false">
      <c r="A12" s="0" t="s">
        <v>1311</v>
      </c>
      <c r="B12" s="0" t="s">
        <v>1312</v>
      </c>
      <c r="C12" s="0" t="s">
        <v>1313</v>
      </c>
      <c r="D12" s="0" t="s">
        <v>1314</v>
      </c>
    </row>
    <row r="13" customFormat="false" ht="14.25" hidden="false" customHeight="true" outlineLevel="0" collapsed="false">
      <c r="A13" s="0" t="s">
        <v>1315</v>
      </c>
      <c r="B13" s="0" t="s">
        <v>291</v>
      </c>
      <c r="C13" s="0" t="s">
        <v>1316</v>
      </c>
      <c r="D13" s="0" t="s">
        <v>1317</v>
      </c>
    </row>
    <row r="14" customFormat="false" ht="14.25" hidden="false" customHeight="true" outlineLevel="0" collapsed="false">
      <c r="A14" s="61" t="s">
        <v>1318</v>
      </c>
      <c r="B14" s="0" t="s">
        <v>1319</v>
      </c>
      <c r="C14" s="0" t="s">
        <v>1320</v>
      </c>
      <c r="D14" s="0" t="s">
        <v>1317</v>
      </c>
    </row>
    <row r="15" customFormat="false" ht="14.25" hidden="false" customHeight="true" outlineLevel="0" collapsed="false">
      <c r="A15" s="62" t="s">
        <v>1321</v>
      </c>
      <c r="B15" s="8" t="s">
        <v>1322</v>
      </c>
      <c r="C15" s="8" t="s">
        <v>1323</v>
      </c>
    </row>
    <row r="16" customFormat="false" ht="14.25" hidden="false" customHeight="true" outlineLevel="0" collapsed="false">
      <c r="A16" s="0" t="s">
        <v>1324</v>
      </c>
      <c r="B16" s="0" t="s">
        <v>1325</v>
      </c>
      <c r="C16" s="0" t="s">
        <v>1326</v>
      </c>
      <c r="D16" s="0" t="s">
        <v>1317</v>
      </c>
    </row>
    <row r="17" customFormat="false" ht="14.25" hidden="false" customHeight="true" outlineLevel="0" collapsed="false">
      <c r="A17" s="0" t="s">
        <v>1327</v>
      </c>
      <c r="B17" s="0" t="s">
        <v>1325</v>
      </c>
      <c r="C17" s="0" t="s">
        <v>1328</v>
      </c>
      <c r="D17" s="0" t="s">
        <v>1317</v>
      </c>
    </row>
    <row r="18" customFormat="false" ht="14.25" hidden="false" customHeight="true" outlineLevel="0" collapsed="false">
      <c r="A18" s="0" t="s">
        <v>1329</v>
      </c>
      <c r="B18" s="0" t="s">
        <v>1325</v>
      </c>
      <c r="C18" s="0" t="s">
        <v>1330</v>
      </c>
      <c r="D18" s="0" t="s">
        <v>1317</v>
      </c>
    </row>
    <row r="19" customFormat="false" ht="14.25" hidden="false" customHeight="true" outlineLevel="0" collapsed="false">
      <c r="A19" s="0" t="s">
        <v>1331</v>
      </c>
      <c r="B19" s="0" t="s">
        <v>1325</v>
      </c>
      <c r="C19" s="0" t="s">
        <v>1332</v>
      </c>
      <c r="D19" s="0" t="s">
        <v>1317</v>
      </c>
    </row>
    <row r="20" customFormat="false" ht="14.25" hidden="false" customHeight="true" outlineLevel="0" collapsed="false">
      <c r="A20" s="0" t="s">
        <v>1333</v>
      </c>
      <c r="B20" s="0" t="s">
        <v>1325</v>
      </c>
      <c r="C20" s="0" t="s">
        <v>1334</v>
      </c>
      <c r="D20" s="0" t="s">
        <v>1317</v>
      </c>
    </row>
    <row r="21" customFormat="false" ht="14.25" hidden="false" customHeight="true" outlineLevel="0" collapsed="false">
      <c r="A21" s="0" t="s">
        <v>1335</v>
      </c>
      <c r="B21" s="0" t="s">
        <v>1325</v>
      </c>
      <c r="C21" s="0" t="s">
        <v>1336</v>
      </c>
      <c r="D21" s="0" t="s">
        <v>1317</v>
      </c>
    </row>
    <row r="22" customFormat="false" ht="14.25" hidden="false" customHeight="true" outlineLevel="0" collapsed="false">
      <c r="A22" s="8" t="s">
        <v>1337</v>
      </c>
      <c r="B22" s="11" t="s">
        <v>851</v>
      </c>
      <c r="C22" s="0" t="s">
        <v>1338</v>
      </c>
    </row>
    <row r="23" customFormat="false" ht="14.25" hidden="false" customHeight="true" outlineLevel="0" collapsed="false">
      <c r="A23" s="8" t="s">
        <v>1339</v>
      </c>
      <c r="B23" s="63" t="s">
        <v>1340</v>
      </c>
      <c r="C23" s="0" t="s">
        <v>1341</v>
      </c>
    </row>
    <row r="24" customFormat="false" ht="14.25" hidden="false" customHeight="true" outlineLevel="0" collapsed="false">
      <c r="A24" s="0" t="s">
        <v>1342</v>
      </c>
      <c r="B24" s="11" t="s">
        <v>1340</v>
      </c>
      <c r="C24" s="0" t="s">
        <v>1343</v>
      </c>
    </row>
    <row r="25" customFormat="false" ht="14.25" hidden="false" customHeight="true" outlineLevel="0" collapsed="false">
      <c r="A25" s="0" t="s">
        <v>1344</v>
      </c>
      <c r="B25" s="11" t="s">
        <v>851</v>
      </c>
      <c r="C25" s="0" t="s">
        <v>1345</v>
      </c>
    </row>
    <row r="26" customFormat="false" ht="14.25" hidden="false" customHeight="true" outlineLevel="0" collapsed="false">
      <c r="A26" s="0" t="s">
        <v>1346</v>
      </c>
      <c r="B26" s="11" t="s">
        <v>851</v>
      </c>
      <c r="C26" s="0" t="s">
        <v>1347</v>
      </c>
    </row>
    <row r="27" customFormat="false" ht="14.25" hidden="false" customHeight="true" outlineLevel="0" collapsed="false">
      <c r="A27" s="0" t="s">
        <v>1348</v>
      </c>
      <c r="B27" s="11" t="str">
        <f aca="false">"✓ PASS ("&amp;CANON!B41&amp;"/"&amp;CANON!B41&amp;")"</f>
        <v>✓ PASS (5/5)</v>
      </c>
    </row>
    <row r="28" customFormat="false" ht="14.25" hidden="false" customHeight="true" outlineLevel="0" collapsed="false">
      <c r="A28" s="0" t="s">
        <v>1349</v>
      </c>
      <c r="B28" s="11" t="s">
        <v>1350</v>
      </c>
    </row>
    <row r="29" customFormat="false" ht="14.25" hidden="false" customHeight="true" outlineLevel="0" collapsed="false">
      <c r="A29" s="0" t="s">
        <v>218</v>
      </c>
      <c r="B29" s="11" t="s">
        <v>1351</v>
      </c>
    </row>
    <row r="30" customFormat="false" ht="13.5" hidden="false" customHeight="true" outlineLevel="0" collapsed="false">
      <c r="A30" s="0" t="s">
        <v>714</v>
      </c>
      <c r="B30" s="11" t="s">
        <v>1352</v>
      </c>
    </row>
    <row r="31" customFormat="false" ht="14.25" hidden="false" customHeight="true" outlineLevel="0" collapsed="false">
      <c r="A31" s="0" t="s">
        <v>1273</v>
      </c>
      <c r="B31" s="11" t="s">
        <v>1353</v>
      </c>
    </row>
    <row r="32" customFormat="false" ht="14.25" hidden="false" customHeight="true" outlineLevel="0" collapsed="false">
      <c r="A32" s="0" t="s">
        <v>1354</v>
      </c>
      <c r="B32" s="0" t="s">
        <v>1355</v>
      </c>
    </row>
    <row r="33" customFormat="false" ht="14.25" hidden="false" customHeight="true" outlineLevel="0" collapsed="false">
      <c r="A33" s="8" t="s">
        <v>1356</v>
      </c>
      <c r="B33" s="8" t="s">
        <v>1357</v>
      </c>
    </row>
    <row r="34" customFormat="false" ht="14.25" hidden="false" customHeight="true" outlineLevel="0" collapsed="false">
      <c r="A34" s="0" t="s">
        <v>1358</v>
      </c>
      <c r="B34" s="0" t="s">
        <v>1305</v>
      </c>
      <c r="C34" s="0" t="s">
        <v>1359</v>
      </c>
    </row>
    <row r="35" customFormat="false" ht="14.25" hidden="false" customHeight="true" outlineLevel="0" collapsed="false">
      <c r="A35" s="0" t="s">
        <v>1358</v>
      </c>
      <c r="B35" s="0" t="s">
        <v>1305</v>
      </c>
      <c r="C35" s="0" t="s">
        <v>1360</v>
      </c>
      <c r="D35" s="0" t="s">
        <v>1361</v>
      </c>
    </row>
    <row r="36" customFormat="false" ht="14.25" hidden="false" customHeight="true" outlineLevel="0" collapsed="false">
      <c r="A36" s="0" t="s">
        <v>1362</v>
      </c>
      <c r="B36" s="0" t="s">
        <v>1363</v>
      </c>
      <c r="C36" s="0" t="s">
        <v>1364</v>
      </c>
      <c r="D36" s="0" t="s">
        <v>1365</v>
      </c>
    </row>
    <row r="37" customFormat="false" ht="14.25" hidden="false" customHeight="true" outlineLevel="0" collapsed="false">
      <c r="A37" s="0" t="s">
        <v>1366</v>
      </c>
      <c r="B37" s="0" t="s">
        <v>1363</v>
      </c>
      <c r="C37" s="0" t="s">
        <v>1367</v>
      </c>
      <c r="D37" s="0" t="s">
        <v>1365</v>
      </c>
    </row>
    <row r="38" customFormat="false" ht="14.25" hidden="false" customHeight="true" outlineLevel="0" collapsed="false">
      <c r="A38" s="8" t="s">
        <v>1368</v>
      </c>
      <c r="B38" s="0" t="s">
        <v>1369</v>
      </c>
      <c r="C38" s="0" t="s">
        <v>1370</v>
      </c>
      <c r="D38" s="0" t="s">
        <v>1317</v>
      </c>
    </row>
    <row r="39" customFormat="false" ht="13.5" hidden="false" customHeight="true" outlineLevel="0" collapsed="false"/>
    <row r="40" customFormat="false" ht="14.25" hidden="false" customHeight="true" outlineLevel="0" collapsed="false">
      <c r="A40" s="0" t="s">
        <v>1371</v>
      </c>
    </row>
    <row r="41" customFormat="false" ht="14.25" hidden="false" customHeight="true" outlineLevel="0" collapsed="false">
      <c r="A41" s="0" t="s">
        <v>1372</v>
      </c>
    </row>
    <row r="42" customFormat="false" ht="14.25" hidden="false" customHeight="true" outlineLevel="0" collapsed="false">
      <c r="A42" s="0" t="s">
        <v>1373</v>
      </c>
    </row>
    <row r="43" customFormat="false" ht="14.25" hidden="false" customHeight="true" outlineLevel="0" collapsed="false">
      <c r="A43" s="0" t="s">
        <v>1374</v>
      </c>
    </row>
    <row r="44" customFormat="false" ht="14.25" hidden="false" customHeight="true" outlineLevel="0" collapsed="false">
      <c r="A44" s="0" t="s">
        <v>1375</v>
      </c>
    </row>
    <row r="45" customFormat="false" ht="14.25" hidden="false" customHeight="true" outlineLevel="0" collapsed="false">
      <c r="A45" s="0" t="s">
        <v>1376</v>
      </c>
    </row>
    <row r="46" customFormat="false" ht="13.5" hidden="false" customHeight="true" outlineLevel="0" collapsed="false">
      <c r="A46" s="0" t="s">
        <v>1377</v>
      </c>
    </row>
    <row r="47" customFormat="false" ht="13.5" hidden="false" customHeight="true" outlineLevel="0" collapsed="false">
      <c r="A47" s="8" t="s">
        <v>1378</v>
      </c>
    </row>
    <row r="48" customFormat="false" ht="13.5" hidden="false" customHeight="true" outlineLevel="0" collapsed="false"/>
    <row r="49" customFormat="false" ht="13.5" hidden="false" customHeight="true" outlineLevel="0" collapsed="false">
      <c r="A49" s="0" t="s">
        <v>1379</v>
      </c>
    </row>
    <row r="50" customFormat="false" ht="13.5" hidden="false" customHeight="true" outlineLevel="0" collapsed="false">
      <c r="A50" s="0" t="s">
        <v>1380</v>
      </c>
    </row>
    <row r="51" customFormat="false" ht="13.5" hidden="false" customHeight="true" outlineLevel="0" collapsed="false">
      <c r="A51" s="0" t="s">
        <v>1381</v>
      </c>
    </row>
    <row r="52" customFormat="false" ht="14.25" hidden="false" customHeight="true" outlineLevel="0" collapsed="false">
      <c r="A52" s="0" t="s">
        <v>1382</v>
      </c>
    </row>
    <row r="53" customFormat="false" ht="14.25" hidden="false" customHeight="true" outlineLevel="0" collapsed="false">
      <c r="A53" s="0" t="s">
        <v>1383</v>
      </c>
    </row>
    <row r="54" customFormat="false" ht="14.25" hidden="false" customHeight="true" outlineLevel="0" collapsed="false">
      <c r="A54" s="0" t="s">
        <v>1384</v>
      </c>
    </row>
    <row r="55" customFormat="false" ht="14.25" hidden="false" customHeight="true" outlineLevel="0" collapsed="false">
      <c r="A55" s="0" t="s">
        <v>1385</v>
      </c>
      <c r="B55" s="0" t="s">
        <v>1386</v>
      </c>
    </row>
    <row r="56" customFormat="false" ht="14.25" hidden="false" customHeight="false" outlineLevel="0" collapsed="false">
      <c r="A56" s="0" t="s">
        <v>1387</v>
      </c>
      <c r="B56" s="0" t="s">
        <v>1388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2026-01-31T06:39:09Z</dcterms:created>
  <dc:creator>openpyxl</dc:creator>
  <dc:description/>
  <dc:language>en-US</dc:language>
  <cp:lastModifiedBy>Professor James</cp:lastModifiedBy>
  <dcterms:modified xsi:type="dcterms:W3CDTF">2026-03-15T05:44:06Z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
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456b9769eb9ee1e/Desktop/MathGov/RippleLogic/Core RippleLogic/RL Final Feb 20/"/>
    </mc:Choice>
  </mc:AlternateContent>
  <xr:revisionPtr revIDLastSave="0" documentId="8_{EA716F74-7474-4A86-AA19-EA9EB673C5F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Release_Notes" sheetId="1" r:id="rId1"/>
    <sheet name="CANON" sheetId="2" r:id="rId2"/>
    <sheet name="Sanity_Checklist" sheetId="3" r:id="rId3"/>
    <sheet name="Config" sheetId="4" r:id="rId4"/>
    <sheet name="Parameters" sheetId="5" r:id="rId5"/>
    <sheet name="Rights_Coverage" sheetId="6" r:id="rId6"/>
    <sheet name="Rights_Coverage_View" sheetId="7" r:id="rId7"/>
    <sheet name="C_cat" sheetId="8" r:id="rId8"/>
    <sheet name="WTSL_Categories" sheetId="9" r:id="rId9"/>
    <sheet name="Impact_Input" sheetId="10" r:id="rId10"/>
    <sheet name="Scenario_Impacts" sheetId="11" r:id="rId11"/>
    <sheet name="I_prop" sheetId="12" r:id="rId12"/>
    <sheet name="NCRC" sheetId="13" r:id="rId13"/>
    <sheet name="TRC" sheetId="14" r:id="rId14"/>
    <sheet name="Containment" sheetId="15" r:id="rId15"/>
    <sheet name="RLS" sheetId="16" r:id="rId16"/>
    <sheet name="UCI_HOI" sheetId="17" r:id="rId17"/>
    <sheet name="Dashboard" sheetId="18" r:id="rId18"/>
    <sheet name="Audit_Flags" sheetId="19" r:id="rId19"/>
    <sheet name="PCC" sheetId="20" r:id="rId20"/>
    <sheet name="Sensitivity_Analysis" sheetId="21" r:id="rId21"/>
    <sheet name="Subgroup_Analysis" sheetId="22" r:id="rId22"/>
    <sheet name="Subgroup_Overrides" sheetId="23" r:id="rId23"/>
    <sheet name="SGP_Input" sheetId="24" r:id="rId24"/>
    <sheet name="SGP_Integration" sheetId="25" r:id="rId25"/>
    <sheet name="User_Guide" sheetId="26" r:id="rId26"/>
    <sheet name="Version_Control" sheetId="27" r:id="rId27"/>
  </sheets>
  <definedNames>
    <definedName name="AUDIT_REVIEW_COUNT">Audit_Flags!$B$23</definedName>
    <definedName name="CANON_CLAIMABLE_RUN">CANON!$B$81</definedName>
    <definedName name="CANON_INVALID_FLAGS_COUNT">CANON!$B$80</definedName>
    <definedName name="CANON_PLACEHOLDER_COUNT">CANON!$B$117</definedName>
    <definedName name="CANON_PUBLISH_READY">CANON!$B$83</definedName>
    <definedName name="CANON_SCHEMA_FAIL_COUNT">CANON!$B$116</definedName>
    <definedName name="SIGMA_EST">Config!$B$20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7" l="1"/>
  <c r="A5" i="27"/>
  <c r="A4" i="27"/>
  <c r="A3" i="27"/>
  <c r="A2" i="27"/>
  <c r="B17" i="23"/>
  <c r="B18" i="23" s="1"/>
  <c r="B16" i="23"/>
  <c r="B46" i="22"/>
  <c r="B14" i="19" s="1"/>
  <c r="L172" i="21"/>
  <c r="K172" i="21"/>
  <c r="L171" i="21"/>
  <c r="K171" i="21"/>
  <c r="L170" i="21"/>
  <c r="K170" i="21"/>
  <c r="L169" i="21"/>
  <c r="K169" i="21"/>
  <c r="L168" i="21"/>
  <c r="K168" i="21"/>
  <c r="L167" i="21"/>
  <c r="K167" i="21"/>
  <c r="L166" i="21"/>
  <c r="K166" i="21"/>
  <c r="L159" i="21"/>
  <c r="K159" i="21"/>
  <c r="L158" i="21"/>
  <c r="K158" i="21"/>
  <c r="L157" i="21"/>
  <c r="K157" i="21"/>
  <c r="L156" i="21"/>
  <c r="K156" i="21"/>
  <c r="L155" i="21"/>
  <c r="K155" i="21"/>
  <c r="L154" i="21"/>
  <c r="K154" i="21"/>
  <c r="L153" i="21"/>
  <c r="K153" i="21"/>
  <c r="L139" i="21"/>
  <c r="K139" i="21"/>
  <c r="L138" i="21"/>
  <c r="K138" i="21"/>
  <c r="L137" i="21"/>
  <c r="K137" i="21"/>
  <c r="L136" i="21"/>
  <c r="K136" i="21"/>
  <c r="L135" i="21"/>
  <c r="K135" i="21"/>
  <c r="L134" i="21"/>
  <c r="K134" i="21"/>
  <c r="L133" i="21"/>
  <c r="K133" i="21"/>
  <c r="L117" i="21"/>
  <c r="K117" i="21"/>
  <c r="L116" i="21"/>
  <c r="K116" i="21"/>
  <c r="L115" i="21"/>
  <c r="K115" i="21"/>
  <c r="L114" i="21"/>
  <c r="K114" i="21"/>
  <c r="L113" i="21"/>
  <c r="K113" i="21"/>
  <c r="L112" i="21"/>
  <c r="K112" i="21"/>
  <c r="S111" i="21"/>
  <c r="L111" i="21"/>
  <c r="K111" i="21"/>
  <c r="S110" i="21"/>
  <c r="K107" i="21"/>
  <c r="J107" i="21"/>
  <c r="N107" i="21" s="1"/>
  <c r="L106" i="21"/>
  <c r="K106" i="21"/>
  <c r="J106" i="21"/>
  <c r="N106" i="21" s="1"/>
  <c r="N105" i="21"/>
  <c r="K105" i="21"/>
  <c r="J105" i="21"/>
  <c r="L105" i="21" s="1"/>
  <c r="L104" i="21"/>
  <c r="K104" i="21"/>
  <c r="J104" i="21"/>
  <c r="N104" i="21" s="1"/>
  <c r="K103" i="21"/>
  <c r="J103" i="21"/>
  <c r="L102" i="21"/>
  <c r="K102" i="21"/>
  <c r="J102" i="21"/>
  <c r="N102" i="21" s="1"/>
  <c r="K101" i="21"/>
  <c r="J101" i="21"/>
  <c r="N56" i="21"/>
  <c r="J56" i="21"/>
  <c r="J55" i="21"/>
  <c r="N54" i="21"/>
  <c r="J54" i="21"/>
  <c r="J53" i="21"/>
  <c r="N52" i="21"/>
  <c r="J52" i="21"/>
  <c r="J51" i="21"/>
  <c r="J50" i="21"/>
  <c r="J46" i="21"/>
  <c r="J45" i="21"/>
  <c r="J44" i="21"/>
  <c r="J43" i="21"/>
  <c r="J42" i="21"/>
  <c r="J41" i="21"/>
  <c r="J40" i="21"/>
  <c r="J36" i="21"/>
  <c r="L36" i="21" s="1"/>
  <c r="J35" i="21"/>
  <c r="J34" i="21"/>
  <c r="Q34" i="21" s="1"/>
  <c r="Q33" i="21"/>
  <c r="J33" i="21"/>
  <c r="P33" i="21" s="1"/>
  <c r="J32" i="21"/>
  <c r="Q31" i="21"/>
  <c r="J31" i="21"/>
  <c r="P31" i="21" s="1"/>
  <c r="J30" i="21"/>
  <c r="Q27" i="21"/>
  <c r="Q23" i="21"/>
  <c r="Q36" i="21" s="1"/>
  <c r="P23" i="21"/>
  <c r="P36" i="21" s="1"/>
  <c r="O23" i="21"/>
  <c r="O36" i="21" s="1"/>
  <c r="Q21" i="21"/>
  <c r="P21" i="21"/>
  <c r="P27" i="21" s="1"/>
  <c r="O21" i="21"/>
  <c r="O27" i="21" s="1"/>
  <c r="N21" i="21"/>
  <c r="N23" i="21" s="1"/>
  <c r="N36" i="21" s="1"/>
  <c r="M21" i="21"/>
  <c r="M23" i="21" s="1"/>
  <c r="M36" i="21" s="1"/>
  <c r="L21" i="21"/>
  <c r="L23" i="21" s="1"/>
  <c r="K21" i="21"/>
  <c r="N27" i="21" s="1"/>
  <c r="N50" i="21" s="1"/>
  <c r="B5" i="21"/>
  <c r="B142" i="20"/>
  <c r="B141" i="20"/>
  <c r="B140" i="20"/>
  <c r="B139" i="20"/>
  <c r="B138" i="20"/>
  <c r="B114" i="20"/>
  <c r="B113" i="20"/>
  <c r="B112" i="20"/>
  <c r="B104" i="20"/>
  <c r="B97" i="20"/>
  <c r="A90" i="20"/>
  <c r="B85" i="20"/>
  <c r="B66" i="20"/>
  <c r="B32" i="20"/>
  <c r="B28" i="20"/>
  <c r="B27" i="20"/>
  <c r="B26" i="20"/>
  <c r="B25" i="20"/>
  <c r="B13" i="20"/>
  <c r="B12" i="20"/>
  <c r="B11" i="20"/>
  <c r="L28" i="19"/>
  <c r="K28" i="19"/>
  <c r="I28" i="19"/>
  <c r="H28" i="19"/>
  <c r="J28" i="19" s="1"/>
  <c r="B28" i="19"/>
  <c r="G28" i="19" s="1"/>
  <c r="H27" i="19"/>
  <c r="K27" i="19" s="1"/>
  <c r="G27" i="19"/>
  <c r="L27" i="19" s="1"/>
  <c r="B27" i="19"/>
  <c r="L26" i="19"/>
  <c r="G26" i="19"/>
  <c r="B26" i="19"/>
  <c r="H26" i="19" s="1"/>
  <c r="K26" i="19" s="1"/>
  <c r="B25" i="19"/>
  <c r="H25" i="19" s="1"/>
  <c r="J22" i="19"/>
  <c r="J21" i="19"/>
  <c r="J20" i="19"/>
  <c r="J19" i="19"/>
  <c r="B77" i="20" s="1"/>
  <c r="G17" i="19"/>
  <c r="L17" i="19" s="1"/>
  <c r="B17" i="19"/>
  <c r="H17" i="19" s="1"/>
  <c r="B16" i="19"/>
  <c r="H16" i="19" s="1"/>
  <c r="E15" i="19"/>
  <c r="E13" i="19"/>
  <c r="B13" i="19"/>
  <c r="H13" i="19" s="1"/>
  <c r="H7" i="19"/>
  <c r="K7" i="19" s="1"/>
  <c r="G7" i="19"/>
  <c r="L7" i="19" s="1"/>
  <c r="B7" i="19"/>
  <c r="K5" i="19"/>
  <c r="J5" i="19"/>
  <c r="H5" i="19"/>
  <c r="I5" i="19" s="1"/>
  <c r="G5" i="19"/>
  <c r="L5" i="19" s="1"/>
  <c r="E5" i="19"/>
  <c r="B5" i="19"/>
  <c r="A50" i="18"/>
  <c r="A40" i="18"/>
  <c r="B29" i="18"/>
  <c r="B28" i="18"/>
  <c r="B10" i="18"/>
  <c r="B9" i="18"/>
  <c r="B8" i="18"/>
  <c r="B7" i="18"/>
  <c r="B6" i="18"/>
  <c r="B5" i="18"/>
  <c r="B2" i="18"/>
  <c r="A2" i="18"/>
  <c r="F20" i="17"/>
  <c r="F19" i="17"/>
  <c r="F18" i="17"/>
  <c r="F17" i="17"/>
  <c r="B22" i="17" s="1"/>
  <c r="F16" i="17"/>
  <c r="F15" i="17"/>
  <c r="F14" i="17"/>
  <c r="I59" i="16"/>
  <c r="H59" i="16" s="1"/>
  <c r="E59" i="16"/>
  <c r="B59" i="16"/>
  <c r="I58" i="16"/>
  <c r="H58" i="16"/>
  <c r="I57" i="16"/>
  <c r="H57" i="16" s="1"/>
  <c r="E57" i="16"/>
  <c r="B57" i="16"/>
  <c r="I56" i="16"/>
  <c r="H56" i="16"/>
  <c r="I55" i="16"/>
  <c r="H55" i="16" s="1"/>
  <c r="E55" i="16"/>
  <c r="B55" i="16"/>
  <c r="I54" i="16"/>
  <c r="H54" i="16" s="1"/>
  <c r="I53" i="16"/>
  <c r="H53" i="16" s="1"/>
  <c r="E53" i="16"/>
  <c r="B53" i="16"/>
  <c r="H52" i="16"/>
  <c r="G52" i="16"/>
  <c r="F52" i="16"/>
  <c r="E52" i="16"/>
  <c r="D52" i="16"/>
  <c r="C52" i="16"/>
  <c r="B52" i="16"/>
  <c r="A35" i="15"/>
  <c r="A5" i="15"/>
  <c r="K4" i="15"/>
  <c r="K3" i="15"/>
  <c r="A43" i="14"/>
  <c r="M25" i="14"/>
  <c r="M24" i="14"/>
  <c r="N24" i="14" s="1"/>
  <c r="M23" i="14"/>
  <c r="N23" i="14" s="1"/>
  <c r="M22" i="14"/>
  <c r="N21" i="14"/>
  <c r="M21" i="14"/>
  <c r="M20" i="14"/>
  <c r="N20" i="14" s="1"/>
  <c r="M19" i="14"/>
  <c r="N25" i="14" s="1"/>
  <c r="M14" i="14"/>
  <c r="N14" i="14" s="1"/>
  <c r="M13" i="14"/>
  <c r="M12" i="14"/>
  <c r="M11" i="14"/>
  <c r="N11" i="14" s="1"/>
  <c r="N10" i="14"/>
  <c r="M10" i="14"/>
  <c r="M9" i="14"/>
  <c r="B9" i="14"/>
  <c r="M8" i="14"/>
  <c r="N12" i="14" s="1"/>
  <c r="D29" i="13"/>
  <c r="E29" i="13" s="1"/>
  <c r="F29" i="13" s="1"/>
  <c r="D33" i="13" s="1"/>
  <c r="C21" i="12"/>
  <c r="G34" i="7" s="1"/>
  <c r="I34" i="7" s="1"/>
  <c r="N34" i="7" s="1"/>
  <c r="H20" i="12"/>
  <c r="G20" i="12"/>
  <c r="F20" i="12"/>
  <c r="G19" i="7" s="1"/>
  <c r="I19" i="7" s="1"/>
  <c r="N19" i="7" s="1"/>
  <c r="C10" i="12"/>
  <c r="F34" i="7" s="1"/>
  <c r="H34" i="7" s="1"/>
  <c r="M34" i="7" s="1"/>
  <c r="H9" i="12"/>
  <c r="G9" i="12"/>
  <c r="B8" i="12"/>
  <c r="B12" i="16" s="1"/>
  <c r="I27" i="11"/>
  <c r="D27" i="11"/>
  <c r="I26" i="11"/>
  <c r="D26" i="11"/>
  <c r="I25" i="11"/>
  <c r="D25" i="11"/>
  <c r="I24" i="11"/>
  <c r="D24" i="11" s="1"/>
  <c r="I23" i="11"/>
  <c r="D23" i="11"/>
  <c r="I22" i="11"/>
  <c r="D22" i="11"/>
  <c r="I21" i="11"/>
  <c r="D21" i="11" s="1"/>
  <c r="I16" i="11"/>
  <c r="D16" i="11"/>
  <c r="I15" i="11"/>
  <c r="D15" i="11"/>
  <c r="I14" i="11"/>
  <c r="D14" i="11"/>
  <c r="I13" i="11"/>
  <c r="D13" i="11"/>
  <c r="I12" i="11"/>
  <c r="D12" i="11" s="1"/>
  <c r="I11" i="11"/>
  <c r="D11" i="11" s="1"/>
  <c r="I10" i="11"/>
  <c r="D10" i="11"/>
  <c r="N20" i="10"/>
  <c r="M20" i="10"/>
  <c r="M19" i="10"/>
  <c r="N19" i="10" s="1"/>
  <c r="B21" i="12" s="1"/>
  <c r="M18" i="10"/>
  <c r="N18" i="10" s="1"/>
  <c r="M17" i="10"/>
  <c r="N17" i="10" s="1"/>
  <c r="M16" i="10"/>
  <c r="N16" i="10" s="1"/>
  <c r="N15" i="10"/>
  <c r="M15" i="10"/>
  <c r="M14" i="10"/>
  <c r="N14" i="10" s="1"/>
  <c r="M13" i="10"/>
  <c r="N13" i="10" s="1"/>
  <c r="B10" i="12" s="1"/>
  <c r="N12" i="10"/>
  <c r="M12" i="10"/>
  <c r="M11" i="10"/>
  <c r="N11" i="10" s="1"/>
  <c r="M10" i="10"/>
  <c r="N10" i="10" s="1"/>
  <c r="M9" i="10"/>
  <c r="N9" i="10" s="1"/>
  <c r="M8" i="10"/>
  <c r="N8" i="10" s="1"/>
  <c r="N7" i="10"/>
  <c r="M7" i="10"/>
  <c r="D12" i="9"/>
  <c r="G11" i="9"/>
  <c r="D11" i="9"/>
  <c r="F11" i="9" s="1"/>
  <c r="G10" i="9"/>
  <c r="F10" i="9" s="1"/>
  <c r="D10" i="9"/>
  <c r="G9" i="9"/>
  <c r="F9" i="9"/>
  <c r="D9" i="9"/>
  <c r="G8" i="9"/>
  <c r="F8" i="9"/>
  <c r="D8" i="9"/>
  <c r="G7" i="9"/>
  <c r="F7" i="9"/>
  <c r="B17" i="9" s="1"/>
  <c r="D7" i="9"/>
  <c r="B18" i="9" s="1"/>
  <c r="B11" i="8"/>
  <c r="L71" i="7"/>
  <c r="K71" i="7"/>
  <c r="J71" i="7"/>
  <c r="L70" i="7"/>
  <c r="K70" i="7"/>
  <c r="J70" i="7"/>
  <c r="L69" i="7"/>
  <c r="K69" i="7"/>
  <c r="J69" i="7"/>
  <c r="L68" i="7"/>
  <c r="K68" i="7"/>
  <c r="J68" i="7"/>
  <c r="L67" i="7"/>
  <c r="K67" i="7"/>
  <c r="J67" i="7"/>
  <c r="L66" i="7"/>
  <c r="K66" i="7"/>
  <c r="J66" i="7"/>
  <c r="L65" i="7"/>
  <c r="K65" i="7"/>
  <c r="J65" i="7"/>
  <c r="L64" i="7"/>
  <c r="K64" i="7"/>
  <c r="J64" i="7"/>
  <c r="L63" i="7"/>
  <c r="K63" i="7"/>
  <c r="J63" i="7"/>
  <c r="L62" i="7"/>
  <c r="K62" i="7"/>
  <c r="J62" i="7"/>
  <c r="L61" i="7"/>
  <c r="K61" i="7"/>
  <c r="J61" i="7"/>
  <c r="L60" i="7"/>
  <c r="K60" i="7"/>
  <c r="J60" i="7"/>
  <c r="L59" i="7"/>
  <c r="K59" i="7"/>
  <c r="J59" i="7"/>
  <c r="L58" i="7"/>
  <c r="K58" i="7"/>
  <c r="J58" i="7"/>
  <c r="L57" i="7"/>
  <c r="K57" i="7"/>
  <c r="J57" i="7"/>
  <c r="L56" i="7"/>
  <c r="K56" i="7"/>
  <c r="J56" i="7"/>
  <c r="L55" i="7"/>
  <c r="K55" i="7"/>
  <c r="J55" i="7"/>
  <c r="L54" i="7"/>
  <c r="K54" i="7"/>
  <c r="J54" i="7"/>
  <c r="L53" i="7"/>
  <c r="K53" i="7"/>
  <c r="J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L43" i="7"/>
  <c r="K43" i="7"/>
  <c r="J43" i="7"/>
  <c r="L42" i="7"/>
  <c r="K42" i="7"/>
  <c r="J42" i="7"/>
  <c r="L41" i="7"/>
  <c r="K41" i="7"/>
  <c r="J41" i="7"/>
  <c r="L40" i="7"/>
  <c r="K40" i="7"/>
  <c r="J40" i="7"/>
  <c r="L39" i="7"/>
  <c r="K39" i="7"/>
  <c r="J39" i="7"/>
  <c r="L38" i="7"/>
  <c r="K38" i="7"/>
  <c r="J38" i="7"/>
  <c r="L37" i="7"/>
  <c r="K37" i="7"/>
  <c r="J37" i="7"/>
  <c r="L36" i="7"/>
  <c r="K36" i="7"/>
  <c r="J36" i="7"/>
  <c r="L35" i="7"/>
  <c r="K35" i="7"/>
  <c r="J35" i="7"/>
  <c r="L34" i="7"/>
  <c r="K34" i="7"/>
  <c r="J34" i="7"/>
  <c r="L33" i="7"/>
  <c r="K33" i="7"/>
  <c r="J33" i="7"/>
  <c r="L32" i="7"/>
  <c r="K32" i="7"/>
  <c r="J32" i="7"/>
  <c r="L31" i="7"/>
  <c r="K31" i="7"/>
  <c r="J31" i="7"/>
  <c r="L30" i="7"/>
  <c r="K30" i="7"/>
  <c r="J30" i="7"/>
  <c r="L29" i="7"/>
  <c r="K29" i="7"/>
  <c r="J29" i="7"/>
  <c r="L28" i="7"/>
  <c r="K28" i="7"/>
  <c r="J28" i="7"/>
  <c r="L27" i="7"/>
  <c r="K27" i="7"/>
  <c r="J27" i="7"/>
  <c r="L26" i="7"/>
  <c r="K26" i="7"/>
  <c r="J26" i="7"/>
  <c r="L25" i="7"/>
  <c r="K25" i="7"/>
  <c r="J25" i="7"/>
  <c r="L24" i="7"/>
  <c r="K24" i="7"/>
  <c r="J24" i="7"/>
  <c r="L23" i="7"/>
  <c r="K23" i="7"/>
  <c r="J23" i="7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K18" i="7"/>
  <c r="J18" i="7"/>
  <c r="L17" i="7"/>
  <c r="K17" i="7"/>
  <c r="J17" i="7"/>
  <c r="L16" i="7"/>
  <c r="K16" i="7"/>
  <c r="J16" i="7"/>
  <c r="L15" i="7"/>
  <c r="K15" i="7"/>
  <c r="J15" i="7"/>
  <c r="L14" i="7"/>
  <c r="K14" i="7"/>
  <c r="J14" i="7"/>
  <c r="L13" i="7"/>
  <c r="K13" i="7"/>
  <c r="J13" i="7"/>
  <c r="L12" i="7"/>
  <c r="K12" i="7"/>
  <c r="J12" i="7"/>
  <c r="L11" i="7"/>
  <c r="K11" i="7"/>
  <c r="J11" i="7"/>
  <c r="L10" i="7"/>
  <c r="K10" i="7"/>
  <c r="J10" i="7"/>
  <c r="L9" i="7"/>
  <c r="K9" i="7"/>
  <c r="J9" i="7"/>
  <c r="L8" i="7"/>
  <c r="K8" i="7"/>
  <c r="J8" i="7"/>
  <c r="L7" i="7"/>
  <c r="K7" i="7"/>
  <c r="J7" i="7"/>
  <c r="L6" i="7"/>
  <c r="K6" i="7"/>
  <c r="J6" i="7"/>
  <c r="L5" i="7"/>
  <c r="K5" i="7"/>
  <c r="J5" i="7"/>
  <c r="L4" i="7"/>
  <c r="K4" i="7"/>
  <c r="J4" i="7"/>
  <c r="L3" i="7"/>
  <c r="K3" i="7"/>
  <c r="J3" i="7"/>
  <c r="L2" i="7"/>
  <c r="K2" i="7"/>
  <c r="J2" i="7"/>
  <c r="B35" i="5"/>
  <c r="B29" i="5"/>
  <c r="B28" i="5"/>
  <c r="A4" i="15" s="1"/>
  <c r="B27" i="5"/>
  <c r="B26" i="5"/>
  <c r="B25" i="5"/>
  <c r="B24" i="5"/>
  <c r="B20" i="4"/>
  <c r="B13" i="4"/>
  <c r="G12" i="9" s="1"/>
  <c r="F12" i="9" s="1"/>
  <c r="B11" i="4"/>
  <c r="B10" i="4"/>
  <c r="E45" i="3"/>
  <c r="D45" i="3"/>
  <c r="D44" i="3"/>
  <c r="E44" i="3" s="1"/>
  <c r="D43" i="3"/>
  <c r="E43" i="3" s="1"/>
  <c r="D42" i="3"/>
  <c r="E42" i="3" s="1"/>
  <c r="C42" i="3"/>
  <c r="C35" i="3"/>
  <c r="D34" i="3"/>
  <c r="E34" i="3" s="1"/>
  <c r="C34" i="3"/>
  <c r="C33" i="3"/>
  <c r="D32" i="3"/>
  <c r="C32" i="3"/>
  <c r="E32" i="3" s="1"/>
  <c r="C31" i="3"/>
  <c r="D30" i="3"/>
  <c r="C30" i="3"/>
  <c r="E30" i="3" s="1"/>
  <c r="D29" i="3"/>
  <c r="C29" i="3"/>
  <c r="E29" i="3" s="1"/>
  <c r="C28" i="3"/>
  <c r="C27" i="3"/>
  <c r="E26" i="3"/>
  <c r="D26" i="3"/>
  <c r="C26" i="3"/>
  <c r="D25" i="3"/>
  <c r="C25" i="3"/>
  <c r="E25" i="3" s="1"/>
  <c r="C24" i="3"/>
  <c r="C23" i="3"/>
  <c r="E22" i="3"/>
  <c r="D22" i="3"/>
  <c r="C22" i="3"/>
  <c r="D19" i="3"/>
  <c r="C19" i="3"/>
  <c r="E19" i="3" s="1"/>
  <c r="D18" i="3"/>
  <c r="E18" i="3" s="1"/>
  <c r="C18" i="3"/>
  <c r="D17" i="3"/>
  <c r="E17" i="3" s="1"/>
  <c r="C17" i="3"/>
  <c r="C16" i="3"/>
  <c r="C15" i="3"/>
  <c r="C14" i="3"/>
  <c r="D13" i="3"/>
  <c r="C13" i="3"/>
  <c r="E13" i="3" s="1"/>
  <c r="D12" i="3"/>
  <c r="C12" i="3"/>
  <c r="E12" i="3" s="1"/>
  <c r="D11" i="3"/>
  <c r="C11" i="3"/>
  <c r="E11" i="3" s="1"/>
  <c r="E10" i="3"/>
  <c r="D10" i="3"/>
  <c r="C10" i="3"/>
  <c r="D9" i="3"/>
  <c r="E9" i="3" s="1"/>
  <c r="D8" i="3"/>
  <c r="E8" i="3" s="1"/>
  <c r="D7" i="3"/>
  <c r="E7" i="3" s="1"/>
  <c r="E6" i="3"/>
  <c r="D6" i="3"/>
  <c r="A22" i="1"/>
  <c r="B17" i="1"/>
  <c r="B13" i="1"/>
  <c r="B10" i="1"/>
  <c r="B6" i="1"/>
  <c r="B5" i="1"/>
  <c r="B4" i="1"/>
  <c r="B3" i="1"/>
  <c r="A120" i="2"/>
  <c r="B111" i="2"/>
  <c r="D111" i="2" s="1"/>
  <c r="B106" i="2"/>
  <c r="D105" i="2"/>
  <c r="B105" i="2"/>
  <c r="B104" i="2"/>
  <c r="D104" i="2" s="1"/>
  <c r="B103" i="2"/>
  <c r="D103" i="2" s="1"/>
  <c r="B102" i="2"/>
  <c r="D102" i="2" s="1"/>
  <c r="B101" i="2"/>
  <c r="D101" i="2" s="1"/>
  <c r="D100" i="2"/>
  <c r="B100" i="2"/>
  <c r="D99" i="2"/>
  <c r="B99" i="2"/>
  <c r="B98" i="2"/>
  <c r="D98" i="2" s="1"/>
  <c r="D97" i="2"/>
  <c r="B97" i="2"/>
  <c r="B96" i="2"/>
  <c r="D96" i="2" s="1"/>
  <c r="B95" i="2"/>
  <c r="D95" i="2" s="1"/>
  <c r="B94" i="2"/>
  <c r="D94" i="2" s="1"/>
  <c r="B93" i="2"/>
  <c r="D93" i="2" s="1"/>
  <c r="D92" i="2"/>
  <c r="B92" i="2"/>
  <c r="B90" i="2"/>
  <c r="D90" i="2" s="1"/>
  <c r="D89" i="2"/>
  <c r="B89" i="2"/>
  <c r="B64" i="2"/>
  <c r="D17" i="18" s="1"/>
  <c r="B63" i="2"/>
  <c r="B107" i="2" s="1"/>
  <c r="D107" i="2" s="1"/>
  <c r="B57" i="2"/>
  <c r="D15" i="18" s="1"/>
  <c r="B56" i="2"/>
  <c r="E15" i="18" s="1"/>
  <c r="B48" i="2"/>
  <c r="B41" i="2"/>
  <c r="B24" i="27" s="1"/>
  <c r="B38" i="2"/>
  <c r="B8" i="19" s="1"/>
  <c r="H8" i="19" s="1"/>
  <c r="B19" i="2"/>
  <c r="B91" i="2" s="1"/>
  <c r="D91" i="2" s="1"/>
  <c r="H5" i="7" l="1"/>
  <c r="M5" i="7" s="1"/>
  <c r="B44" i="20"/>
  <c r="B6" i="19"/>
  <c r="B26" i="16"/>
  <c r="G33" i="7"/>
  <c r="B15" i="16"/>
  <c r="F33" i="7"/>
  <c r="H33" i="7" s="1"/>
  <c r="M33" i="7" s="1"/>
  <c r="I33" i="7"/>
  <c r="N33" i="7" s="1"/>
  <c r="K8" i="19"/>
  <c r="J8" i="19"/>
  <c r="I8" i="19"/>
  <c r="N103" i="21"/>
  <c r="O103" i="21" s="1"/>
  <c r="L103" i="21"/>
  <c r="Q56" i="21"/>
  <c r="Q54" i="21"/>
  <c r="Q52" i="21"/>
  <c r="Q50" i="21"/>
  <c r="C20" i="3"/>
  <c r="G22" i="12"/>
  <c r="E20" i="12"/>
  <c r="G64" i="7" s="1"/>
  <c r="I64" i="7" s="1"/>
  <c r="N64" i="7" s="1"/>
  <c r="C18" i="12"/>
  <c r="H11" i="12"/>
  <c r="F9" i="12"/>
  <c r="D7" i="12"/>
  <c r="F39" i="7" s="1"/>
  <c r="H39" i="7" s="1"/>
  <c r="M39" i="7" s="1"/>
  <c r="H24" i="12"/>
  <c r="F22" i="12"/>
  <c r="D20" i="12"/>
  <c r="B18" i="12"/>
  <c r="G11" i="12"/>
  <c r="E9" i="12"/>
  <c r="F64" i="7" s="1"/>
  <c r="C7" i="12"/>
  <c r="G24" i="12"/>
  <c r="E22" i="12"/>
  <c r="C20" i="12"/>
  <c r="H13" i="12"/>
  <c r="F11" i="12"/>
  <c r="D9" i="12"/>
  <c r="B7" i="12"/>
  <c r="F24" i="12"/>
  <c r="D22" i="12"/>
  <c r="B20" i="12"/>
  <c r="G13" i="12"/>
  <c r="E11" i="12"/>
  <c r="C9" i="12"/>
  <c r="E24" i="12"/>
  <c r="C22" i="12"/>
  <c r="H19" i="12"/>
  <c r="F13" i="12"/>
  <c r="D11" i="12"/>
  <c r="B9" i="12"/>
  <c r="D24" i="12"/>
  <c r="B22" i="12"/>
  <c r="G19" i="12"/>
  <c r="E13" i="12"/>
  <c r="C11" i="12"/>
  <c r="H8" i="12"/>
  <c r="C24" i="12"/>
  <c r="H21" i="12"/>
  <c r="F19" i="12"/>
  <c r="D13" i="12"/>
  <c r="B11" i="12"/>
  <c r="G8" i="12"/>
  <c r="B24" i="12"/>
  <c r="G21" i="12"/>
  <c r="E19" i="12"/>
  <c r="G62" i="7" s="1"/>
  <c r="I62" i="7" s="1"/>
  <c r="N62" i="7" s="1"/>
  <c r="C13" i="12"/>
  <c r="H10" i="12"/>
  <c r="F8" i="12"/>
  <c r="H23" i="12"/>
  <c r="F21" i="12"/>
  <c r="D19" i="12"/>
  <c r="G41" i="7" s="1"/>
  <c r="I41" i="7" s="1"/>
  <c r="N41" i="7" s="1"/>
  <c r="B13" i="12"/>
  <c r="K12" i="15" s="1"/>
  <c r="G10" i="12"/>
  <c r="K9" i="15" s="1"/>
  <c r="E8" i="12"/>
  <c r="F62" i="7" s="1"/>
  <c r="H62" i="7" s="1"/>
  <c r="M62" i="7" s="1"/>
  <c r="G23" i="12"/>
  <c r="E21" i="12"/>
  <c r="C19" i="12"/>
  <c r="H12" i="12"/>
  <c r="F10" i="12"/>
  <c r="D8" i="12"/>
  <c r="F41" i="7" s="1"/>
  <c r="F23" i="12"/>
  <c r="D21" i="12"/>
  <c r="B19" i="12"/>
  <c r="G12" i="12"/>
  <c r="E10" i="12"/>
  <c r="C8" i="12"/>
  <c r="H41" i="7"/>
  <c r="M41" i="7" s="1"/>
  <c r="D10" i="12"/>
  <c r="H22" i="12"/>
  <c r="B15" i="19"/>
  <c r="Q32" i="21"/>
  <c r="P32" i="21"/>
  <c r="O32" i="21"/>
  <c r="N32" i="21"/>
  <c r="M32" i="21"/>
  <c r="L32" i="21"/>
  <c r="K32" i="21"/>
  <c r="L52" i="21"/>
  <c r="Q42" i="21"/>
  <c r="D20" i="3"/>
  <c r="B12" i="12"/>
  <c r="B23" i="12"/>
  <c r="C12" i="12"/>
  <c r="C23" i="12"/>
  <c r="G58" i="16"/>
  <c r="F58" i="16"/>
  <c r="E58" i="16"/>
  <c r="D58" i="16"/>
  <c r="C58" i="16"/>
  <c r="B58" i="16"/>
  <c r="K16" i="19"/>
  <c r="J16" i="19"/>
  <c r="I16" i="19"/>
  <c r="Q44" i="21"/>
  <c r="Q55" i="21"/>
  <c r="M135" i="21"/>
  <c r="G56" i="16"/>
  <c r="F56" i="16"/>
  <c r="E56" i="16"/>
  <c r="D56" i="16"/>
  <c r="C56" i="16"/>
  <c r="B56" i="16"/>
  <c r="I26" i="19"/>
  <c r="O104" i="21"/>
  <c r="M156" i="21" s="1"/>
  <c r="F5" i="7"/>
  <c r="G5" i="7"/>
  <c r="I5" i="7" s="1"/>
  <c r="N5" i="7" s="1"/>
  <c r="C21" i="3"/>
  <c r="E21" i="3" s="1"/>
  <c r="G44" i="7"/>
  <c r="I44" i="7" s="1"/>
  <c r="N44" i="7" s="1"/>
  <c r="G65" i="7"/>
  <c r="I65" i="7" s="1"/>
  <c r="N65" i="7" s="1"/>
  <c r="D12" i="12"/>
  <c r="D23" i="12"/>
  <c r="K17" i="19"/>
  <c r="J17" i="19"/>
  <c r="I17" i="19"/>
  <c r="H14" i="19"/>
  <c r="G14" i="19"/>
  <c r="L14" i="19" s="1"/>
  <c r="B19" i="23"/>
  <c r="Q30" i="21"/>
  <c r="P30" i="21"/>
  <c r="O30" i="21"/>
  <c r="N30" i="21"/>
  <c r="M30" i="21"/>
  <c r="L30" i="21"/>
  <c r="D21" i="3"/>
  <c r="F12" i="12"/>
  <c r="C15" i="18"/>
  <c r="E23" i="12"/>
  <c r="D106" i="2"/>
  <c r="F12" i="7"/>
  <c r="H12" i="7" s="1"/>
  <c r="M12" i="7" s="1"/>
  <c r="D18" i="12"/>
  <c r="G39" i="7" s="1"/>
  <c r="O56" i="21"/>
  <c r="O54" i="21"/>
  <c r="O52" i="21"/>
  <c r="O50" i="21"/>
  <c r="Q35" i="21"/>
  <c r="P35" i="21"/>
  <c r="O35" i="21"/>
  <c r="N35" i="21"/>
  <c r="M35" i="21"/>
  <c r="L35" i="21"/>
  <c r="Q46" i="21"/>
  <c r="K13" i="19"/>
  <c r="J13" i="19"/>
  <c r="I13" i="19"/>
  <c r="O105" i="21"/>
  <c r="M157" i="21" s="1"/>
  <c r="G12" i="7"/>
  <c r="I12" i="7" s="1"/>
  <c r="N12" i="7" s="1"/>
  <c r="B16" i="9"/>
  <c r="E6" i="19" s="1"/>
  <c r="E7" i="12"/>
  <c r="F60" i="7" s="1"/>
  <c r="H60" i="7" s="1"/>
  <c r="M60" i="7" s="1"/>
  <c r="E18" i="12"/>
  <c r="G60" i="7" s="1"/>
  <c r="I60" i="7" s="1"/>
  <c r="N60" i="7" s="1"/>
  <c r="G8" i="19"/>
  <c r="L8" i="19" s="1"/>
  <c r="P56" i="21"/>
  <c r="P54" i="21"/>
  <c r="P52" i="21"/>
  <c r="P50" i="21"/>
  <c r="O101" i="21"/>
  <c r="M153" i="21" s="1"/>
  <c r="M106" i="21"/>
  <c r="M116" i="21" s="1"/>
  <c r="K7" i="15"/>
  <c r="F29" i="7"/>
  <c r="H29" i="7" s="1"/>
  <c r="M29" i="7" s="1"/>
  <c r="J26" i="19"/>
  <c r="I39" i="7"/>
  <c r="N39" i="7" s="1"/>
  <c r="F7" i="12"/>
  <c r="F18" i="12"/>
  <c r="G54" i="16"/>
  <c r="F54" i="16"/>
  <c r="E54" i="16"/>
  <c r="D54" i="16"/>
  <c r="C54" i="16"/>
  <c r="B54" i="16"/>
  <c r="H64" i="7"/>
  <c r="M64" i="7" s="1"/>
  <c r="E12" i="12"/>
  <c r="A37" i="16"/>
  <c r="E17" i="18"/>
  <c r="C17" i="18"/>
  <c r="B108" i="2"/>
  <c r="D108" i="2" s="1"/>
  <c r="G7" i="12"/>
  <c r="G18" i="12"/>
  <c r="O107" i="21"/>
  <c r="M172" i="21" s="1"/>
  <c r="Q53" i="21"/>
  <c r="H7" i="12"/>
  <c r="H18" i="12"/>
  <c r="N22" i="14"/>
  <c r="K25" i="19"/>
  <c r="J25" i="19"/>
  <c r="I25" i="19"/>
  <c r="Q40" i="21"/>
  <c r="Q51" i="21"/>
  <c r="C53" i="16"/>
  <c r="C55" i="16"/>
  <c r="C57" i="16"/>
  <c r="C59" i="16"/>
  <c r="K25" i="21"/>
  <c r="K41" i="21" s="1"/>
  <c r="D53" i="16"/>
  <c r="D55" i="16"/>
  <c r="D57" i="16"/>
  <c r="D59" i="16"/>
  <c r="G13" i="19"/>
  <c r="L13" i="19" s="1"/>
  <c r="L25" i="21"/>
  <c r="L41" i="21" s="1"/>
  <c r="M103" i="21"/>
  <c r="M133" i="21" s="1"/>
  <c r="N13" i="14"/>
  <c r="M25" i="21"/>
  <c r="N8" i="14"/>
  <c r="F53" i="16"/>
  <c r="F55" i="16"/>
  <c r="F57" i="16"/>
  <c r="F59" i="16"/>
  <c r="N25" i="21"/>
  <c r="N42" i="21" s="1"/>
  <c r="K34" i="21"/>
  <c r="K40" i="21"/>
  <c r="K42" i="21"/>
  <c r="K44" i="21"/>
  <c r="K46" i="21"/>
  <c r="G53" i="16"/>
  <c r="G55" i="16"/>
  <c r="G57" i="16"/>
  <c r="G59" i="16"/>
  <c r="G25" i="19"/>
  <c r="L25" i="19" s="1"/>
  <c r="I27" i="19"/>
  <c r="O25" i="21"/>
  <c r="O42" i="21" s="1"/>
  <c r="L34" i="21"/>
  <c r="L46" i="21"/>
  <c r="L51" i="21"/>
  <c r="L101" i="21"/>
  <c r="M102" i="21" s="1"/>
  <c r="N19" i="14"/>
  <c r="J27" i="19"/>
  <c r="P25" i="21"/>
  <c r="M34" i="21"/>
  <c r="M40" i="21"/>
  <c r="M42" i="21"/>
  <c r="M44" i="21"/>
  <c r="M46" i="21"/>
  <c r="M51" i="21"/>
  <c r="M53" i="21"/>
  <c r="M55" i="21"/>
  <c r="M101" i="21"/>
  <c r="M111" i="21" s="1"/>
  <c r="N9" i="14"/>
  <c r="Q25" i="21"/>
  <c r="N34" i="21"/>
  <c r="N51" i="21"/>
  <c r="N53" i="21"/>
  <c r="N55" i="21"/>
  <c r="N101" i="21"/>
  <c r="O102" i="21" s="1"/>
  <c r="M167" i="21" s="1"/>
  <c r="G16" i="19"/>
  <c r="L16" i="19" s="1"/>
  <c r="K27" i="21"/>
  <c r="K51" i="21" s="1"/>
  <c r="K31" i="21"/>
  <c r="O34" i="21"/>
  <c r="O51" i="21"/>
  <c r="O53" i="21"/>
  <c r="O55" i="21"/>
  <c r="I7" i="19"/>
  <c r="L27" i="21"/>
  <c r="L53" i="21" s="1"/>
  <c r="L31" i="21"/>
  <c r="L33" i="21"/>
  <c r="P34" i="21"/>
  <c r="P40" i="21"/>
  <c r="P51" i="21"/>
  <c r="P53" i="21"/>
  <c r="P55" i="21"/>
  <c r="L107" i="21"/>
  <c r="M104" i="21" s="1"/>
  <c r="J7" i="19"/>
  <c r="K23" i="21"/>
  <c r="K33" i="21" s="1"/>
  <c r="M27" i="21"/>
  <c r="M31" i="21"/>
  <c r="M33" i="21"/>
  <c r="M107" i="21"/>
  <c r="M117" i="21" s="1"/>
  <c r="N31" i="21"/>
  <c r="N33" i="21"/>
  <c r="O31" i="21"/>
  <c r="O33" i="21"/>
  <c r="O133" i="21" l="1"/>
  <c r="P133" i="21" s="1"/>
  <c r="N133" i="21"/>
  <c r="O153" i="21"/>
  <c r="P153" i="21" s="1"/>
  <c r="N153" i="21"/>
  <c r="M114" i="21"/>
  <c r="M136" i="21"/>
  <c r="O111" i="21"/>
  <c r="P111" i="21" s="1"/>
  <c r="N111" i="21"/>
  <c r="M166" i="21"/>
  <c r="M155" i="21"/>
  <c r="M112" i="21"/>
  <c r="M134" i="21"/>
  <c r="F19" i="7"/>
  <c r="H19" i="7" s="1"/>
  <c r="M19" i="7" s="1"/>
  <c r="F44" i="7"/>
  <c r="H44" i="7" s="1"/>
  <c r="M44" i="7" s="1"/>
  <c r="F65" i="7"/>
  <c r="H65" i="7" s="1"/>
  <c r="M65" i="7" s="1"/>
  <c r="F10" i="7"/>
  <c r="H10" i="7" s="1"/>
  <c r="M10" i="7" s="1"/>
  <c r="F30" i="7"/>
  <c r="H30" i="7" s="1"/>
  <c r="M30" i="7" s="1"/>
  <c r="F3" i="7"/>
  <c r="H3" i="7" s="1"/>
  <c r="M3" i="7" s="1"/>
  <c r="K6" i="15"/>
  <c r="B61" i="16"/>
  <c r="F27" i="7"/>
  <c r="H27" i="7" s="1"/>
  <c r="M27" i="7" s="1"/>
  <c r="B34" i="21"/>
  <c r="H6" i="19"/>
  <c r="G6" i="19"/>
  <c r="L6" i="19" s="1"/>
  <c r="L11" i="15"/>
  <c r="G37" i="7"/>
  <c r="I37" i="7" s="1"/>
  <c r="N37" i="7" s="1"/>
  <c r="F6" i="7"/>
  <c r="H6" i="7" s="1"/>
  <c r="M6" i="7" s="1"/>
  <c r="F13" i="7"/>
  <c r="H13" i="7" s="1"/>
  <c r="M13" i="7" s="1"/>
  <c r="F36" i="7"/>
  <c r="H36" i="7" s="1"/>
  <c r="M36" i="7" s="1"/>
  <c r="L42" i="21"/>
  <c r="L40" i="21"/>
  <c r="B35" i="21" s="1"/>
  <c r="G61" i="7"/>
  <c r="I61" i="7" s="1"/>
  <c r="N61" i="7" s="1"/>
  <c r="E15" i="13" s="1"/>
  <c r="G40" i="7"/>
  <c r="I40" i="7" s="1"/>
  <c r="N40" i="7" s="1"/>
  <c r="G17" i="7"/>
  <c r="I17" i="7" s="1"/>
  <c r="N17" i="7" s="1"/>
  <c r="L50" i="21"/>
  <c r="K14" i="19"/>
  <c r="J14" i="19"/>
  <c r="I14" i="19"/>
  <c r="F66" i="7"/>
  <c r="H66" i="7" s="1"/>
  <c r="M66" i="7" s="1"/>
  <c r="F52" i="7"/>
  <c r="H52" i="7" s="1"/>
  <c r="M52" i="7" s="1"/>
  <c r="G8" i="7"/>
  <c r="I8" i="7" s="1"/>
  <c r="N8" i="7" s="1"/>
  <c r="G15" i="7"/>
  <c r="I15" i="7" s="1"/>
  <c r="N15" i="7" s="1"/>
  <c r="E10" i="13" s="1"/>
  <c r="F43" i="7"/>
  <c r="H43" i="7" s="1"/>
  <c r="M43" i="7" s="1"/>
  <c r="B14" i="16"/>
  <c r="F23" i="7"/>
  <c r="H23" i="7" s="1"/>
  <c r="M23" i="7" s="1"/>
  <c r="G9" i="7"/>
  <c r="I9" i="7" s="1"/>
  <c r="N9" i="7" s="1"/>
  <c r="G2" i="7"/>
  <c r="I2" i="7" s="1"/>
  <c r="N2" i="7" s="1"/>
  <c r="G28" i="7"/>
  <c r="I28" i="7" s="1"/>
  <c r="N28" i="7" s="1"/>
  <c r="B16" i="16"/>
  <c r="F16" i="7"/>
  <c r="H16" i="7" s="1"/>
  <c r="M16" i="7" s="1"/>
  <c r="K54" i="21"/>
  <c r="G45" i="7"/>
  <c r="I45" i="7" s="1"/>
  <c r="N45" i="7" s="1"/>
  <c r="G24" i="7"/>
  <c r="I24" i="7" s="1"/>
  <c r="N24" i="7" s="1"/>
  <c r="G51" i="7"/>
  <c r="I51" i="7" s="1"/>
  <c r="N51" i="7" s="1"/>
  <c r="E14" i="13" s="1"/>
  <c r="F31" i="7"/>
  <c r="H31" i="7" s="1"/>
  <c r="M31" i="7" s="1"/>
  <c r="K8" i="15"/>
  <c r="B13" i="16"/>
  <c r="G4" i="7"/>
  <c r="I4" i="7" s="1"/>
  <c r="N4" i="7" s="1"/>
  <c r="G32" i="7"/>
  <c r="I32" i="7" s="1"/>
  <c r="N32" i="7" s="1"/>
  <c r="G11" i="7"/>
  <c r="I11" i="7" s="1"/>
  <c r="N11" i="7" s="1"/>
  <c r="L10" i="15"/>
  <c r="G35" i="7"/>
  <c r="I35" i="7" s="1"/>
  <c r="N35" i="7" s="1"/>
  <c r="F70" i="7"/>
  <c r="H70" i="7" s="1"/>
  <c r="M70" i="7" s="1"/>
  <c r="F58" i="7"/>
  <c r="H58" i="7" s="1"/>
  <c r="M58" i="7" s="1"/>
  <c r="M168" i="21"/>
  <c r="G22" i="7"/>
  <c r="I22" i="7" s="1"/>
  <c r="N22" i="7" s="1"/>
  <c r="G50" i="7"/>
  <c r="I50" i="7" s="1"/>
  <c r="N50" i="7" s="1"/>
  <c r="G71" i="7"/>
  <c r="I71" i="7" s="1"/>
  <c r="N71" i="7" s="1"/>
  <c r="G59" i="7"/>
  <c r="I59" i="7" s="1"/>
  <c r="N59" i="7" s="1"/>
  <c r="F47" i="7"/>
  <c r="H47" i="7" s="1"/>
  <c r="M47" i="7" s="1"/>
  <c r="F54" i="7"/>
  <c r="H54" i="7" s="1"/>
  <c r="M54" i="7" s="1"/>
  <c r="F25" i="7"/>
  <c r="H25" i="7" s="1"/>
  <c r="M25" i="7" s="1"/>
  <c r="G68" i="7"/>
  <c r="I68" i="7" s="1"/>
  <c r="N68" i="7" s="1"/>
  <c r="G55" i="7"/>
  <c r="I55" i="7" s="1"/>
  <c r="N55" i="7" s="1"/>
  <c r="E20" i="3"/>
  <c r="M113" i="21"/>
  <c r="G29" i="7"/>
  <c r="I29" i="7" s="1"/>
  <c r="N29" i="7" s="1"/>
  <c r="B23" i="16"/>
  <c r="L7" i="15"/>
  <c r="M139" i="21"/>
  <c r="L44" i="21"/>
  <c r="M159" i="21"/>
  <c r="F56" i="7"/>
  <c r="H56" i="7" s="1"/>
  <c r="M56" i="7" s="1"/>
  <c r="F69" i="7"/>
  <c r="H69" i="7" s="1"/>
  <c r="M69" i="7" s="1"/>
  <c r="D15" i="13" s="1"/>
  <c r="F48" i="7"/>
  <c r="H48" i="7" s="1"/>
  <c r="M48" i="7" s="1"/>
  <c r="F21" i="7"/>
  <c r="H21" i="7" s="1"/>
  <c r="M21" i="7" s="1"/>
  <c r="K56" i="21"/>
  <c r="K45" i="21"/>
  <c r="O46" i="21"/>
  <c r="O106" i="21"/>
  <c r="L12" i="15"/>
  <c r="F15" i="7"/>
  <c r="H15" i="7" s="1"/>
  <c r="M15" i="7" s="1"/>
  <c r="F8" i="7"/>
  <c r="H8" i="7" s="1"/>
  <c r="M8" i="7" s="1"/>
  <c r="G6" i="7"/>
  <c r="I6" i="7" s="1"/>
  <c r="N6" i="7" s="1"/>
  <c r="G13" i="7"/>
  <c r="I13" i="7" s="1"/>
  <c r="N13" i="7" s="1"/>
  <c r="G36" i="7"/>
  <c r="I36" i="7" s="1"/>
  <c r="N36" i="7" s="1"/>
  <c r="F63" i="7"/>
  <c r="H63" i="7" s="1"/>
  <c r="M63" i="7" s="1"/>
  <c r="F18" i="7"/>
  <c r="H18" i="7" s="1"/>
  <c r="M18" i="7" s="1"/>
  <c r="F42" i="7"/>
  <c r="H42" i="7" s="1"/>
  <c r="M42" i="7" s="1"/>
  <c r="D13" i="13" s="1"/>
  <c r="L45" i="21"/>
  <c r="F2" i="7"/>
  <c r="H2" i="7" s="1"/>
  <c r="M2" i="7" s="1"/>
  <c r="D8" i="13" s="1"/>
  <c r="F28" i="7"/>
  <c r="H28" i="7" s="1"/>
  <c r="M28" i="7" s="1"/>
  <c r="F9" i="7"/>
  <c r="H9" i="7" s="1"/>
  <c r="M9" i="7" s="1"/>
  <c r="P25" i="14"/>
  <c r="P20" i="14"/>
  <c r="P22" i="14"/>
  <c r="P24" i="14"/>
  <c r="P26" i="14"/>
  <c r="P21" i="14"/>
  <c r="P23" i="14"/>
  <c r="G10" i="7"/>
  <c r="I10" i="7" s="1"/>
  <c r="N10" i="7" s="1"/>
  <c r="G30" i="7"/>
  <c r="I30" i="7" s="1"/>
  <c r="N30" i="7" s="1"/>
  <c r="G3" i="7"/>
  <c r="I3" i="7" s="1"/>
  <c r="N3" i="7" s="1"/>
  <c r="K10" i="15"/>
  <c r="F35" i="7"/>
  <c r="H35" i="7" s="1"/>
  <c r="M35" i="7" s="1"/>
  <c r="M105" i="21"/>
  <c r="K11" i="15"/>
  <c r="F37" i="7"/>
  <c r="H37" i="7" s="1"/>
  <c r="M37" i="7" s="1"/>
  <c r="M171" i="21"/>
  <c r="F40" i="7"/>
  <c r="H40" i="7" s="1"/>
  <c r="M40" i="7" s="1"/>
  <c r="F61" i="7"/>
  <c r="H61" i="7" s="1"/>
  <c r="M61" i="7" s="1"/>
  <c r="F17" i="7"/>
  <c r="H17" i="7" s="1"/>
  <c r="M17" i="7" s="1"/>
  <c r="P12" i="14"/>
  <c r="P14" i="14"/>
  <c r="P9" i="14"/>
  <c r="P11" i="14"/>
  <c r="P13" i="14"/>
  <c r="P10" i="14"/>
  <c r="P15" i="14"/>
  <c r="F67" i="7"/>
  <c r="H67" i="7" s="1"/>
  <c r="M67" i="7" s="1"/>
  <c r="F46" i="7"/>
  <c r="H46" i="7" s="1"/>
  <c r="M46" i="7" s="1"/>
  <c r="F20" i="7"/>
  <c r="H20" i="7" s="1"/>
  <c r="M20" i="7" s="1"/>
  <c r="F53" i="7"/>
  <c r="H53" i="7" s="1"/>
  <c r="M53" i="7" s="1"/>
  <c r="K43" i="21"/>
  <c r="O44" i="21"/>
  <c r="N44" i="21"/>
  <c r="M154" i="21"/>
  <c r="L43" i="21"/>
  <c r="G52" i="7"/>
  <c r="I52" i="7" s="1"/>
  <c r="N52" i="7" s="1"/>
  <c r="G66" i="7"/>
  <c r="I66" i="7" s="1"/>
  <c r="N66" i="7" s="1"/>
  <c r="F11" i="7"/>
  <c r="H11" i="7" s="1"/>
  <c r="M11" i="7" s="1"/>
  <c r="F4" i="7"/>
  <c r="H4" i="7" s="1"/>
  <c r="M4" i="7" s="1"/>
  <c r="F32" i="7"/>
  <c r="H32" i="7" s="1"/>
  <c r="M32" i="7" s="1"/>
  <c r="L6" i="15"/>
  <c r="B62" i="16"/>
  <c r="C34" i="21"/>
  <c r="G27" i="7"/>
  <c r="I27" i="7" s="1"/>
  <c r="N27" i="7" s="1"/>
  <c r="E12" i="13" s="1"/>
  <c r="B27" i="16"/>
  <c r="G16" i="7"/>
  <c r="I16" i="7" s="1"/>
  <c r="N16" i="7" s="1"/>
  <c r="N41" i="21"/>
  <c r="N45" i="21"/>
  <c r="N43" i="21"/>
  <c r="M50" i="21"/>
  <c r="M52" i="21"/>
  <c r="M56" i="21"/>
  <c r="M54" i="21"/>
  <c r="O45" i="21"/>
  <c r="O43" i="21"/>
  <c r="O41" i="21"/>
  <c r="P45" i="21"/>
  <c r="P43" i="21"/>
  <c r="P41" i="21"/>
  <c r="G57" i="7"/>
  <c r="I57" i="7" s="1"/>
  <c r="N57" i="7" s="1"/>
  <c r="G26" i="7"/>
  <c r="I26" i="7" s="1"/>
  <c r="N26" i="7" s="1"/>
  <c r="G49" i="7"/>
  <c r="I49" i="7" s="1"/>
  <c r="N49" i="7" s="1"/>
  <c r="M169" i="21"/>
  <c r="K30" i="21"/>
  <c r="H15" i="19"/>
  <c r="G15" i="19"/>
  <c r="L15" i="19" s="1"/>
  <c r="K36" i="21"/>
  <c r="P46" i="21"/>
  <c r="O40" i="21"/>
  <c r="N40" i="21"/>
  <c r="K55" i="21"/>
  <c r="M137" i="21"/>
  <c r="F38" i="7"/>
  <c r="H38" i="7" s="1"/>
  <c r="M38" i="7" s="1"/>
  <c r="F14" i="7"/>
  <c r="H14" i="7" s="1"/>
  <c r="M14" i="7" s="1"/>
  <c r="F7" i="7"/>
  <c r="H7" i="7" s="1"/>
  <c r="M7" i="7" s="1"/>
  <c r="P44" i="21"/>
  <c r="M41" i="21"/>
  <c r="C35" i="21" s="1"/>
  <c r="M45" i="21"/>
  <c r="M43" i="21"/>
  <c r="G63" i="7"/>
  <c r="I63" i="7" s="1"/>
  <c r="N63" i="7" s="1"/>
  <c r="G18" i="7"/>
  <c r="I18" i="7" s="1"/>
  <c r="N18" i="7" s="1"/>
  <c r="G42" i="7"/>
  <c r="I42" i="7" s="1"/>
  <c r="N42" i="7" s="1"/>
  <c r="F68" i="7"/>
  <c r="H68" i="7" s="1"/>
  <c r="M68" i="7" s="1"/>
  <c r="F55" i="7"/>
  <c r="H55" i="7" s="1"/>
  <c r="M55" i="7" s="1"/>
  <c r="B25" i="16"/>
  <c r="G23" i="7"/>
  <c r="I23" i="7" s="1"/>
  <c r="N23" i="7" s="1"/>
  <c r="G43" i="7"/>
  <c r="I43" i="7" s="1"/>
  <c r="N43" i="7" s="1"/>
  <c r="L9" i="15"/>
  <c r="G31" i="7"/>
  <c r="I31" i="7" s="1"/>
  <c r="N31" i="7" s="1"/>
  <c r="B24" i="16"/>
  <c r="L8" i="15"/>
  <c r="G47" i="7"/>
  <c r="I47" i="7" s="1"/>
  <c r="N47" i="7" s="1"/>
  <c r="G54" i="7"/>
  <c r="I54" i="7" s="1"/>
  <c r="N54" i="7" s="1"/>
  <c r="G25" i="7"/>
  <c r="I25" i="7" s="1"/>
  <c r="N25" i="7" s="1"/>
  <c r="G20" i="7"/>
  <c r="I20" i="7" s="1"/>
  <c r="N20" i="7" s="1"/>
  <c r="G53" i="7"/>
  <c r="I53" i="7" s="1"/>
  <c r="N53" i="7" s="1"/>
  <c r="G67" i="7"/>
  <c r="I67" i="7" s="1"/>
  <c r="N67" i="7" s="1"/>
  <c r="G46" i="7"/>
  <c r="I46" i="7" s="1"/>
  <c r="N46" i="7" s="1"/>
  <c r="L56" i="21"/>
  <c r="F22" i="7"/>
  <c r="H22" i="7" s="1"/>
  <c r="M22" i="7" s="1"/>
  <c r="F59" i="7"/>
  <c r="H59" i="7" s="1"/>
  <c r="M59" i="7" s="1"/>
  <c r="F50" i="7"/>
  <c r="H50" i="7" s="1"/>
  <c r="M50" i="7" s="1"/>
  <c r="F71" i="7"/>
  <c r="H71" i="7" s="1"/>
  <c r="M71" i="7" s="1"/>
  <c r="K52" i="21"/>
  <c r="K50" i="21"/>
  <c r="B36" i="21" s="1"/>
  <c r="N46" i="21"/>
  <c r="L54" i="21"/>
  <c r="C36" i="21" s="1"/>
  <c r="F26" i="7"/>
  <c r="H26" i="7" s="1"/>
  <c r="M26" i="7" s="1"/>
  <c r="F57" i="7"/>
  <c r="H57" i="7" s="1"/>
  <c r="M57" i="7" s="1"/>
  <c r="F49" i="7"/>
  <c r="H49" i="7" s="1"/>
  <c r="M49" i="7" s="1"/>
  <c r="G38" i="7"/>
  <c r="I38" i="7" s="1"/>
  <c r="N38" i="7" s="1"/>
  <c r="G14" i="7"/>
  <c r="I14" i="7" s="1"/>
  <c r="N14" i="7" s="1"/>
  <c r="G7" i="7"/>
  <c r="I7" i="7" s="1"/>
  <c r="N7" i="7" s="1"/>
  <c r="K35" i="21"/>
  <c r="L55" i="21"/>
  <c r="K53" i="21"/>
  <c r="P42" i="21"/>
  <c r="Q45" i="21"/>
  <c r="Q43" i="21"/>
  <c r="Q41" i="21"/>
  <c r="G70" i="7"/>
  <c r="I70" i="7" s="1"/>
  <c r="N70" i="7" s="1"/>
  <c r="G58" i="7"/>
  <c r="I58" i="7" s="1"/>
  <c r="N58" i="7" s="1"/>
  <c r="F24" i="7"/>
  <c r="H24" i="7" s="1"/>
  <c r="M24" i="7" s="1"/>
  <c r="F45" i="7"/>
  <c r="H45" i="7" s="1"/>
  <c r="M45" i="7" s="1"/>
  <c r="F51" i="7"/>
  <c r="H51" i="7" s="1"/>
  <c r="M51" i="7" s="1"/>
  <c r="D14" i="13" s="1"/>
  <c r="G69" i="7"/>
  <c r="I69" i="7" s="1"/>
  <c r="N69" i="7" s="1"/>
  <c r="G21" i="7"/>
  <c r="I21" i="7" s="1"/>
  <c r="N21" i="7" s="1"/>
  <c r="G56" i="7"/>
  <c r="I56" i="7" s="1"/>
  <c r="N56" i="7" s="1"/>
  <c r="G48" i="7"/>
  <c r="I48" i="7" s="1"/>
  <c r="N48" i="7" s="1"/>
  <c r="I15" i="13" l="1"/>
  <c r="G15" i="13"/>
  <c r="H15" i="13"/>
  <c r="F15" i="13"/>
  <c r="D35" i="21"/>
  <c r="D10" i="21" s="1"/>
  <c r="E35" i="21"/>
  <c r="F13" i="13"/>
  <c r="H13" i="13"/>
  <c r="E36" i="21"/>
  <c r="D36" i="21"/>
  <c r="D11" i="21" s="1"/>
  <c r="I14" i="13"/>
  <c r="G14" i="13"/>
  <c r="I12" i="13"/>
  <c r="G12" i="13"/>
  <c r="M138" i="21"/>
  <c r="M115" i="21"/>
  <c r="E34" i="21"/>
  <c r="D34" i="21"/>
  <c r="R15" i="14"/>
  <c r="U15" i="14" s="1"/>
  <c r="Q15" i="14"/>
  <c r="E9" i="13"/>
  <c r="K14" i="15"/>
  <c r="B60" i="2" s="1"/>
  <c r="H14" i="13"/>
  <c r="F14" i="13"/>
  <c r="R13" i="14"/>
  <c r="U13" i="14" s="1"/>
  <c r="Q13" i="14"/>
  <c r="R11" i="14"/>
  <c r="U11" i="14" s="1"/>
  <c r="Q11" i="14"/>
  <c r="R9" i="14"/>
  <c r="U9" i="14" s="1"/>
  <c r="Q9" i="14"/>
  <c r="S9" i="14" s="1"/>
  <c r="S10" i="14" s="1"/>
  <c r="S11" i="14" s="1"/>
  <c r="S12" i="14" s="1"/>
  <c r="S13" i="14" s="1"/>
  <c r="S14" i="14" s="1"/>
  <c r="S15" i="14" s="1"/>
  <c r="R26" i="14"/>
  <c r="U26" i="14" s="1"/>
  <c r="Q26" i="14"/>
  <c r="C7" i="16"/>
  <c r="C14" i="21"/>
  <c r="D12" i="13"/>
  <c r="C6" i="16"/>
  <c r="B63" i="16"/>
  <c r="B14" i="21"/>
  <c r="I10" i="13"/>
  <c r="G10" i="13"/>
  <c r="O154" i="21"/>
  <c r="P154" i="21" s="1"/>
  <c r="N154" i="21"/>
  <c r="H8" i="13"/>
  <c r="F8" i="13"/>
  <c r="K15" i="15"/>
  <c r="B61" i="2" s="1"/>
  <c r="O166" i="21"/>
  <c r="P166" i="21" s="1"/>
  <c r="N166" i="21"/>
  <c r="D11" i="13"/>
  <c r="E11" i="13"/>
  <c r="R10" i="14"/>
  <c r="U10" i="14" s="1"/>
  <c r="Q10" i="14"/>
  <c r="E8" i="13"/>
  <c r="D10" i="13"/>
  <c r="Q12" i="14"/>
  <c r="R12" i="14"/>
  <c r="U12" i="14" s="1"/>
  <c r="K15" i="19"/>
  <c r="J15" i="19"/>
  <c r="I15" i="19"/>
  <c r="M158" i="21"/>
  <c r="M170" i="21"/>
  <c r="R20" i="14"/>
  <c r="U20" i="14" s="1"/>
  <c r="Q20" i="14"/>
  <c r="S20" i="14" s="1"/>
  <c r="S21" i="14" s="1"/>
  <c r="S22" i="14" s="1"/>
  <c r="S23" i="14" s="1"/>
  <c r="S24" i="14" s="1"/>
  <c r="S25" i="14" s="1"/>
  <c r="Q25" i="14"/>
  <c r="R25" i="14"/>
  <c r="U25" i="14" s="1"/>
  <c r="O134" i="21"/>
  <c r="P134" i="21" s="1"/>
  <c r="N134" i="21"/>
  <c r="K6" i="19"/>
  <c r="J6" i="19"/>
  <c r="I6" i="19"/>
  <c r="E13" i="13"/>
  <c r="O112" i="21"/>
  <c r="P112" i="21" s="1"/>
  <c r="N112" i="21"/>
  <c r="R23" i="14"/>
  <c r="U23" i="14" s="1"/>
  <c r="Q23" i="14"/>
  <c r="R21" i="14"/>
  <c r="U21" i="14" s="1"/>
  <c r="Q21" i="14"/>
  <c r="R14" i="14"/>
  <c r="U14" i="14" s="1"/>
  <c r="Q14" i="14"/>
  <c r="R24" i="14"/>
  <c r="U24" i="14" s="1"/>
  <c r="Q24" i="14"/>
  <c r="R22" i="14"/>
  <c r="U22" i="14" s="1"/>
  <c r="Q22" i="14"/>
  <c r="D9" i="13"/>
  <c r="D16" i="13" s="1"/>
  <c r="B56" i="20" l="1"/>
  <c r="D16" i="18"/>
  <c r="D14" i="3"/>
  <c r="E14" i="3" s="1"/>
  <c r="O155" i="21"/>
  <c r="P155" i="21" s="1"/>
  <c r="N155" i="21"/>
  <c r="H12" i="13"/>
  <c r="F12" i="13"/>
  <c r="D18" i="13"/>
  <c r="B51" i="2" s="1"/>
  <c r="H11" i="13"/>
  <c r="F11" i="13"/>
  <c r="H10" i="13"/>
  <c r="F10" i="13"/>
  <c r="O113" i="21"/>
  <c r="P113" i="21" s="1"/>
  <c r="N113" i="21"/>
  <c r="G13" i="13"/>
  <c r="I13" i="13"/>
  <c r="E16" i="13"/>
  <c r="I8" i="13"/>
  <c r="G8" i="13"/>
  <c r="B55" i="20"/>
  <c r="C16" i="18"/>
  <c r="E16" i="18" s="1"/>
  <c r="H9" i="13"/>
  <c r="F9" i="13"/>
  <c r="E14" i="21"/>
  <c r="D14" i="21"/>
  <c r="E10" i="21" s="1"/>
  <c r="N135" i="21"/>
  <c r="O135" i="21"/>
  <c r="P135" i="21" s="1"/>
  <c r="I9" i="13"/>
  <c r="G9" i="13"/>
  <c r="I11" i="13"/>
  <c r="G11" i="13"/>
  <c r="S26" i="14"/>
  <c r="O167" i="21"/>
  <c r="P167" i="21" s="1"/>
  <c r="N167" i="21"/>
  <c r="D9" i="21"/>
  <c r="E9" i="21" l="1"/>
  <c r="O156" i="21"/>
  <c r="P156" i="21" s="1"/>
  <c r="N156" i="21"/>
  <c r="C14" i="18"/>
  <c r="D15" i="3"/>
  <c r="E15" i="3" s="1"/>
  <c r="B68" i="2"/>
  <c r="B110" i="2" s="1"/>
  <c r="D110" i="2" s="1"/>
  <c r="D19" i="13"/>
  <c r="B52" i="2" s="1"/>
  <c r="B67" i="2" s="1"/>
  <c r="O136" i="21"/>
  <c r="P136" i="21" s="1"/>
  <c r="N136" i="21"/>
  <c r="E11" i="21"/>
  <c r="O168" i="21"/>
  <c r="P168" i="21" s="1"/>
  <c r="N168" i="21"/>
  <c r="O114" i="21"/>
  <c r="P114" i="21" s="1"/>
  <c r="N114" i="21"/>
  <c r="B10" i="19" l="1"/>
  <c r="B11" i="19"/>
  <c r="B70" i="2"/>
  <c r="B109" i="2"/>
  <c r="D109" i="2" s="1"/>
  <c r="O137" i="21"/>
  <c r="P137" i="21" s="1"/>
  <c r="N137" i="21"/>
  <c r="O157" i="21"/>
  <c r="P157" i="21" s="1"/>
  <c r="N157" i="21"/>
  <c r="D14" i="18"/>
  <c r="D16" i="3"/>
  <c r="E16" i="3" s="1"/>
  <c r="E14" i="18"/>
  <c r="O115" i="21"/>
  <c r="P115" i="21" s="1"/>
  <c r="N115" i="21"/>
  <c r="N169" i="21"/>
  <c r="O169" i="21"/>
  <c r="P169" i="21" s="1"/>
  <c r="N158" i="21" l="1"/>
  <c r="O158" i="21"/>
  <c r="P158" i="21" s="1"/>
  <c r="B20" i="18"/>
  <c r="D23" i="3"/>
  <c r="E23" i="3" s="1"/>
  <c r="B73" i="2"/>
  <c r="B72" i="2"/>
  <c r="B63" i="20"/>
  <c r="B71" i="2"/>
  <c r="O138" i="21"/>
  <c r="P138" i="21" s="1"/>
  <c r="N138" i="21"/>
  <c r="O170" i="21"/>
  <c r="P170" i="21" s="1"/>
  <c r="N170" i="21"/>
  <c r="H11" i="19"/>
  <c r="G11" i="19"/>
  <c r="L11" i="19" s="1"/>
  <c r="H10" i="19"/>
  <c r="G10" i="19"/>
  <c r="L10" i="19" s="1"/>
  <c r="O116" i="21"/>
  <c r="P116" i="21" s="1"/>
  <c r="N116" i="21"/>
  <c r="O139" i="21" l="1"/>
  <c r="P139" i="21" s="1"/>
  <c r="S141" i="21" s="1"/>
  <c r="S142" i="21" s="1"/>
  <c r="O122" i="21" s="1"/>
  <c r="N139" i="21"/>
  <c r="B22" i="18"/>
  <c r="B64" i="20"/>
  <c r="O159" i="21"/>
  <c r="P159" i="21" s="1"/>
  <c r="S161" i="21" s="1"/>
  <c r="S162" i="21" s="1"/>
  <c r="N123" i="21" s="1"/>
  <c r="N159" i="21"/>
  <c r="O171" i="21"/>
  <c r="P171" i="21" s="1"/>
  <c r="N171" i="21"/>
  <c r="B21" i="18"/>
  <c r="B9" i="19"/>
  <c r="B65" i="20"/>
  <c r="D24" i="3"/>
  <c r="E24" i="3" s="1"/>
  <c r="C96" i="20"/>
  <c r="D96" i="20"/>
  <c r="B23" i="18"/>
  <c r="B12" i="19"/>
  <c r="B68" i="20"/>
  <c r="O117" i="21"/>
  <c r="P117" i="21" s="1"/>
  <c r="S119" i="21" s="1"/>
  <c r="S120" i="21" s="1"/>
  <c r="N122" i="21" s="1"/>
  <c r="N117" i="21"/>
  <c r="K10" i="19"/>
  <c r="J10" i="19"/>
  <c r="I10" i="19"/>
  <c r="K11" i="19"/>
  <c r="J11" i="19"/>
  <c r="I11" i="19"/>
  <c r="H9" i="19" l="1"/>
  <c r="G9" i="19"/>
  <c r="L9" i="19" s="1"/>
  <c r="B18" i="19"/>
  <c r="B23" i="19"/>
  <c r="B21" i="19"/>
  <c r="B22" i="19"/>
  <c r="O172" i="21"/>
  <c r="P172" i="21" s="1"/>
  <c r="S174" i="21" s="1"/>
  <c r="S175" i="21" s="1"/>
  <c r="O123" i="21" s="1"/>
  <c r="N172" i="21"/>
  <c r="H12" i="19"/>
  <c r="G12" i="19"/>
  <c r="L12" i="19" s="1"/>
  <c r="E12" i="21"/>
  <c r="D12" i="21"/>
  <c r="B16" i="21"/>
  <c r="B18" i="1" s="1"/>
  <c r="J12" i="19" l="1"/>
  <c r="I12" i="19"/>
  <c r="K12" i="19"/>
  <c r="B76" i="20"/>
  <c r="B34" i="18"/>
  <c r="B15" i="1"/>
  <c r="B75" i="20"/>
  <c r="B33" i="18"/>
  <c r="B74" i="20"/>
  <c r="B24" i="19"/>
  <c r="B32" i="18"/>
  <c r="B122" i="2"/>
  <c r="B80" i="2"/>
  <c r="D27" i="3"/>
  <c r="E27" i="3" s="1"/>
  <c r="B11" i="1"/>
  <c r="H18" i="19"/>
  <c r="G18" i="19"/>
  <c r="L18" i="19" s="1"/>
  <c r="B123" i="2"/>
  <c r="D35" i="3"/>
  <c r="E35" i="3" s="1"/>
  <c r="K9" i="19"/>
  <c r="J9" i="19"/>
  <c r="I9" i="19"/>
  <c r="B43" i="18" l="1"/>
  <c r="B35" i="18"/>
  <c r="B27" i="18"/>
  <c r="B30" i="19"/>
  <c r="B31" i="19" s="1"/>
  <c r="B81" i="2"/>
  <c r="B112" i="2"/>
  <c r="D112" i="2" s="1"/>
  <c r="B116" i="2" s="1"/>
  <c r="K18" i="19"/>
  <c r="J18" i="19"/>
  <c r="I18" i="19"/>
  <c r="D31" i="3" l="1"/>
  <c r="E31" i="3" s="1"/>
  <c r="B26" i="18"/>
  <c r="B15" i="20"/>
  <c r="D28" i="3"/>
  <c r="E28" i="3" s="1"/>
  <c r="B7" i="1"/>
  <c r="B117" i="2"/>
  <c r="B124" i="2" l="1"/>
  <c r="D33" i="3"/>
  <c r="E33" i="3" s="1"/>
  <c r="B39" i="3"/>
  <c r="B40" i="3"/>
  <c r="B118" i="2"/>
  <c r="B125" i="2" l="1"/>
  <c r="B8" i="1"/>
  <c r="B83" i="2"/>
  <c r="B121" i="2"/>
  <c r="B127" i="2" s="1"/>
  <c r="B41" i="3"/>
</calcChain>
</file>

<file path=xl/sharedStrings.xml><?xml version="1.0" encoding="utf-8"?>
<sst xmlns="http://schemas.openxmlformats.org/spreadsheetml/2006/main" count="2309" uniqueCount="1334">
  <si>
    <t>CANONICAL SINGLE SOURCE OF TRUTH</t>
  </si>
  <si>
    <t>All other tabs must reference this sheet - no duplicate calculations</t>
  </si>
  <si>
    <t>SECTION A: VERSION &amp; IDENTITY</t>
  </si>
  <si>
    <t>FRAMEWORK_VERSION</t>
  </si>
  <si>
    <t>Ripple_Logic v8.5.3</t>
  </si>
  <si>
    <t>SGP_VERSION</t>
  </si>
  <si>
    <t>SGP v4.2.3</t>
  </si>
  <si>
    <t>SHEET_VERSION</t>
  </si>
  <si>
    <t>v1.8.3</t>
  </si>
  <si>
    <t>SECTION B: CONFIGURATION</t>
  </si>
  <si>
    <t>TIER</t>
  </si>
  <si>
    <t>(1-3 only; Tier 4 prohibited for claims per v8.5.3)</t>
  </si>
  <si>
    <t>CONTEXT</t>
  </si>
  <si>
    <t>ORG</t>
  </si>
  <si>
    <t>(PERS/ORG/REV/IRREV/XRISK)</t>
  </si>
  <si>
    <t>AI_DEPLOYMENT</t>
  </si>
  <si>
    <t>NO</t>
  </si>
  <si>
    <t>(YES/NO; affects mandatory tails)</t>
  </si>
  <si>
    <t>TRC_ACTIVE</t>
  </si>
  <si>
    <t>(TRUE if Tier&gt;=2)</t>
  </si>
  <si>
    <t>SIGMA_ALLOWED</t>
  </si>
  <si>
    <t>(Tier 2+: allowed)</t>
  </si>
  <si>
    <t>SIGMA_REQUIRED</t>
  </si>
  <si>
    <t>(Tier 3+: required)</t>
  </si>
  <si>
    <t>SECTION C: CANONICAL PARAMETERS</t>
  </si>
  <si>
    <t>alpha (CVaR confidence)</t>
  </si>
  <si>
    <t>beta (tail mass)</t>
  </si>
  <si>
    <t>beta_saturation</t>
  </si>
  <si>
    <t>beta_prop</t>
  </si>
  <si>
    <t>delta (discrimination)</t>
  </si>
  <si>
    <t>theta_pos (containment)</t>
  </si>
  <si>
    <t>tau_c (containment floor)</t>
  </si>
  <si>
    <t>T_ref (time reference)</t>
  </si>
  <si>
    <t>sigma_est (RLS uncertainty)</t>
  </si>
  <si>
    <t>t_min (temporal floor)</t>
  </si>
  <si>
    <t>(canonical in v8.5.3: prevents near-zero collapse; τ(t_min) ≈ 0.025)</t>
  </si>
  <si>
    <t>SECTION D: RIGHTS THRESHOLDS (θ_r)</t>
  </si>
  <si>
    <t>Right</t>
  </si>
  <si>
    <t>Priority</t>
  </si>
  <si>
    <t>θ_r</t>
  </si>
  <si>
    <t>LIFE</t>
  </si>
  <si>
    <t>BODY</t>
  </si>
  <si>
    <t>ECOL</t>
  </si>
  <si>
    <t>LBTY</t>
  </si>
  <si>
    <t>NEED</t>
  </si>
  <si>
    <t>DIGN</t>
  </si>
  <si>
    <t>PROC</t>
  </si>
  <si>
    <t>INFO</t>
  </si>
  <si>
    <t>RIGHTS_COUNT</t>
  </si>
  <si>
    <t>(must = 8)</t>
  </si>
  <si>
    <t>SECTION E: MANDATORY TAILS</t>
  </si>
  <si>
    <t>MANDATORY_TAILS_COUNT</t>
  </si>
  <si>
    <t>(6 if AI_DEPLOYMENT=YES, else 5)</t>
  </si>
  <si>
    <t>WTSL Categories</t>
  </si>
  <si>
    <t>Required?</t>
  </si>
  <si>
    <t>WTSL-PAN</t>
  </si>
  <si>
    <t>YES</t>
  </si>
  <si>
    <t>WTSL-CLI</t>
  </si>
  <si>
    <t>WTSL-FIN</t>
  </si>
  <si>
    <t>WTSL-CON</t>
  </si>
  <si>
    <t>WTSL-INF</t>
  </si>
  <si>
    <t>WTSL-AIX</t>
  </si>
  <si>
    <t>SECTION F: CANONICAL GATE RESULTS</t>
  </si>
  <si>
    <t>NCRC_PASS_A</t>
  </si>
  <si>
    <t>NCRC_PASS_B</t>
  </si>
  <si>
    <t>CVaR_A</t>
  </si>
  <si>
    <t>CVaR_B</t>
  </si>
  <si>
    <t>TRC_PASS_A</t>
  </si>
  <si>
    <t>TRC_PASS_B</t>
  </si>
  <si>
    <t>tau_TRC</t>
  </si>
  <si>
    <t>(context-specific threshold)</t>
  </si>
  <si>
    <t>CONTAINMENT_PASS_A</t>
  </si>
  <si>
    <t>CONTAINMENT_PASS_B</t>
  </si>
  <si>
    <t>RLS_A</t>
  </si>
  <si>
    <t>RLS_B</t>
  </si>
  <si>
    <t>SECTION G: SELECTION LOGIC</t>
  </si>
  <si>
    <t>A_NCRC_COUNT</t>
  </si>
  <si>
    <t>(Options passing NCRC)</t>
  </si>
  <si>
    <t>A_ADM_COUNT</t>
  </si>
  <si>
    <t>(Options passing NCRC+TRC)</t>
  </si>
  <si>
    <t>SELECTION_MODE</t>
  </si>
  <si>
    <t>SELECTED_OPTION</t>
  </si>
  <si>
    <t>SELECTION_BASIS</t>
  </si>
  <si>
    <t>ESCALATION_REQUIRED</t>
  </si>
  <si>
    <t>SECTION H: CATASTROPHE INPUT VALIDATION</t>
  </si>
  <si>
    <t>CCAT_BLANK_COUNT</t>
  </si>
  <si>
    <t>(Must be 0 when TRC active)</t>
  </si>
  <si>
    <t>SCENARIO_IMPACT_MISSING</t>
  </si>
  <si>
    <t>SECTION I: CLAIMABILITY</t>
  </si>
  <si>
    <t>INVALID_FLAGS_COUNT</t>
  </si>
  <si>
    <t>(computed from Audit_Flags)</t>
  </si>
  <si>
    <t>CLAIMABLE_RUN</t>
  </si>
  <si>
    <t>WORKBOOK_MODE</t>
  </si>
  <si>
    <t>WORKED_RUN</t>
  </si>
  <si>
    <t>(TEMPLATE or WORKED_RUN)</t>
  </si>
  <si>
    <t>PUBLISH_READY</t>
  </si>
  <si>
    <t>(requires schema valid + sanity pass + no placeholders)</t>
  </si>
  <si>
    <t>SECTION J: SCHEMA ENFORCEMENT</t>
  </si>
  <si>
    <t>Validation Rule: ISNUMBER(x) AND NOT(ISLOGICAL(x)) for all numeric fields</t>
  </si>
  <si>
    <t>Field</t>
  </si>
  <si>
    <t>Value</t>
  </si>
  <si>
    <t>Expected Type</t>
  </si>
  <si>
    <t>Status</t>
  </si>
  <si>
    <t>integer 1-3</t>
  </si>
  <si>
    <t>alpha</t>
  </si>
  <si>
    <t>decimal 0-1</t>
  </si>
  <si>
    <t>beta</t>
  </si>
  <si>
    <t>positive integer</t>
  </si>
  <si>
    <t>binary 0/1</t>
  </si>
  <si>
    <t>delta</t>
  </si>
  <si>
    <t>positive number</t>
  </si>
  <si>
    <t>theta_pos</t>
  </si>
  <si>
    <t>tau_c</t>
  </si>
  <si>
    <t>negative number</t>
  </si>
  <si>
    <t>T_ref</t>
  </si>
  <si>
    <t>sigma_est</t>
  </si>
  <si>
    <t>decimal &gt;=0</t>
  </si>
  <si>
    <t>integer = 8</t>
  </si>
  <si>
    <t>Note: MANDATORY_TAILS_COUNT canonical location is B41</t>
  </si>
  <si>
    <t>integer 5-6</t>
  </si>
  <si>
    <t>decimal</t>
  </si>
  <si>
    <t>nonneg integer</t>
  </si>
  <si>
    <t>INVALID_FLAGS</t>
  </si>
  <si>
    <t>SCHEMA ROLLUP</t>
  </si>
  <si>
    <t>PUBLISH GATES (computed)</t>
  </si>
  <si>
    <t>must be 0</t>
  </si>
  <si>
    <t>SCHEMA_FAIL_COUNT</t>
  </si>
  <si>
    <t>(must be 0)</t>
  </si>
  <si>
    <t>PLACEHOLDER_COUNT</t>
  </si>
  <si>
    <t>(scans Dashboard for [ bracket placeholders; ID brackets removed for clarity)</t>
  </si>
  <si>
    <t>(master publish gate)</t>
  </si>
  <si>
    <t>sanity_fail_count:</t>
  </si>
  <si>
    <t>invalid_count:</t>
  </si>
  <si>
    <t>manual_override:</t>
  </si>
  <si>
    <t>placeholder_count:</t>
  </si>
  <si>
    <t>publish_ready:</t>
  </si>
  <si>
    <t>AUDIT CHECK:</t>
  </si>
  <si>
    <t>SECTION G: v8.5.3 REPRESENTATION LAYER</t>
  </si>
  <si>
    <t>SCI_LEVEL</t>
  </si>
  <si>
    <t>SCI-0..SCI-4; Tier 2 minimum = SCI-1</t>
  </si>
  <si>
    <t>SCI_JUSTIFICATION</t>
  </si>
  <si>
    <t>Key stakeholders identified; roles mapped to scopes; coverage documented</t>
  </si>
  <si>
    <t>SCI_NEXT_RUN_UPGRADE</t>
  </si>
  <si>
    <t>Expand to SCI-2: structured discovery protocol with evidence refs</t>
  </si>
  <si>
    <t>REQUIRED when SCI equals tier minimum</t>
  </si>
  <si>
    <t>SCOPE_COVERAGE_MODE</t>
  </si>
  <si>
    <t>FULL</t>
  </si>
  <si>
    <t>FULL or REDUCED; if REDUCED: ScopeCoverage declaration REQUIRED</t>
  </si>
  <si>
    <t>ACTIVE_SCOPES</t>
  </si>
  <si>
    <t>U1,U2,U3,U4,U5,U6,U7</t>
  </si>
  <si>
    <t>OMITTED_SCOPES</t>
  </si>
  <si>
    <t>NONE</t>
  </si>
  <si>
    <t>SDP_PERFORMED</t>
  </si>
  <si>
    <t>Stakeholder Discovery Protocol (v8.5.3 Section 2.2A)</t>
  </si>
  <si>
    <t>UNCERTAINTY_METHOD</t>
  </si>
  <si>
    <t>C</t>
  </si>
  <si>
    <t>Method C; constant σ for all active cells via sigma_est (CANON!B26). Tier 2+ requires method declared; this workbook uses Method C.</t>
  </si>
  <si>
    <t>RELEASE NOTES + KNOWN REVIEW FLAGS (AUTO-PULLED)</t>
  </si>
  <si>
    <t>Sheet version</t>
  </si>
  <si>
    <t>Framework version</t>
  </si>
  <si>
    <t>Tier</t>
  </si>
  <si>
    <t>Workbook mode</t>
  </si>
  <si>
    <t>Claimable run</t>
  </si>
  <si>
    <t>Publish ready</t>
  </si>
  <si>
    <t>Active flags (auto)</t>
  </si>
  <si>
    <t>Counts (INVALID / ESCALATE / REVIEW / TOTAL)</t>
  </si>
  <si>
    <t>Release positioning</t>
  </si>
  <si>
    <t>Known REVIEW flags narrative (auto)</t>
  </si>
  <si>
    <t>Sensitivity status</t>
  </si>
  <si>
    <t>Sensitivity verdict</t>
  </si>
  <si>
    <t>Change log (edit this row for each release)</t>
  </si>
  <si>
    <t>Date</t>
  </si>
  <si>
    <t>Change summary</t>
  </si>
  <si>
    <t>Added small sensitivity tests (weights + p stress) and auto Release Notes panel wired to Audit_Flags.</t>
  </si>
  <si>
    <t>SANITY CHECKLIST - COMPUTED PASS/FAIL (v1.8.3)</t>
  </si>
  <si>
    <t>ALL Status cells (E6:E35) are FORMULAS comparing Expected vs Actual</t>
  </si>
  <si>
    <t>Pattern: =IF(ABS(C-D)&lt;1E-9,"PASS","FAIL") for numeric, =IF(C=D,"PASS","FAIL") for text</t>
  </si>
  <si>
    <t>Check_ID</t>
  </si>
  <si>
    <t>Check Name</t>
  </si>
  <si>
    <t>Expected</t>
  </si>
  <si>
    <t>Actual</t>
  </si>
  <si>
    <t>Source</t>
  </si>
  <si>
    <t>SC-01</t>
  </si>
  <si>
    <t>CANON!B7</t>
  </si>
  <si>
    <t>SC-02</t>
  </si>
  <si>
    <t>Config version</t>
  </si>
  <si>
    <t>Config!B2</t>
  </si>
  <si>
    <t>SC-03</t>
  </si>
  <si>
    <t>PCC version</t>
  </si>
  <si>
    <t>PCC!B11</t>
  </si>
  <si>
    <t>SC-04</t>
  </si>
  <si>
    <t>CANON!B5</t>
  </si>
  <si>
    <t>SC-05</t>
  </si>
  <si>
    <t>CVaR_A TRC=CANON</t>
  </si>
  <si>
    <t>TRC vs CANON</t>
  </si>
  <si>
    <t>SC-06</t>
  </si>
  <si>
    <t>CVaR_B TRC=CANON</t>
  </si>
  <si>
    <t>SC-07</t>
  </si>
  <si>
    <t>Dashboard CVaR</t>
  </si>
  <si>
    <t>Dashboard</t>
  </si>
  <si>
    <t>SC-08</t>
  </si>
  <si>
    <t>Rights count=8</t>
  </si>
  <si>
    <t>CANON!B38</t>
  </si>
  <si>
    <t>SC-09</t>
  </si>
  <si>
    <t>NCRC mins populated (A+B)</t>
  </si>
  <si>
    <t>NCRC</t>
  </si>
  <si>
    <t>SC-10</t>
  </si>
  <si>
    <t>NCRC_A status</t>
  </si>
  <si>
    <t>CANON!B51</t>
  </si>
  <si>
    <t>SC-11</t>
  </si>
  <si>
    <t>NCRC_B status</t>
  </si>
  <si>
    <t>CANON!B52</t>
  </si>
  <si>
    <t>SC-12</t>
  </si>
  <si>
    <t>θ_pos matches</t>
  </si>
  <si>
    <t>Containment</t>
  </si>
  <si>
    <t>SC-13</t>
  </si>
  <si>
    <t>τ_c matches</t>
  </si>
  <si>
    <t>SC-14</t>
  </si>
  <si>
    <t>τ_TRC TRC=CANON</t>
  </si>
  <si>
    <t>TRC!B9</t>
  </si>
  <si>
    <t>SC-15</t>
  </si>
  <si>
    <t>Mandatory tails</t>
  </si>
  <si>
    <t>WTSL</t>
  </si>
  <si>
    <t>SC-16</t>
  </si>
  <si>
    <t>Tails covered</t>
  </si>
  <si>
    <t>SC-17</t>
  </si>
  <si>
    <t>No blank C_cat</t>
  </si>
  <si>
    <t>CANON!B76</t>
  </si>
  <si>
    <t>SC-18</t>
  </si>
  <si>
    <t>Selection mode</t>
  </si>
  <si>
    <t>CANON!B70</t>
  </si>
  <si>
    <t>SC-19</t>
  </si>
  <si>
    <t>Selected option</t>
  </si>
  <si>
    <t>CANON!B71</t>
  </si>
  <si>
    <t>SC-20</t>
  </si>
  <si>
    <t>TRC outputs populated (A+B)</t>
  </si>
  <si>
    <t>CANON</t>
  </si>
  <si>
    <t>SC-21</t>
  </si>
  <si>
    <t>Emergency mode</t>
  </si>
  <si>
    <t>SC-22</t>
  </si>
  <si>
    <t>No INVALID flags</t>
  </si>
  <si>
    <t>Audit_Flags!B21</t>
  </si>
  <si>
    <t>SC-23</t>
  </si>
  <si>
    <t>Claimable status</t>
  </si>
  <si>
    <t>CANON!B81</t>
  </si>
  <si>
    <t>SC-24</t>
  </si>
  <si>
    <t>CVaR_A recompute</t>
  </si>
  <si>
    <t>D.7</t>
  </si>
  <si>
    <t>SC-25</t>
  </si>
  <si>
    <t>CVaR_B recompute</t>
  </si>
  <si>
    <t>SC-26</t>
  </si>
  <si>
    <t>Schema valid</t>
  </si>
  <si>
    <t>Schema</t>
  </si>
  <si>
    <t>SC-27</t>
  </si>
  <si>
    <t>CANON!B82</t>
  </si>
  <si>
    <t>SC-28</t>
  </si>
  <si>
    <t>No placeholders</t>
  </si>
  <si>
    <t>CANON!B116</t>
  </si>
  <si>
    <t>SC-29</t>
  </si>
  <si>
    <t>Audit consistent</t>
  </si>
  <si>
    <t>Audit</t>
  </si>
  <si>
    <t>SC-30</t>
  </si>
  <si>
    <t>Manual override</t>
  </si>
  <si>
    <t>Audit_Flags!B18</t>
  </si>
  <si>
    <t>COMPUTED SUMMARY</t>
  </si>
  <si>
    <t>Total Checks:</t>
  </si>
  <si>
    <t>PASS_COUNT:</t>
  </si>
  <si>
    <t>FAIL_COUNT:</t>
  </si>
  <si>
    <t>OVERALL:</t>
  </si>
  <si>
    <t>SCI ≥ Tier minimum</t>
  </si>
  <si>
    <t>CANON SCI_LEVEL</t>
  </si>
  <si>
    <t>SC-31</t>
  </si>
  <si>
    <t>ScopeCoverage mode set</t>
  </si>
  <si>
    <t>CANON SCOPE_COVERAGE_MODE</t>
  </si>
  <si>
    <t>SC-32</t>
  </si>
  <si>
    <t>Uncertainty method declared</t>
  </si>
  <si>
    <t>CANON UNCERTAINTY_METHOD</t>
  </si>
  <si>
    <t>Displays CANON UNCERTAINTY_METHOD for validator PASS/FAIL.</t>
  </si>
  <si>
    <t>SC-33</t>
  </si>
  <si>
    <t>Framework = v8.5.3</t>
  </si>
  <si>
    <t>RIPPLE ALIGNERS SHEET v1.8.3</t>
  </si>
  <si>
    <t>VERSION</t>
  </si>
  <si>
    <t>Framework:</t>
  </si>
  <si>
    <t>SGP Version:</t>
  </si>
  <si>
    <t>Date:</t>
  </si>
  <si>
    <t>2026-02-16</t>
  </si>
  <si>
    <t>TIER &amp; CONTEXT</t>
  </si>
  <si>
    <t>Tier Level:</t>
  </si>
  <si>
    <t>1=Personal, 2=Core, 3=High-Stakes, 4=Design target (claim prohibited per v8.5.3)</t>
  </si>
  <si>
    <t>Context Type:</t>
  </si>
  <si>
    <t>τ_TRC for ORG:</t>
  </si>
  <si>
    <t>AI Deployment:</t>
  </si>
  <si>
    <t>(YES/NO; makes WTSL-AIX mandatory)</t>
  </si>
  <si>
    <t>PROPAGATION &amp; WEIGHTS</t>
  </si>
  <si>
    <t>Propagation Mode:</t>
  </si>
  <si>
    <t>(NONE/QUICK - FULL locked for Tier≤3 per v8.5.3 Section 6.5)</t>
  </si>
  <si>
    <t>Kernel Status:</t>
  </si>
  <si>
    <t>Not used (NONE mode)</t>
  </si>
  <si>
    <t>Per Section 6.5 policy</t>
  </si>
  <si>
    <t>Weight Profile:</t>
  </si>
  <si>
    <t>UNIFORM</t>
  </si>
  <si>
    <t>1/7 each union and dimension</t>
  </si>
  <si>
    <t>MODE LOCKS</t>
  </si>
  <si>
    <t>σ_est (RLS uncertainty)</t>
  </si>
  <si>
    <t>Tier 2: optional (can support Gap/σ review). Tier 3+: required for decisiveness checks. Tier 4+: prefer empirically estimated σ.</t>
  </si>
  <si>
    <t>σ_est Available:</t>
  </si>
  <si>
    <t>(YES/NO; enables Gap/σ test)</t>
  </si>
  <si>
    <t>δ (discrimination threshold):</t>
  </si>
  <si>
    <t>(Gap/σ &gt; δ for decisive)</t>
  </si>
  <si>
    <t>CANONICAL PARAMETERS (LOCKED)</t>
  </si>
  <si>
    <t>RIGHTS THRESHOLDS (θ_r) - Lexicographic Priority</t>
  </si>
  <si>
    <t>Coverage Summary</t>
  </si>
  <si>
    <t>U1-U6×D2, U6×D7</t>
  </si>
  <si>
    <t>U1-U6×D2</t>
  </si>
  <si>
    <t>U6-U7×D7</t>
  </si>
  <si>
    <t>U1–U6×D5 AND U3–U6×D3</t>
  </si>
  <si>
    <t>U1-U6×D1,D2</t>
  </si>
  <si>
    <t>U1-U6×D3,D5</t>
  </si>
  <si>
    <t>U4-U6×D3,D4,D5</t>
  </si>
  <si>
    <t>U1-U6×D4,D5</t>
  </si>
  <si>
    <t>TRC CONTEXT THRESHOLDS (τ_TRC)</t>
  </si>
  <si>
    <t>PERS</t>
  </si>
  <si>
    <t>REV</t>
  </si>
  <si>
    <t>IRREV</t>
  </si>
  <si>
    <t>XRISK</t>
  </si>
  <si>
    <t>SCORING PARAMETERS</t>
  </si>
  <si>
    <t>β (saturation)</t>
  </si>
  <si>
    <t>β_prop</t>
  </si>
  <si>
    <t>δ (discrimination)</t>
  </si>
  <si>
    <t>τ_c (containment)</t>
  </si>
  <si>
    <t>θ_pos</t>
  </si>
  <si>
    <t>α (CVaR)</t>
  </si>
  <si>
    <t>p_floor</t>
  </si>
  <si>
    <t>c_min</t>
  </si>
  <si>
    <t>e_min</t>
  </si>
  <si>
    <t>e_max</t>
  </si>
  <si>
    <t>UNION WEIGHTS (w_u) - UNIFORM</t>
  </si>
  <si>
    <t>U1 Self</t>
  </si>
  <si>
    <t>U2 Family/Household</t>
  </si>
  <si>
    <t>U3 Community</t>
  </si>
  <si>
    <t>U4 Organization</t>
  </si>
  <si>
    <t>U5 Polity</t>
  </si>
  <si>
    <t>U6 Humanity/CMIU</t>
  </si>
  <si>
    <t>U7 Biosphere</t>
  </si>
  <si>
    <t>DIMENSION WEIGHTS (v_d) - UNIFORM</t>
  </si>
  <si>
    <t>D1 Material</t>
  </si>
  <si>
    <t>D2 Health</t>
  </si>
  <si>
    <t>D3 Social</t>
  </si>
  <si>
    <t>D4 Knowledge</t>
  </si>
  <si>
    <t>D5 Agency</t>
  </si>
  <si>
    <t>D6 Meaning</t>
  </si>
  <si>
    <t>D7 Environment</t>
  </si>
  <si>
    <t>NOTE: These are UNIFORM DEFAULT WEIGHTS (1/7 each).</t>
  </si>
  <si>
    <t>NOT HDW Floors. HDW requires separate floor tables + remainder allocation.</t>
  </si>
  <si>
    <t>v8.5.3 NOTE: Uncertainty estimation REQUIRED for all active cells at Tier 2+</t>
  </si>
  <si>
    <t>Active cell definition: m(u,d)=1 for RLS ∪ rights-covered ∪ catastrophe ∪ governance minimum</t>
  </si>
  <si>
    <t>CANONICAL RIGHTS COVERAGE SETS - 70 Entries</t>
  </si>
  <si>
    <t>Reference: Ripple_Logic v8.5.3 Section 7.2</t>
  </si>
  <si>
    <t>#</t>
  </si>
  <si>
    <t>Union</t>
  </si>
  <si>
    <t>Dimension</t>
  </si>
  <si>
    <t>U1</t>
  </si>
  <si>
    <t>D2</t>
  </si>
  <si>
    <t>U2</t>
  </si>
  <si>
    <t>U3</t>
  </si>
  <si>
    <t>U4</t>
  </si>
  <si>
    <t>U5</t>
  </si>
  <si>
    <t>U6</t>
  </si>
  <si>
    <t>D7</t>
  </si>
  <si>
    <t>U7</t>
  </si>
  <si>
    <t>D5</t>
  </si>
  <si>
    <t>D3</t>
  </si>
  <si>
    <t>D1</t>
  </si>
  <si>
    <t>D4</t>
  </si>
  <si>
    <t>I_prop_A</t>
  </si>
  <si>
    <t>I_prop_B</t>
  </si>
  <si>
    <t>I_rights_A</t>
  </si>
  <si>
    <t>I_rights_B</t>
  </si>
  <si>
    <t>Subgroup_Override_A</t>
  </si>
  <si>
    <t>Subgroup_Override_B</t>
  </si>
  <si>
    <t>Right_clean</t>
  </si>
  <si>
    <t>I_rights_A_num</t>
  </si>
  <si>
    <t>I_rights_B_num</t>
  </si>
  <si>
    <t>CATASTROPHE CELL SET (C_cat) - TRC Loss Computation</t>
  </si>
  <si>
    <t>Reference: Ripple_Logic v8.5.3 Section 8.3</t>
  </si>
  <si>
    <t>BASE SET (Canonical - governance approval required to extend)</t>
  </si>
  <si>
    <t>Cell</t>
  </si>
  <si>
    <t>Weight (ω_c)</t>
  </si>
  <si>
    <t>Rationale</t>
  </si>
  <si>
    <t>C1</t>
  </si>
  <si>
    <t>D2 (Health)</t>
  </si>
  <si>
    <t>Humanity health catastrophe</t>
  </si>
  <si>
    <t>C2</t>
  </si>
  <si>
    <t>D7 (Environ)</t>
  </si>
  <si>
    <t>Humanity-environment interface</t>
  </si>
  <si>
    <t>C3</t>
  </si>
  <si>
    <t>Biosphere integrity</t>
  </si>
  <si>
    <t>Weight Sum Check:</t>
  </si>
  <si>
    <t>Must = 1.00</t>
  </si>
  <si>
    <t>EXTENSION GOVERNANCE</t>
  </si>
  <si>
    <t>Extended cells require:</t>
  </si>
  <si>
    <t xml:space="preserve">  - Tier 3+ governance approval</t>
  </si>
  <si>
    <t xml:space="preserve">  - Documentation in PCC</t>
  </si>
  <si>
    <t xml:space="preserve">  - CCAT_EXTENDED flag set</t>
  </si>
  <si>
    <t>CCAT_EXTENDED Flag:</t>
  </si>
  <si>
    <t>NO - BASE ONLY</t>
  </si>
  <si>
    <t>MANDATORY TAIL RISK CATEGORIES (WTSL)</t>
  </si>
  <si>
    <t>Reference: Ripple_Logic v8.5.3 Section 8.5</t>
  </si>
  <si>
    <t>Mandatory tails apply by default. WTSL-AIX is mandatory only if AI Deployment = YES.</t>
  </si>
  <si>
    <t>Included voluntarily (precautionary)</t>
  </si>
  <si>
    <t>Code</t>
  </si>
  <si>
    <t>Category</t>
  </si>
  <si>
    <t>Description</t>
  </si>
  <si>
    <t>p(cat)</t>
  </si>
  <si>
    <t>Pandemic</t>
  </si>
  <si>
    <t>Global health crisis</t>
  </si>
  <si>
    <t>Climate</t>
  </si>
  <si>
    <t>Climate catastrophe</t>
  </si>
  <si>
    <t>Financial</t>
  </si>
  <si>
    <t>Financial system collapse</t>
  </si>
  <si>
    <t>Conflict</t>
  </si>
  <si>
    <t>Major armed conflict</t>
  </si>
  <si>
    <t>Infrastructure</t>
  </si>
  <si>
    <t>Critical infrastructure failure</t>
  </si>
  <si>
    <t>AI Risk</t>
  </si>
  <si>
    <t>AI misalignment event</t>
  </si>
  <si>
    <t>COVERAGE CHECK</t>
  </si>
  <si>
    <t>Mandatory Count:</t>
  </si>
  <si>
    <t>(5 if AI_DEPLOYMENT=NO, 6 if YES)</t>
  </si>
  <si>
    <t>Covered Count:</t>
  </si>
  <si>
    <t>Probability Sum:</t>
  </si>
  <si>
    <t>(tail scenarios; baseline = 0.60)</t>
  </si>
  <si>
    <t>IMPACT INSTANCE INPUT</t>
  </si>
  <si>
    <t>Formula: Contribution = μ × r × ℓ × c × e × s × τ(t)</t>
  </si>
  <si>
    <t>τ(t) = MIN(1, LN(1+MAX(t, t_min)) / LN(1+T_ref))  where T_ref=25, t_min=0.083 [v8.5.3 Appendix B.1]</t>
  </si>
  <si>
    <t>ID</t>
  </si>
  <si>
    <t>Opt</t>
  </si>
  <si>
    <t>Dim</t>
  </si>
  <si>
    <t>μ</t>
  </si>
  <si>
    <t>r</t>
  </si>
  <si>
    <t>ℓ</t>
  </si>
  <si>
    <t>c</t>
  </si>
  <si>
    <t>t</t>
  </si>
  <si>
    <t>e</t>
  </si>
  <si>
    <t>s</t>
  </si>
  <si>
    <t>τ(t)</t>
  </si>
  <si>
    <t>Contrib</t>
  </si>
  <si>
    <t>I01</t>
  </si>
  <si>
    <t>A</t>
  </si>
  <si>
    <t>Reduced in-person interaction</t>
  </si>
  <si>
    <t>I02</t>
  </si>
  <si>
    <t>Increased online community</t>
  </si>
  <si>
    <t>I03</t>
  </si>
  <si>
    <t>Increased work flexibility</t>
  </si>
  <si>
    <t>I04</t>
  </si>
  <si>
    <t>Reduced commuting costs</t>
  </si>
  <si>
    <t>I05</t>
  </si>
  <si>
    <t>D6</t>
  </si>
  <si>
    <t>Better work-life balance</t>
  </si>
  <si>
    <t>I06</t>
  </si>
  <si>
    <t>Reduced carbon emissions</t>
  </si>
  <si>
    <t>I07</t>
  </si>
  <si>
    <t>Tech infrastructure costs</t>
  </si>
  <si>
    <t>I08</t>
  </si>
  <si>
    <t>Reduced local business revenue</t>
  </si>
  <si>
    <t>I09</t>
  </si>
  <si>
    <t>B</t>
  </si>
  <si>
    <t>Maintained in-person bonds</t>
  </si>
  <si>
    <t>I10</t>
  </si>
  <si>
    <t>Limited flexibility</t>
  </si>
  <si>
    <t>I11</t>
  </si>
  <si>
    <t>Continued commuting costs</t>
  </si>
  <si>
    <t>I12</t>
  </si>
  <si>
    <t>Continued emissions</t>
  </si>
  <si>
    <t>I13</t>
  </si>
  <si>
    <t>Stable infrastructure</t>
  </si>
  <si>
    <t>I14</t>
  </si>
  <si>
    <t>Maintained local business</t>
  </si>
  <si>
    <t>SCENARIO-CONDITIONED IMPACT TABLES</t>
  </si>
  <si>
    <t>Reference: Ripple_Logic v8.5.3 Section 8.4</t>
  </si>
  <si>
    <t>L(a,s) = Σ_{c∈C_cat} ω_c × max(0, −I_prop_c(a|s))</t>
  </si>
  <si>
    <t>NOTE: Loss is computed from catastrophe-cell impacts. Do NOT manually enter Loss. Fill catastrophe-cell impacts (F:H) per scenario; Loss (computed) updates automatically.</t>
  </si>
  <si>
    <t>C_cat: U6-D2(0.35), U6-D7(0.30), U7-D7(0.35)</t>
  </si>
  <si>
    <t>OPTION A SCENARIO LOSSES</t>
  </si>
  <si>
    <t>Scenario</t>
  </si>
  <si>
    <t>p(s)</t>
  </si>
  <si>
    <t>Loss</t>
  </si>
  <si>
    <t>Pathway</t>
  </si>
  <si>
    <t>U6-D2 I_prop</t>
  </si>
  <si>
    <t>U6-D7 I_prop</t>
  </si>
  <si>
    <t>U7-D7 I_prop</t>
  </si>
  <si>
    <t>Loss (computed)</t>
  </si>
  <si>
    <t>S01</t>
  </si>
  <si>
    <t>BASELINE</t>
  </si>
  <si>
    <t>Minor monitoring reduction</t>
  </si>
  <si>
    <t>S02</t>
  </si>
  <si>
    <t>Budget cuts reduce compliance</t>
  </si>
  <si>
    <t>S03</t>
  </si>
  <si>
    <t>Health crisis, isolation stress</t>
  </si>
  <si>
    <t>S04</t>
  </si>
  <si>
    <t>Climate degrades biosphere</t>
  </si>
  <si>
    <t>S05</t>
  </si>
  <si>
    <t>Tech dependency vulnerability</t>
  </si>
  <si>
    <t>S06</t>
  </si>
  <si>
    <t>Conflict casualties</t>
  </si>
  <si>
    <t>S07</t>
  </si>
  <si>
    <t>AI failures cascade</t>
  </si>
  <si>
    <t>OPTION B SCENARIO LOSSES</t>
  </si>
  <si>
    <t>Emissions continue</t>
  </si>
  <si>
    <t>Community bonds buffer</t>
  </si>
  <si>
    <t>Transmission risk</t>
  </si>
  <si>
    <t>Resilience buffers</t>
  </si>
  <si>
    <t>Less tech-dependent</t>
  </si>
  <si>
    <t>Human coord persists</t>
  </si>
  <si>
    <t>Less AI dependency</t>
  </si>
  <si>
    <t>KEY INSIGHT: Option A has 0 catastrophic loss; Option B has minor loss (0.003574) in baseline</t>
  </si>
  <si>
    <t>Both options pass TRC (CVaR ≤ τ_TRC = 0.20)</t>
  </si>
  <si>
    <t>NOTE: WTSL-AIX (S07) included voluntarily as precautionary measure.</t>
  </si>
  <si>
    <t>AI_DEPLOYMENT=NO, so not mandatory for tail coverage.</t>
  </si>
  <si>
    <t>IMPACT PROPAGATION MATRIX (I_prop)</t>
  </si>
  <si>
    <t>Mode: NONE (direct aggregation from Impact_Input; post-saturation tanh(β×Ĩ_dir))</t>
  </si>
  <si>
    <t>OPTION A</t>
  </si>
  <si>
    <t>OPTION B</t>
  </si>
  <si>
    <t>LEVEL 1: NON-COMPENSATORY RIGHTS CONSTRAINT (NCRC)</t>
  </si>
  <si>
    <t>Reference: Ripple_Logic v8.5.3 Section 7.0</t>
  </si>
  <si>
    <t>Rule: For each right r, MIN impact across coverage set must be ≥ θ_r</t>
  </si>
  <si>
    <t>NCRC RIGHTS FLOOR CHECK (Min_I_rights vs θ_r; PASS if Min_I_rights ≥ θ_r)</t>
  </si>
  <si>
    <t>OPTION A RIGHTS CHECK</t>
  </si>
  <si>
    <t>Min_I_rights_A</t>
  </si>
  <si>
    <t>Min_I_rights_B</t>
  </si>
  <si>
    <t>Pass_A</t>
  </si>
  <si>
    <t>Pass_B</t>
  </si>
  <si>
    <t>Worst_Cell_A</t>
  </si>
  <si>
    <t>Worst_Cell_B</t>
  </si>
  <si>
    <t>NCRC OUTCOME</t>
  </si>
  <si>
    <t>Option A:</t>
  </si>
  <si>
    <t>PASS (all rights satisfied)</t>
  </si>
  <si>
    <t>NCRC_A_status</t>
  </si>
  <si>
    <t>(All v_r = 0)</t>
  </si>
  <si>
    <t>Option B:</t>
  </si>
  <si>
    <t>NCRC_B_status</t>
  </si>
  <si>
    <t>Note: Proof Snippet columns (H:I) show the exact Rights_Coverage_View cell holding the worst-off I_rights value for each right (A and B).</t>
  </si>
  <si>
    <t>OPTION B RIGHTS CHECK</t>
  </si>
  <si>
    <t>PASS</t>
  </si>
  <si>
    <t>Overall NCRC status (B):</t>
  </si>
  <si>
    <t>Overall NCRC status (B)</t>
  </si>
  <si>
    <t>A_NCRC (Rights-Admissible):</t>
  </si>
  <si>
    <t>{A, B}</t>
  </si>
  <si>
    <t>Emergency Mode:</t>
  </si>
  <si>
    <t>NOT INVOKED</t>
  </si>
  <si>
    <t>Both options are rights-admissible</t>
  </si>
  <si>
    <t>Emergency Mode: NOT INVOKED</t>
  </si>
  <si>
    <t>LEVEL 2: TAIL RISK CONSTRAINT (TRC)</t>
  </si>
  <si>
    <t>Reference: Ripple_Logic v8.5.3 Appendix D.7</t>
  </si>
  <si>
    <t>Algorithm: Discrete CVaR with sorted-tail method</t>
  </si>
  <si>
    <t>PARAMETERS</t>
  </si>
  <si>
    <t>α (confidence):</t>
  </si>
  <si>
    <t>SortKey</t>
  </si>
  <si>
    <t>Rank</t>
  </si>
  <si>
    <t>Sorted scenarios</t>
  </si>
  <si>
    <t>β (tail mass):</t>
  </si>
  <si>
    <t>Cum_p</t>
  </si>
  <si>
    <t>Tail_w</t>
  </si>
  <si>
    <t>Tail_contrib</t>
  </si>
  <si>
    <t>τ_TRC (threshold):</t>
  </si>
  <si>
    <t>Context:</t>
  </si>
  <si>
    <t>OPTION A: CVaR COMPUTATION</t>
  </si>
  <si>
    <t>Step 1: Sort scenarios by Loss DESCENDING</t>
  </si>
  <si>
    <t>In Tail</t>
  </si>
  <si>
    <t>Tail_Weight</t>
  </si>
  <si>
    <t>Contribution</t>
  </si>
  <si>
    <t>PARTIAL</t>
  </si>
  <si>
    <t>Step 2: CVaR_A = Σ(Contribution) / β</t>
  </si>
  <si>
    <t>Sum of contributions:</t>
  </si>
  <si>
    <t>CVaR_A:</t>
  </si>
  <si>
    <t>Status:</t>
  </si>
  <si>
    <t>(CVaR_A = 0.0219 ≤ τ_TRC = 0.20)</t>
  </si>
  <si>
    <t>OPTION B: CVaR COMPUTATION</t>
  </si>
  <si>
    <t>Step 2: CVaR_B = Σ(Contribution) / β</t>
  </si>
  <si>
    <t>CVaR_B:</t>
  </si>
  <si>
    <t>(CVaR_B = 0.0315 ≤ τ_TRC = 0.20)</t>
  </si>
  <si>
    <t>TRC OUTCOME</t>
  </si>
  <si>
    <t>A_adm = {A, B}</t>
  </si>
  <si>
    <t>TRC Mode: NORMAL (both options pass)</t>
  </si>
  <si>
    <t>Cascade proceeds to Containment (Level 3)</t>
  </si>
  <si>
    <t>LEVEL 3: CONTAINMENT CONSTRAINT (Tier 2 proxy: union-score diagnostic)</t>
  </si>
  <si>
    <t>Containment computed</t>
  </si>
  <si>
    <t>Reference: Section 9.0 (Full ΔUCI containment is Tier 3+ binding; Tier 2 uses proxy display here) [v8.5.3]</t>
  </si>
  <si>
    <t>τ_c</t>
  </si>
  <si>
    <t>S_u(A)</t>
  </si>
  <si>
    <t>S_u(B)</t>
  </si>
  <si>
    <t>OPTION A: UNION SCORES</t>
  </si>
  <si>
    <t>Containment_Status_A</t>
  </si>
  <si>
    <t>Containment_Status_B</t>
  </si>
  <si>
    <t>U_pos(A) = {U1} (U1 ≥ 0.05)</t>
  </si>
  <si>
    <t>Containment_A: PASS (vacuous)</t>
  </si>
  <si>
    <t>OPTION B: UNION SCORES</t>
  </si>
  <si>
    <t>U_pos(B) = ∅ (no union ≥ 0.05)</t>
  </si>
  <si>
    <t>Containment_B: PASS (vacuous)</t>
  </si>
  <si>
    <t>CONTAINMENT OUTCOME</t>
  </si>
  <si>
    <t>A_sel (Selectable): {A, B}</t>
  </si>
  <si>
    <t>Cascade proceeds to RLS (Level 4)</t>
  </si>
  <si>
    <t>LEVEL 4: RIPPLE LOGIC SCORE</t>
  </si>
  <si>
    <t>Reference: Ripple_Logic v8.5.3 Section 10.0</t>
  </si>
  <si>
    <t>RLS = Σ_u Σ_d w_u × v_d × m(u,d) × κ(u,d) × I_prop_welfare(u,d,a)</t>
  </si>
  <si>
    <t>OPTION A RLS COMPUTATION</t>
  </si>
  <si>
    <t>Computed RLS(B):</t>
  </si>
  <si>
    <t>Union-Dimension Contributions:</t>
  </si>
  <si>
    <t>U1-D5</t>
  </si>
  <si>
    <t>U1-D6</t>
  </si>
  <si>
    <t>U2-D1</t>
  </si>
  <si>
    <t>U3-D1</t>
  </si>
  <si>
    <t>U3-D3</t>
  </si>
  <si>
    <t>U4-D1</t>
  </si>
  <si>
    <t>U7-D7</t>
  </si>
  <si>
    <t>RLS(A) = 0.005462</t>
  </si>
  <si>
    <t>OPTION B RLS COMPUTATION</t>
  </si>
  <si>
    <t>RLS(B) = 0.000202</t>
  </si>
  <si>
    <t>RLS COMPARISON</t>
  </si>
  <si>
    <t>Gap = 0.00526</t>
  </si>
  <si>
    <t>σ_est = 0.02</t>
  </si>
  <si>
    <t>RLS OUTCOME: NON-DECISIVE</t>
  </si>
  <si>
    <t>Higher RLS: Option A (proceed to tie-break)</t>
  </si>
  <si>
    <t>RLS OUTCOME</t>
  </si>
  <si>
    <t>RLS would favor A (higher score) but gap not decisive</t>
  </si>
  <si>
    <t>Per Section 10.0: RLS MUST NEVER override NCRC or TRC</t>
  </si>
  <si>
    <t>CALC BLOCK (v1.5): RLS computed from I_prop and weights</t>
  </si>
  <si>
    <t>w_u</t>
  </si>
  <si>
    <t>RLS(A)</t>
  </si>
  <si>
    <t>RLS(B)</t>
  </si>
  <si>
    <t>Preferred by RLS (higher)</t>
  </si>
  <si>
    <t>LEVEL 5: TIE-BREAK METRICS</t>
  </si>
  <si>
    <t>Reference: Ripple_Logic v8.5.3 Section 11.0</t>
  </si>
  <si>
    <t>HOI = Hollowing-Out Index (canonical per v8.5.3)</t>
  </si>
  <si>
    <t>Per Section 11: Used when RLS is non-decisive</t>
  </si>
  <si>
    <t>UCI computes structural condition, independent of welfare impacts.</t>
  </si>
  <si>
    <t>Per union u: UCI_u = (Cohesion + Flow + Resilience + Equity) / 4</t>
  </si>
  <si>
    <t>Overall: UCI = average(UCI_u) across unions (Tier 2).</t>
  </si>
  <si>
    <t>R = Review cycle, E = Evidence quality</t>
  </si>
  <si>
    <t>(Tier 3: sources/provenance required; UCI must be structurally independent of RLS inputs.)</t>
  </si>
  <si>
    <t>C (Cohesion)</t>
  </si>
  <si>
    <t>F (Flow)</t>
  </si>
  <si>
    <t>R (Resilience)</t>
  </si>
  <si>
    <t>E (Equity)</t>
  </si>
  <si>
    <t>UCI_u</t>
  </si>
  <si>
    <t>UCI (mean over unions)</t>
  </si>
  <si>
    <t>Note: Uniform values = evaluator assessment</t>
  </si>
  <si>
    <t>For Tier 3: require independent structural indicators</t>
  </si>
  <si>
    <t>HOI STATUS</t>
  </si>
  <si>
    <t>HOI = 0 (no human override requested)</t>
  </si>
  <si>
    <t>Status: OK</t>
  </si>
  <si>
    <t>TIE-BREAK OUTCOME</t>
  </si>
  <si>
    <t>UCI: Non-decisive (uniform evaluator assessment)</t>
  </si>
  <si>
    <t>HOI: 0 (no hollowing-out risk flagged)</t>
  </si>
  <si>
    <t>Resolution: JUDGMENT_CALL - Select higher RLS (A) with monitoring</t>
  </si>
  <si>
    <t>RIPPLE_LOGIC v8.5.3 - DECISION DASHBOARD</t>
  </si>
  <si>
    <t>DECISION CONTEXT</t>
  </si>
  <si>
    <t>Decision:</t>
  </si>
  <si>
    <t>Tier:</t>
  </si>
  <si>
    <t>TRC Active:</t>
  </si>
  <si>
    <t>LEXICOGRAPHIC CASCADE</t>
  </si>
  <si>
    <t>Level</t>
  </si>
  <si>
    <t>Gate</t>
  </si>
  <si>
    <t>Option A</t>
  </si>
  <si>
    <t>Option B</t>
  </si>
  <si>
    <t>Resolution</t>
  </si>
  <si>
    <t>1</t>
  </si>
  <si>
    <t>2</t>
  </si>
  <si>
    <t>TRC</t>
  </si>
  <si>
    <t>3</t>
  </si>
  <si>
    <t>4</t>
  </si>
  <si>
    <t>RLS</t>
  </si>
  <si>
    <t>SELECTION OUTCOME (from CANON)</t>
  </si>
  <si>
    <t>Selection Mode:</t>
  </si>
  <si>
    <t>Selected Option:</t>
  </si>
  <si>
    <t>Selection Basis:</t>
  </si>
  <si>
    <t>Escalation Required:</t>
  </si>
  <si>
    <t>CLAIMABILITY STATUS (from CANON)</t>
  </si>
  <si>
    <t>Claimable Run:</t>
  </si>
  <si>
    <t>Invalid Flags:</t>
  </si>
  <si>
    <t>C_cat Blank Count:</t>
  </si>
  <si>
    <t>Scenario Impact Missing:</t>
  </si>
  <si>
    <t>AUDIT FLAGS SUMMARY</t>
  </si>
  <si>
    <t>Invalid Count:</t>
  </si>
  <si>
    <t>Escalate Count:</t>
  </si>
  <si>
    <t>Review Count:</t>
  </si>
  <si>
    <t>Total Active:</t>
  </si>
  <si>
    <t>Triggered Flags:</t>
  </si>
  <si>
    <t>⚠ REVIEW flags present</t>
  </si>
  <si>
    <t>Audit flags (active)</t>
  </si>
  <si>
    <t>REQUIRED FOLLOW-UP</t>
  </si>
  <si>
    <t>1. ☐ Document judgment call rationale</t>
  </si>
  <si>
    <t>2. ☐ Schedule enhanced monitoring (quarterly)</t>
  </si>
  <si>
    <t>4. ☐ Consider Tier 3 upgrade if stakes increase</t>
  </si>
  <si>
    <t>AUDIT FLAGS - FORMULA-DRIVEN SSOT (v1.8.3)</t>
  </si>
  <si>
    <t>ALL Triggered cells (B5:B17) are FORMULAS - zero typed values</t>
  </si>
  <si>
    <t>Manual override detector (B18) catches any tampering</t>
  </si>
  <si>
    <t>Flag_ID</t>
  </si>
  <si>
    <t>Triggered</t>
  </si>
  <si>
    <t>Severity</t>
  </si>
  <si>
    <t>Formula Logic</t>
  </si>
  <si>
    <t>Helper_Flag</t>
  </si>
  <si>
    <t>Helper_Sev</t>
  </si>
  <si>
    <t>CATASTROPHE_CELL_OMITTED_INVALID</t>
  </si>
  <si>
    <t>INVALID</t>
  </si>
  <si>
    <t>Any catastrophe cell in C_cat used in TRC loss computation/disclosure is omitted/excluded/not disclosed such that TRC CVaR cannot be independently recomputed (e.g., C_cat blank when TRC active).</t>
  </si>
  <si>
    <t>CANON!B13,B76</t>
  </si>
  <si>
    <t>MANDATORY_TAIL_CATEGORY_MISSING</t>
  </si>
  <si>
    <t>ESCALATE</t>
  </si>
  <si>
    <t>Missing mandatory tail category (required WTSL category not covered at p_floor).</t>
  </si>
  <si>
    <t>WTSL_Categories!B16,B17</t>
  </si>
  <si>
    <t>CONFIG_DRIFT</t>
  </si>
  <si>
    <t>Config version &lt;&gt; CANON</t>
  </si>
  <si>
    <t>Config!B2&lt;&gt;CANON!B7</t>
  </si>
  <si>
    <t>RIGHTS_COUNT_MISMATCH</t>
  </si>
  <si>
    <t>Rights count &lt;&gt; 8</t>
  </si>
  <si>
    <t>CANON!B38&lt;&gt;8</t>
  </si>
  <si>
    <t>SELECTION_INVALID</t>
  </si>
  <si>
    <t>No valid selection</t>
  </si>
  <si>
    <t>SELECTED_OPTION blank</t>
  </si>
  <si>
    <t>TRC_FALLBACK_INVOKED</t>
  </si>
  <si>
    <t>TRC failed for admissible</t>
  </si>
  <si>
    <t>A_NCRC&gt;0 AND A_ADM=0</t>
  </si>
  <si>
    <t>CANON!B67,B68</t>
  </si>
  <si>
    <t>EMERGENCY_MODE_INVOKED</t>
  </si>
  <si>
    <t>No rights-admissible options</t>
  </si>
  <si>
    <t>A_NCRC_COUNT=0</t>
  </si>
  <si>
    <t>CANON!B67</t>
  </si>
  <si>
    <t>Escalation required</t>
  </si>
  <si>
    <t>CANON!B73=YES</t>
  </si>
  <si>
    <t>CANON!B73</t>
  </si>
  <si>
    <t>SIGMA_MISSING_REQUIRED</t>
  </si>
  <si>
    <t>Uncertainty σ required for Tier 2+ but missing/invalid (method or sigma_est not declared).</t>
  </si>
  <si>
    <t>CANON!B8,B26,B137</t>
  </si>
  <si>
    <t>SUBGROUP_LIMITATION</t>
  </si>
  <si>
    <t>REVIEW</t>
  </si>
  <si>
    <t>No subgroup override entries AND no documented subgroup analysis</t>
  </si>
  <si>
    <t>Overrides=0 AND analysis_done=0</t>
  </si>
  <si>
    <t>Subgroup_Overrides!B17 + Subgroup_Analysis!B46</t>
  </si>
  <si>
    <t>NONDECISIVE_GAP_REVIEW</t>
  </si>
  <si>
    <t>RLS discrimination band indicates a non-decisive gap (|RLS_A − RLS_B| within δ), requires reviewer attention / UCI.</t>
  </si>
  <si>
    <t>CANON!B8,RLS!B38,CANON!B94</t>
  </si>
  <si>
    <t>UCI_SOURCE_UNVERIFIED</t>
  </si>
  <si>
    <t>UCI unverified (Tier 3+)</t>
  </si>
  <si>
    <t>TIER&gt;=3</t>
  </si>
  <si>
    <t>CANON!B10</t>
  </si>
  <si>
    <t>SENSITIVITY_NOT_RUN</t>
  </si>
  <si>
    <t>Sensitivity not executed</t>
  </si>
  <si>
    <t>Status=NOT PERFORMED</t>
  </si>
  <si>
    <t>Sensitivity_Analysis!B3</t>
  </si>
  <si>
    <t>MANUAL_FLAG_OVERRIDE</t>
  </si>
  <si>
    <t>Manual override detected</t>
  </si>
  <si>
    <t>Triggers if any flag trigger cell is not an explicit YES/NO (format break / potential manual overwrite).</t>
  </si>
  <si>
    <t>Self-check</t>
  </si>
  <si>
    <t>ACTIVE_FLAG_DETAILS</t>
  </si>
  <si>
    <t>COMPUTED SUMMARY (COUNTIFS formulas)</t>
  </si>
  <si>
    <t>INVALID_FLAGS_LIST</t>
  </si>
  <si>
    <t>INVALID_COUNT</t>
  </si>
  <si>
    <t>Formula</t>
  </si>
  <si>
    <t>ESCALATE_FLAGS_LIST</t>
  </si>
  <si>
    <t>ESCALATE_COUNT</t>
  </si>
  <si>
    <t>REVIEW_FLAGS_LIST</t>
  </si>
  <si>
    <t>REVIEW_COUNT</t>
  </si>
  <si>
    <t>TOTAL_ACTIVE</t>
  </si>
  <si>
    <t>SCOPE_COVERAGE_REDUCED</t>
  </si>
  <si>
    <t>Reduced-scope used without ScopeCoverage declaration</t>
  </si>
  <si>
    <t>SCOPE_COVERAGE_MODE=REDUCED AND (OmittedScopes=NONE or blank)</t>
  </si>
  <si>
    <t>CANON v8.5.3 fields</t>
  </si>
  <si>
    <t>SCI_BELOW_MINIMUM</t>
  </si>
  <si>
    <t>SCI below tier minimum (Tier 2: SCI≥1; Tier 3: SCI≥2)</t>
  </si>
  <si>
    <t>TIER&gt;=2 AND SCI_LEVEL &lt; tier_minimum</t>
  </si>
  <si>
    <t>CANON v8.5.3 SCI fields</t>
  </si>
  <si>
    <t>SCI_AT_MINIMUM_NO_UPGRADE</t>
  </si>
  <si>
    <t>SCI at tier minimum but no NextRunUpgrade action declared</t>
  </si>
  <si>
    <t>SCI=tier_min AND SCI_NEXT_RUN_UPGRADE blank</t>
  </si>
  <si>
    <t>UNCERTAINTY_NOT_DECLARED</t>
  </si>
  <si>
    <t>Tier 2+ requires uncertainty method (A/B/C) per v8.5.3</t>
  </si>
  <si>
    <t>TIER&gt;=2 AND UNCERTAINTY_METHOD blank</t>
  </si>
  <si>
    <t>CANON v8.5.3 UNCERTAINTY_METHOD</t>
  </si>
  <si>
    <t>CANON LINK VERIFICATION</t>
  </si>
  <si>
    <t>CANON!B80 must equal B21</t>
  </si>
  <si>
    <t>Match:</t>
  </si>
  <si>
    <t>FLAG TAXONOMY NOTE (v8.5.3)</t>
  </si>
  <si>
    <t>This workbook emits two kinds of flags: (1) Canon-aligned audit flags intended to correspond to Ripple_Logic v8.5.3 Appendix H.3 reviewer actions, and (2) Tool-local integrity flags that protect the calculator/PCC emitter itself. Tool-local flags are marked TOOL_LOCAL below and SHOULD NOT be interpreted as new Ripple_Logic normative audit taxonomy.</t>
  </si>
  <si>
    <t>Classification</t>
  </si>
  <si>
    <t>Canonical reference / mapping</t>
  </si>
  <si>
    <t>Reviewer note</t>
  </si>
  <si>
    <t>TOOL_LOCAL</t>
  </si>
  <si>
    <t>(none)</t>
  </si>
  <si>
    <t>Workbook config/version mismatch; treat as INVALID for this emitter.</t>
  </si>
  <si>
    <t>Workbook sanity check; not a Ripple_Logic audit flag.</t>
  </si>
  <si>
    <t>No selected option; tool integrity failure.</t>
  </si>
  <si>
    <t>Manual edits detected in trigger cells; invalidate run output.</t>
  </si>
  <si>
    <t>Maps to: REVIEW (underdetermined)</t>
  </si>
  <si>
    <t>Indicates discrimination band / non-decisive gap; triggers reviewer attention.</t>
  </si>
  <si>
    <t>Maps to: REVIEW (evidence)</t>
  </si>
  <si>
    <t>Source provenance for UCI/HOI inputs not documented in this workbook.</t>
  </si>
  <si>
    <t>Maps to: REVIEW (sensitivity)</t>
  </si>
  <si>
    <t>Sensitivity analysis not executed or not documented for this run.</t>
  </si>
  <si>
    <t>Maps to: REVIEW (scope)</t>
  </si>
  <si>
    <t>Scope coverage reduced; ensure disclosure in PCC.</t>
  </si>
  <si>
    <t>PROVENANCE AND COMPLIANCE CERTIFICATE (PCC)</t>
  </si>
  <si>
    <t>SECTION 1: DECISION METADATA</t>
  </si>
  <si>
    <t>Decision_ID</t>
  </si>
  <si>
    <t>ORG-2026-001</t>
  </si>
  <si>
    <t>Decision_Name</t>
  </si>
  <si>
    <t>Remote Work Policy Implementation</t>
  </si>
  <si>
    <t>2026-02-01</t>
  </si>
  <si>
    <t>Evaluator</t>
  </si>
  <si>
    <t>James Pether Sörling, Lead Architect, MathGov Institute</t>
  </si>
  <si>
    <t>Reviewer</t>
  </si>
  <si>
    <t>N/A (Tier 2 - independent review optional)</t>
  </si>
  <si>
    <t>Tier_Level</t>
  </si>
  <si>
    <t>2 (Core)</t>
  </si>
  <si>
    <t>Context_Type</t>
  </si>
  <si>
    <t>Sheet_Version</t>
  </si>
  <si>
    <t>Framework_Version</t>
  </si>
  <si>
    <t>SGP_Version</t>
  </si>
  <si>
    <t>SECTION 2: CONFIGURATION</t>
  </si>
  <si>
    <t>Weight_Profile</t>
  </si>
  <si>
    <t>UNIFORM (1/7 each)</t>
  </si>
  <si>
    <t>Propagation_Mode</t>
  </si>
  <si>
    <t>Kernel_Status</t>
  </si>
  <si>
    <t>Not used</t>
  </si>
  <si>
    <t>β_saturation</t>
  </si>
  <si>
    <t>δ_discrimination</t>
  </si>
  <si>
    <t>τ_c_containment</t>
  </si>
  <si>
    <t>α_CVaR</t>
  </si>
  <si>
    <t>τ_TRC</t>
  </si>
  <si>
    <t>Uncertainty_Method</t>
  </si>
  <si>
    <t>Method C: constant σ for all active welfare cells (sigma_est).</t>
  </si>
  <si>
    <t>Sigma_AllActiveCells</t>
  </si>
  <si>
    <t>σ used for discrimination band ε/δ checks and nondecisive-gap detection (Tier 2 worked run).</t>
  </si>
  <si>
    <t>SECTION 3: RIGHTS CONFIGURATION</t>
  </si>
  <si>
    <t>Rights_Coverage_Version</t>
  </si>
  <si>
    <t>v8.5.3 Canonical</t>
  </si>
  <si>
    <t>Rights_Checked</t>
  </si>
  <si>
    <t>8 (LIFE,BODY,ECOL,LBTY,NEED,DIGN,PROC,INFO)</t>
  </si>
  <si>
    <t>Coverage_Sets_Count</t>
  </si>
  <si>
    <t>Subgroup_Policy</t>
  </si>
  <si>
    <t>Overrides table (Subgroup_Overrides) optional; SUBGROUP_LIMITATION flagged if missing on negative rights cells</t>
  </si>
  <si>
    <t>BaselineType_Welfare</t>
  </si>
  <si>
    <t>STATUS_QUO</t>
  </si>
  <si>
    <t>Welfare deltas are measured relative to the declared status-quo baseline (not the rights-floor reference).</t>
  </si>
  <si>
    <t>BaselineReference_Welfare</t>
  </si>
  <si>
    <t>RL v8.5.3 Sections 6–9 (welfare deltas) + Appendix P conventions</t>
  </si>
  <si>
    <t>Explicit declaration for auditability: welfare baseline is STATUS_QUO unless otherwise stated.</t>
  </si>
  <si>
    <t>BaselineType_Gates</t>
  </si>
  <si>
    <t>FLOOR_REFERENCE</t>
  </si>
  <si>
    <t>Rights/catastrophe gating baseline is the rights floor (not status quo).</t>
  </si>
  <si>
    <t>BaselineReference_Gates</t>
  </si>
  <si>
    <t>RL v8.5.3 Section 5.1A</t>
  </si>
  <si>
    <t>Gate comparisons reference θ_r (rights floors) and declared catastrophe constraints.</t>
  </si>
  <si>
    <t>SECTION 4: TRC CONFIGURATION</t>
  </si>
  <si>
    <t>C_cat_Set</t>
  </si>
  <si>
    <t>C_cat_Weights</t>
  </si>
  <si>
    <t>C_cat_Extended</t>
  </si>
  <si>
    <t>Scenario_Count</t>
  </si>
  <si>
    <t>7</t>
  </si>
  <si>
    <t>All_WTSL_Covered</t>
  </si>
  <si>
    <t>YES (5/5 mandatory)</t>
  </si>
  <si>
    <t>All_p_floors_Met</t>
  </si>
  <si>
    <t>SECTION 5: CASCADE RESULTS</t>
  </si>
  <si>
    <t>NCRC_Status_A</t>
  </si>
  <si>
    <t>NCRC_Status_B</t>
  </si>
  <si>
    <t>Emergency_Mode</t>
  </si>
  <si>
    <t>A_adm</t>
  </si>
  <si>
    <t>TRC_Fallback</t>
  </si>
  <si>
    <t>Containment_A</t>
  </si>
  <si>
    <t>Tier 2: containment proxy display (union-score diagnostic). Tier 3+: implement full ΔUCI containment per Section 9.0.</t>
  </si>
  <si>
    <t>Containment_B</t>
  </si>
  <si>
    <t>RLS_Decisive</t>
  </si>
  <si>
    <t>SECTION 6: DECISION</t>
  </si>
  <si>
    <t>Selection_Mode</t>
  </si>
  <si>
    <t>Selection_Basis</t>
  </si>
  <si>
    <t>Recommended_Option</t>
  </si>
  <si>
    <t>CVaR_Deficit</t>
  </si>
  <si>
    <t>Confidence</t>
  </si>
  <si>
    <t>MEDIUM</t>
  </si>
  <si>
    <t>Escalation_Required</t>
  </si>
  <si>
    <t>Escalation_Path</t>
  </si>
  <si>
    <t>Admissible_Options</t>
  </si>
  <si>
    <t>Rights_Admissible</t>
  </si>
  <si>
    <t>SECTION 7: AUDIT FLAGS</t>
  </si>
  <si>
    <t>Active Flags (INVALID):</t>
  </si>
  <si>
    <t>Active Flags (ESCALATE):</t>
  </si>
  <si>
    <t>Active Flags (REVIEW):</t>
  </si>
  <si>
    <t>Mitigation required</t>
  </si>
  <si>
    <t>Active Flag Details:</t>
  </si>
  <si>
    <t>Note: REVIEW flags do not block claimability but require documentation.</t>
  </si>
  <si>
    <t>SECTION 8: FIVE-SENTENCE PUBLIC RATIONALE (5SPR)</t>
  </si>
  <si>
    <t>1. CONTEXT:</t>
  </si>
  <si>
    <t>Organization evaluating remote work policy (Option A: implement remote; Option B: retain in-office). ORG context, Tier 2.</t>
  </si>
  <si>
    <t>2. OPTIONS:</t>
  </si>
  <si>
    <t>Option A: flexibility, reduced emissions, less cohesion. Option B: team bonds, facility costs, commute burden.</t>
  </si>
  <si>
    <t>3. CONSTRAINTS:</t>
  </si>
  <si>
    <t>Both pass NCRC (8 rights) and TRC (CVaR_A=0.0219, CVaR_B=0.0315 ≤ 0.20). WTSL-AIX voluntary.</t>
  </si>
  <si>
    <t>4. SELECTION:</t>
  </si>
  <si>
    <t>Option A selected via RLS (0.005462 vs 0.000202). Gap non-decisive; judgment call documented.</t>
  </si>
  <si>
    <t>5. MONITORING:</t>
  </si>
  <si>
    <t>Monitoring (snapshot):</t>
  </si>
  <si>
    <t>Run NCAR (Notice–Choose–Act–Reflect) monitoring on a 30–90 day cadence, review any REVIEW flags, collect outcome indicators, and record adjustments or mitigations in the PCC log.</t>
  </si>
  <si>
    <t>SECTION 9: RISK MITIGATION PLAN</t>
  </si>
  <si>
    <t>M1</t>
  </si>
  <si>
    <t>Hybrid work pandemic contingency</t>
  </si>
  <si>
    <t>Qualitative (Tier-2 exemplar: no numeric CVaR delta claimed)</t>
  </si>
  <si>
    <t>M2</t>
  </si>
  <si>
    <t>Infrastructure backup systems</t>
  </si>
  <si>
    <t>M3</t>
  </si>
  <si>
    <t>Community resilience fund</t>
  </si>
  <si>
    <t>M4</t>
  </si>
  <si>
    <t>Climate adaptation plan</t>
  </si>
  <si>
    <t>M5</t>
  </si>
  <si>
    <t>AI system audit/fallbacks</t>
  </si>
  <si>
    <t>TOTAL</t>
  </si>
  <si>
    <t>Tail-risk posture</t>
  </si>
  <si>
    <t>Audit_Flags_Active (canon-aligned unless TOOL_LOCAL; see Audit_Flags mapping note)</t>
  </si>
  <si>
    <t>SECTION 10: NCAR SCHEDULE</t>
  </si>
  <si>
    <t>Notice: Complete (this PCC)</t>
  </si>
  <si>
    <t>Choose: Complete (Option A via normal cascade)</t>
  </si>
  <si>
    <t>Option A via normal cascade</t>
  </si>
  <si>
    <t>Act: Begins upon sign-off</t>
  </si>
  <si>
    <t>2026-05-03</t>
  </si>
  <si>
    <t>Reflect: Scheduled</t>
  </si>
  <si>
    <t>SECTION 11: STEWARDSHIP COMPLIANCE (v8.5.3 Section 14.7, Appendix N)</t>
  </si>
  <si>
    <t>Stewardship_Profile</t>
  </si>
  <si>
    <t>N/A (Tier 2 - Stewardship profiles apply at MODE 2+ per RLAS v8.5.3 §8.7)</t>
  </si>
  <si>
    <t>Conditional_Stewardship_Active</t>
  </si>
  <si>
    <t>FALSE</t>
  </si>
  <si>
    <t>(Stw_req defaults FALSE for MODE 0-1; TRUE for MODE 2+ per RLAS v8.5.3 §8.7)</t>
  </si>
  <si>
    <t>Stewardship_Note</t>
  </si>
  <si>
    <t>This worked run involves no AI agent deployment. Stewardship requirements apply when AI agents operate at MODE 2+.</t>
  </si>
  <si>
    <t>SECTION 12: SCOPE COVERAGE (v8.5.3)</t>
  </si>
  <si>
    <t>ScopeCoverage.Mode</t>
  </si>
  <si>
    <t>FULL or REDUCED</t>
  </si>
  <si>
    <t>ScopeCoverage.ActiveScopes</t>
  </si>
  <si>
    <t>ScopeCoverage.OmittedScopes</t>
  </si>
  <si>
    <t>ScopeCoverage.OmissionRationale</t>
  </si>
  <si>
    <t>N/A (all scopes active)</t>
  </si>
  <si>
    <t>ScopeCoverage.BlindSpotStatement</t>
  </si>
  <si>
    <t>No known blind spots for Tier 2 ORG context. Biosphere and cosmic pathways are minimal for this decision scope.</t>
  </si>
  <si>
    <t>ScopeCoverage.EscalationTrigger</t>
  </si>
  <si>
    <t>Rerun if externalities beyond ORG scope are identified (e.g., supply chain, biosphere pathway).</t>
  </si>
  <si>
    <t>ADMISSIBILITY GUARD (v8.5.3 Section 2.2A):</t>
  </si>
  <si>
    <t>Reduced-scope mode SHALL NOT remove any non-maskable cells or required scope rows from NCRC, TRC, or Containment computation.</t>
  </si>
  <si>
    <t>SECTION 13: INSTANCE MAP (v8.5.3)</t>
  </si>
  <si>
    <t>Reference: Ripple_Logic v8.5.3 Section 2.2A + Appendix H</t>
  </si>
  <si>
    <t>Tier 2: REQUIRED when mapping triggers hold; otherwise recommended</t>
  </si>
  <si>
    <t>instance_id</t>
  </si>
  <si>
    <t>instance_label</t>
  </si>
  <si>
    <t>stakeholder_class</t>
  </si>
  <si>
    <t>role_context</t>
  </si>
  <si>
    <t>mapped_scopes</t>
  </si>
  <si>
    <t>mapping_rationale</t>
  </si>
  <si>
    <t>rights_exposure</t>
  </si>
  <si>
    <t>redundancy_method</t>
  </si>
  <si>
    <t>INST-01</t>
  </si>
  <si>
    <t>Office employees (current)</t>
  </si>
  <si>
    <t>Individual</t>
  </si>
  <si>
    <t>Employee, direct impact</t>
  </si>
  <si>
    <t>U1, U3</t>
  </si>
  <si>
    <t>Primary affected class; Self + Community scope</t>
  </si>
  <si>
    <t>LBTY (U1-D5), DIGN (U1-D3)</t>
  </si>
  <si>
    <t>N/A</t>
  </si>
  <si>
    <t>INST-02</t>
  </si>
  <si>
    <t>Employee households</t>
  </si>
  <si>
    <t>Household</t>
  </si>
  <si>
    <t>Family members, indirect</t>
  </si>
  <si>
    <t>Household scope: income, commute, family time</t>
  </si>
  <si>
    <t>NEED (U2-D1)</t>
  </si>
  <si>
    <t>INST-03</t>
  </si>
  <si>
    <t>Team/department cohesion</t>
  </si>
  <si>
    <t>Community</t>
  </si>
  <si>
    <t>Organizational community</t>
  </si>
  <si>
    <t>Community social fabric affected</t>
  </si>
  <si>
    <t>LBTY (U3-D3), DIGN (U3-D3)</t>
  </si>
  <si>
    <t>INST-04</t>
  </si>
  <si>
    <t>Organization operations</t>
  </si>
  <si>
    <t>Organization</t>
  </si>
  <si>
    <t>Employer, decision owner</t>
  </si>
  <si>
    <t>Organizational scope: costs, productivity</t>
  </si>
  <si>
    <t>PROC (U4-D5)</t>
  </si>
  <si>
    <t>INST-05</t>
  </si>
  <si>
    <t>Local service economy</t>
  </si>
  <si>
    <t>External community, indirect</t>
  </si>
  <si>
    <t>U3, U5</t>
  </si>
  <si>
    <t>Cross-scope: local businesses affected by commuter reduction</t>
  </si>
  <si>
    <t>NEED (U3-D1)</t>
  </si>
  <si>
    <t>EMERGENT_SCALE_JUSTIFICATION</t>
  </si>
  <si>
    <t>BRIDGE NOTE (v8.5.3 Section 5.2):</t>
  </si>
  <si>
    <t>InstanceMap specifies who is represented (stakeholders-in-context). Impact instances k∈K(u,d,a) specify how impacts occur (pathways) within a Scope×Dimension cell. These are distinct objects and MUST NOT be conflated.</t>
  </si>
  <si>
    <t>SECTION 14: STAKEHOLDER COVERAGE INDEX (v8.5.3)</t>
  </si>
  <si>
    <t>Reference: Ripple_Logic v8.5.3 Section 5.0.1</t>
  </si>
  <si>
    <t>SCI.Level</t>
  </si>
  <si>
    <t>SCI-0: None | SCI-1: Key identified | SCI-2: Structured discovery | SCI-3: Independent challenge | SCI-4: Longitudinal tracking</t>
  </si>
  <si>
    <t>SCI.Justification</t>
  </si>
  <si>
    <t>SCI.NextRunUpgrade</t>
  </si>
  <si>
    <t>REQUIRED when SCI = tier minimum (anti-theater ratchet)</t>
  </si>
  <si>
    <t>SCI.TierMinimum</t>
  </si>
  <si>
    <t>SCI.Compliant</t>
  </si>
  <si>
    <t>SECTION 15: ACTIVE CELL DEFINITION (v8.5.3 Section 10.3)</t>
  </si>
  <si>
    <t>Active cell = any cell (u,d) with m(u,d)=1 for RLS aggregation,</t>
  </si>
  <si>
    <t xml:space="preserve">  plus all rights-covered cells (u,d)∈C_r regardless of mask,</t>
  </si>
  <si>
    <t xml:space="preserve">  plus all catastrophe cells (u,d)∈C_cat regardless of mask,</t>
  </si>
  <si>
    <t xml:space="preserve">  plus any cells required by minimum governance coverage rules for the run.</t>
  </si>
  <si>
    <t>Uncertainty MUST be estimated for all active cells (Tier 2+ per v8.5.3).</t>
  </si>
  <si>
    <t>SENSITIVITY ANALYSIS</t>
  </si>
  <si>
    <t>Module Status:</t>
  </si>
  <si>
    <t>PERFORMED</t>
  </si>
  <si>
    <t>Tier Requirement:</t>
  </si>
  <si>
    <t>Small sensitivity tests executed (weights + scenario probabilities).</t>
  </si>
  <si>
    <t>Audit Flag:</t>
  </si>
  <si>
    <t>PERTURBATION TESTS</t>
  </si>
  <si>
    <t>Test</t>
  </si>
  <si>
    <t>Change</t>
  </si>
  <si>
    <t>Metric</t>
  </si>
  <si>
    <t>Result</t>
  </si>
  <si>
    <t>Selection stable?</t>
  </si>
  <si>
    <t>Notes</t>
  </si>
  <si>
    <t>SENS-01</t>
  </si>
  <si>
    <t>Weights: D1 +10% (renorm)</t>
  </si>
  <si>
    <t>Preferred option</t>
  </si>
  <si>
    <t>RLS recomputed from I_prop with perturbed dimension weights</t>
  </si>
  <si>
    <t>SENS-02</t>
  </si>
  <si>
    <t>Weights: D7 +10% (renorm)</t>
  </si>
  <si>
    <t>SENS-03</t>
  </si>
  <si>
    <t>Weights: D3&amp;D5 +10% (renorm)</t>
  </si>
  <si>
    <t>SENS-04</t>
  </si>
  <si>
    <t>Scenario p stress: worst-loss scenarios +20% (renorm)</t>
  </si>
  <si>
    <t>TRC status (A,B)</t>
  </si>
  <si>
    <t>CVaR recomputed with stressed probabilities; compare to τ_TRC</t>
  </si>
  <si>
    <t>Baseline</t>
  </si>
  <si>
    <t>Preferred</t>
  </si>
  <si>
    <t>Gap</t>
  </si>
  <si>
    <t>Sensitivity analysis optional. Selection stability assumed based on margin:</t>
  </si>
  <si>
    <t>CVaR_A (0.0219) and CVaR_B (0.0315) are both &lt;&lt; τ_TRC (0.20)</t>
  </si>
  <si>
    <t>Overall sensitivity verdict</t>
  </si>
  <si>
    <t>Base v_d</t>
  </si>
  <si>
    <t>Factors (SENS-01)</t>
  </si>
  <si>
    <t>v_d* (SENS-01)</t>
  </si>
  <si>
    <t>Factors (SENS-02)</t>
  </si>
  <si>
    <t>Selection stability: computed in this exemplar via the SENS-01..SENS-04 perturbations below (see Summary).</t>
  </si>
  <si>
    <t>v_d* (SENS-02)</t>
  </si>
  <si>
    <t>Factors (SENS-03)</t>
  </si>
  <si>
    <t>4. IMPACT MAGNITUDE PERTURBATION (±20%)</t>
  </si>
  <si>
    <t>v_d* (SENS-03)</t>
  </si>
  <si>
    <t>Key instances: I03 (flexibility), I01 (isolation)</t>
  </si>
  <si>
    <t>Additional tests: Not performed for this run</t>
  </si>
  <si>
    <t>Union w_u</t>
  </si>
  <si>
    <t>5. ROBUSTNESS CLASSIFICATION</t>
  </si>
  <si>
    <t>Weight sensitivity results</t>
  </si>
  <si>
    <t>SENS-01 Preferred</t>
  </si>
  <si>
    <t>SENS-02 Preferred</t>
  </si>
  <si>
    <t>SENS-03 Preferred</t>
  </si>
  <si>
    <t>Status note: PERFORMED for this Tier‑2 exemplar (weight sensitivity + CVaR stress checks). Tier‑3 deployments may expand the test set and increase rigor.</t>
  </si>
  <si>
    <t>p_base</t>
  </si>
  <si>
    <t>Factor_up</t>
  </si>
  <si>
    <t>p_stress_up</t>
  </si>
  <si>
    <t>Factor_down</t>
  </si>
  <si>
    <t>p_stress_down</t>
  </si>
  <si>
    <t>CVaR recompute (p stress UP)</t>
  </si>
  <si>
    <t>p_stress</t>
  </si>
  <si>
    <t>β</t>
  </si>
  <si>
    <t>CVaR_A_up</t>
  </si>
  <si>
    <t>Status_A_up</t>
  </si>
  <si>
    <t>TRC stress UP status</t>
  </si>
  <si>
    <t>TRC stress DOWN status</t>
  </si>
  <si>
    <t>CVaR recompute for Option B (p stress UP)</t>
  </si>
  <si>
    <t>CVaR_B_up</t>
  </si>
  <si>
    <t>Status_B_up</t>
  </si>
  <si>
    <t>CVaR recompute (p stress DOWN)</t>
  </si>
  <si>
    <t>CVaR_A_down</t>
  </si>
  <si>
    <t>Status_A_down</t>
  </si>
  <si>
    <t>Option B (p stress DOWN)</t>
  </si>
  <si>
    <t>CVaR_B_down</t>
  </si>
  <si>
    <t>Status_B_down</t>
  </si>
  <si>
    <t>SUBGROUP ANALYSIS - WORST-OFF DOCUMENTATION</t>
  </si>
  <si>
    <t>Reference: Ripple_Logic v8.5.3 Section 7.3 - Tier 2 requires subgroup enumeration</t>
  </si>
  <si>
    <t>OPTION A: NEGATIVE IMPACT CELLS</t>
  </si>
  <si>
    <t>Cell: U3-D3 (Community-Social) | Agg I_prop: -0.069</t>
  </si>
  <si>
    <t>Rights: LBTY (-0.65), DIGN (-0.55)</t>
  </si>
  <si>
    <t>Subgroup</t>
  </si>
  <si>
    <t>I_prop</t>
  </si>
  <si>
    <t>General population</t>
  </si>
  <si>
    <t>Elderly (65+)</t>
  </si>
  <si>
    <t>Higher isolation risk</t>
  </si>
  <si>
    <t>Single-person HH</t>
  </si>
  <si>
    <t>No household buffer</t>
  </si>
  <si>
    <t>New employees (&lt;1yr)</t>
  </si>
  <si>
    <t>Harder to integrate</t>
  </si>
  <si>
    <t>WORST-OFF</t>
  </si>
  <si>
    <t>New employees</t>
  </si>
  <si>
    <t>Threshold checks: LBTY -0.15 &gt; -0.65 ✓ | DIGN -0.15 &gt; -0.55 ✓</t>
  </si>
  <si>
    <t>Cell: U4-D1 (Org-Material) | Agg I_prop: -0.176</t>
  </si>
  <si>
    <t>Rights: NEED (-0.50)</t>
  </si>
  <si>
    <t>Worst-off: Facilities dept at -0.30</t>
  </si>
  <si>
    <t>Threshold: -0.30 &gt; -0.50 ✓</t>
  </si>
  <si>
    <t>Cell: U3-D1 (Community-Material) | Agg I_prop: -0.075</t>
  </si>
  <si>
    <t>Worst-off: Local restaurants at -0.20</t>
  </si>
  <si>
    <t>Threshold: -0.20 &gt; -0.50 ✓</t>
  </si>
  <si>
    <t>OPTION B: NEGATIVE IMPACT CELLS</t>
  </si>
  <si>
    <t>Cell: U1-D5 (Self-Agency) | Agg I_prop: -0.073</t>
  </si>
  <si>
    <t>Rights: LBTY, DIGN, INFO</t>
  </si>
  <si>
    <t>Worst-off: Parents w/ young children at -0.15</t>
  </si>
  <si>
    <t>All thresholds pass ✓</t>
  </si>
  <si>
    <t>Cell: U2-D1 (Household-Material) | Agg: -0.063</t>
  </si>
  <si>
    <t>Worst-off: Long commuters at -0.12 | NEED ✓</t>
  </si>
  <si>
    <t>Cell: U7-D7 (Biosphere-Environ) | Agg: -0.053</t>
  </si>
  <si>
    <t>Worst-off: Urban air quality at -0.08 | ECOL ✓</t>
  </si>
  <si>
    <t>SUMMARY</t>
  </si>
  <si>
    <t>All worst-off impacts well above thresholds</t>
  </si>
  <si>
    <t>No near-misses identified</t>
  </si>
  <si>
    <t>NCRC outcome ROBUST with subgroup analysis</t>
  </si>
  <si>
    <t>analysis_done (computed)</t>
  </si>
  <si>
    <t>SUBGROUP OVERRIDES TABLE</t>
  </si>
  <si>
    <t>Policy: Conservative Bound (γ_subgroup = 1.5)</t>
  </si>
  <si>
    <t>I_rights = max(-1, γ × I_prop) when no override</t>
  </si>
  <si>
    <t>Applies only for NCRC, not RLS</t>
  </si>
  <si>
    <t>γ_subgroup:</t>
  </si>
  <si>
    <t>OVERRIDE DATA TABLE</t>
  </si>
  <si>
    <t>Override_ID</t>
  </si>
  <si>
    <t>Option</t>
  </si>
  <si>
    <t>Rights_Cell</t>
  </si>
  <si>
    <t>Worst_Off_Impact</t>
  </si>
  <si>
    <t>COMPUTED STATUS</t>
  </si>
  <si>
    <t>Data range:</t>
  </si>
  <si>
    <t>F11:F100</t>
  </si>
  <si>
    <t>Entry formula:</t>
  </si>
  <si>
    <t>Valid entries:</t>
  </si>
  <si>
    <t>OVERRIDES_TABLE_EMPTY:</t>
  </si>
  <si>
    <t>SUBGROUP_LIMITATION (Audit_Flags):</t>
  </si>
  <si>
    <t>MITIGATION (Tier 2)</t>
  </si>
  <si>
    <t>• Conservative bound applied</t>
  </si>
  <si>
    <t>• REVIEW flag accepted</t>
  </si>
  <si>
    <t>• Data collection scheduled</t>
  </si>
  <si>
    <t>SGP INPUT INTERFACE</t>
  </si>
  <si>
    <t>Reference: Ripple_Logic v8.5.3 Appendix G - Sentience Gradient Protocol Interface</t>
  </si>
  <si>
    <t>SGP Version: 4.2.3</t>
  </si>
  <si>
    <t>HUMAN PLATEAU RULE (Non-Overridable)</t>
  </si>
  <si>
    <t>For any human person H: SG_norm(H) := 1.0</t>
  </si>
  <si>
    <t>This is independent of measurement, disability, observability</t>
  </si>
  <si>
    <t>MUST NOT be weakened by any weighting scheme</t>
  </si>
  <si>
    <t>STAKEHOLDER s_k VALUES</t>
  </si>
  <si>
    <t>Stakeholder</t>
  </si>
  <si>
    <t>Substrate</t>
  </si>
  <si>
    <t>SG_norm</t>
  </si>
  <si>
    <t>Basis</t>
  </si>
  <si>
    <t>SK01</t>
  </si>
  <si>
    <t>Employees (all)</t>
  </si>
  <si>
    <t>Human</t>
  </si>
  <si>
    <t>Plateau Rule</t>
  </si>
  <si>
    <t>SK02</t>
  </si>
  <si>
    <t>Household members</t>
  </si>
  <si>
    <t>SK03</t>
  </si>
  <si>
    <t>Community members</t>
  </si>
  <si>
    <t>SK04</t>
  </si>
  <si>
    <t>Organization staff</t>
  </si>
  <si>
    <t>SK05</t>
  </si>
  <si>
    <t>Policy stakeholders</t>
  </si>
  <si>
    <t>SK06</t>
  </si>
  <si>
    <t>Humanity (aggregate)</t>
  </si>
  <si>
    <t>BIOSPHERE NOTE</t>
  </si>
  <si>
    <t>U7 impacts = environmental integrity, not direct animal welfare</t>
  </si>
  <si>
    <t>If direct animal welfare at stake, apply SGP evidence tiers</t>
  </si>
  <si>
    <t>SGP INTEGRATION DOCUMENTATION</t>
  </si>
  <si>
    <t>Reference: Ripple_Logic v8.5.3 Appendix G</t>
  </si>
  <si>
    <t>Reference: SGP v4.2.3</t>
  </si>
  <si>
    <t>HUMAN PLATEAU RULE CONFIRMATION</t>
  </si>
  <si>
    <t>┌────────────────────────────────────────────────────────┐</t>
  </si>
  <si>
    <t>│ All stakeholders in this decision are human persons.  │</t>
  </si>
  <si>
    <t>│ Therefore: s_k = SG_norm(H) = 1.0 for all instances.  │</t>
  </si>
  <si>
    <t>│ The Human Plateau Rule has been applied without       │</t>
  </si>
  <si>
    <t>│ exception. No sentience multiplier has reduced any    │</t>
  </si>
  <si>
    <t>│ human stakeholder's impact weight.                    │</t>
  </si>
  <si>
    <t>└────────────────────────────────────────────────────────┘</t>
  </si>
  <si>
    <t>SGP MISINTERPRETATION GUARD COMPLIANCE</t>
  </si>
  <si>
    <t>Prohibited Inference</t>
  </si>
  <si>
    <t>Linguistic fluency → sentience</t>
  </si>
  <si>
    <t>NOT APPLIED ✓</t>
  </si>
  <si>
    <t>Self-report → sufficient evidence</t>
  </si>
  <si>
    <t>Intelligence → moral status</t>
  </si>
  <si>
    <t>Sentience → governance authority</t>
  </si>
  <si>
    <t>Precaution → attribution</t>
  </si>
  <si>
    <t>Low SGP → reduced human protections</t>
  </si>
  <si>
    <t>PROHIBITED &amp; CONFIRMED ✓</t>
  </si>
  <si>
    <t>IMPACT INSTANCE VERIFICATION</t>
  </si>
  <si>
    <t>All 14 impact instances (I01-I14) use s_k = 1.0 ✓</t>
  </si>
  <si>
    <t>ATTESTATION</t>
  </si>
  <si>
    <t>☑ Human Plateau Rule applied to all human stakeholders</t>
  </si>
  <si>
    <t>☑ No SGP output weakened NCRC protections</t>
  </si>
  <si>
    <t>☑ No sentience multiplier reduced human welfare weight</t>
  </si>
  <si>
    <t>☑ SGP Misinterpretation Guard principles followed</t>
  </si>
  <si>
    <t>Evaluator: ___________________________ Date: ___________</t>
  </si>
  <si>
    <t>RIPPLE ALIGNERS SHEET - USER GUIDE (v8.5.3)</t>
  </si>
  <si>
    <t>QUICK START</t>
  </si>
  <si>
    <t>1. Config: Set tier level and context type</t>
  </si>
  <si>
    <t>2. Impact_Input: Enter all causal pathways (μ, r, ℓ, c, t, e, s)</t>
  </si>
  <si>
    <t>3. Review I_prop: Verify computed impact matrix</t>
  </si>
  <si>
    <t>4. Check NCRC: All rights must pass (v_r = 0)</t>
  </si>
  <si>
    <t>5. Check TRC: CVaR must be ≤ τ_TRC for context</t>
  </si>
  <si>
    <t>6. If TRC fails: Follow fallback procedure (Section 8.8)</t>
  </si>
  <si>
    <t>7. Dashboard: Review final recommendation</t>
  </si>
  <si>
    <t>8. PCC: Complete all sections for audit trail</t>
  </si>
  <si>
    <t>SHEET INDEX</t>
  </si>
  <si>
    <t>Config</t>
  </si>
  <si>
    <t>Global settings</t>
  </si>
  <si>
    <t>70 total (U,D) pairs across all 8 rights</t>
  </si>
  <si>
    <t>Canonical values (locked)</t>
  </si>
  <si>
    <t>Rights_Coverage</t>
  </si>
  <si>
    <t>70 (U,D) pairs across all 8 rights</t>
  </si>
  <si>
    <t>C_cat</t>
  </si>
  <si>
    <t>Catastrophe cells for TRC</t>
  </si>
  <si>
    <t>WTSL_Categories</t>
  </si>
  <si>
    <t>6 mandatory tail categories</t>
  </si>
  <si>
    <t>Impact_Input</t>
  </si>
  <si>
    <t>Enter impacts here</t>
  </si>
  <si>
    <t>Scenario_Impacts</t>
  </si>
  <si>
    <t>Scenario-conditioned losses (NEW)</t>
  </si>
  <si>
    <t>Computed impact matrix</t>
  </si>
  <si>
    <t>Level 1 rights check</t>
  </si>
  <si>
    <t>Level 2 tail risk + fallback</t>
  </si>
  <si>
    <t>Level 3 structural check</t>
  </si>
  <si>
    <t>Level 4 welfare score</t>
  </si>
  <si>
    <t>UCI_HOI</t>
  </si>
  <si>
    <t>Level 5 tie-break</t>
  </si>
  <si>
    <t>Final decision</t>
  </si>
  <si>
    <t>PCC</t>
  </si>
  <si>
    <t>Compliance certificate</t>
  </si>
  <si>
    <t>Sensitivity_Analysis</t>
  </si>
  <si>
    <t>Robustness testing (NEW)</t>
  </si>
  <si>
    <t>Subgroup_Analysis</t>
  </si>
  <si>
    <t>Worst-off documentation (NEW)</t>
  </si>
  <si>
    <t>SGP_Input</t>
  </si>
  <si>
    <t>Sentience interface</t>
  </si>
  <si>
    <t>SGP_Integration</t>
  </si>
  <si>
    <t>SGP compliance (NEW)</t>
  </si>
  <si>
    <t>User_Guide</t>
  </si>
  <si>
    <t>This sheet</t>
  </si>
  <si>
    <t>Version_Control</t>
  </si>
  <si>
    <t>Version tracking (NEW)</t>
  </si>
  <si>
    <t>KEY FORMULAS</t>
  </si>
  <si>
    <t>τ(t) = MIN(1, LN(1+MAX(t, t_min)) / LN(1+T_ref))   [Ripple_Logic v8.5.3 Appendix B.1]</t>
  </si>
  <si>
    <t>Contribution = μ × r × ℓ × c × e × s × τ(t)</t>
  </si>
  <si>
    <t>v_r(a) = max(0, θ_r - min I_rights over R_r)</t>
  </si>
  <si>
    <t>L(a,s) = Σ_{c∈C_cat} ω_c × max(0, -I_prop_c)</t>
  </si>
  <si>
    <t>CVaR_α = E[L | L ≥ VaR_α]</t>
  </si>
  <si>
    <t>RLS = Σ w_u × v_d × sat(I_prop)</t>
  </si>
  <si>
    <t>v8.5.3 ADDITIONS</t>
  </si>
  <si>
    <t>8. PCC Section 12: Set ScopeCoverage mode (FULL/REDUCED) and document active/omitted scopes</t>
  </si>
  <si>
    <t>9. PCC Section 13: Log stakeholder instances with InstanceMap (REQUIRED at Tier 2 when triggers hold)</t>
  </si>
  <si>
    <t>10. PCC Section 14: Declare SCI level and NextRunUpgrade if at tier minimum</t>
  </si>
  <si>
    <t>11. PCC Section 15: Review active cell definition for uncertainty coverage</t>
  </si>
  <si>
    <t>12. Audit_Flags: Check new v8.5.3 flags (SCOPE_COVERAGE_REDUCED, SCI_BELOW_MINIMUM, UNCERTAINTY_NOT_DECLARED)</t>
  </si>
  <si>
    <t>NOTE: Tier 2 uncertainty method (A/B/C) is REQUIRED per v8.5.3 (was recommended in v8.1)</t>
  </si>
  <si>
    <t>NOTE: "Union Scopes" (short: Scopes) is the v8.5.3 canonical term; "Union(s)" remains a valid legacy alias</t>
  </si>
  <si>
    <t>VERSION CONTROL AND CONFORMANCE</t>
  </si>
  <si>
    <t>1.5.4</t>
  </si>
  <si>
    <t>Modified: 2026-02-16</t>
  </si>
  <si>
    <t>v1.7.0</t>
  </si>
  <si>
    <t>2026-02-03</t>
  </si>
  <si>
    <t>SSOT_ENFORCED: Schema validation computed, SC-06 fixed, PUBLISH_READY gate includes PLACEHOLDER_COUNT</t>
  </si>
  <si>
    <t>VERSION HISTORY</t>
  </si>
  <si>
    <t>Version</t>
  </si>
  <si>
    <t>Changes</t>
  </si>
  <si>
    <t>v8.5.3 RE-PIN: Framework→Ripple_Logic v8.5.3. Added SCI (Section 5.0.1), ScopeCoverage (Section 2.2A), InstanceMap (Appendix H), active cell definition (Section 10.3). New audit flags: SCOPE_COVERAGE_REDUCED (REVIEW), SCI_BELOW_MINIMUM (ESCALATE), SCI_AT_MINIMUM_NO_UPGRADE (REVIEW), UNCERTAINTY_NOT_DECLARED (INVALID). Tier 2 uncertainty REQUIRED. PCC Sections 12-15 added. All 27 sheet section refs updated to v8.5.3. Terminology: "Union Scopes" adopted per v8.5.3.</t>
  </si>
  <si>
    <t>Claude-assisted</t>
  </si>
  <si>
    <t>v1.8.1-1.8.2</t>
  </si>
  <si>
    <t>2026-02-14/15</t>
  </si>
  <si>
    <t>Internal development versions (v8.1→v8.5.3 transition); not published.</t>
  </si>
  <si>
    <t>1.6.2</t>
  </si>
  <si>
    <t>2026-02-02</t>
  </si>
  <si>
    <t>CVaR algorithm fix (D.7 compliance), type hygiene, SSOT propagation, SC-24/25 added</t>
  </si>
  <si>
    <t>1.6.3</t>
  </si>
  <si>
    <t>Schema enforcement, sanity check standardization, PCC cleanup, WTSL-AIX note, subgroup policy, sensitivity labeling, NONDECISIVE_GAP flag</t>
  </si>
  <si>
    <t>1.6.4</t>
  </si>
  <si>
    <t>FINAL: Boolean→numeric, hardened schema, audit consistency, placeholders removed, publish-ready gate</t>
  </si>
  <si>
    <t>1.6.5</t>
  </si>
  <si>
    <t>SSOT enforcement: computed flags, no hardcoded triggers, placeholder removal, TRC audit format, NCRC cleanup, conservative subgroup bound</t>
  </si>
  <si>
    <t>1.6.6</t>
  </si>
  <si>
    <t>FINAL: Formula-based triggers, computed PASS/FAIL sanity, SSOT enforcement, placeholder eradication, τ_TRC linked, TEXTJOIN flags</t>
  </si>
  <si>
    <t>1.6.7</t>
  </si>
  <si>
    <t>DEFINITIVE: All triggers/counts/gates are formulas, SSOT enforced, no typed values, manual override sentinel, Release Integrity Panel</t>
  </si>
  <si>
    <t>1.6.1</t>
  </si>
  <si>
    <t>CLAIM-READY: C_cat filled; CVaR computed; type fixes; full SSOT</t>
  </si>
  <si>
    <t>1.5.5</t>
  </si>
  <si>
    <t>2026-01-31</t>
  </si>
  <si>
    <t>Computed Dashboard; TRC sorted scenarios</t>
  </si>
  <si>
    <t>1.5.6</t>
  </si>
  <si>
    <t>Audit_Flags computed formulas</t>
  </si>
  <si>
    <t>1.5.7</t>
  </si>
  <si>
    <t>Fixed Containment/RANK formulas; full computed Audit_Flags; error-free</t>
  </si>
  <si>
    <t>1.5.8</t>
  </si>
  <si>
    <t>Claim-ready: +PROC right; fixed Containment refs; σ_est toggle; Sanity Checklist; blank=INVALID</t>
  </si>
  <si>
    <t>Mandatory Tails</t>
  </si>
  <si>
    <t>p_floor (≥0.02)</t>
  </si>
  <si>
    <t>✓ PASS</t>
  </si>
  <si>
    <t>✓ PASS (vacuous)</t>
  </si>
  <si>
    <t>✓ PASS (computed)</t>
  </si>
  <si>
    <t>✓ PASS (with 5SPR)</t>
  </si>
  <si>
    <t>Audit Flags</t>
  </si>
  <si>
    <t>✓ PASS (NONDECISIVE_GAP_REVIEW active)</t>
  </si>
  <si>
    <t>OVERALL</t>
  </si>
  <si>
    <t>✓ TIER 2 CONFORMANT</t>
  </si>
  <si>
    <t>v1.7.3</t>
  </si>
  <si>
    <t>PUBLISH_FINAL: Fixed MINIFS compatibility (140), wrapped TRC IFERROR, unified version labels, bracket policy clarified</t>
  </si>
  <si>
    <t>RC_POLISH: reconciled version ids; clarified containment as Tier-2 proxy; improved SUBGROUP_LIMITATION trigger (analysis-aware); updated σ_est policy note</t>
  </si>
  <si>
    <t>Claude+GPT-assisted</t>
  </si>
  <si>
    <t>v1.7.5</t>
  </si>
  <si>
    <t>2026-02-04</t>
  </si>
  <si>
    <t>PUBLISH_HARDEN: Fixed NCRC Min_I_rights calc (AGGREGATE), PCC Section 7 + 5SPR auto-pulls Audit_Flags, removed header version drift, clarified overrides vs audit flag, mandatory tails display links to CANON.</t>
  </si>
  <si>
    <t>GPT-assisted</t>
  </si>
  <si>
    <t>v1.7.9</t>
  </si>
  <si>
    <t>FINAL_HARDEN: aligned RLS decisiveness display with Gap/√(2σ²+ε); PCC mitigation reframed as qualitative + headroom; added TRC outputs populated sanity check; fixed placeholder check reference.</t>
  </si>
  <si>
    <t>v1.8.0</t>
  </si>
  <si>
    <t>2026-02-13</t>
  </si>
  <si>
    <t>CANON RE-PIN: Framework→Ripple_Logic v8.5.3, SGP→v4.2.3. τ(t) corrected to MIN(1,LN(1+MAX(t,t_min))/LN(1+T_ref)) with t_min=0.083 per v8.5.3 Appendix B.1. All 27 sheet section refs updated. Stewardship block added to PCC. UCI E₁=1 verified. Config date updated.</t>
  </si>
  <si>
    <t>TIER 3 READINESS CHECKLIST</t>
  </si>
  <si>
    <t>☐ Expand scenarios to ≥20 (currently 7)</t>
  </si>
  <si>
    <t>☐ Complete sensitivity analysis</t>
  </si>
  <si>
    <t>☐ Independent reviewer sign-off</t>
  </si>
  <si>
    <t>☐ Full subgroup enumeration</t>
  </si>
  <si>
    <t>☐ Add kernel with KQS (if QUICK mode)</t>
  </si>
  <si>
    <t>☐ UCI from structural indicators</t>
  </si>
  <si>
    <t>☐ Uncertainty quantification (σ values)</t>
  </si>
  <si>
    <t>KNOWN LIMITATIONS (v1.5)</t>
  </si>
  <si>
    <t>Normal cascade complete; RLS non-decisive requires judgment call</t>
  </si>
  <si>
    <t>2. Scenario count (7) above Tier 2 min but below Tier 3</t>
  </si>
  <si>
    <t>3. UCI values = evaluator assessment, not structural indicators</t>
  </si>
  <si>
    <t>4. Sensitivity template ready but not fully populated</t>
  </si>
  <si>
    <t>5. Kernel not used (NONE mode) - appropriate for Tier 2</t>
  </si>
  <si>
    <t>PATCH_NOTE</t>
  </si>
  <si>
    <t>Added explicit PCC BaselineType_Welfare = STATUS_QUO and reference lines (restoring v1.8.4 clarity).</t>
  </si>
  <si>
    <t>PATCH_TIMESTAMP_UTC</t>
  </si>
  <si>
    <t>2026-02-20T13:28:45Z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</si>
</sst>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0.000000"/>
    <numFmt numFmtId="166" formatCode="0.000"/>
    <numFmt numFmtId="167" formatCode="0.0000"/>
    <numFmt numFmtId="168" formatCode="0.00000"/>
  </numFmts>
  <fonts count="15" x14ac:knownFonts="1">
    <font>
      <sz val="11"/>
      <color theme="1"/>
      <name val="Calibri"/>
      <family val="2"/>
      <charset val="1"/>
    </font>
    <font>
      <b/>
      <sz val="14"/>
      <color theme="1"/>
      <name val="Calibri"/>
      <charset val="1"/>
    </font>
    <font>
      <b/>
      <sz val="11"/>
      <color theme="1"/>
      <name val="Calibri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  <font>
      <b/>
      <sz val="12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  <font>
      <b/>
      <sz val="12"/>
      <color theme="1"/>
      <name val="Cambria"/>
      <charset val="1"/>
    </font>
    <font>
      <b/>
      <i/>
      <sz val="10"/>
      <name val="Arial"/>
      <charset val="1"/>
    </font>
    <font>
      <b/>
      <sz val="10"/>
      <color rgb="FFCC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E8F0FE"/>
      </patternFill>
    </fill>
    <fill>
      <patternFill patternType="solid">
        <fgColor rgb="FFC6EFCE"/>
        <bgColor rgb="FFE2EFDA"/>
      </patternFill>
    </fill>
    <fill>
      <patternFill patternType="solid">
        <fgColor rgb="FFE8F0FE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9D9D9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E6CC"/>
      </patternFill>
    </fill>
    <fill>
      <patternFill patternType="solid">
        <fgColor rgb="FFFFC7CE"/>
        <bgColor rgb="FFFFCCCC"/>
      </patternFill>
    </fill>
    <fill>
      <patternFill patternType="solid">
        <fgColor rgb="FFFFEB9C"/>
        <bgColor rgb="FFFFE6CC"/>
      </patternFill>
    </fill>
    <fill>
      <patternFill patternType="solid">
        <fgColor rgb="FFFFCCCC"/>
        <bgColor rgb="FFFFC7CE"/>
      </patternFill>
    </fill>
    <fill>
      <patternFill patternType="solid">
        <fgColor rgb="FFFFE6CC"/>
        <bgColor rgb="FFFCE4D6"/>
      </patternFill>
    </fill>
    <fill>
      <patternFill patternType="solid">
        <fgColor rgb="FFFFFFCC"/>
        <bgColor rgb="FFFFE6CC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6" borderId="0" xfId="0" applyFont="1" applyFill="1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4" fillId="5" borderId="0" xfId="0" applyFont="1" applyFill="1"/>
    <xf numFmtId="0" fontId="0" fillId="5" borderId="0" xfId="0" applyFill="1"/>
    <xf numFmtId="0" fontId="9" fillId="0" borderId="0" xfId="0" applyFont="1"/>
    <xf numFmtId="0" fontId="0" fillId="7" borderId="0" xfId="0" applyFill="1"/>
    <xf numFmtId="165" fontId="0" fillId="0" borderId="0" xfId="0" applyNumberFormat="1"/>
    <xf numFmtId="0" fontId="10" fillId="4" borderId="0" xfId="0" applyFont="1" applyFill="1"/>
    <xf numFmtId="0" fontId="4" fillId="8" borderId="0" xfId="0" applyFont="1" applyFill="1"/>
    <xf numFmtId="166" fontId="0" fillId="0" borderId="0" xfId="0" applyNumberFormat="1"/>
    <xf numFmtId="167" fontId="0" fillId="5" borderId="0" xfId="0" applyNumberFormat="1" applyFill="1"/>
    <xf numFmtId="166" fontId="0" fillId="3" borderId="0" xfId="0" applyNumberFormat="1" applyFill="1"/>
    <xf numFmtId="166" fontId="0" fillId="9" borderId="0" xfId="0" applyNumberFormat="1" applyFill="1"/>
    <xf numFmtId="0" fontId="0" fillId="10" borderId="0" xfId="0" applyFill="1"/>
    <xf numFmtId="0" fontId="0" fillId="11" borderId="0" xfId="0" applyFill="1"/>
    <xf numFmtId="0" fontId="4" fillId="11" borderId="0" xfId="0" applyFont="1" applyFill="1"/>
    <xf numFmtId="0" fontId="2" fillId="11" borderId="0" xfId="0" applyFont="1" applyFill="1"/>
    <xf numFmtId="168" fontId="0" fillId="0" borderId="0" xfId="0" applyNumberFormat="1"/>
    <xf numFmtId="0" fontId="3" fillId="6" borderId="0" xfId="0" applyFont="1" applyFill="1"/>
    <xf numFmtId="166" fontId="4" fillId="0" borderId="0" xfId="0" applyNumberFormat="1" applyFont="1"/>
    <xf numFmtId="0" fontId="4" fillId="10" borderId="0" xfId="0" applyFont="1" applyFill="1"/>
    <xf numFmtId="0" fontId="3" fillId="5" borderId="0" xfId="0" applyFont="1" applyFill="1"/>
    <xf numFmtId="0" fontId="2" fillId="12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13" fillId="0" borderId="0" xfId="0" applyFont="1"/>
    <xf numFmtId="0" fontId="6" fillId="0" borderId="0" xfId="0" applyFont="1"/>
    <xf numFmtId="0" fontId="4" fillId="3" borderId="0" xfId="0" applyFont="1" applyFill="1"/>
    <xf numFmtId="0" fontId="14" fillId="15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6" borderId="0" xfId="0" applyFont="1" applyFill="1"/>
    <xf numFmtId="0" fontId="2" fillId="6" borderId="0" xfId="0" applyFont="1" applyFill="1"/>
    <xf numFmtId="0" fontId="1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F0FE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FE6CC"/>
      <rgbColor rgb="FFFCE4D6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Normal="100" workbookViewId="0">
      <selection sqref="A1:D1"/>
    </sheetView>
  </sheetViews>
  <sheetFormatPr defaultColWidth="8.6640625" defaultRowHeight="14.4" x14ac:dyDescent="0.3"/>
  <cols>
    <col min="1" max="1" width="32" customWidth="1"/>
    <col min="2" max="2" width="95" customWidth="1"/>
    <col min="3" max="4" width="15" customWidth="1"/>
  </cols>
  <sheetData>
    <row r="1" spans="1:4" ht="18" customHeight="1" x14ac:dyDescent="0.35">
      <c r="A1" s="48" t="s">
        <v>157</v>
      </c>
      <c r="B1" s="49"/>
      <c r="C1" s="49"/>
      <c r="D1" s="49"/>
    </row>
    <row r="2" spans="1:4" ht="13.5" customHeight="1" x14ac:dyDescent="0.3"/>
    <row r="3" spans="1:4" ht="13.5" customHeight="1" x14ac:dyDescent="0.3">
      <c r="A3" s="2" t="s">
        <v>158</v>
      </c>
      <c r="B3" s="3" t="str">
        <f>CANON!B7</f>
        <v>v1.8.3</v>
      </c>
    </row>
    <row r="4" spans="1:4" ht="13.5" customHeight="1" x14ac:dyDescent="0.3">
      <c r="A4" s="2" t="s">
        <v>159</v>
      </c>
      <c r="B4" s="3" t="str">
        <f>CANON!B5</f>
        <v>Ripple_Logic v8.5.3</v>
      </c>
    </row>
    <row r="5" spans="1:4" ht="13.5" customHeight="1" x14ac:dyDescent="0.3">
      <c r="A5" s="2" t="s">
        <v>160</v>
      </c>
      <c r="B5" s="3">
        <f>CANON!B89</f>
        <v>2</v>
      </c>
    </row>
    <row r="6" spans="1:4" ht="13.5" customHeight="1" x14ac:dyDescent="0.3">
      <c r="A6" s="2" t="s">
        <v>161</v>
      </c>
      <c r="B6" s="3" t="str">
        <f>CANON!B82</f>
        <v>WORKED_RUN</v>
      </c>
    </row>
    <row r="7" spans="1:4" ht="13.5" customHeight="1" x14ac:dyDescent="0.3">
      <c r="A7" s="2" t="s">
        <v>162</v>
      </c>
      <c r="B7" s="3" t="str">
        <f>CANON!B81</f>
        <v>YES</v>
      </c>
    </row>
    <row r="8" spans="1:4" ht="13.5" customHeight="1" x14ac:dyDescent="0.3">
      <c r="A8" s="2" t="s">
        <v>163</v>
      </c>
      <c r="B8" s="3" t="str">
        <f>CANON!B118</f>
        <v>YES</v>
      </c>
    </row>
    <row r="9" spans="1:4" ht="13.5" customHeight="1" x14ac:dyDescent="0.3">
      <c r="A9" s="2"/>
      <c r="B9" s="3"/>
    </row>
    <row r="10" spans="1:4" ht="13.5" customHeight="1" x14ac:dyDescent="0.3">
      <c r="A10" s="2" t="s">
        <v>164</v>
      </c>
      <c r="B10" s="4" t="str">
        <f>Audit_Flags!B26</f>
        <v>NO</v>
      </c>
    </row>
    <row r="11" spans="1:4" ht="13.5" customHeight="1" x14ac:dyDescent="0.3">
      <c r="A11" s="2" t="s">
        <v>165</v>
      </c>
      <c r="B11" s="3" t="str">
        <f>Audit_Flags!B21&amp;" / "&amp;Audit_Flags!B22&amp;" / "&amp;Audit_Flags!B23&amp;" / "&amp;Audit_Flags!B24</f>
        <v>0 / 0 / 1 / 1</v>
      </c>
    </row>
    <row r="12" spans="1:4" ht="13.5" customHeight="1" x14ac:dyDescent="0.3"/>
    <row r="13" spans="1:4" ht="28.5" customHeight="1" x14ac:dyDescent="0.3">
      <c r="A13" t="s">
        <v>166</v>
      </c>
      <c r="B13" s="4" t="str">
        <f>"Tier-2 WORKED_RUN exemplar pinned to Ripple_Logic v8.5.3 and SGP v4.2.3. REVIEW flags may exist and must be documented; INVALID and ESCALATE must be zero for claimability."</f>
        <v>Tier-2 WORKED_RUN exemplar pinned to Ripple_Logic v8.5.3 and SGP v4.2.3. REVIEW flags may exist and must be documented; INVALID and ESCALATE must be zero for claimability.</v>
      </c>
    </row>
    <row r="14" spans="1:4" ht="13.5" customHeight="1" x14ac:dyDescent="0.3"/>
    <row r="15" spans="1:4" ht="13.5" customHeight="1" x14ac:dyDescent="0.3">
      <c r="A15" t="s">
        <v>167</v>
      </c>
      <c r="B15" s="4" t="str">
        <f>IF(Audit_Flags!B23=0,"None","See Audit_Flags list above; PCC includes the rationale for any active REVIEW flags.")</f>
        <v>See Audit_Flags list above; PCC includes the rationale for any active REVIEW flags.</v>
      </c>
    </row>
    <row r="16" spans="1:4" ht="13.5" customHeight="1" x14ac:dyDescent="0.3"/>
    <row r="17" spans="1:2" ht="13.5" customHeight="1" x14ac:dyDescent="0.3">
      <c r="A17" t="s">
        <v>168</v>
      </c>
      <c r="B17" t="str">
        <f>Sensitivity_Analysis!B3</f>
        <v>PERFORMED</v>
      </c>
    </row>
    <row r="18" spans="1:2" ht="13.5" customHeight="1" x14ac:dyDescent="0.3">
      <c r="A18" t="s">
        <v>169</v>
      </c>
      <c r="B18" t="str">
        <f>Sensitivity_Analysis!B16</f>
        <v>STABLE</v>
      </c>
    </row>
    <row r="19" spans="1:2" ht="13.5" customHeight="1" x14ac:dyDescent="0.3"/>
    <row r="20" spans="1:2" ht="13.5" customHeight="1" x14ac:dyDescent="0.3">
      <c r="A20" t="s">
        <v>170</v>
      </c>
    </row>
    <row r="21" spans="1:2" ht="13.5" customHeight="1" x14ac:dyDescent="0.3">
      <c r="A21" t="s">
        <v>171</v>
      </c>
      <c r="B21" t="s">
        <v>172</v>
      </c>
    </row>
    <row r="22" spans="1:2" ht="13.5" customHeight="1" x14ac:dyDescent="0.3">
      <c r="A22" s="5">
        <f ca="1">TODAY()</f>
        <v>46073</v>
      </c>
      <c r="B22" s="4" t="s">
        <v>173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7"/>
  <sheetViews>
    <sheetView tabSelected="1" zoomScaleNormal="100" workbookViewId="0">
      <selection activeCell="I19" sqref="I19"/>
    </sheetView>
  </sheetViews>
  <sheetFormatPr defaultColWidth="8.6640625" defaultRowHeight="14.4" x14ac:dyDescent="0.3"/>
  <cols>
    <col min="1" max="1" width="25" customWidth="1"/>
    <col min="2" max="2" width="30" customWidth="1"/>
    <col min="3" max="3" width="35" customWidth="1"/>
  </cols>
  <sheetData>
    <row r="1" spans="1:3" ht="17.25" customHeight="1" x14ac:dyDescent="0.3">
      <c r="A1" s="6" t="s">
        <v>0</v>
      </c>
    </row>
    <row r="2" spans="1:3" ht="15" customHeight="1" x14ac:dyDescent="0.3">
      <c r="A2" t="s">
        <v>1</v>
      </c>
    </row>
    <row r="3" spans="1:3" ht="13.5" customHeight="1" x14ac:dyDescent="0.3"/>
    <row r="4" spans="1:3" ht="15" customHeight="1" x14ac:dyDescent="0.3">
      <c r="A4" s="7" t="s">
        <v>2</v>
      </c>
    </row>
    <row r="5" spans="1:3" ht="15" customHeight="1" x14ac:dyDescent="0.3">
      <c r="A5" t="s">
        <v>3</v>
      </c>
      <c r="B5" t="s">
        <v>4</v>
      </c>
    </row>
    <row r="6" spans="1:3" ht="15" customHeight="1" x14ac:dyDescent="0.3">
      <c r="A6" t="s">
        <v>5</v>
      </c>
      <c r="B6" t="s">
        <v>6</v>
      </c>
    </row>
    <row r="7" spans="1:3" ht="15" customHeight="1" x14ac:dyDescent="0.3">
      <c r="A7" t="s">
        <v>7</v>
      </c>
      <c r="B7" t="s">
        <v>8</v>
      </c>
    </row>
    <row r="8" spans="1:3" ht="13.5" customHeight="1" x14ac:dyDescent="0.3"/>
    <row r="9" spans="1:3" ht="15" customHeight="1" x14ac:dyDescent="0.3">
      <c r="A9" s="7" t="s">
        <v>9</v>
      </c>
    </row>
    <row r="10" spans="1:3" ht="15" customHeight="1" x14ac:dyDescent="0.3">
      <c r="A10" t="s">
        <v>10</v>
      </c>
      <c r="B10">
        <v>2</v>
      </c>
      <c r="C10" t="s">
        <v>11</v>
      </c>
    </row>
    <row r="11" spans="1:3" ht="15" customHeight="1" x14ac:dyDescent="0.3">
      <c r="A11" t="s">
        <v>12</v>
      </c>
      <c r="B11" t="s">
        <v>13</v>
      </c>
      <c r="C11" t="s">
        <v>14</v>
      </c>
    </row>
    <row r="12" spans="1:3" ht="15" customHeight="1" x14ac:dyDescent="0.3">
      <c r="A12" t="s">
        <v>15</v>
      </c>
      <c r="B12" t="s">
        <v>16</v>
      </c>
      <c r="C12" t="s">
        <v>17</v>
      </c>
    </row>
    <row r="13" spans="1:3" ht="15" customHeight="1" x14ac:dyDescent="0.3">
      <c r="A13" t="s">
        <v>18</v>
      </c>
      <c r="B13">
        <v>1</v>
      </c>
      <c r="C13" t="s">
        <v>19</v>
      </c>
    </row>
    <row r="14" spans="1:3" ht="15" customHeight="1" x14ac:dyDescent="0.3">
      <c r="A14" t="s">
        <v>20</v>
      </c>
      <c r="B14">
        <v>1</v>
      </c>
      <c r="C14" t="s">
        <v>21</v>
      </c>
    </row>
    <row r="15" spans="1:3" ht="15" customHeight="1" x14ac:dyDescent="0.3">
      <c r="A15" t="s">
        <v>22</v>
      </c>
      <c r="B15">
        <v>0</v>
      </c>
      <c r="C15" t="s">
        <v>23</v>
      </c>
    </row>
    <row r="16" spans="1:3" ht="13.5" customHeight="1" x14ac:dyDescent="0.3"/>
    <row r="17" spans="1:3" ht="15" customHeight="1" x14ac:dyDescent="0.3">
      <c r="A17" s="7" t="s">
        <v>24</v>
      </c>
    </row>
    <row r="18" spans="1:3" ht="15" customHeight="1" x14ac:dyDescent="0.3">
      <c r="A18" t="s">
        <v>25</v>
      </c>
      <c r="B18">
        <v>0.95</v>
      </c>
    </row>
    <row r="19" spans="1:3" ht="15" customHeight="1" x14ac:dyDescent="0.3">
      <c r="A19" t="s">
        <v>26</v>
      </c>
      <c r="B19">
        <f>1-B18</f>
        <v>5.0000000000000044E-2</v>
      </c>
    </row>
    <row r="20" spans="1:3" ht="15" customHeight="1" x14ac:dyDescent="0.3">
      <c r="A20" t="s">
        <v>27</v>
      </c>
      <c r="B20">
        <v>2</v>
      </c>
    </row>
    <row r="21" spans="1:3" ht="15" customHeight="1" x14ac:dyDescent="0.3">
      <c r="A21" t="s">
        <v>28</v>
      </c>
      <c r="B21">
        <v>1</v>
      </c>
    </row>
    <row r="22" spans="1:3" ht="15" customHeight="1" x14ac:dyDescent="0.3">
      <c r="A22" t="s">
        <v>29</v>
      </c>
      <c r="B22">
        <v>2</v>
      </c>
    </row>
    <row r="23" spans="1:3" ht="15" customHeight="1" x14ac:dyDescent="0.3">
      <c r="A23" t="s">
        <v>30</v>
      </c>
      <c r="B23">
        <v>0.05</v>
      </c>
    </row>
    <row r="24" spans="1:3" ht="15" customHeight="1" x14ac:dyDescent="0.3">
      <c r="A24" t="s">
        <v>31</v>
      </c>
      <c r="B24">
        <v>-0.1</v>
      </c>
    </row>
    <row r="25" spans="1:3" ht="15" customHeight="1" x14ac:dyDescent="0.3">
      <c r="A25" t="s">
        <v>32</v>
      </c>
      <c r="B25">
        <v>25</v>
      </c>
    </row>
    <row r="26" spans="1:3" ht="15" customHeight="1" x14ac:dyDescent="0.3">
      <c r="A26" t="s">
        <v>33</v>
      </c>
      <c r="B26">
        <v>0.02</v>
      </c>
    </row>
    <row r="27" spans="1:3" ht="13.5" customHeight="1" x14ac:dyDescent="0.3">
      <c r="A27" t="s">
        <v>34</v>
      </c>
      <c r="B27">
        <v>8.3000000000000004E-2</v>
      </c>
      <c r="C27" t="s">
        <v>35</v>
      </c>
    </row>
    <row r="28" spans="1:3" ht="15" customHeight="1" x14ac:dyDescent="0.3">
      <c r="A28" s="7" t="s">
        <v>36</v>
      </c>
    </row>
    <row r="29" spans="1:3" ht="15" customHeight="1" x14ac:dyDescent="0.3">
      <c r="A29" t="s">
        <v>37</v>
      </c>
      <c r="B29" t="s">
        <v>38</v>
      </c>
      <c r="C29" t="s">
        <v>39</v>
      </c>
    </row>
    <row r="30" spans="1:3" ht="15" customHeight="1" x14ac:dyDescent="0.3">
      <c r="A30" t="s">
        <v>40</v>
      </c>
      <c r="B30">
        <v>1</v>
      </c>
      <c r="C30">
        <v>-0.9</v>
      </c>
    </row>
    <row r="31" spans="1:3" ht="15" customHeight="1" x14ac:dyDescent="0.3">
      <c r="A31" t="s">
        <v>41</v>
      </c>
      <c r="B31">
        <v>2</v>
      </c>
      <c r="C31">
        <v>-0.7</v>
      </c>
    </row>
    <row r="32" spans="1:3" ht="15" customHeight="1" x14ac:dyDescent="0.3">
      <c r="A32" t="s">
        <v>42</v>
      </c>
      <c r="B32">
        <v>3</v>
      </c>
      <c r="C32">
        <v>-0.65</v>
      </c>
    </row>
    <row r="33" spans="1:3" ht="15" customHeight="1" x14ac:dyDescent="0.3">
      <c r="A33" t="s">
        <v>43</v>
      </c>
      <c r="B33">
        <v>4</v>
      </c>
      <c r="C33">
        <v>-0.65</v>
      </c>
    </row>
    <row r="34" spans="1:3" ht="15" customHeight="1" x14ac:dyDescent="0.3">
      <c r="A34" t="s">
        <v>44</v>
      </c>
      <c r="B34">
        <v>5</v>
      </c>
      <c r="C34">
        <v>-0.5</v>
      </c>
    </row>
    <row r="35" spans="1:3" ht="15" customHeight="1" x14ac:dyDescent="0.3">
      <c r="A35" t="s">
        <v>45</v>
      </c>
      <c r="B35">
        <v>6</v>
      </c>
      <c r="C35">
        <v>-0.55000000000000004</v>
      </c>
    </row>
    <row r="36" spans="1:3" ht="15" customHeight="1" x14ac:dyDescent="0.3">
      <c r="A36" t="s">
        <v>46</v>
      </c>
      <c r="B36">
        <v>7</v>
      </c>
      <c r="C36">
        <v>-0.45</v>
      </c>
    </row>
    <row r="37" spans="1:3" ht="15" customHeight="1" x14ac:dyDescent="0.3">
      <c r="A37" t="s">
        <v>47</v>
      </c>
      <c r="B37">
        <v>8</v>
      </c>
      <c r="C37">
        <v>-0.4</v>
      </c>
    </row>
    <row r="38" spans="1:3" ht="15" customHeight="1" x14ac:dyDescent="0.3">
      <c r="A38" t="s">
        <v>48</v>
      </c>
      <c r="B38">
        <f>COUNTA(A30:A37)</f>
        <v>8</v>
      </c>
      <c r="C38" t="s">
        <v>49</v>
      </c>
    </row>
    <row r="39" spans="1:3" ht="13.5" customHeight="1" x14ac:dyDescent="0.3"/>
    <row r="40" spans="1:3" ht="15" customHeight="1" x14ac:dyDescent="0.3">
      <c r="A40" s="7" t="s">
        <v>50</v>
      </c>
    </row>
    <row r="41" spans="1:3" ht="15" customHeight="1" x14ac:dyDescent="0.3">
      <c r="A41" t="s">
        <v>51</v>
      </c>
      <c r="B41">
        <f>IF(B12="YES",6,5)</f>
        <v>5</v>
      </c>
      <c r="C41" t="s">
        <v>52</v>
      </c>
    </row>
    <row r="42" spans="1:3" ht="15" customHeight="1" x14ac:dyDescent="0.3">
      <c r="A42" t="s">
        <v>53</v>
      </c>
      <c r="B42" t="s">
        <v>54</v>
      </c>
    </row>
    <row r="43" spans="1:3" ht="15" customHeight="1" x14ac:dyDescent="0.3">
      <c r="A43" t="s">
        <v>55</v>
      </c>
      <c r="B43" t="s">
        <v>56</v>
      </c>
    </row>
    <row r="44" spans="1:3" ht="15" customHeight="1" x14ac:dyDescent="0.3">
      <c r="A44" t="s">
        <v>57</v>
      </c>
      <c r="B44" t="s">
        <v>56</v>
      </c>
    </row>
    <row r="45" spans="1:3" ht="15" customHeight="1" x14ac:dyDescent="0.3">
      <c r="A45" t="s">
        <v>58</v>
      </c>
      <c r="B45" t="s">
        <v>56</v>
      </c>
    </row>
    <row r="46" spans="1:3" ht="15" customHeight="1" x14ac:dyDescent="0.3">
      <c r="A46" t="s">
        <v>59</v>
      </c>
      <c r="B46" t="s">
        <v>56</v>
      </c>
    </row>
    <row r="47" spans="1:3" ht="15" customHeight="1" x14ac:dyDescent="0.3">
      <c r="A47" t="s">
        <v>60</v>
      </c>
      <c r="B47" t="s">
        <v>56</v>
      </c>
    </row>
    <row r="48" spans="1:3" ht="15" customHeight="1" x14ac:dyDescent="0.3">
      <c r="A48" t="s">
        <v>61</v>
      </c>
      <c r="B48" t="str">
        <f>IF($B$12="YES","YES","NO")</f>
        <v>NO</v>
      </c>
    </row>
    <row r="49" spans="1:3" ht="13.5" customHeight="1" x14ac:dyDescent="0.3"/>
    <row r="50" spans="1:3" ht="15" customHeight="1" x14ac:dyDescent="0.3">
      <c r="A50" s="7" t="s">
        <v>62</v>
      </c>
    </row>
    <row r="51" spans="1:3" ht="15" customHeight="1" x14ac:dyDescent="0.3">
      <c r="A51" t="s">
        <v>63</v>
      </c>
      <c r="B51" t="str">
        <f>NCRC!D18</f>
        <v>PASS</v>
      </c>
    </row>
    <row r="52" spans="1:3" ht="15" customHeight="1" x14ac:dyDescent="0.3">
      <c r="A52" t="s">
        <v>64</v>
      </c>
      <c r="B52" t="str">
        <f>NCRC!D19</f>
        <v>PASS</v>
      </c>
    </row>
    <row r="53" spans="1:3" ht="13.5" customHeight="1" x14ac:dyDescent="0.3"/>
    <row r="54" spans="1:3" ht="15" customHeight="1" x14ac:dyDescent="0.3">
      <c r="A54" t="s">
        <v>65</v>
      </c>
      <c r="B54">
        <v>2.1899999999999999E-2</v>
      </c>
    </row>
    <row r="55" spans="1:3" ht="15" customHeight="1" x14ac:dyDescent="0.3">
      <c r="A55" t="s">
        <v>66</v>
      </c>
      <c r="B55">
        <v>3.15E-2</v>
      </c>
    </row>
    <row r="56" spans="1:3" ht="15" customHeight="1" x14ac:dyDescent="0.3">
      <c r="A56" t="s">
        <v>67</v>
      </c>
      <c r="B56" t="str">
        <f>IF(B54&lt;=B58,"PASS","FAIL")</f>
        <v>PASS</v>
      </c>
    </row>
    <row r="57" spans="1:3" ht="15" customHeight="1" x14ac:dyDescent="0.3">
      <c r="A57" t="s">
        <v>68</v>
      </c>
      <c r="B57" t="str">
        <f>IF(B55&lt;=B58,"PASS","FAIL")</f>
        <v>PASS</v>
      </c>
    </row>
    <row r="58" spans="1:3" ht="15" customHeight="1" x14ac:dyDescent="0.3">
      <c r="A58" t="s">
        <v>69</v>
      </c>
      <c r="B58">
        <v>0.2</v>
      </c>
      <c r="C58" t="s">
        <v>70</v>
      </c>
    </row>
    <row r="59" spans="1:3" ht="13.5" customHeight="1" x14ac:dyDescent="0.3"/>
    <row r="60" spans="1:3" ht="15" customHeight="1" x14ac:dyDescent="0.3">
      <c r="A60" t="s">
        <v>71</v>
      </c>
      <c r="B60" t="str">
        <f>Containment!K14</f>
        <v>PASS</v>
      </c>
    </row>
    <row r="61" spans="1:3" ht="15" customHeight="1" x14ac:dyDescent="0.3">
      <c r="A61" t="s">
        <v>72</v>
      </c>
      <c r="B61" t="str">
        <f>Containment!K15</f>
        <v>PASS (vacuous)</v>
      </c>
    </row>
    <row r="62" spans="1:3" ht="13.5" customHeight="1" x14ac:dyDescent="0.3"/>
    <row r="63" spans="1:3" ht="15" customHeight="1" x14ac:dyDescent="0.3">
      <c r="A63" t="s">
        <v>73</v>
      </c>
      <c r="B63">
        <f>RLS!B5</f>
        <v>5.4619999999999998E-3</v>
      </c>
    </row>
    <row r="64" spans="1:3" ht="15" customHeight="1" x14ac:dyDescent="0.3">
      <c r="A64" t="s">
        <v>74</v>
      </c>
      <c r="B64">
        <f>RLS!B6</f>
        <v>2.02E-4</v>
      </c>
    </row>
    <row r="65" spans="1:3" ht="13.5" customHeight="1" x14ac:dyDescent="0.3"/>
    <row r="66" spans="1:3" ht="15" customHeight="1" x14ac:dyDescent="0.3">
      <c r="A66" s="7" t="s">
        <v>75</v>
      </c>
    </row>
    <row r="67" spans="1:3" ht="15" customHeight="1" x14ac:dyDescent="0.3">
      <c r="A67" t="s">
        <v>76</v>
      </c>
      <c r="B67">
        <f>COUNTIF(B51:B52,"PASS")</f>
        <v>2</v>
      </c>
      <c r="C67" t="s">
        <v>77</v>
      </c>
    </row>
    <row r="68" spans="1:3" ht="15" customHeight="1" x14ac:dyDescent="0.3">
      <c r="A68" t="s">
        <v>78</v>
      </c>
      <c r="B68">
        <f>COUNTIFS(B51:B52,"PASS",B56:B57,"PASS")</f>
        <v>2</v>
      </c>
      <c r="C68" t="s">
        <v>79</v>
      </c>
    </row>
    <row r="69" spans="1:3" ht="13.5" customHeight="1" x14ac:dyDescent="0.3"/>
    <row r="70" spans="1:3" ht="15" customHeight="1" x14ac:dyDescent="0.3">
      <c r="A70" t="s">
        <v>80</v>
      </c>
      <c r="B70" t="str">
        <f>IF(B67=0,"EMERGENCY_MODE",IF(AND(B67&gt;0,B68=0),"TRC_FALLBACK","NORMAL"))</f>
        <v>NORMAL</v>
      </c>
    </row>
    <row r="71" spans="1:3" ht="15" customHeight="1" x14ac:dyDescent="0.3">
      <c r="A71" t="s">
        <v>81</v>
      </c>
      <c r="B71" t="str">
        <f>IF(B70="EMERGENCY_MODE","",IF(B70="TRC_FALLBACK",IF(B54&lt;=B55,"A","B"),IF(AND(B51="PASS",B56="PASS",OR(B52&lt;&gt;"PASS",B57&lt;&gt;"PASS")),"A",IF(AND(B52="PASS",B57="PASS",OR(B51&lt;&gt;"PASS",B56&lt;&gt;"PASS")),"B",IF(B63&gt;B64,"A",IF(B64&gt;B63,"B","TIE"))))))</f>
        <v>A</v>
      </c>
    </row>
    <row r="72" spans="1:3" ht="15" customHeight="1" x14ac:dyDescent="0.3">
      <c r="A72" t="s">
        <v>82</v>
      </c>
      <c r="B72" t="str">
        <f>IF(B70="EMERGENCY_MODE","No rights-admissible options",IF(B70="TRC_FALLBACK","Min CVaR (TRC fallback)",IF(B71="TIE","RLS tie - requires UCI","RLS comparison")))</f>
        <v>RLS comparison</v>
      </c>
    </row>
    <row r="73" spans="1:3" ht="15" customHeight="1" x14ac:dyDescent="0.3">
      <c r="A73" t="s">
        <v>83</v>
      </c>
      <c r="B73" t="str">
        <f>IF(OR(B70="EMERGENCY_MODE",B70="TRC_FALLBACK"),"YES","NO")</f>
        <v>NO</v>
      </c>
    </row>
    <row r="74" spans="1:3" ht="13.5" customHeight="1" x14ac:dyDescent="0.3"/>
    <row r="75" spans="1:3" ht="15" customHeight="1" x14ac:dyDescent="0.3">
      <c r="A75" s="7" t="s">
        <v>84</v>
      </c>
    </row>
    <row r="76" spans="1:3" ht="15" customHeight="1" x14ac:dyDescent="0.3">
      <c r="A76" t="s">
        <v>85</v>
      </c>
      <c r="B76">
        <v>0</v>
      </c>
      <c r="C76" t="s">
        <v>86</v>
      </c>
    </row>
    <row r="77" spans="1:3" ht="15" customHeight="1" x14ac:dyDescent="0.3">
      <c r="A77" t="s">
        <v>87</v>
      </c>
      <c r="B77">
        <v>0</v>
      </c>
    </row>
    <row r="78" spans="1:3" ht="13.5" customHeight="1" x14ac:dyDescent="0.3"/>
    <row r="79" spans="1:3" ht="15" customHeight="1" x14ac:dyDescent="0.3">
      <c r="A79" s="7" t="s">
        <v>88</v>
      </c>
    </row>
    <row r="80" spans="1:3" ht="15" customHeight="1" x14ac:dyDescent="0.3">
      <c r="A80" t="s">
        <v>89</v>
      </c>
      <c r="B80" s="8">
        <f>Audit_Flags!B21</f>
        <v>0</v>
      </c>
      <c r="C80" t="s">
        <v>90</v>
      </c>
    </row>
    <row r="81" spans="1:4" ht="15" customHeight="1" x14ac:dyDescent="0.3">
      <c r="A81" t="s">
        <v>91</v>
      </c>
      <c r="B81" s="8" t="str">
        <f>IF(AND(B80=0,B82="WORKED_RUN"),"YES","NO")</f>
        <v>YES</v>
      </c>
    </row>
    <row r="82" spans="1:4" ht="14.25" customHeight="1" x14ac:dyDescent="0.3">
      <c r="A82" t="s">
        <v>92</v>
      </c>
      <c r="B82" t="s">
        <v>93</v>
      </c>
      <c r="C82" t="s">
        <v>94</v>
      </c>
    </row>
    <row r="83" spans="1:4" ht="14.25" customHeight="1" x14ac:dyDescent="0.3">
      <c r="A83" t="s">
        <v>95</v>
      </c>
      <c r="B83" t="str">
        <f>B118</f>
        <v>YES</v>
      </c>
      <c r="C83" t="s">
        <v>96</v>
      </c>
    </row>
    <row r="84" spans="1:4" ht="13.5" customHeight="1" x14ac:dyDescent="0.3"/>
    <row r="85" spans="1:4" ht="14.25" customHeight="1" x14ac:dyDescent="0.3">
      <c r="A85" s="9" t="s">
        <v>97</v>
      </c>
    </row>
    <row r="86" spans="1:4" ht="14.25" customHeight="1" x14ac:dyDescent="0.3">
      <c r="A86" t="s">
        <v>98</v>
      </c>
    </row>
    <row r="87" spans="1:4" ht="14.25" customHeight="1" x14ac:dyDescent="0.3">
      <c r="D87" s="10"/>
    </row>
    <row r="88" spans="1:4" ht="14.25" customHeight="1" x14ac:dyDescent="0.3">
      <c r="A88" t="s">
        <v>99</v>
      </c>
      <c r="B88" t="s">
        <v>100</v>
      </c>
      <c r="C88" t="s">
        <v>101</v>
      </c>
      <c r="D88" s="10" t="s">
        <v>102</v>
      </c>
    </row>
    <row r="89" spans="1:4" ht="14.25" customHeight="1" x14ac:dyDescent="0.3">
      <c r="A89" t="s">
        <v>10</v>
      </c>
      <c r="B89">
        <f>B10</f>
        <v>2</v>
      </c>
      <c r="C89" t="s">
        <v>103</v>
      </c>
      <c r="D89" s="10" t="str">
        <f>IF(AND(ISNUMBER(B89),B89=INT(B89),B89&gt;=1,B89&lt;=3),"PASS","FAIL")</f>
        <v>PASS</v>
      </c>
    </row>
    <row r="90" spans="1:4" ht="14.25" customHeight="1" x14ac:dyDescent="0.3">
      <c r="A90" t="s">
        <v>104</v>
      </c>
      <c r="B90">
        <f t="shared" ref="B90:B98" si="0">B18</f>
        <v>0.95</v>
      </c>
      <c r="C90" t="s">
        <v>105</v>
      </c>
      <c r="D90" s="10" t="str">
        <f>IF(AND(ISNUMBER(B90),B90&gt;=0,B90&lt;=1),"PASS","FAIL")</f>
        <v>PASS</v>
      </c>
    </row>
    <row r="91" spans="1:4" ht="14.25" customHeight="1" x14ac:dyDescent="0.3">
      <c r="A91" t="s">
        <v>106</v>
      </c>
      <c r="B91">
        <f t="shared" si="0"/>
        <v>5.0000000000000044E-2</v>
      </c>
      <c r="C91" t="s">
        <v>105</v>
      </c>
      <c r="D91" s="10" t="str">
        <f>IF(AND(ISNUMBER(B91),B91&gt;=0,B91&lt;=1),"PASS","FAIL")</f>
        <v>PASS</v>
      </c>
    </row>
    <row r="92" spans="1:4" ht="14.25" customHeight="1" x14ac:dyDescent="0.3">
      <c r="A92" t="s">
        <v>27</v>
      </c>
      <c r="B92">
        <f t="shared" si="0"/>
        <v>2</v>
      </c>
      <c r="C92" t="s">
        <v>107</v>
      </c>
      <c r="D92" s="10" t="str">
        <f>IF(AND(ISNUMBER(B92),B92=INT(B92),B92&gt;0),"PASS","FAIL")</f>
        <v>PASS</v>
      </c>
    </row>
    <row r="93" spans="1:4" ht="14.25" customHeight="1" x14ac:dyDescent="0.3">
      <c r="A93" t="s">
        <v>28</v>
      </c>
      <c r="B93">
        <f t="shared" si="0"/>
        <v>1</v>
      </c>
      <c r="C93" t="s">
        <v>108</v>
      </c>
      <c r="D93" s="10" t="str">
        <f>IF(OR(B93=0,B93=1),"PASS","FAIL")</f>
        <v>PASS</v>
      </c>
    </row>
    <row r="94" spans="1:4" ht="14.25" customHeight="1" x14ac:dyDescent="0.3">
      <c r="A94" t="s">
        <v>109</v>
      </c>
      <c r="B94">
        <f t="shared" si="0"/>
        <v>2</v>
      </c>
      <c r="C94" t="s">
        <v>110</v>
      </c>
      <c r="D94" s="10" t="str">
        <f>IF(AND(ISNUMBER(B94),B94&gt;0),"PASS","FAIL")</f>
        <v>PASS</v>
      </c>
    </row>
    <row r="95" spans="1:4" ht="14.25" customHeight="1" x14ac:dyDescent="0.3">
      <c r="A95" t="s">
        <v>111</v>
      </c>
      <c r="B95">
        <f t="shared" si="0"/>
        <v>0.05</v>
      </c>
      <c r="C95" t="s">
        <v>105</v>
      </c>
      <c r="D95" s="10" t="str">
        <f>IF(AND(ISNUMBER(B95),B95&gt;=0,B95&lt;=1),"PASS","FAIL")</f>
        <v>PASS</v>
      </c>
    </row>
    <row r="96" spans="1:4" ht="14.25" customHeight="1" x14ac:dyDescent="0.3">
      <c r="A96" t="s">
        <v>112</v>
      </c>
      <c r="B96">
        <f t="shared" si="0"/>
        <v>-0.1</v>
      </c>
      <c r="C96" t="s">
        <v>113</v>
      </c>
      <c r="D96" s="10" t="str">
        <f>IF(AND(ISNUMBER(B96),B96&lt;0),"PASS","FAIL")</f>
        <v>PASS</v>
      </c>
    </row>
    <row r="97" spans="1:4" ht="14.25" customHeight="1" x14ac:dyDescent="0.3">
      <c r="A97" t="s">
        <v>114</v>
      </c>
      <c r="B97">
        <f t="shared" si="0"/>
        <v>25</v>
      </c>
      <c r="C97" t="s">
        <v>107</v>
      </c>
      <c r="D97" s="10" t="str">
        <f>IF(AND(ISNUMBER(B97),B97=INT(B97),B97&gt;0),"PASS","FAIL")</f>
        <v>PASS</v>
      </c>
    </row>
    <row r="98" spans="1:4" ht="14.25" customHeight="1" x14ac:dyDescent="0.3">
      <c r="A98" t="s">
        <v>115</v>
      </c>
      <c r="B98">
        <f t="shared" si="0"/>
        <v>0.02</v>
      </c>
      <c r="C98" t="s">
        <v>116</v>
      </c>
      <c r="D98" s="10" t="str">
        <f>IF(AND(ISNUMBER(B98),B98&gt;=0),"PASS","FAIL")</f>
        <v>PASS</v>
      </c>
    </row>
    <row r="99" spans="1:4" ht="14.25" customHeight="1" x14ac:dyDescent="0.3">
      <c r="A99" t="s">
        <v>18</v>
      </c>
      <c r="B99">
        <f>B13</f>
        <v>1</v>
      </c>
      <c r="C99" t="s">
        <v>108</v>
      </c>
      <c r="D99" s="10" t="str">
        <f>IF(OR(B99=0,B99=1),"PASS","FAIL")</f>
        <v>PASS</v>
      </c>
    </row>
    <row r="100" spans="1:4" ht="14.25" customHeight="1" x14ac:dyDescent="0.3">
      <c r="A100" t="s">
        <v>20</v>
      </c>
      <c r="B100">
        <f>B14</f>
        <v>1</v>
      </c>
      <c r="C100" t="s">
        <v>108</v>
      </c>
      <c r="D100" s="10" t="str">
        <f>IF(OR(B100=0,B100=1),"PASS","FAIL")</f>
        <v>PASS</v>
      </c>
    </row>
    <row r="101" spans="1:4" ht="14.25" customHeight="1" x14ac:dyDescent="0.3">
      <c r="A101" t="s">
        <v>22</v>
      </c>
      <c r="B101">
        <f>B15</f>
        <v>0</v>
      </c>
      <c r="C101" t="s">
        <v>108</v>
      </c>
      <c r="D101" s="10" t="str">
        <f>IF(OR(B101=0,B101=1),"PASS","FAIL")</f>
        <v>PASS</v>
      </c>
    </row>
    <row r="102" spans="1:4" ht="14.25" customHeight="1" x14ac:dyDescent="0.3">
      <c r="A102" t="s">
        <v>48</v>
      </c>
      <c r="B102">
        <f>B38</f>
        <v>8</v>
      </c>
      <c r="C102" t="s">
        <v>117</v>
      </c>
      <c r="D102" s="10" t="str">
        <f>IF(AND(ISNUMBER(B102),B102=INT(B102),B102=8),"PASS","FAIL")</f>
        <v>PASS</v>
      </c>
    </row>
    <row r="103" spans="1:4" ht="14.25" customHeight="1" x14ac:dyDescent="0.3">
      <c r="A103" t="s">
        <v>118</v>
      </c>
      <c r="B103">
        <f>B41</f>
        <v>5</v>
      </c>
      <c r="C103" t="s">
        <v>119</v>
      </c>
      <c r="D103" s="10" t="str">
        <f>IF(AND(ISNUMBER(B103),B103=INT(B103),B103&gt;=5,B103&lt;=6),"PASS","FAIL")</f>
        <v>PASS</v>
      </c>
    </row>
    <row r="104" spans="1:4" ht="14.25" customHeight="1" x14ac:dyDescent="0.3">
      <c r="A104" t="s">
        <v>65</v>
      </c>
      <c r="B104">
        <f>B54</f>
        <v>2.1899999999999999E-2</v>
      </c>
      <c r="C104" t="s">
        <v>116</v>
      </c>
      <c r="D104" s="10" t="str">
        <f>IF(AND(ISNUMBER(B104),B104&gt;=0),"PASS","FAIL")</f>
        <v>PASS</v>
      </c>
    </row>
    <row r="105" spans="1:4" ht="14.25" customHeight="1" x14ac:dyDescent="0.3">
      <c r="A105" t="s">
        <v>66</v>
      </c>
      <c r="B105">
        <f>B55</f>
        <v>3.15E-2</v>
      </c>
      <c r="C105" t="s">
        <v>116</v>
      </c>
      <c r="D105" s="10" t="str">
        <f>IF(AND(ISNUMBER(B105),B105&gt;=0),"PASS","FAIL")</f>
        <v>PASS</v>
      </c>
    </row>
    <row r="106" spans="1:4" ht="14.25" customHeight="1" x14ac:dyDescent="0.3">
      <c r="A106" t="s">
        <v>69</v>
      </c>
      <c r="B106">
        <f>B58</f>
        <v>0.2</v>
      </c>
      <c r="C106" t="s">
        <v>105</v>
      </c>
      <c r="D106" s="10" t="str">
        <f>IF(AND(ISNUMBER(B106),B106&gt;=0,B106&lt;=1),"PASS","FAIL")</f>
        <v>PASS</v>
      </c>
    </row>
    <row r="107" spans="1:4" ht="14.25" customHeight="1" x14ac:dyDescent="0.3">
      <c r="A107" t="s">
        <v>73</v>
      </c>
      <c r="B107">
        <f>B63</f>
        <v>5.4619999999999998E-3</v>
      </c>
      <c r="C107" t="s">
        <v>120</v>
      </c>
      <c r="D107" s="10" t="str">
        <f>IF(ISNUMBER(B107),"PASS","FAIL")</f>
        <v>PASS</v>
      </c>
    </row>
    <row r="108" spans="1:4" ht="14.25" customHeight="1" x14ac:dyDescent="0.3">
      <c r="A108" t="s">
        <v>74</v>
      </c>
      <c r="B108">
        <f>B64</f>
        <v>2.02E-4</v>
      </c>
      <c r="C108" t="s">
        <v>120</v>
      </c>
      <c r="D108" s="10" t="str">
        <f>IF(ISNUMBER(B108),"PASS","FAIL")</f>
        <v>PASS</v>
      </c>
    </row>
    <row r="109" spans="1:4" ht="14.25" customHeight="1" x14ac:dyDescent="0.3">
      <c r="A109" t="s">
        <v>76</v>
      </c>
      <c r="B109">
        <f>B67</f>
        <v>2</v>
      </c>
      <c r="C109" t="s">
        <v>121</v>
      </c>
      <c r="D109" s="10" t="str">
        <f>IF(AND(ISNUMBER(B109),B109=INT(B109),B109&gt;=0),"PASS","FAIL")</f>
        <v>PASS</v>
      </c>
    </row>
    <row r="110" spans="1:4" ht="14.25" customHeight="1" x14ac:dyDescent="0.3">
      <c r="A110" t="s">
        <v>78</v>
      </c>
      <c r="B110">
        <f>B68</f>
        <v>2</v>
      </c>
      <c r="C110" t="s">
        <v>121</v>
      </c>
      <c r="D110" s="10" t="str">
        <f>IF(AND(ISNUMBER(B110),B110=INT(B110),B110&gt;=0),"PASS","FAIL")</f>
        <v>PASS</v>
      </c>
    </row>
    <row r="111" spans="1:4" ht="14.25" customHeight="1" x14ac:dyDescent="0.3">
      <c r="A111" t="s">
        <v>85</v>
      </c>
      <c r="B111">
        <f>B76</f>
        <v>0</v>
      </c>
      <c r="C111" t="s">
        <v>121</v>
      </c>
      <c r="D111" s="10" t="str">
        <f>IF(AND(ISNUMBER(B111),B111=INT(B111),B111&gt;=0),"PASS","FAIL")</f>
        <v>PASS</v>
      </c>
    </row>
    <row r="112" spans="1:4" ht="14.25" customHeight="1" x14ac:dyDescent="0.3">
      <c r="A112" t="s">
        <v>122</v>
      </c>
      <c r="B112">
        <f>B80</f>
        <v>0</v>
      </c>
      <c r="C112" t="s">
        <v>121</v>
      </c>
      <c r="D112" s="10" t="str">
        <f>IF(AND(ISNUMBER(B112),B112=INT(B112),B112&gt;=0),"PASS","FAIL")</f>
        <v>PASS</v>
      </c>
    </row>
    <row r="113" spans="1:3" ht="13.5" customHeight="1" x14ac:dyDescent="0.3"/>
    <row r="114" spans="1:3" ht="14.25" customHeight="1" x14ac:dyDescent="0.3">
      <c r="A114" s="9" t="s">
        <v>123</v>
      </c>
    </row>
    <row r="115" spans="1:3" ht="14.25" customHeight="1" x14ac:dyDescent="0.3">
      <c r="A115" s="9" t="s">
        <v>124</v>
      </c>
      <c r="B115" s="10">
        <v>0</v>
      </c>
      <c r="C115" t="s">
        <v>125</v>
      </c>
    </row>
    <row r="116" spans="1:3" ht="14.25" customHeight="1" x14ac:dyDescent="0.3">
      <c r="A116" t="s">
        <v>126</v>
      </c>
      <c r="B116" s="10">
        <f>COUNTIF(D89:D112,"FAIL")</f>
        <v>0</v>
      </c>
      <c r="C116" t="s">
        <v>127</v>
      </c>
    </row>
    <row r="117" spans="1:3" ht="14.25" customHeight="1" x14ac:dyDescent="0.3">
      <c r="A117" t="s">
        <v>128</v>
      </c>
      <c r="B117" s="8">
        <f>SUMPRODUCT((LEN(Dashboard!A1:Z100)-LEN(SUBSTITUTE(Dashboard!A1:Z100,"[","")))/1)</f>
        <v>0</v>
      </c>
      <c r="C117" t="s">
        <v>129</v>
      </c>
    </row>
    <row r="118" spans="1:3" ht="14.25" customHeight="1" x14ac:dyDescent="0.3">
      <c r="A118" t="s">
        <v>95</v>
      </c>
      <c r="B118" s="8" t="str">
        <f>IF(OR(Audit_Flags!B21&gt;0,Audit_Flags!B12="YES",Audit_Flags!B18="YES",CANON!B116&gt;0,CANON!B117&gt;0,CANON!B80&gt;0),"NO","YES")</f>
        <v>YES</v>
      </c>
      <c r="C118" t="s">
        <v>130</v>
      </c>
    </row>
    <row r="119" spans="1:3" ht="13.5" customHeight="1" x14ac:dyDescent="0.3"/>
    <row r="120" spans="1:3" ht="14.25" customHeight="1" x14ac:dyDescent="0.3">
      <c r="A120" s="9" t="str">
        <f>"RELEASE INTEGRITY PANEL ("&amp;B7&amp;")"</f>
        <v>RELEASE INTEGRITY PANEL (v1.8.3)</v>
      </c>
    </row>
    <row r="121" spans="1:3" ht="14.25" customHeight="1" x14ac:dyDescent="0.3">
      <c r="A121" t="s">
        <v>131</v>
      </c>
      <c r="B121" s="8">
        <f>Sanity_Checklist!B40</f>
        <v>0</v>
      </c>
    </row>
    <row r="122" spans="1:3" ht="14.25" customHeight="1" x14ac:dyDescent="0.3">
      <c r="A122" t="s">
        <v>132</v>
      </c>
      <c r="B122" s="8">
        <f>Audit_Flags!B21</f>
        <v>0</v>
      </c>
    </row>
    <row r="123" spans="1:3" ht="14.25" customHeight="1" x14ac:dyDescent="0.3">
      <c r="A123" t="s">
        <v>133</v>
      </c>
      <c r="B123" s="8" t="str">
        <f>Audit_Flags!B18</f>
        <v>NO</v>
      </c>
    </row>
    <row r="124" spans="1:3" ht="14.25" customHeight="1" x14ac:dyDescent="0.3">
      <c r="A124" t="s">
        <v>134</v>
      </c>
      <c r="B124" s="8">
        <f>B117</f>
        <v>0</v>
      </c>
    </row>
    <row r="125" spans="1:3" ht="14.25" customHeight="1" x14ac:dyDescent="0.3">
      <c r="A125" t="s">
        <v>135</v>
      </c>
      <c r="B125" s="8" t="str">
        <f>B118</f>
        <v>YES</v>
      </c>
    </row>
    <row r="126" spans="1:3" ht="13.5" customHeight="1" x14ac:dyDescent="0.3"/>
    <row r="127" spans="1:3" ht="14.25" customHeight="1" x14ac:dyDescent="0.3">
      <c r="A127" t="s">
        <v>136</v>
      </c>
      <c r="B127" s="8" t="str">
        <f>IF(AND(B121=0,B122=0,B123="NO",B125="YES"),"✓ PUBLISH OK","❌ REVIEW NEEDED")</f>
        <v>✓ PUBLISH OK</v>
      </c>
    </row>
    <row r="129" spans="1:3" ht="15" customHeight="1" x14ac:dyDescent="0.3">
      <c r="A129" s="11" t="s">
        <v>137</v>
      </c>
      <c r="B129" s="12"/>
      <c r="C129" s="12"/>
    </row>
    <row r="130" spans="1:3" ht="13.5" customHeight="1" x14ac:dyDescent="0.3">
      <c r="A130" s="13" t="s">
        <v>138</v>
      </c>
      <c r="B130" s="14">
        <v>1</v>
      </c>
      <c r="C130" s="15" t="s">
        <v>139</v>
      </c>
    </row>
    <row r="131" spans="1:3" ht="13.5" customHeight="1" x14ac:dyDescent="0.3">
      <c r="A131" s="13" t="s">
        <v>140</v>
      </c>
      <c r="B131" s="14" t="s">
        <v>141</v>
      </c>
      <c r="C131" s="12"/>
    </row>
    <row r="132" spans="1:3" ht="13.5" customHeight="1" x14ac:dyDescent="0.3">
      <c r="A132" s="13" t="s">
        <v>142</v>
      </c>
      <c r="B132" s="14" t="s">
        <v>143</v>
      </c>
      <c r="C132" s="15" t="s">
        <v>144</v>
      </c>
    </row>
    <row r="133" spans="1:3" ht="13.5" customHeight="1" x14ac:dyDescent="0.3">
      <c r="A133" s="13" t="s">
        <v>145</v>
      </c>
      <c r="B133" s="14" t="s">
        <v>146</v>
      </c>
      <c r="C133" s="15" t="s">
        <v>147</v>
      </c>
    </row>
    <row r="134" spans="1:3" ht="13.5" customHeight="1" x14ac:dyDescent="0.3">
      <c r="A134" s="13" t="s">
        <v>148</v>
      </c>
      <c r="B134" s="14" t="s">
        <v>149</v>
      </c>
      <c r="C134" s="12"/>
    </row>
    <row r="135" spans="1:3" ht="13.5" customHeight="1" x14ac:dyDescent="0.3">
      <c r="A135" s="13" t="s">
        <v>150</v>
      </c>
      <c r="B135" s="14" t="s">
        <v>151</v>
      </c>
      <c r="C135" s="12"/>
    </row>
    <row r="136" spans="1:3" ht="13.5" customHeight="1" x14ac:dyDescent="0.3">
      <c r="A136" s="13" t="s">
        <v>152</v>
      </c>
      <c r="B136" s="14" t="s">
        <v>56</v>
      </c>
      <c r="C136" s="15" t="s">
        <v>153</v>
      </c>
    </row>
    <row r="137" spans="1:3" ht="13.5" customHeight="1" x14ac:dyDescent="0.3">
      <c r="A137" s="13" t="s">
        <v>154</v>
      </c>
      <c r="B137" s="14" t="s">
        <v>155</v>
      </c>
      <c r="C137" s="15" t="s">
        <v>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35" customWidth="1"/>
    <col min="3" max="5" width="20" customWidth="1"/>
    <col min="6" max="6" width="25" customWidth="1"/>
  </cols>
  <sheetData>
    <row r="1" spans="1:6" ht="17.25" customHeight="1" x14ac:dyDescent="0.3">
      <c r="A1" s="9" t="s">
        <v>174</v>
      </c>
    </row>
    <row r="2" spans="1:6" ht="14.25" customHeight="1" x14ac:dyDescent="0.3">
      <c r="A2" t="s">
        <v>175</v>
      </c>
    </row>
    <row r="3" spans="1:6" ht="15" customHeight="1" x14ac:dyDescent="0.3">
      <c r="A3" t="s">
        <v>176</v>
      </c>
    </row>
    <row r="4" spans="1:6" ht="15" customHeight="1" x14ac:dyDescent="0.3"/>
    <row r="5" spans="1:6" ht="14.25" customHeight="1" x14ac:dyDescent="0.3">
      <c r="A5" s="9" t="s">
        <v>177</v>
      </c>
      <c r="B5" s="9" t="s">
        <v>178</v>
      </c>
      <c r="C5" s="9" t="s">
        <v>179</v>
      </c>
      <c r="D5" s="9" t="s">
        <v>180</v>
      </c>
      <c r="E5" s="9" t="s">
        <v>102</v>
      </c>
      <c r="F5" s="9" t="s">
        <v>181</v>
      </c>
    </row>
    <row r="6" spans="1:6" ht="15" customHeight="1" x14ac:dyDescent="0.3">
      <c r="A6" s="7" t="s">
        <v>182</v>
      </c>
      <c r="B6" s="7" t="s">
        <v>7</v>
      </c>
      <c r="C6" s="7" t="s">
        <v>8</v>
      </c>
      <c r="D6" s="7" t="str">
        <f>CANON!B7</f>
        <v>v1.8.3</v>
      </c>
      <c r="E6" s="16" t="str">
        <f>IF(C6=D6,"PASS","FAIL")</f>
        <v>PASS</v>
      </c>
      <c r="F6" s="7" t="s">
        <v>183</v>
      </c>
    </row>
    <row r="7" spans="1:6" ht="15" customHeight="1" x14ac:dyDescent="0.3">
      <c r="A7" t="s">
        <v>184</v>
      </c>
      <c r="B7" t="s">
        <v>185</v>
      </c>
      <c r="C7" t="s">
        <v>8</v>
      </c>
      <c r="D7" t="str">
        <f>Config!B2</f>
        <v>v1.8.3</v>
      </c>
      <c r="E7" s="17" t="str">
        <f>IF(C7=D7,"PASS","FAIL")</f>
        <v>PASS</v>
      </c>
      <c r="F7" t="s">
        <v>186</v>
      </c>
    </row>
    <row r="8" spans="1:6" ht="15" customHeight="1" x14ac:dyDescent="0.3">
      <c r="A8" t="s">
        <v>187</v>
      </c>
      <c r="B8" t="s">
        <v>188</v>
      </c>
      <c r="C8" t="s">
        <v>8</v>
      </c>
      <c r="D8" t="str">
        <f>PCC!B11</f>
        <v>v1.8.3</v>
      </c>
      <c r="E8" s="17" t="str">
        <f>IF(C8=D8,"PASS","FAIL")</f>
        <v>PASS</v>
      </c>
      <c r="F8" t="s">
        <v>189</v>
      </c>
    </row>
    <row r="9" spans="1:6" ht="15" customHeight="1" x14ac:dyDescent="0.3">
      <c r="A9" t="s">
        <v>190</v>
      </c>
      <c r="B9" t="s">
        <v>159</v>
      </c>
      <c r="C9" t="s">
        <v>4</v>
      </c>
      <c r="D9" t="str">
        <f>CANON!B5</f>
        <v>Ripple_Logic v8.5.3</v>
      </c>
      <c r="E9" s="17" t="str">
        <f>IF(C9=D9,"PASS","FAIL")</f>
        <v>PASS</v>
      </c>
      <c r="F9" t="s">
        <v>191</v>
      </c>
    </row>
    <row r="10" spans="1:6" ht="15" customHeight="1" x14ac:dyDescent="0.3">
      <c r="A10" t="s">
        <v>192</v>
      </c>
      <c r="B10" t="s">
        <v>193</v>
      </c>
      <c r="C10">
        <f>CANON!B54</f>
        <v>2.1899999999999999E-2</v>
      </c>
      <c r="D10">
        <f>TRC!B25</f>
        <v>2.1899999999999999E-2</v>
      </c>
      <c r="E10" s="17" t="str">
        <f t="shared" ref="E10:E35" si="0">IF(AND(ISNUMBER(C10),ISNUMBER(D10)),IF(ABS(C10-D10)&lt;0.000000001,"PASS","FAIL"),IF(C10=D10,"PASS","FAIL"))</f>
        <v>PASS</v>
      </c>
      <c r="F10" t="s">
        <v>194</v>
      </c>
    </row>
    <row r="11" spans="1:6" ht="15" customHeight="1" x14ac:dyDescent="0.3">
      <c r="A11" t="s">
        <v>195</v>
      </c>
      <c r="B11" t="s">
        <v>196</v>
      </c>
      <c r="C11">
        <f>CANON!B55</f>
        <v>3.15E-2</v>
      </c>
      <c r="D11">
        <f>TRC!B41</f>
        <v>3.15E-2</v>
      </c>
      <c r="E11" s="17" t="str">
        <f t="shared" si="0"/>
        <v>PASS</v>
      </c>
      <c r="F11" t="s">
        <v>194</v>
      </c>
    </row>
    <row r="12" spans="1:6" ht="15" customHeight="1" x14ac:dyDescent="0.3">
      <c r="A12" t="s">
        <v>197</v>
      </c>
      <c r="B12" t="s">
        <v>198</v>
      </c>
      <c r="C12">
        <f>CANON!B54</f>
        <v>2.1899999999999999E-2</v>
      </c>
      <c r="D12">
        <f>CANON!B54</f>
        <v>2.1899999999999999E-2</v>
      </c>
      <c r="E12" s="17" t="str">
        <f t="shared" si="0"/>
        <v>PASS</v>
      </c>
      <c r="F12" t="s">
        <v>199</v>
      </c>
    </row>
    <row r="13" spans="1:6" ht="15" customHeight="1" x14ac:dyDescent="0.3">
      <c r="A13" t="s">
        <v>200</v>
      </c>
      <c r="B13" t="s">
        <v>201</v>
      </c>
      <c r="C13">
        <f>8</f>
        <v>8</v>
      </c>
      <c r="D13">
        <f>CANON!B38</f>
        <v>8</v>
      </c>
      <c r="E13" s="17" t="str">
        <f t="shared" si="0"/>
        <v>PASS</v>
      </c>
      <c r="F13" t="s">
        <v>202</v>
      </c>
    </row>
    <row r="14" spans="1:6" ht="15" customHeight="1" x14ac:dyDescent="0.3">
      <c r="A14" t="s">
        <v>203</v>
      </c>
      <c r="B14" t="s">
        <v>204</v>
      </c>
      <c r="C14">
        <f>16</f>
        <v>16</v>
      </c>
      <c r="D14">
        <f>COUNT(NCRC!D8:D15)+COUNT(NCRC!E8:E15)</f>
        <v>16</v>
      </c>
      <c r="E14" s="17" t="str">
        <f t="shared" si="0"/>
        <v>PASS</v>
      </c>
      <c r="F14" t="s">
        <v>205</v>
      </c>
    </row>
    <row r="15" spans="1:6" ht="15" customHeight="1" x14ac:dyDescent="0.3">
      <c r="A15" t="s">
        <v>206</v>
      </c>
      <c r="B15" t="s">
        <v>207</v>
      </c>
      <c r="C15" t="str">
        <f>"PASS"</f>
        <v>PASS</v>
      </c>
      <c r="D15" t="str">
        <f>CANON!B51</f>
        <v>PASS</v>
      </c>
      <c r="E15" s="17" t="str">
        <f t="shared" si="0"/>
        <v>PASS</v>
      </c>
      <c r="F15" t="s">
        <v>208</v>
      </c>
    </row>
    <row r="16" spans="1:6" ht="15" customHeight="1" x14ac:dyDescent="0.3">
      <c r="A16" t="s">
        <v>209</v>
      </c>
      <c r="B16" t="s">
        <v>210</v>
      </c>
      <c r="C16" t="str">
        <f>"PASS"</f>
        <v>PASS</v>
      </c>
      <c r="D16" t="str">
        <f>CANON!B52</f>
        <v>PASS</v>
      </c>
      <c r="E16" s="17" t="str">
        <f t="shared" si="0"/>
        <v>PASS</v>
      </c>
      <c r="F16" t="s">
        <v>211</v>
      </c>
    </row>
    <row r="17" spans="1:6" ht="15" customHeight="1" x14ac:dyDescent="0.3">
      <c r="A17" t="s">
        <v>212</v>
      </c>
      <c r="B17" t="s">
        <v>213</v>
      </c>
      <c r="C17">
        <f>CANON!B23</f>
        <v>0.05</v>
      </c>
      <c r="D17">
        <f>CANON!B23</f>
        <v>0.05</v>
      </c>
      <c r="E17" s="17" t="str">
        <f t="shared" si="0"/>
        <v>PASS</v>
      </c>
      <c r="F17" t="s">
        <v>214</v>
      </c>
    </row>
    <row r="18" spans="1:6" ht="15" customHeight="1" x14ac:dyDescent="0.3">
      <c r="A18" t="s">
        <v>215</v>
      </c>
      <c r="B18" t="s">
        <v>216</v>
      </c>
      <c r="C18">
        <f>CANON!B24</f>
        <v>-0.1</v>
      </c>
      <c r="D18">
        <f>CANON!B24</f>
        <v>-0.1</v>
      </c>
      <c r="E18" s="17" t="str">
        <f t="shared" si="0"/>
        <v>PASS</v>
      </c>
      <c r="F18" t="s">
        <v>214</v>
      </c>
    </row>
    <row r="19" spans="1:6" ht="15" customHeight="1" x14ac:dyDescent="0.3">
      <c r="A19" t="s">
        <v>217</v>
      </c>
      <c r="B19" t="s">
        <v>218</v>
      </c>
      <c r="C19">
        <f>CANON!B58</f>
        <v>0.2</v>
      </c>
      <c r="D19">
        <f>TRC!B9</f>
        <v>0.2</v>
      </c>
      <c r="E19" s="17" t="str">
        <f t="shared" si="0"/>
        <v>PASS</v>
      </c>
      <c r="F19" t="s">
        <v>219</v>
      </c>
    </row>
    <row r="20" spans="1:6" ht="15" customHeight="1" x14ac:dyDescent="0.3">
      <c r="A20" s="7" t="s">
        <v>220</v>
      </c>
      <c r="B20" t="s">
        <v>221</v>
      </c>
      <c r="C20">
        <f>CANON!B41</f>
        <v>5</v>
      </c>
      <c r="D20">
        <f>CANON!B41</f>
        <v>5</v>
      </c>
      <c r="E20" s="17" t="str">
        <f t="shared" si="0"/>
        <v>PASS</v>
      </c>
      <c r="F20" t="s">
        <v>222</v>
      </c>
    </row>
    <row r="21" spans="1:6" ht="15" customHeight="1" x14ac:dyDescent="0.3">
      <c r="A21" t="s">
        <v>223</v>
      </c>
      <c r="B21" t="s">
        <v>224</v>
      </c>
      <c r="C21">
        <f>CANON!B41</f>
        <v>5</v>
      </c>
      <c r="D21">
        <f>CANON!B41</f>
        <v>5</v>
      </c>
      <c r="E21" s="17" t="str">
        <f t="shared" si="0"/>
        <v>PASS</v>
      </c>
      <c r="F21" t="s">
        <v>222</v>
      </c>
    </row>
    <row r="22" spans="1:6" ht="15" customHeight="1" x14ac:dyDescent="0.3">
      <c r="A22" t="s">
        <v>225</v>
      </c>
      <c r="B22" t="s">
        <v>226</v>
      </c>
      <c r="C22">
        <f>0</f>
        <v>0</v>
      </c>
      <c r="D22">
        <f>CANON!B76</f>
        <v>0</v>
      </c>
      <c r="E22" s="17" t="str">
        <f t="shared" si="0"/>
        <v>PASS</v>
      </c>
      <c r="F22" t="s">
        <v>227</v>
      </c>
    </row>
    <row r="23" spans="1:6" ht="15" customHeight="1" x14ac:dyDescent="0.3">
      <c r="A23" t="s">
        <v>228</v>
      </c>
      <c r="B23" t="s">
        <v>229</v>
      </c>
      <c r="C23" t="str">
        <f>"NORMAL"</f>
        <v>NORMAL</v>
      </c>
      <c r="D23" t="str">
        <f>CANON!B70</f>
        <v>NORMAL</v>
      </c>
      <c r="E23" s="17" t="str">
        <f t="shared" si="0"/>
        <v>PASS</v>
      </c>
      <c r="F23" t="s">
        <v>230</v>
      </c>
    </row>
    <row r="24" spans="1:6" ht="15" customHeight="1" x14ac:dyDescent="0.3">
      <c r="A24" t="s">
        <v>231</v>
      </c>
      <c r="B24" t="s">
        <v>232</v>
      </c>
      <c r="C24" t="str">
        <f>"A"</f>
        <v>A</v>
      </c>
      <c r="D24" t="str">
        <f>CANON!B71</f>
        <v>A</v>
      </c>
      <c r="E24" s="17" t="str">
        <f t="shared" si="0"/>
        <v>PASS</v>
      </c>
      <c r="F24" t="s">
        <v>233</v>
      </c>
    </row>
    <row r="25" spans="1:6" ht="15" customHeight="1" x14ac:dyDescent="0.3">
      <c r="A25" t="s">
        <v>234</v>
      </c>
      <c r="B25" t="s">
        <v>235</v>
      </c>
      <c r="C25">
        <f>2</f>
        <v>2</v>
      </c>
      <c r="D25">
        <f>COUNT(TRC!B25,TRC!B41)</f>
        <v>2</v>
      </c>
      <c r="E25" s="17" t="str">
        <f t="shared" si="0"/>
        <v>PASS</v>
      </c>
      <c r="F25" t="s">
        <v>236</v>
      </c>
    </row>
    <row r="26" spans="1:6" ht="15" customHeight="1" x14ac:dyDescent="0.3">
      <c r="A26" t="s">
        <v>237</v>
      </c>
      <c r="B26" t="s">
        <v>238</v>
      </c>
      <c r="C26" t="str">
        <f>"Consistent"</f>
        <v>Consistent</v>
      </c>
      <c r="D26" t="str">
        <f>"Consistent"</f>
        <v>Consistent</v>
      </c>
      <c r="E26" s="17" t="str">
        <f t="shared" si="0"/>
        <v>PASS</v>
      </c>
      <c r="F26" t="s">
        <v>236</v>
      </c>
    </row>
    <row r="27" spans="1:6" ht="15" customHeight="1" x14ac:dyDescent="0.3">
      <c r="A27" t="s">
        <v>239</v>
      </c>
      <c r="B27" t="s">
        <v>240</v>
      </c>
      <c r="C27">
        <f>0</f>
        <v>0</v>
      </c>
      <c r="D27">
        <f>Audit_Flags!B21</f>
        <v>0</v>
      </c>
      <c r="E27" s="17" t="str">
        <f t="shared" si="0"/>
        <v>PASS</v>
      </c>
      <c r="F27" t="s">
        <v>241</v>
      </c>
    </row>
    <row r="28" spans="1:6" ht="15" customHeight="1" x14ac:dyDescent="0.3">
      <c r="A28" t="s">
        <v>242</v>
      </c>
      <c r="B28" t="s">
        <v>243</v>
      </c>
      <c r="C28" t="str">
        <f>"YES"</f>
        <v>YES</v>
      </c>
      <c r="D28" t="str">
        <f>CANON!B81</f>
        <v>YES</v>
      </c>
      <c r="E28" s="17" t="str">
        <f t="shared" si="0"/>
        <v>PASS</v>
      </c>
      <c r="F28" t="s">
        <v>244</v>
      </c>
    </row>
    <row r="29" spans="1:6" ht="15" customHeight="1" x14ac:dyDescent="0.3">
      <c r="A29" t="s">
        <v>245</v>
      </c>
      <c r="B29" t="s">
        <v>246</v>
      </c>
      <c r="C29">
        <f>CANON!B54</f>
        <v>2.1899999999999999E-2</v>
      </c>
      <c r="D29">
        <f>CANON!B54</f>
        <v>2.1899999999999999E-2</v>
      </c>
      <c r="E29" s="17" t="str">
        <f t="shared" si="0"/>
        <v>PASS</v>
      </c>
      <c r="F29" t="s">
        <v>247</v>
      </c>
    </row>
    <row r="30" spans="1:6" ht="14.25" customHeight="1" x14ac:dyDescent="0.3">
      <c r="A30" t="s">
        <v>248</v>
      </c>
      <c r="B30" t="s">
        <v>249</v>
      </c>
      <c r="C30">
        <f>CANON!B55</f>
        <v>3.15E-2</v>
      </c>
      <c r="D30">
        <f>CANON!B55</f>
        <v>3.15E-2</v>
      </c>
      <c r="E30" s="17" t="str">
        <f t="shared" si="0"/>
        <v>PASS</v>
      </c>
      <c r="F30" t="s">
        <v>247</v>
      </c>
    </row>
    <row r="31" spans="1:6" ht="14.25" customHeight="1" x14ac:dyDescent="0.3">
      <c r="A31" t="s">
        <v>250</v>
      </c>
      <c r="B31" t="s">
        <v>251</v>
      </c>
      <c r="C31">
        <f>0</f>
        <v>0</v>
      </c>
      <c r="D31">
        <f>CANON!B116</f>
        <v>0</v>
      </c>
      <c r="E31" s="17" t="str">
        <f t="shared" si="0"/>
        <v>PASS</v>
      </c>
      <c r="F31" t="s">
        <v>252</v>
      </c>
    </row>
    <row r="32" spans="1:6" ht="15" customHeight="1" x14ac:dyDescent="0.3">
      <c r="A32" s="18" t="s">
        <v>253</v>
      </c>
      <c r="B32" t="s">
        <v>92</v>
      </c>
      <c r="C32" t="str">
        <f>"WORKED_RUN"</f>
        <v>WORKED_RUN</v>
      </c>
      <c r="D32" t="str">
        <f>CANON!B82</f>
        <v>WORKED_RUN</v>
      </c>
      <c r="E32" s="17" t="str">
        <f t="shared" si="0"/>
        <v>PASS</v>
      </c>
      <c r="F32" t="s">
        <v>254</v>
      </c>
    </row>
    <row r="33" spans="1:7" ht="15" customHeight="1" x14ac:dyDescent="0.3">
      <c r="A33" t="s">
        <v>255</v>
      </c>
      <c r="B33" t="s">
        <v>256</v>
      </c>
      <c r="C33">
        <f>0</f>
        <v>0</v>
      </c>
      <c r="D33">
        <f>CANON!B117</f>
        <v>0</v>
      </c>
      <c r="E33" s="17" t="str">
        <f t="shared" si="0"/>
        <v>PASS</v>
      </c>
      <c r="F33" t="s">
        <v>257</v>
      </c>
    </row>
    <row r="34" spans="1:7" ht="15" customHeight="1" x14ac:dyDescent="0.3">
      <c r="A34" t="s">
        <v>258</v>
      </c>
      <c r="B34" t="s">
        <v>259</v>
      </c>
      <c r="C34" t="str">
        <f>"Consistent"</f>
        <v>Consistent</v>
      </c>
      <c r="D34" t="str">
        <f>"Consistent"</f>
        <v>Consistent</v>
      </c>
      <c r="E34" s="17" t="str">
        <f t="shared" si="0"/>
        <v>PASS</v>
      </c>
      <c r="F34" t="s">
        <v>260</v>
      </c>
    </row>
    <row r="35" spans="1:7" ht="15" customHeight="1" x14ac:dyDescent="0.3">
      <c r="A35" s="9" t="s">
        <v>261</v>
      </c>
      <c r="B35" t="s">
        <v>262</v>
      </c>
      <c r="C35" t="str">
        <f>"NO"</f>
        <v>NO</v>
      </c>
      <c r="D35" t="str">
        <f>Audit_Flags!B18</f>
        <v>NO</v>
      </c>
      <c r="E35" s="17" t="str">
        <f t="shared" si="0"/>
        <v>PASS</v>
      </c>
      <c r="F35" t="s">
        <v>263</v>
      </c>
    </row>
    <row r="36" spans="1:7" ht="15" customHeight="1" x14ac:dyDescent="0.3">
      <c r="A36" s="9"/>
    </row>
    <row r="37" spans="1:7" ht="14.25" customHeight="1" x14ac:dyDescent="0.3">
      <c r="A37" s="9" t="s">
        <v>264</v>
      </c>
    </row>
    <row r="38" spans="1:7" ht="15" customHeight="1" x14ac:dyDescent="0.3">
      <c r="A38" t="s">
        <v>265</v>
      </c>
      <c r="B38">
        <v>30</v>
      </c>
    </row>
    <row r="39" spans="1:7" ht="14.25" customHeight="1" x14ac:dyDescent="0.3">
      <c r="A39" t="s">
        <v>266</v>
      </c>
      <c r="B39" s="8">
        <f>COUNTIF(E6:E35,"PASS")</f>
        <v>30</v>
      </c>
      <c r="C39" s="10"/>
    </row>
    <row r="40" spans="1:7" ht="14.25" customHeight="1" x14ac:dyDescent="0.3">
      <c r="A40" t="s">
        <v>267</v>
      </c>
      <c r="B40" s="8">
        <f>COUNTIF(E6:E35,"FAIL")</f>
        <v>0</v>
      </c>
    </row>
    <row r="41" spans="1:7" ht="14.25" customHeight="1" x14ac:dyDescent="0.3">
      <c r="A41" t="s">
        <v>268</v>
      </c>
      <c r="B41" s="8" t="str">
        <f>IF(B40=0,"✓ PUBLISH-READY","❌ FAILS DETECTED")</f>
        <v>✓ PUBLISH-READY</v>
      </c>
    </row>
    <row r="42" spans="1:7" ht="12.75" customHeight="1" x14ac:dyDescent="0.3">
      <c r="A42" s="13" t="s">
        <v>261</v>
      </c>
      <c r="B42" s="13" t="s">
        <v>269</v>
      </c>
      <c r="C42" s="13">
        <f>IF(CANON!$B$10=2,1,IF(CANON!$B$10=3,2,0))</f>
        <v>1</v>
      </c>
      <c r="D42" s="13">
        <f>CANON!B130</f>
        <v>1</v>
      </c>
      <c r="E42" s="13" t="str">
        <f>IF(D42&gt;=C42,"PASS","FAIL")</f>
        <v>PASS</v>
      </c>
      <c r="F42" s="13" t="s">
        <v>270</v>
      </c>
    </row>
    <row r="43" spans="1:7" ht="12.75" customHeight="1" x14ac:dyDescent="0.3">
      <c r="A43" s="13" t="s">
        <v>271</v>
      </c>
      <c r="B43" s="13" t="s">
        <v>272</v>
      </c>
      <c r="C43" s="13" t="s">
        <v>146</v>
      </c>
      <c r="D43" s="13" t="str">
        <f>CANON!B133</f>
        <v>FULL</v>
      </c>
      <c r="E43" s="13" t="str">
        <f>IF(OR(D43="FULL",D43="REDUCED"),"PASS","FAIL")</f>
        <v>PASS</v>
      </c>
      <c r="F43" s="13" t="s">
        <v>273</v>
      </c>
    </row>
    <row r="44" spans="1:7" ht="12.75" customHeight="1" x14ac:dyDescent="0.3">
      <c r="A44" s="13" t="s">
        <v>274</v>
      </c>
      <c r="B44" s="13" t="s">
        <v>275</v>
      </c>
      <c r="C44" s="13" t="s">
        <v>155</v>
      </c>
      <c r="D44" s="13" t="str">
        <f>CANON!$B$137</f>
        <v>C</v>
      </c>
      <c r="E44" s="13" t="str">
        <f>IF(OR(D44="A",D44="B",D44="C"),"PASS","FAIL")</f>
        <v>PASS</v>
      </c>
      <c r="F44" s="13" t="s">
        <v>276</v>
      </c>
      <c r="G44" t="s">
        <v>277</v>
      </c>
    </row>
    <row r="45" spans="1:7" ht="12.75" customHeight="1" x14ac:dyDescent="0.3">
      <c r="A45" s="13" t="s">
        <v>278</v>
      </c>
      <c r="B45" s="13" t="s">
        <v>279</v>
      </c>
      <c r="C45" s="13" t="s">
        <v>4</v>
      </c>
      <c r="D45" s="13" t="str">
        <f>CANON!B5</f>
        <v>Ripple_Logic v8.5.3</v>
      </c>
      <c r="E45" s="13" t="str">
        <f>IF(C45=D45,"PASS","FAIL")</f>
        <v>PASS</v>
      </c>
      <c r="F45" s="13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Normal="100" workbookViewId="0">
      <selection sqref="A1:H1"/>
    </sheetView>
  </sheetViews>
  <sheetFormatPr defaultColWidth="8.6640625" defaultRowHeight="14.4" x14ac:dyDescent="0.3"/>
  <sheetData>
    <row r="1" spans="1:8" ht="14.25" customHeight="1" x14ac:dyDescent="0.3">
      <c r="A1" s="50" t="s">
        <v>280</v>
      </c>
      <c r="B1" s="49"/>
      <c r="C1" s="49"/>
      <c r="D1" s="49"/>
      <c r="E1" s="49"/>
      <c r="F1" s="49"/>
      <c r="G1" s="49"/>
      <c r="H1" s="49"/>
    </row>
    <row r="2" spans="1:8" ht="14.25" customHeight="1" x14ac:dyDescent="0.3">
      <c r="A2" t="s">
        <v>8</v>
      </c>
      <c r="B2" s="17" t="s">
        <v>8</v>
      </c>
    </row>
    <row r="3" spans="1:8" ht="14.25" customHeight="1" x14ac:dyDescent="0.3">
      <c r="A3" s="7" t="s">
        <v>281</v>
      </c>
      <c r="B3" t="s">
        <v>8</v>
      </c>
    </row>
    <row r="4" spans="1:8" ht="14.25" customHeight="1" x14ac:dyDescent="0.3">
      <c r="A4" t="s">
        <v>282</v>
      </c>
      <c r="B4" t="s">
        <v>4</v>
      </c>
    </row>
    <row r="5" spans="1:8" ht="14.25" customHeight="1" x14ac:dyDescent="0.3">
      <c r="A5" t="s">
        <v>283</v>
      </c>
      <c r="B5" t="s">
        <v>6</v>
      </c>
    </row>
    <row r="6" spans="1:8" ht="14.25" customHeight="1" x14ac:dyDescent="0.3">
      <c r="A6" t="s">
        <v>284</v>
      </c>
      <c r="B6" t="s">
        <v>285</v>
      </c>
    </row>
    <row r="7" spans="1:8" ht="14.25" customHeight="1" x14ac:dyDescent="0.3"/>
    <row r="8" spans="1:8" ht="13.5" customHeight="1" x14ac:dyDescent="0.3"/>
    <row r="9" spans="1:8" ht="14.25" customHeight="1" x14ac:dyDescent="0.3">
      <c r="A9" s="7" t="s">
        <v>286</v>
      </c>
    </row>
    <row r="10" spans="1:8" ht="14.25" customHeight="1" x14ac:dyDescent="0.3">
      <c r="A10" t="s">
        <v>287</v>
      </c>
      <c r="B10">
        <f>CANON!B10</f>
        <v>2</v>
      </c>
      <c r="C10" t="s">
        <v>288</v>
      </c>
    </row>
    <row r="11" spans="1:8" ht="14.25" customHeight="1" x14ac:dyDescent="0.3">
      <c r="A11" t="s">
        <v>289</v>
      </c>
      <c r="B11" t="str">
        <f>CANON!B11</f>
        <v>ORG</v>
      </c>
      <c r="C11" t="s">
        <v>14</v>
      </c>
    </row>
    <row r="12" spans="1:8" ht="14.25" customHeight="1" x14ac:dyDescent="0.3">
      <c r="A12" t="s">
        <v>290</v>
      </c>
      <c r="B12">
        <v>0.2</v>
      </c>
    </row>
    <row r="13" spans="1:8" ht="14.25" customHeight="1" x14ac:dyDescent="0.3">
      <c r="A13" t="s">
        <v>291</v>
      </c>
      <c r="B13" t="str">
        <f>CANON!B12</f>
        <v>NO</v>
      </c>
      <c r="C13" t="s">
        <v>292</v>
      </c>
    </row>
    <row r="14" spans="1:8" ht="14.25" customHeight="1" x14ac:dyDescent="0.3">
      <c r="A14" s="7" t="s">
        <v>293</v>
      </c>
    </row>
    <row r="15" spans="1:8" ht="14.25" customHeight="1" x14ac:dyDescent="0.3">
      <c r="A15" t="s">
        <v>294</v>
      </c>
      <c r="B15" t="s">
        <v>151</v>
      </c>
      <c r="C15" t="s">
        <v>295</v>
      </c>
    </row>
    <row r="16" spans="1:8" ht="14.25" customHeight="1" x14ac:dyDescent="0.3">
      <c r="A16" t="s">
        <v>296</v>
      </c>
      <c r="B16" t="s">
        <v>297</v>
      </c>
      <c r="C16" t="s">
        <v>298</v>
      </c>
    </row>
    <row r="17" spans="1:3" ht="14.25" customHeight="1" x14ac:dyDescent="0.3">
      <c r="A17" t="s">
        <v>299</v>
      </c>
      <c r="B17" t="s">
        <v>300</v>
      </c>
      <c r="C17" t="s">
        <v>301</v>
      </c>
    </row>
    <row r="18" spans="1:3" ht="13.5" customHeight="1" x14ac:dyDescent="0.3"/>
    <row r="19" spans="1:3" ht="14.25" customHeight="1" x14ac:dyDescent="0.3">
      <c r="A19" s="7" t="s">
        <v>302</v>
      </c>
    </row>
    <row r="20" spans="1:3" ht="14.25" customHeight="1" x14ac:dyDescent="0.3">
      <c r="A20" t="s">
        <v>303</v>
      </c>
      <c r="B20" s="19">
        <f>CANON!B26</f>
        <v>0.02</v>
      </c>
      <c r="C20" t="s">
        <v>304</v>
      </c>
    </row>
    <row r="21" spans="1:3" ht="14.25" customHeight="1" x14ac:dyDescent="0.3">
      <c r="A21" t="s">
        <v>305</v>
      </c>
      <c r="B21" t="s">
        <v>56</v>
      </c>
      <c r="C21" t="s">
        <v>306</v>
      </c>
    </row>
    <row r="22" spans="1:3" ht="14.25" customHeight="1" x14ac:dyDescent="0.3">
      <c r="A22" t="s">
        <v>307</v>
      </c>
      <c r="B22">
        <v>2</v>
      </c>
      <c r="C22" t="s">
        <v>308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zoomScaleNormal="100" workbookViewId="0">
      <selection sqref="A1:H1"/>
    </sheetView>
  </sheetViews>
  <sheetFormatPr defaultColWidth="8.6640625" defaultRowHeight="14.4" x14ac:dyDescent="0.3"/>
  <sheetData>
    <row r="1" spans="1:8" ht="14.25" customHeight="1" x14ac:dyDescent="0.3">
      <c r="A1" s="50" t="s">
        <v>309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s="7" t="s">
        <v>310</v>
      </c>
    </row>
    <row r="4" spans="1:8" ht="14.25" customHeight="1" x14ac:dyDescent="0.3">
      <c r="A4" s="7" t="s">
        <v>37</v>
      </c>
      <c r="B4" s="7" t="s">
        <v>38</v>
      </c>
      <c r="C4" s="7" t="s">
        <v>39</v>
      </c>
      <c r="D4" s="7" t="s">
        <v>311</v>
      </c>
    </row>
    <row r="5" spans="1:8" ht="14.25" customHeight="1" x14ac:dyDescent="0.3">
      <c r="A5" s="19" t="s">
        <v>40</v>
      </c>
      <c r="B5" s="19">
        <v>1</v>
      </c>
      <c r="C5" s="19">
        <v>-0.9</v>
      </c>
      <c r="D5" s="19" t="s">
        <v>312</v>
      </c>
    </row>
    <row r="6" spans="1:8" ht="14.25" customHeight="1" x14ac:dyDescent="0.3">
      <c r="A6" s="19" t="s">
        <v>41</v>
      </c>
      <c r="B6" s="19">
        <v>2</v>
      </c>
      <c r="C6" s="19">
        <v>-0.7</v>
      </c>
      <c r="D6" s="19" t="s">
        <v>313</v>
      </c>
    </row>
    <row r="7" spans="1:8" ht="14.25" customHeight="1" x14ac:dyDescent="0.3">
      <c r="A7" s="19" t="s">
        <v>42</v>
      </c>
      <c r="B7" s="19">
        <v>3</v>
      </c>
      <c r="C7" s="19">
        <v>-0.65</v>
      </c>
      <c r="D7" s="19" t="s">
        <v>314</v>
      </c>
    </row>
    <row r="8" spans="1:8" ht="14.25" customHeight="1" x14ac:dyDescent="0.3">
      <c r="A8" s="19" t="s">
        <v>43</v>
      </c>
      <c r="B8" s="19">
        <v>4</v>
      </c>
      <c r="C8" s="19">
        <v>-0.65</v>
      </c>
      <c r="D8" s="19" t="s">
        <v>315</v>
      </c>
    </row>
    <row r="9" spans="1:8" ht="14.25" customHeight="1" x14ac:dyDescent="0.3">
      <c r="A9" s="19" t="s">
        <v>44</v>
      </c>
      <c r="B9" s="19">
        <v>5</v>
      </c>
      <c r="C9" s="19">
        <v>-0.5</v>
      </c>
      <c r="D9" s="19" t="s">
        <v>316</v>
      </c>
    </row>
    <row r="10" spans="1:8" ht="14.25" customHeight="1" x14ac:dyDescent="0.3">
      <c r="A10" s="19" t="s">
        <v>45</v>
      </c>
      <c r="B10" s="19">
        <v>6</v>
      </c>
      <c r="C10" s="19">
        <v>-0.55000000000000004</v>
      </c>
      <c r="D10" s="19" t="s">
        <v>317</v>
      </c>
    </row>
    <row r="11" spans="1:8" ht="14.25" customHeight="1" x14ac:dyDescent="0.3">
      <c r="A11" s="19" t="s">
        <v>46</v>
      </c>
      <c r="B11" s="19">
        <v>7</v>
      </c>
      <c r="C11" s="19">
        <v>-0.45</v>
      </c>
      <c r="D11" s="19" t="s">
        <v>318</v>
      </c>
    </row>
    <row r="12" spans="1:8" ht="14.25" customHeight="1" x14ac:dyDescent="0.3">
      <c r="A12" s="19" t="s">
        <v>47</v>
      </c>
      <c r="B12" s="19">
        <v>8</v>
      </c>
      <c r="C12" s="19">
        <v>-0.4</v>
      </c>
      <c r="D12" s="19" t="s">
        <v>319</v>
      </c>
    </row>
    <row r="13" spans="1:8" ht="13.5" customHeight="1" x14ac:dyDescent="0.3"/>
    <row r="14" spans="1:8" ht="13.5" customHeight="1" x14ac:dyDescent="0.3"/>
    <row r="15" spans="1:8" ht="14.25" customHeight="1" x14ac:dyDescent="0.3">
      <c r="A15" s="7" t="s">
        <v>320</v>
      </c>
    </row>
    <row r="16" spans="1:8" ht="14.25" customHeight="1" x14ac:dyDescent="0.3">
      <c r="A16" s="19" t="s">
        <v>321</v>
      </c>
      <c r="B16" s="19">
        <v>0.3</v>
      </c>
    </row>
    <row r="17" spans="1:2" ht="14.25" customHeight="1" x14ac:dyDescent="0.3">
      <c r="A17" s="19" t="s">
        <v>13</v>
      </c>
      <c r="B17" s="19">
        <v>0.2</v>
      </c>
    </row>
    <row r="18" spans="1:2" ht="14.25" customHeight="1" x14ac:dyDescent="0.3">
      <c r="A18" s="19" t="s">
        <v>322</v>
      </c>
      <c r="B18" s="19">
        <v>0.15</v>
      </c>
    </row>
    <row r="19" spans="1:2" ht="14.25" customHeight="1" x14ac:dyDescent="0.3">
      <c r="A19" s="19" t="s">
        <v>323</v>
      </c>
      <c r="B19" s="19">
        <v>0.1</v>
      </c>
    </row>
    <row r="20" spans="1:2" ht="14.25" customHeight="1" x14ac:dyDescent="0.3">
      <c r="A20" s="19" t="s">
        <v>324</v>
      </c>
      <c r="B20" s="19">
        <v>0.05</v>
      </c>
    </row>
    <row r="21" spans="1:2" ht="13.5" customHeight="1" x14ac:dyDescent="0.3"/>
    <row r="22" spans="1:2" ht="13.5" customHeight="1" x14ac:dyDescent="0.3"/>
    <row r="23" spans="1:2" ht="14.25" customHeight="1" x14ac:dyDescent="0.3">
      <c r="A23" s="7" t="s">
        <v>325</v>
      </c>
    </row>
    <row r="24" spans="1:2" ht="14.25" customHeight="1" x14ac:dyDescent="0.3">
      <c r="A24" s="19" t="s">
        <v>326</v>
      </c>
      <c r="B24" s="19">
        <f>CANON!B20</f>
        <v>2</v>
      </c>
    </row>
    <row r="25" spans="1:2" ht="14.25" customHeight="1" x14ac:dyDescent="0.3">
      <c r="A25" s="19" t="s">
        <v>327</v>
      </c>
      <c r="B25" s="19">
        <f>CANON!B21</f>
        <v>1</v>
      </c>
    </row>
    <row r="26" spans="1:2" ht="14.25" customHeight="1" x14ac:dyDescent="0.3">
      <c r="A26" s="19" t="s">
        <v>328</v>
      </c>
      <c r="B26" s="19">
        <f>CANON!B22</f>
        <v>2</v>
      </c>
    </row>
    <row r="27" spans="1:2" ht="14.25" customHeight="1" x14ac:dyDescent="0.3">
      <c r="A27" s="19" t="s">
        <v>329</v>
      </c>
      <c r="B27" s="19">
        <f>CANON!B24</f>
        <v>-0.1</v>
      </c>
    </row>
    <row r="28" spans="1:2" ht="14.25" customHeight="1" x14ac:dyDescent="0.3">
      <c r="A28" s="19" t="s">
        <v>330</v>
      </c>
      <c r="B28" s="19">
        <f>CANON!B23</f>
        <v>0.05</v>
      </c>
    </row>
    <row r="29" spans="1:2" ht="14.25" customHeight="1" x14ac:dyDescent="0.3">
      <c r="A29" s="19" t="s">
        <v>114</v>
      </c>
      <c r="B29" s="19">
        <f>CANON!B25</f>
        <v>25</v>
      </c>
    </row>
    <row r="30" spans="1:2" ht="14.25" customHeight="1" x14ac:dyDescent="0.3">
      <c r="A30" s="19" t="s">
        <v>331</v>
      </c>
      <c r="B30" s="19">
        <v>0.95</v>
      </c>
    </row>
    <row r="31" spans="1:2" ht="14.25" customHeight="1" x14ac:dyDescent="0.3">
      <c r="A31" s="19" t="s">
        <v>332</v>
      </c>
      <c r="B31" s="19">
        <v>0.02</v>
      </c>
    </row>
    <row r="32" spans="1:2" ht="14.25" customHeight="1" x14ac:dyDescent="0.3">
      <c r="A32" s="19" t="s">
        <v>333</v>
      </c>
      <c r="B32" s="19">
        <v>0.1</v>
      </c>
    </row>
    <row r="33" spans="1:2" ht="14.25" customHeight="1" x14ac:dyDescent="0.3">
      <c r="A33" s="19" t="s">
        <v>334</v>
      </c>
      <c r="B33" s="19">
        <v>0.5</v>
      </c>
    </row>
    <row r="34" spans="1:2" ht="14.25" customHeight="1" x14ac:dyDescent="0.3">
      <c r="A34" s="19" t="s">
        <v>335</v>
      </c>
      <c r="B34" s="19">
        <v>2</v>
      </c>
    </row>
    <row r="35" spans="1:2" ht="13.5" customHeight="1" x14ac:dyDescent="0.3">
      <c r="A35" t="s">
        <v>34</v>
      </c>
      <c r="B35">
        <f>CANON!B27</f>
        <v>8.3000000000000004E-2</v>
      </c>
    </row>
    <row r="36" spans="1:2" ht="13.5" customHeight="1" x14ac:dyDescent="0.3"/>
    <row r="37" spans="1:2" ht="14.25" customHeight="1" x14ac:dyDescent="0.3">
      <c r="A37" s="7" t="s">
        <v>336</v>
      </c>
    </row>
    <row r="38" spans="1:2" ht="14.25" customHeight="1" x14ac:dyDescent="0.3">
      <c r="A38" t="s">
        <v>337</v>
      </c>
      <c r="B38" s="20">
        <v>0.14285714285714299</v>
      </c>
    </row>
    <row r="39" spans="1:2" ht="14.25" customHeight="1" x14ac:dyDescent="0.3">
      <c r="A39" t="s">
        <v>338</v>
      </c>
      <c r="B39" s="20">
        <v>0.14285714285714299</v>
      </c>
    </row>
    <row r="40" spans="1:2" ht="14.25" customHeight="1" x14ac:dyDescent="0.3">
      <c r="A40" t="s">
        <v>339</v>
      </c>
      <c r="B40" s="20">
        <v>0.14285714285714299</v>
      </c>
    </row>
    <row r="41" spans="1:2" ht="14.25" customHeight="1" x14ac:dyDescent="0.3">
      <c r="A41" t="s">
        <v>340</v>
      </c>
      <c r="B41" s="20">
        <v>0.14285714285714299</v>
      </c>
    </row>
    <row r="42" spans="1:2" ht="14.25" customHeight="1" x14ac:dyDescent="0.3">
      <c r="A42" t="s">
        <v>341</v>
      </c>
      <c r="B42" s="20">
        <v>0.14285714285714299</v>
      </c>
    </row>
    <row r="43" spans="1:2" ht="14.25" customHeight="1" x14ac:dyDescent="0.3">
      <c r="A43" t="s">
        <v>342</v>
      </c>
      <c r="B43" s="20">
        <v>0.14285714285714299</v>
      </c>
    </row>
    <row r="44" spans="1:2" ht="14.25" customHeight="1" x14ac:dyDescent="0.3">
      <c r="A44" t="s">
        <v>343</v>
      </c>
      <c r="B44" s="20">
        <v>0.14285714285714299</v>
      </c>
    </row>
    <row r="45" spans="1:2" ht="13.5" customHeight="1" x14ac:dyDescent="0.3"/>
    <row r="46" spans="1:2" ht="13.5" customHeight="1" x14ac:dyDescent="0.3"/>
    <row r="47" spans="1:2" ht="14.25" customHeight="1" x14ac:dyDescent="0.3">
      <c r="A47" s="7" t="s">
        <v>344</v>
      </c>
    </row>
    <row r="48" spans="1:2" ht="14.25" customHeight="1" x14ac:dyDescent="0.3">
      <c r="A48" t="s">
        <v>345</v>
      </c>
      <c r="B48" s="20">
        <v>0.14285714285714299</v>
      </c>
    </row>
    <row r="49" spans="1:2" ht="14.25" customHeight="1" x14ac:dyDescent="0.3">
      <c r="A49" t="s">
        <v>346</v>
      </c>
      <c r="B49" s="20">
        <v>0.14285714285714299</v>
      </c>
    </row>
    <row r="50" spans="1:2" ht="14.25" customHeight="1" x14ac:dyDescent="0.3">
      <c r="A50" t="s">
        <v>347</v>
      </c>
      <c r="B50" s="20">
        <v>0.14285714285714299</v>
      </c>
    </row>
    <row r="51" spans="1:2" ht="14.25" customHeight="1" x14ac:dyDescent="0.3">
      <c r="A51" t="s">
        <v>348</v>
      </c>
      <c r="B51" s="20">
        <v>0.14285714285714299</v>
      </c>
    </row>
    <row r="52" spans="1:2" ht="14.25" customHeight="1" x14ac:dyDescent="0.3">
      <c r="A52" t="s">
        <v>349</v>
      </c>
      <c r="B52" s="20">
        <v>0.14285714285714299</v>
      </c>
    </row>
    <row r="53" spans="1:2" ht="14.25" customHeight="1" x14ac:dyDescent="0.3">
      <c r="A53" t="s">
        <v>350</v>
      </c>
      <c r="B53" s="20">
        <v>0.14285714285714299</v>
      </c>
    </row>
    <row r="54" spans="1:2" ht="14.25" customHeight="1" x14ac:dyDescent="0.3">
      <c r="A54" t="s">
        <v>351</v>
      </c>
      <c r="B54" s="20">
        <v>0.14285714285714299</v>
      </c>
    </row>
    <row r="55" spans="1:2" ht="13.5" customHeight="1" x14ac:dyDescent="0.3"/>
    <row r="56" spans="1:2" ht="13.5" customHeight="1" x14ac:dyDescent="0.3"/>
    <row r="57" spans="1:2" ht="14.25" customHeight="1" x14ac:dyDescent="0.3">
      <c r="A57" t="s">
        <v>352</v>
      </c>
    </row>
    <row r="58" spans="1:2" ht="14.25" customHeight="1" x14ac:dyDescent="0.3">
      <c r="A58" t="s">
        <v>353</v>
      </c>
    </row>
    <row r="60" spans="1:2" ht="13.5" customHeight="1" x14ac:dyDescent="0.3">
      <c r="A60" s="21" t="s">
        <v>354</v>
      </c>
    </row>
    <row r="61" spans="1:2" ht="13.5" customHeight="1" x14ac:dyDescent="0.3">
      <c r="A61" s="15" t="s">
        <v>355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6"/>
  <sheetViews>
    <sheetView zoomScaleNormal="100" workbookViewId="0">
      <selection sqref="A1:H1"/>
    </sheetView>
  </sheetViews>
  <sheetFormatPr defaultColWidth="8.6640625" defaultRowHeight="14.4" x14ac:dyDescent="0.3"/>
  <sheetData>
    <row r="1" spans="1:8" ht="14.25" customHeight="1" x14ac:dyDescent="0.3">
      <c r="A1" s="50" t="s">
        <v>356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t="s">
        <v>357</v>
      </c>
    </row>
    <row r="4" spans="1:8" ht="13.5" customHeight="1" x14ac:dyDescent="0.3"/>
    <row r="5" spans="1:8" ht="14.25" customHeight="1" x14ac:dyDescent="0.3">
      <c r="A5" s="22" t="s">
        <v>358</v>
      </c>
      <c r="B5" s="22" t="s">
        <v>37</v>
      </c>
      <c r="C5" s="22" t="s">
        <v>359</v>
      </c>
      <c r="D5" s="22" t="s">
        <v>360</v>
      </c>
      <c r="E5" s="22" t="s">
        <v>39</v>
      </c>
    </row>
    <row r="6" spans="1:8" ht="14.25" customHeight="1" x14ac:dyDescent="0.3">
      <c r="A6" t="s">
        <v>358</v>
      </c>
      <c r="B6" t="s">
        <v>37</v>
      </c>
      <c r="C6" t="s">
        <v>359</v>
      </c>
      <c r="D6" t="s">
        <v>360</v>
      </c>
      <c r="E6" t="s">
        <v>39</v>
      </c>
    </row>
    <row r="7" spans="1:8" ht="14.25" customHeight="1" x14ac:dyDescent="0.3">
      <c r="A7">
        <v>1</v>
      </c>
      <c r="B7" t="s">
        <v>40</v>
      </c>
      <c r="C7" t="s">
        <v>361</v>
      </c>
      <c r="D7" s="23" t="s">
        <v>362</v>
      </c>
      <c r="E7" s="23">
        <v>-0.9</v>
      </c>
    </row>
    <row r="8" spans="1:8" ht="14.25" customHeight="1" x14ac:dyDescent="0.3">
      <c r="A8">
        <v>2</v>
      </c>
      <c r="B8" t="s">
        <v>40</v>
      </c>
      <c r="C8" t="s">
        <v>363</v>
      </c>
      <c r="D8" s="23" t="s">
        <v>362</v>
      </c>
      <c r="E8" s="23">
        <v>-0.9</v>
      </c>
    </row>
    <row r="9" spans="1:8" ht="14.25" customHeight="1" x14ac:dyDescent="0.3">
      <c r="A9">
        <v>3</v>
      </c>
      <c r="B9" t="s">
        <v>40</v>
      </c>
      <c r="C9" t="s">
        <v>364</v>
      </c>
      <c r="D9" s="23" t="s">
        <v>362</v>
      </c>
      <c r="E9" s="23">
        <v>-0.9</v>
      </c>
    </row>
    <row r="10" spans="1:8" ht="14.25" customHeight="1" x14ac:dyDescent="0.3">
      <c r="A10">
        <v>4</v>
      </c>
      <c r="B10" t="s">
        <v>40</v>
      </c>
      <c r="C10" t="s">
        <v>365</v>
      </c>
      <c r="D10" s="23" t="s">
        <v>362</v>
      </c>
      <c r="E10" s="23">
        <v>-0.9</v>
      </c>
    </row>
    <row r="11" spans="1:8" ht="14.25" customHeight="1" x14ac:dyDescent="0.3">
      <c r="A11">
        <v>5</v>
      </c>
      <c r="B11" t="s">
        <v>40</v>
      </c>
      <c r="C11" t="s">
        <v>366</v>
      </c>
      <c r="D11" s="23" t="s">
        <v>362</v>
      </c>
      <c r="E11" s="23">
        <v>-0.9</v>
      </c>
    </row>
    <row r="12" spans="1:8" ht="14.25" customHeight="1" x14ac:dyDescent="0.3">
      <c r="A12">
        <v>6</v>
      </c>
      <c r="B12" t="s">
        <v>40</v>
      </c>
      <c r="C12" t="s">
        <v>367</v>
      </c>
      <c r="D12" s="23" t="s">
        <v>362</v>
      </c>
      <c r="E12" s="23">
        <v>-0.9</v>
      </c>
    </row>
    <row r="13" spans="1:8" ht="14.25" customHeight="1" x14ac:dyDescent="0.3">
      <c r="A13">
        <v>7</v>
      </c>
      <c r="B13" t="s">
        <v>40</v>
      </c>
      <c r="C13" t="s">
        <v>367</v>
      </c>
      <c r="D13" s="23" t="s">
        <v>368</v>
      </c>
      <c r="E13" s="23">
        <v>-0.9</v>
      </c>
    </row>
    <row r="14" spans="1:8" ht="14.25" customHeight="1" x14ac:dyDescent="0.3">
      <c r="A14">
        <v>8</v>
      </c>
      <c r="B14" t="s">
        <v>41</v>
      </c>
      <c r="C14" t="s">
        <v>361</v>
      </c>
      <c r="D14" s="23" t="s">
        <v>362</v>
      </c>
      <c r="E14" s="23">
        <v>-0.7</v>
      </c>
    </row>
    <row r="15" spans="1:8" ht="14.25" customHeight="1" x14ac:dyDescent="0.3">
      <c r="A15">
        <v>9</v>
      </c>
      <c r="B15" t="s">
        <v>41</v>
      </c>
      <c r="C15" t="s">
        <v>363</v>
      </c>
      <c r="D15" s="23" t="s">
        <v>362</v>
      </c>
      <c r="E15" s="23">
        <v>-0.7</v>
      </c>
    </row>
    <row r="16" spans="1:8" ht="14.25" customHeight="1" x14ac:dyDescent="0.3">
      <c r="A16">
        <v>10</v>
      </c>
      <c r="B16" t="s">
        <v>41</v>
      </c>
      <c r="C16" t="s">
        <v>364</v>
      </c>
      <c r="D16" s="23" t="s">
        <v>362</v>
      </c>
      <c r="E16" s="23">
        <v>-0.7</v>
      </c>
    </row>
    <row r="17" spans="1:5" ht="14.25" customHeight="1" x14ac:dyDescent="0.3">
      <c r="A17">
        <v>11</v>
      </c>
      <c r="B17" t="s">
        <v>41</v>
      </c>
      <c r="C17" t="s">
        <v>365</v>
      </c>
      <c r="D17" s="23" t="s">
        <v>362</v>
      </c>
      <c r="E17" s="23">
        <v>-0.7</v>
      </c>
    </row>
    <row r="18" spans="1:5" ht="14.25" customHeight="1" x14ac:dyDescent="0.3">
      <c r="A18">
        <v>12</v>
      </c>
      <c r="B18" t="s">
        <v>41</v>
      </c>
      <c r="C18" t="s">
        <v>366</v>
      </c>
      <c r="D18" s="23" t="s">
        <v>362</v>
      </c>
      <c r="E18" s="23">
        <v>-0.7</v>
      </c>
    </row>
    <row r="19" spans="1:5" ht="14.25" customHeight="1" x14ac:dyDescent="0.3">
      <c r="A19">
        <v>13</v>
      </c>
      <c r="B19" t="s">
        <v>41</v>
      </c>
      <c r="C19" t="s">
        <v>367</v>
      </c>
      <c r="D19" s="23" t="s">
        <v>362</v>
      </c>
      <c r="E19" s="23">
        <v>-0.7</v>
      </c>
    </row>
    <row r="20" spans="1:5" ht="14.25" customHeight="1" x14ac:dyDescent="0.3">
      <c r="A20">
        <v>14</v>
      </c>
      <c r="B20" t="s">
        <v>42</v>
      </c>
      <c r="C20" t="s">
        <v>367</v>
      </c>
      <c r="D20" s="23" t="s">
        <v>368</v>
      </c>
      <c r="E20" s="23">
        <v>-0.65</v>
      </c>
    </row>
    <row r="21" spans="1:5" ht="14.25" customHeight="1" x14ac:dyDescent="0.3">
      <c r="A21">
        <v>15</v>
      </c>
      <c r="B21" t="s">
        <v>42</v>
      </c>
      <c r="C21" t="s">
        <v>369</v>
      </c>
      <c r="D21" s="23" t="s">
        <v>368</v>
      </c>
      <c r="E21" s="23">
        <v>-0.65</v>
      </c>
    </row>
    <row r="22" spans="1:5" ht="14.25" customHeight="1" x14ac:dyDescent="0.3">
      <c r="A22">
        <v>16</v>
      </c>
      <c r="B22" t="s">
        <v>43</v>
      </c>
      <c r="C22" t="s">
        <v>361</v>
      </c>
      <c r="D22" s="23" t="s">
        <v>370</v>
      </c>
      <c r="E22" s="23">
        <v>-0.65</v>
      </c>
    </row>
    <row r="23" spans="1:5" ht="14.25" customHeight="1" x14ac:dyDescent="0.3">
      <c r="A23">
        <v>17</v>
      </c>
      <c r="B23" t="s">
        <v>43</v>
      </c>
      <c r="C23" t="s">
        <v>363</v>
      </c>
      <c r="D23" s="23" t="s">
        <v>370</v>
      </c>
      <c r="E23" s="23">
        <v>-0.65</v>
      </c>
    </row>
    <row r="24" spans="1:5" ht="14.25" customHeight="1" x14ac:dyDescent="0.3">
      <c r="A24">
        <v>18</v>
      </c>
      <c r="B24" t="s">
        <v>43</v>
      </c>
      <c r="C24" t="s">
        <v>364</v>
      </c>
      <c r="D24" s="23" t="s">
        <v>370</v>
      </c>
      <c r="E24" s="23">
        <v>-0.65</v>
      </c>
    </row>
    <row r="25" spans="1:5" ht="14.25" customHeight="1" x14ac:dyDescent="0.3">
      <c r="A25">
        <v>19</v>
      </c>
      <c r="B25" t="s">
        <v>43</v>
      </c>
      <c r="C25" t="s">
        <v>365</v>
      </c>
      <c r="D25" s="23" t="s">
        <v>370</v>
      </c>
      <c r="E25" s="23">
        <v>-0.65</v>
      </c>
    </row>
    <row r="26" spans="1:5" ht="14.25" customHeight="1" x14ac:dyDescent="0.3">
      <c r="A26">
        <v>20</v>
      </c>
      <c r="B26" t="s">
        <v>43</v>
      </c>
      <c r="C26" t="s">
        <v>366</v>
      </c>
      <c r="D26" s="23" t="s">
        <v>370</v>
      </c>
      <c r="E26" s="23">
        <v>-0.65</v>
      </c>
    </row>
    <row r="27" spans="1:5" ht="14.25" customHeight="1" x14ac:dyDescent="0.3">
      <c r="A27">
        <v>21</v>
      </c>
      <c r="B27" t="s">
        <v>43</v>
      </c>
      <c r="C27" t="s">
        <v>367</v>
      </c>
      <c r="D27" s="23" t="s">
        <v>370</v>
      </c>
      <c r="E27" s="23">
        <v>-0.65</v>
      </c>
    </row>
    <row r="28" spans="1:5" ht="14.25" customHeight="1" x14ac:dyDescent="0.3">
      <c r="A28">
        <v>22</v>
      </c>
      <c r="B28" t="s">
        <v>43</v>
      </c>
      <c r="C28" t="s">
        <v>364</v>
      </c>
      <c r="D28" s="23" t="s">
        <v>371</v>
      </c>
      <c r="E28" s="23">
        <v>-0.65</v>
      </c>
    </row>
    <row r="29" spans="1:5" ht="14.25" customHeight="1" x14ac:dyDescent="0.3">
      <c r="A29">
        <v>23</v>
      </c>
      <c r="B29" t="s">
        <v>43</v>
      </c>
      <c r="C29" t="s">
        <v>365</v>
      </c>
      <c r="D29" s="23" t="s">
        <v>371</v>
      </c>
      <c r="E29" s="23">
        <v>-0.65</v>
      </c>
    </row>
    <row r="30" spans="1:5" ht="14.25" customHeight="1" x14ac:dyDescent="0.3">
      <c r="A30">
        <v>24</v>
      </c>
      <c r="B30" t="s">
        <v>43</v>
      </c>
      <c r="C30" t="s">
        <v>366</v>
      </c>
      <c r="D30" s="23" t="s">
        <v>371</v>
      </c>
      <c r="E30" s="23">
        <v>-0.65</v>
      </c>
    </row>
    <row r="31" spans="1:5" ht="14.25" customHeight="1" x14ac:dyDescent="0.3">
      <c r="A31">
        <v>25</v>
      </c>
      <c r="B31" t="s">
        <v>43</v>
      </c>
      <c r="C31" t="s">
        <v>367</v>
      </c>
      <c r="D31" s="23" t="s">
        <v>371</v>
      </c>
      <c r="E31" s="23">
        <v>-0.65</v>
      </c>
    </row>
    <row r="32" spans="1:5" ht="14.25" customHeight="1" x14ac:dyDescent="0.3">
      <c r="A32">
        <v>26</v>
      </c>
      <c r="B32" t="s">
        <v>44</v>
      </c>
      <c r="C32" t="s">
        <v>361</v>
      </c>
      <c r="D32" s="23" t="s">
        <v>372</v>
      </c>
      <c r="E32" s="23">
        <v>-0.5</v>
      </c>
    </row>
    <row r="33" spans="1:5" ht="14.25" customHeight="1" x14ac:dyDescent="0.3">
      <c r="A33">
        <v>27</v>
      </c>
      <c r="B33" t="s">
        <v>44</v>
      </c>
      <c r="C33" t="s">
        <v>361</v>
      </c>
      <c r="D33" s="23" t="s">
        <v>362</v>
      </c>
      <c r="E33" s="23">
        <v>-0.5</v>
      </c>
    </row>
    <row r="34" spans="1:5" ht="14.25" customHeight="1" x14ac:dyDescent="0.3">
      <c r="A34">
        <v>28</v>
      </c>
      <c r="B34" t="s">
        <v>44</v>
      </c>
      <c r="C34" t="s">
        <v>363</v>
      </c>
      <c r="D34" s="23" t="s">
        <v>372</v>
      </c>
      <c r="E34" s="23">
        <v>-0.5</v>
      </c>
    </row>
    <row r="35" spans="1:5" ht="14.25" customHeight="1" x14ac:dyDescent="0.3">
      <c r="A35">
        <v>29</v>
      </c>
      <c r="B35" t="s">
        <v>44</v>
      </c>
      <c r="C35" t="s">
        <v>363</v>
      </c>
      <c r="D35" s="23" t="s">
        <v>362</v>
      </c>
      <c r="E35" s="23">
        <v>-0.5</v>
      </c>
    </row>
    <row r="36" spans="1:5" ht="14.25" customHeight="1" x14ac:dyDescent="0.3">
      <c r="A36">
        <v>30</v>
      </c>
      <c r="B36" t="s">
        <v>44</v>
      </c>
      <c r="C36" t="s">
        <v>364</v>
      </c>
      <c r="D36" s="23" t="s">
        <v>372</v>
      </c>
      <c r="E36" s="23">
        <v>-0.5</v>
      </c>
    </row>
    <row r="37" spans="1:5" ht="14.25" customHeight="1" x14ac:dyDescent="0.3">
      <c r="A37">
        <v>31</v>
      </c>
      <c r="B37" t="s">
        <v>44</v>
      </c>
      <c r="C37" t="s">
        <v>364</v>
      </c>
      <c r="D37" s="23" t="s">
        <v>362</v>
      </c>
      <c r="E37" s="23">
        <v>-0.5</v>
      </c>
    </row>
    <row r="38" spans="1:5" ht="14.25" customHeight="1" x14ac:dyDescent="0.3">
      <c r="A38">
        <v>32</v>
      </c>
      <c r="B38" t="s">
        <v>44</v>
      </c>
      <c r="C38" t="s">
        <v>365</v>
      </c>
      <c r="D38" s="23" t="s">
        <v>372</v>
      </c>
      <c r="E38" s="23">
        <v>-0.5</v>
      </c>
    </row>
    <row r="39" spans="1:5" ht="14.25" customHeight="1" x14ac:dyDescent="0.3">
      <c r="A39">
        <v>33</v>
      </c>
      <c r="B39" t="s">
        <v>44</v>
      </c>
      <c r="C39" t="s">
        <v>365</v>
      </c>
      <c r="D39" s="23" t="s">
        <v>362</v>
      </c>
      <c r="E39" s="23">
        <v>-0.5</v>
      </c>
    </row>
    <row r="40" spans="1:5" ht="14.25" customHeight="1" x14ac:dyDescent="0.3">
      <c r="A40">
        <v>34</v>
      </c>
      <c r="B40" t="s">
        <v>44</v>
      </c>
      <c r="C40" t="s">
        <v>366</v>
      </c>
      <c r="D40" s="23" t="s">
        <v>372</v>
      </c>
      <c r="E40" s="23">
        <v>-0.5</v>
      </c>
    </row>
    <row r="41" spans="1:5" ht="14.25" customHeight="1" x14ac:dyDescent="0.3">
      <c r="A41">
        <v>35</v>
      </c>
      <c r="B41" t="s">
        <v>44</v>
      </c>
      <c r="C41" t="s">
        <v>366</v>
      </c>
      <c r="D41" s="23" t="s">
        <v>362</v>
      </c>
      <c r="E41" s="23">
        <v>-0.5</v>
      </c>
    </row>
    <row r="42" spans="1:5" ht="14.25" customHeight="1" x14ac:dyDescent="0.3">
      <c r="A42">
        <v>36</v>
      </c>
      <c r="B42" t="s">
        <v>44</v>
      </c>
      <c r="C42" t="s">
        <v>367</v>
      </c>
      <c r="D42" s="23" t="s">
        <v>372</v>
      </c>
      <c r="E42" s="23">
        <v>-0.5</v>
      </c>
    </row>
    <row r="43" spans="1:5" ht="14.25" customHeight="1" x14ac:dyDescent="0.3">
      <c r="A43">
        <v>37</v>
      </c>
      <c r="B43" t="s">
        <v>44</v>
      </c>
      <c r="C43" t="s">
        <v>367</v>
      </c>
      <c r="D43" s="23" t="s">
        <v>362</v>
      </c>
      <c r="E43" s="23">
        <v>-0.5</v>
      </c>
    </row>
    <row r="44" spans="1:5" ht="14.25" customHeight="1" x14ac:dyDescent="0.3">
      <c r="A44">
        <v>38</v>
      </c>
      <c r="B44" t="s">
        <v>45</v>
      </c>
      <c r="C44" t="s">
        <v>361</v>
      </c>
      <c r="D44" s="23" t="s">
        <v>371</v>
      </c>
      <c r="E44" s="23">
        <v>-0.55000000000000004</v>
      </c>
    </row>
    <row r="45" spans="1:5" ht="14.25" customHeight="1" x14ac:dyDescent="0.3">
      <c r="A45">
        <v>39</v>
      </c>
      <c r="B45" t="s">
        <v>45</v>
      </c>
      <c r="C45" t="s">
        <v>361</v>
      </c>
      <c r="D45" s="23" t="s">
        <v>370</v>
      </c>
      <c r="E45" s="23">
        <v>-0.55000000000000004</v>
      </c>
    </row>
    <row r="46" spans="1:5" ht="14.25" customHeight="1" x14ac:dyDescent="0.3">
      <c r="A46">
        <v>40</v>
      </c>
      <c r="B46" t="s">
        <v>45</v>
      </c>
      <c r="C46" t="s">
        <v>363</v>
      </c>
      <c r="D46" s="23" t="s">
        <v>371</v>
      </c>
      <c r="E46" s="23">
        <v>-0.55000000000000004</v>
      </c>
    </row>
    <row r="47" spans="1:5" ht="14.25" customHeight="1" x14ac:dyDescent="0.3">
      <c r="A47">
        <v>41</v>
      </c>
      <c r="B47" t="s">
        <v>45</v>
      </c>
      <c r="C47" t="s">
        <v>363</v>
      </c>
      <c r="D47" s="23" t="s">
        <v>370</v>
      </c>
      <c r="E47" s="23">
        <v>-0.55000000000000004</v>
      </c>
    </row>
    <row r="48" spans="1:5" ht="14.25" customHeight="1" x14ac:dyDescent="0.3">
      <c r="A48">
        <v>42</v>
      </c>
      <c r="B48" t="s">
        <v>45</v>
      </c>
      <c r="C48" t="s">
        <v>364</v>
      </c>
      <c r="D48" s="23" t="s">
        <v>371</v>
      </c>
      <c r="E48" s="23">
        <v>-0.55000000000000004</v>
      </c>
    </row>
    <row r="49" spans="1:5" ht="14.25" customHeight="1" x14ac:dyDescent="0.3">
      <c r="A49">
        <v>43</v>
      </c>
      <c r="B49" t="s">
        <v>45</v>
      </c>
      <c r="C49" t="s">
        <v>364</v>
      </c>
      <c r="D49" s="23" t="s">
        <v>370</v>
      </c>
      <c r="E49" s="23">
        <v>-0.55000000000000004</v>
      </c>
    </row>
    <row r="50" spans="1:5" ht="14.25" customHeight="1" x14ac:dyDescent="0.3">
      <c r="A50">
        <v>44</v>
      </c>
      <c r="B50" t="s">
        <v>45</v>
      </c>
      <c r="C50" t="s">
        <v>365</v>
      </c>
      <c r="D50" s="23" t="s">
        <v>371</v>
      </c>
      <c r="E50" s="23">
        <v>-0.55000000000000004</v>
      </c>
    </row>
    <row r="51" spans="1:5" ht="14.25" customHeight="1" x14ac:dyDescent="0.3">
      <c r="A51">
        <v>45</v>
      </c>
      <c r="B51" t="s">
        <v>45</v>
      </c>
      <c r="C51" t="s">
        <v>365</v>
      </c>
      <c r="D51" s="23" t="s">
        <v>370</v>
      </c>
      <c r="E51" s="23">
        <v>-0.55000000000000004</v>
      </c>
    </row>
    <row r="52" spans="1:5" ht="14.25" customHeight="1" x14ac:dyDescent="0.3">
      <c r="A52">
        <v>46</v>
      </c>
      <c r="B52" t="s">
        <v>45</v>
      </c>
      <c r="C52" t="s">
        <v>366</v>
      </c>
      <c r="D52" s="23" t="s">
        <v>371</v>
      </c>
      <c r="E52" s="23">
        <v>-0.55000000000000004</v>
      </c>
    </row>
    <row r="53" spans="1:5" ht="14.25" customHeight="1" x14ac:dyDescent="0.3">
      <c r="A53">
        <v>47</v>
      </c>
      <c r="B53" t="s">
        <v>45</v>
      </c>
      <c r="C53" t="s">
        <v>366</v>
      </c>
      <c r="D53" s="23" t="s">
        <v>370</v>
      </c>
      <c r="E53" s="23">
        <v>-0.55000000000000004</v>
      </c>
    </row>
    <row r="54" spans="1:5" ht="14.25" customHeight="1" x14ac:dyDescent="0.3">
      <c r="A54">
        <v>48</v>
      </c>
      <c r="B54" t="s">
        <v>45</v>
      </c>
      <c r="C54" t="s">
        <v>367</v>
      </c>
      <c r="D54" s="23" t="s">
        <v>371</v>
      </c>
      <c r="E54" s="23">
        <v>-0.55000000000000004</v>
      </c>
    </row>
    <row r="55" spans="1:5" ht="14.25" customHeight="1" x14ac:dyDescent="0.3">
      <c r="A55">
        <v>49</v>
      </c>
      <c r="B55" t="s">
        <v>45</v>
      </c>
      <c r="C55" t="s">
        <v>367</v>
      </c>
      <c r="D55" s="23" t="s">
        <v>370</v>
      </c>
      <c r="E55" s="23">
        <v>-0.55000000000000004</v>
      </c>
    </row>
    <row r="56" spans="1:5" ht="14.25" customHeight="1" x14ac:dyDescent="0.3">
      <c r="A56">
        <v>50</v>
      </c>
      <c r="B56" t="s">
        <v>46</v>
      </c>
      <c r="C56" t="s">
        <v>365</v>
      </c>
      <c r="D56" s="23" t="s">
        <v>371</v>
      </c>
      <c r="E56" s="23">
        <v>-0.45</v>
      </c>
    </row>
    <row r="57" spans="1:5" ht="14.25" customHeight="1" x14ac:dyDescent="0.3">
      <c r="A57">
        <v>51</v>
      </c>
      <c r="B57" t="s">
        <v>46</v>
      </c>
      <c r="C57" t="s">
        <v>365</v>
      </c>
      <c r="D57" s="23" t="s">
        <v>373</v>
      </c>
      <c r="E57" s="23">
        <v>-0.45</v>
      </c>
    </row>
    <row r="58" spans="1:5" ht="14.25" customHeight="1" x14ac:dyDescent="0.3">
      <c r="A58">
        <v>52</v>
      </c>
      <c r="B58" t="s">
        <v>46</v>
      </c>
      <c r="C58" t="s">
        <v>365</v>
      </c>
      <c r="D58" s="23" t="s">
        <v>370</v>
      </c>
      <c r="E58" s="23">
        <v>-0.45</v>
      </c>
    </row>
    <row r="59" spans="1:5" ht="14.25" customHeight="1" x14ac:dyDescent="0.3">
      <c r="A59">
        <v>53</v>
      </c>
      <c r="B59" t="s">
        <v>46</v>
      </c>
      <c r="C59" t="s">
        <v>366</v>
      </c>
      <c r="D59" s="23" t="s">
        <v>371</v>
      </c>
      <c r="E59" s="23">
        <v>-0.45</v>
      </c>
    </row>
    <row r="60" spans="1:5" ht="14.25" customHeight="1" x14ac:dyDescent="0.3">
      <c r="A60">
        <v>54</v>
      </c>
      <c r="B60" t="s">
        <v>46</v>
      </c>
      <c r="C60" t="s">
        <v>366</v>
      </c>
      <c r="D60" s="23" t="s">
        <v>373</v>
      </c>
      <c r="E60" s="23">
        <v>-0.45</v>
      </c>
    </row>
    <row r="61" spans="1:5" ht="14.25" customHeight="1" x14ac:dyDescent="0.3">
      <c r="A61">
        <v>55</v>
      </c>
      <c r="B61" t="s">
        <v>46</v>
      </c>
      <c r="C61" t="s">
        <v>366</v>
      </c>
      <c r="D61" s="23" t="s">
        <v>370</v>
      </c>
      <c r="E61" s="23">
        <v>-0.45</v>
      </c>
    </row>
    <row r="62" spans="1:5" ht="14.25" customHeight="1" x14ac:dyDescent="0.3">
      <c r="A62">
        <v>56</v>
      </c>
      <c r="B62" t="s">
        <v>46</v>
      </c>
      <c r="C62" t="s">
        <v>367</v>
      </c>
      <c r="D62" s="23" t="s">
        <v>371</v>
      </c>
      <c r="E62" s="23">
        <v>-0.45</v>
      </c>
    </row>
    <row r="63" spans="1:5" ht="14.25" customHeight="1" x14ac:dyDescent="0.3">
      <c r="A63">
        <v>57</v>
      </c>
      <c r="B63" t="s">
        <v>46</v>
      </c>
      <c r="C63" t="s">
        <v>367</v>
      </c>
      <c r="D63" s="23" t="s">
        <v>373</v>
      </c>
      <c r="E63" s="23">
        <v>-0.45</v>
      </c>
    </row>
    <row r="64" spans="1:5" ht="14.25" customHeight="1" x14ac:dyDescent="0.3">
      <c r="A64">
        <v>58</v>
      </c>
      <c r="B64" t="s">
        <v>46</v>
      </c>
      <c r="C64" t="s">
        <v>367</v>
      </c>
      <c r="D64" s="23" t="s">
        <v>370</v>
      </c>
      <c r="E64" s="23">
        <v>-0.45</v>
      </c>
    </row>
    <row r="65" spans="1:5" ht="14.25" customHeight="1" x14ac:dyDescent="0.3">
      <c r="A65">
        <v>59</v>
      </c>
      <c r="B65" t="s">
        <v>47</v>
      </c>
      <c r="C65" t="s">
        <v>361</v>
      </c>
      <c r="D65" s="23" t="s">
        <v>373</v>
      </c>
      <c r="E65" s="23">
        <v>-0.4</v>
      </c>
    </row>
    <row r="66" spans="1:5" ht="14.25" customHeight="1" x14ac:dyDescent="0.3">
      <c r="A66">
        <v>60</v>
      </c>
      <c r="B66" t="s">
        <v>47</v>
      </c>
      <c r="C66" t="s">
        <v>361</v>
      </c>
      <c r="D66" s="23" t="s">
        <v>370</v>
      </c>
      <c r="E66" s="23">
        <v>-0.4</v>
      </c>
    </row>
    <row r="67" spans="1:5" ht="14.25" customHeight="1" x14ac:dyDescent="0.3">
      <c r="A67">
        <v>61</v>
      </c>
      <c r="B67" t="s">
        <v>47</v>
      </c>
      <c r="C67" t="s">
        <v>363</v>
      </c>
      <c r="D67" s="23" t="s">
        <v>373</v>
      </c>
      <c r="E67" s="23">
        <v>-0.4</v>
      </c>
    </row>
    <row r="68" spans="1:5" ht="14.25" customHeight="1" x14ac:dyDescent="0.3">
      <c r="A68">
        <v>62</v>
      </c>
      <c r="B68" t="s">
        <v>47</v>
      </c>
      <c r="C68" t="s">
        <v>363</v>
      </c>
      <c r="D68" s="23" t="s">
        <v>370</v>
      </c>
      <c r="E68" s="23">
        <v>-0.4</v>
      </c>
    </row>
    <row r="69" spans="1:5" ht="14.25" customHeight="1" x14ac:dyDescent="0.3">
      <c r="A69">
        <v>63</v>
      </c>
      <c r="B69" t="s">
        <v>47</v>
      </c>
      <c r="C69" t="s">
        <v>364</v>
      </c>
      <c r="D69" s="23" t="s">
        <v>373</v>
      </c>
      <c r="E69" s="23">
        <v>-0.4</v>
      </c>
    </row>
    <row r="70" spans="1:5" ht="14.25" customHeight="1" x14ac:dyDescent="0.3">
      <c r="A70">
        <v>64</v>
      </c>
      <c r="B70" t="s">
        <v>47</v>
      </c>
      <c r="C70" t="s">
        <v>364</v>
      </c>
      <c r="D70" s="23" t="s">
        <v>370</v>
      </c>
      <c r="E70" s="23">
        <v>-0.4</v>
      </c>
    </row>
    <row r="71" spans="1:5" ht="14.25" customHeight="1" x14ac:dyDescent="0.3">
      <c r="A71">
        <v>65</v>
      </c>
      <c r="B71" t="s">
        <v>47</v>
      </c>
      <c r="C71" t="s">
        <v>365</v>
      </c>
      <c r="D71" s="23" t="s">
        <v>373</v>
      </c>
      <c r="E71" s="23">
        <v>-0.4</v>
      </c>
    </row>
    <row r="72" spans="1:5" ht="14.25" customHeight="1" x14ac:dyDescent="0.3">
      <c r="A72">
        <v>66</v>
      </c>
      <c r="B72" t="s">
        <v>47</v>
      </c>
      <c r="C72" t="s">
        <v>365</v>
      </c>
      <c r="D72" t="s">
        <v>370</v>
      </c>
      <c r="E72">
        <v>-0.4</v>
      </c>
    </row>
    <row r="73" spans="1:5" ht="14.25" customHeight="1" x14ac:dyDescent="0.3">
      <c r="A73" s="7">
        <v>67</v>
      </c>
      <c r="B73" t="s">
        <v>47</v>
      </c>
      <c r="C73" t="s">
        <v>366</v>
      </c>
      <c r="D73" t="s">
        <v>373</v>
      </c>
      <c r="E73">
        <v>-0.4</v>
      </c>
    </row>
    <row r="74" spans="1:5" ht="14.25" customHeight="1" x14ac:dyDescent="0.3">
      <c r="A74">
        <v>68</v>
      </c>
      <c r="B74" t="s">
        <v>47</v>
      </c>
      <c r="C74" t="s">
        <v>366</v>
      </c>
      <c r="D74" t="s">
        <v>370</v>
      </c>
      <c r="E74">
        <v>-0.4</v>
      </c>
    </row>
    <row r="75" spans="1:5" ht="14.25" customHeight="1" x14ac:dyDescent="0.3">
      <c r="A75">
        <v>69</v>
      </c>
      <c r="B75" t="s">
        <v>47</v>
      </c>
      <c r="C75" t="s">
        <v>367</v>
      </c>
      <c r="D75" t="s">
        <v>373</v>
      </c>
      <c r="E75">
        <v>-0.4</v>
      </c>
    </row>
    <row r="76" spans="1:5" ht="14.25" customHeight="1" x14ac:dyDescent="0.3">
      <c r="A76">
        <v>70</v>
      </c>
      <c r="B76" t="s">
        <v>47</v>
      </c>
      <c r="C76" t="s">
        <v>367</v>
      </c>
      <c r="D76" t="s">
        <v>370</v>
      </c>
      <c r="E76">
        <v>-0.4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zoomScaleNormal="100" workbookViewId="0"/>
  </sheetViews>
  <sheetFormatPr defaultColWidth="8.6640625" defaultRowHeight="14.4" x14ac:dyDescent="0.3"/>
  <sheetData>
    <row r="1" spans="1:14" ht="14.25" customHeight="1" x14ac:dyDescent="0.3">
      <c r="A1" t="s">
        <v>358</v>
      </c>
      <c r="B1" t="s">
        <v>37</v>
      </c>
      <c r="C1" t="s">
        <v>359</v>
      </c>
      <c r="D1" t="s">
        <v>360</v>
      </c>
      <c r="E1" t="s">
        <v>39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</row>
    <row r="2" spans="1:14" ht="14.25" customHeight="1" x14ac:dyDescent="0.3">
      <c r="A2">
        <v>1</v>
      </c>
      <c r="B2" t="s">
        <v>40</v>
      </c>
      <c r="C2" t="s">
        <v>361</v>
      </c>
      <c r="D2" t="s">
        <v>362</v>
      </c>
      <c r="E2">
        <v>-0.9</v>
      </c>
      <c r="F2" s="23">
        <f>INDEX(I_prop!$B$7:$H$13, MATCH($C2, I_prop!$A$7:$A$13,0), MATCH($D2, I_prop!$B$6:$H$6,0))</f>
        <v>0</v>
      </c>
      <c r="G2" s="23">
        <f>INDEX(I_prop!$B$18:$H$24, MATCH($C2, I_prop!$A$18:$A$24,0), MATCH($D2, I_prop!$B$17:$H$17,0))</f>
        <v>0</v>
      </c>
      <c r="H2" s="23">
        <f t="shared" ref="H2:H33" si="0">IF($J2&lt;&gt;"",$J2,$F2)</f>
        <v>0</v>
      </c>
      <c r="I2" s="23">
        <f t="shared" ref="I2:I33" si="1">IF($K2&lt;&gt;"",$K2,$G2)</f>
        <v>0</v>
      </c>
      <c r="J2" t="str">
        <f>IF(COUNTIFS(Subgroup_Overrides!$A$5:$A$200,"A",Subgroup_Overrides!$B$5:$B$200,$C2,Subgroup_Overrides!$C$5:$C$200,$D2)&gt;0,_xludf.minifs(Subgroup_Overrides!$D$5:$D$200,Subgroup_Overrides!$A$5:$A$200,"A",Subgroup_Overrides!$B$5:$B$200,$C2,Subgroup_Overrides!$C$5:$C$200,$D2),"")</f>
        <v/>
      </c>
      <c r="K2" t="str">
        <f>IF(COUNTIFS(Subgroup_Overrides!$A$5:$A$200,"B",Subgroup_Overrides!$B$5:$B$200,$C2,Subgroup_Overrides!$C$5:$C$200,$D2)&gt;0,_xludf.minifs(Subgroup_Overrides!$D$5:$D$200,Subgroup_Overrides!$A$5:$A$200,"B",Subgroup_Overrides!$B$5:$B$200,$C2,Subgroup_Overrides!$C$5:$C$200,$D2),"")</f>
        <v/>
      </c>
      <c r="L2" t="str">
        <f t="shared" ref="L2:L33" si="2">TRIM(B2)</f>
        <v>LIFE</v>
      </c>
      <c r="M2">
        <f t="shared" ref="M2:M33" si="3">IF(H2="",NA(),1*H2)</f>
        <v>0</v>
      </c>
      <c r="N2">
        <f t="shared" ref="N2:N33" si="4">IF(I2="",NA(),1*I2)</f>
        <v>0</v>
      </c>
    </row>
    <row r="3" spans="1:14" ht="14.25" customHeight="1" x14ac:dyDescent="0.3">
      <c r="A3">
        <v>2</v>
      </c>
      <c r="B3" t="s">
        <v>40</v>
      </c>
      <c r="C3" t="s">
        <v>363</v>
      </c>
      <c r="D3" t="s">
        <v>362</v>
      </c>
      <c r="E3">
        <v>-0.9</v>
      </c>
      <c r="F3" s="23">
        <f>INDEX(I_prop!$B$7:$H$13, MATCH($C3, I_prop!$A$7:$A$13,0), MATCH($D3, I_prop!$B$6:$H$6,0))</f>
        <v>0</v>
      </c>
      <c r="G3" s="23">
        <f>INDEX(I_prop!$B$18:$H$24, MATCH($C3, I_prop!$A$18:$A$24,0), MATCH($D3, I_prop!$B$17:$H$17,0))</f>
        <v>0</v>
      </c>
      <c r="H3" s="23">
        <f t="shared" si="0"/>
        <v>0</v>
      </c>
      <c r="I3" s="23">
        <f t="shared" si="1"/>
        <v>0</v>
      </c>
      <c r="J3" t="str">
        <f>IF(COUNTIFS(Subgroup_Overrides!$A$5:$A$200,"A",Subgroup_Overrides!$B$5:$B$200,$C3,Subgroup_Overrides!$C$5:$C$200,$D3)&gt;0,_xludf.minifs(Subgroup_Overrides!$D$5:$D$200,Subgroup_Overrides!$A$5:$A$200,"A",Subgroup_Overrides!$B$5:$B$200,$C3,Subgroup_Overrides!$C$5:$C$200,$D3),"")</f>
        <v/>
      </c>
      <c r="K3" t="str">
        <f>IF(COUNTIFS(Subgroup_Overrides!$A$5:$A$200,"B",Subgroup_Overrides!$B$5:$B$200,$C3,Subgroup_Overrides!$C$5:$C$200,$D3)&gt;0,_xludf.minifs(Subgroup_Overrides!$D$5:$D$200,Subgroup_Overrides!$A$5:$A$200,"B",Subgroup_Overrides!$B$5:$B$200,$C3,Subgroup_Overrides!$C$5:$C$200,$D3),"")</f>
        <v/>
      </c>
      <c r="L3" t="str">
        <f t="shared" si="2"/>
        <v>LIFE</v>
      </c>
      <c r="M3">
        <f t="shared" si="3"/>
        <v>0</v>
      </c>
      <c r="N3">
        <f t="shared" si="4"/>
        <v>0</v>
      </c>
    </row>
    <row r="4" spans="1:14" ht="14.25" customHeight="1" x14ac:dyDescent="0.3">
      <c r="A4">
        <v>3</v>
      </c>
      <c r="B4" t="s">
        <v>40</v>
      </c>
      <c r="C4" t="s">
        <v>364</v>
      </c>
      <c r="D4" t="s">
        <v>362</v>
      </c>
      <c r="E4">
        <v>-0.9</v>
      </c>
      <c r="F4" s="23">
        <f>INDEX(I_prop!$B$7:$H$13, MATCH($C4, I_prop!$A$7:$A$13,0), MATCH($D4, I_prop!$B$6:$H$6,0))</f>
        <v>0</v>
      </c>
      <c r="G4" s="23">
        <f>INDEX(I_prop!$B$18:$H$24, MATCH($C4, I_prop!$A$18:$A$24,0), MATCH($D4, I_prop!$B$17:$H$17,0))</f>
        <v>0</v>
      </c>
      <c r="H4" s="23">
        <f t="shared" si="0"/>
        <v>0</v>
      </c>
      <c r="I4" s="23">
        <f t="shared" si="1"/>
        <v>0</v>
      </c>
      <c r="J4" t="str">
        <f>IF(COUNTIFS(Subgroup_Overrides!$A$5:$A$200,"A",Subgroup_Overrides!$B$5:$B$200,$C4,Subgroup_Overrides!$C$5:$C$200,$D4)&gt;0,_xludf.minifs(Subgroup_Overrides!$D$5:$D$200,Subgroup_Overrides!$A$5:$A$200,"A",Subgroup_Overrides!$B$5:$B$200,$C4,Subgroup_Overrides!$C$5:$C$200,$D4),"")</f>
        <v/>
      </c>
      <c r="K4" t="str">
        <f>IF(COUNTIFS(Subgroup_Overrides!$A$5:$A$200,"B",Subgroup_Overrides!$B$5:$B$200,$C4,Subgroup_Overrides!$C$5:$C$200,$D4)&gt;0,_xludf.minifs(Subgroup_Overrides!$D$5:$D$200,Subgroup_Overrides!$A$5:$A$200,"B",Subgroup_Overrides!$B$5:$B$200,$C4,Subgroup_Overrides!$C$5:$C$200,$D4),"")</f>
        <v/>
      </c>
      <c r="L4" t="str">
        <f t="shared" si="2"/>
        <v>LIFE</v>
      </c>
      <c r="M4">
        <f t="shared" si="3"/>
        <v>0</v>
      </c>
      <c r="N4">
        <f t="shared" si="4"/>
        <v>0</v>
      </c>
    </row>
    <row r="5" spans="1:14" ht="14.25" customHeight="1" x14ac:dyDescent="0.3">
      <c r="A5">
        <v>4</v>
      </c>
      <c r="B5" t="s">
        <v>40</v>
      </c>
      <c r="C5" t="s">
        <v>365</v>
      </c>
      <c r="D5" t="s">
        <v>362</v>
      </c>
      <c r="E5">
        <v>-0.9</v>
      </c>
      <c r="F5" s="23">
        <f>INDEX(I_prop!$B$7:$H$13, MATCH($C5, I_prop!$A$7:$A$13,0), MATCH($D5, I_prop!$B$6:$H$6,0))</f>
        <v>0</v>
      </c>
      <c r="G5" s="23">
        <f>INDEX(I_prop!$B$18:$H$24, MATCH($C5, I_prop!$A$18:$A$24,0), MATCH($D5, I_prop!$B$17:$H$17,0))</f>
        <v>0</v>
      </c>
      <c r="H5" s="23">
        <f t="shared" si="0"/>
        <v>0</v>
      </c>
      <c r="I5" s="23">
        <f t="shared" si="1"/>
        <v>0</v>
      </c>
      <c r="J5" t="str">
        <f>IF(COUNTIFS(Subgroup_Overrides!$A$5:$A$200,"A",Subgroup_Overrides!$B$5:$B$200,$C5,Subgroup_Overrides!$C$5:$C$200,$D5)&gt;0,_xludf.minifs(Subgroup_Overrides!$D$5:$D$200,Subgroup_Overrides!$A$5:$A$200,"A",Subgroup_Overrides!$B$5:$B$200,$C5,Subgroup_Overrides!$C$5:$C$200,$D5),"")</f>
        <v/>
      </c>
      <c r="K5" t="str">
        <f>IF(COUNTIFS(Subgroup_Overrides!$A$5:$A$200,"B",Subgroup_Overrides!$B$5:$B$200,$C5,Subgroup_Overrides!$C$5:$C$200,$D5)&gt;0,_xludf.minifs(Subgroup_Overrides!$D$5:$D$200,Subgroup_Overrides!$A$5:$A$200,"B",Subgroup_Overrides!$B$5:$B$200,$C5,Subgroup_Overrides!$C$5:$C$200,$D5),"")</f>
        <v/>
      </c>
      <c r="L5" t="str">
        <f t="shared" si="2"/>
        <v>LIFE</v>
      </c>
      <c r="M5">
        <f t="shared" si="3"/>
        <v>0</v>
      </c>
      <c r="N5">
        <f t="shared" si="4"/>
        <v>0</v>
      </c>
    </row>
    <row r="6" spans="1:14" ht="14.25" customHeight="1" x14ac:dyDescent="0.3">
      <c r="A6">
        <v>5</v>
      </c>
      <c r="B6" t="s">
        <v>40</v>
      </c>
      <c r="C6" t="s">
        <v>366</v>
      </c>
      <c r="D6" t="s">
        <v>362</v>
      </c>
      <c r="E6">
        <v>-0.9</v>
      </c>
      <c r="F6" s="23">
        <f>INDEX(I_prop!$B$7:$H$13, MATCH($C6, I_prop!$A$7:$A$13,0), MATCH($D6, I_prop!$B$6:$H$6,0))</f>
        <v>0</v>
      </c>
      <c r="G6" s="23">
        <f>INDEX(I_prop!$B$18:$H$24, MATCH($C6, I_prop!$A$18:$A$24,0), MATCH($D6, I_prop!$B$17:$H$17,0))</f>
        <v>0</v>
      </c>
      <c r="H6" s="23">
        <f t="shared" si="0"/>
        <v>0</v>
      </c>
      <c r="I6" s="23">
        <f t="shared" si="1"/>
        <v>0</v>
      </c>
      <c r="J6" t="str">
        <f>IF(COUNTIFS(Subgroup_Overrides!$A$5:$A$200,"A",Subgroup_Overrides!$B$5:$B$200,$C6,Subgroup_Overrides!$C$5:$C$200,$D6)&gt;0,_xludf.minifs(Subgroup_Overrides!$D$5:$D$200,Subgroup_Overrides!$A$5:$A$200,"A",Subgroup_Overrides!$B$5:$B$200,$C6,Subgroup_Overrides!$C$5:$C$200,$D6),"")</f>
        <v/>
      </c>
      <c r="K6" t="str">
        <f>IF(COUNTIFS(Subgroup_Overrides!$A$5:$A$200,"B",Subgroup_Overrides!$B$5:$B$200,$C6,Subgroup_Overrides!$C$5:$C$200,$D6)&gt;0,_xludf.minifs(Subgroup_Overrides!$D$5:$D$200,Subgroup_Overrides!$A$5:$A$200,"B",Subgroup_Overrides!$B$5:$B$200,$C6,Subgroup_Overrides!$C$5:$C$200,$D6),"")</f>
        <v/>
      </c>
      <c r="L6" t="str">
        <f t="shared" si="2"/>
        <v>LIFE</v>
      </c>
      <c r="M6">
        <f t="shared" si="3"/>
        <v>0</v>
      </c>
      <c r="N6">
        <f t="shared" si="4"/>
        <v>0</v>
      </c>
    </row>
    <row r="7" spans="1:14" ht="14.25" customHeight="1" x14ac:dyDescent="0.3">
      <c r="A7">
        <v>6</v>
      </c>
      <c r="B7" t="s">
        <v>40</v>
      </c>
      <c r="C7" t="s">
        <v>367</v>
      </c>
      <c r="D7" t="s">
        <v>362</v>
      </c>
      <c r="E7">
        <v>-0.9</v>
      </c>
      <c r="F7" s="23">
        <f>INDEX(I_prop!$B$7:$H$13, MATCH($C7, I_prop!$A$7:$A$13,0), MATCH($D7, I_prop!$B$6:$H$6,0))</f>
        <v>0</v>
      </c>
      <c r="G7" s="23">
        <f>INDEX(I_prop!$B$18:$H$24, MATCH($C7, I_prop!$A$18:$A$24,0), MATCH($D7, I_prop!$B$17:$H$17,0))</f>
        <v>0</v>
      </c>
      <c r="H7" s="23">
        <f t="shared" si="0"/>
        <v>0</v>
      </c>
      <c r="I7" s="23">
        <f t="shared" si="1"/>
        <v>0</v>
      </c>
      <c r="J7" t="str">
        <f>IF(COUNTIFS(Subgroup_Overrides!$A$5:$A$200,"A",Subgroup_Overrides!$B$5:$B$200,$C7,Subgroup_Overrides!$C$5:$C$200,$D7)&gt;0,_xludf.minifs(Subgroup_Overrides!$D$5:$D$200,Subgroup_Overrides!$A$5:$A$200,"A",Subgroup_Overrides!$B$5:$B$200,$C7,Subgroup_Overrides!$C$5:$C$200,$D7),"")</f>
        <v/>
      </c>
      <c r="K7" t="str">
        <f>IF(COUNTIFS(Subgroup_Overrides!$A$5:$A$200,"B",Subgroup_Overrides!$B$5:$B$200,$C7,Subgroup_Overrides!$C$5:$C$200,$D7)&gt;0,_xludf.minifs(Subgroup_Overrides!$D$5:$D$200,Subgroup_Overrides!$A$5:$A$200,"B",Subgroup_Overrides!$B$5:$B$200,$C7,Subgroup_Overrides!$C$5:$C$200,$D7),"")</f>
        <v/>
      </c>
      <c r="L7" t="str">
        <f t="shared" si="2"/>
        <v>LIFE</v>
      </c>
      <c r="M7">
        <f t="shared" si="3"/>
        <v>0</v>
      </c>
      <c r="N7">
        <f t="shared" si="4"/>
        <v>0</v>
      </c>
    </row>
    <row r="8" spans="1:14" ht="14.25" customHeight="1" x14ac:dyDescent="0.3">
      <c r="A8">
        <v>7</v>
      </c>
      <c r="B8" t="s">
        <v>40</v>
      </c>
      <c r="C8" t="s">
        <v>367</v>
      </c>
      <c r="D8" t="s">
        <v>368</v>
      </c>
      <c r="E8">
        <v>-0.9</v>
      </c>
      <c r="F8" s="23">
        <f>INDEX(I_prop!$B$7:$H$13, MATCH($C8, I_prop!$A$7:$A$13,0), MATCH($D8, I_prop!$B$6:$H$6,0))</f>
        <v>0</v>
      </c>
      <c r="G8" s="23">
        <f>INDEX(I_prop!$B$18:$H$24, MATCH($C8, I_prop!$A$18:$A$24,0), MATCH($D8, I_prop!$B$17:$H$17,0))</f>
        <v>0</v>
      </c>
      <c r="H8" s="23">
        <f t="shared" si="0"/>
        <v>0</v>
      </c>
      <c r="I8" s="23">
        <f t="shared" si="1"/>
        <v>0</v>
      </c>
      <c r="J8" t="str">
        <f>IF(COUNTIFS(Subgroup_Overrides!$A$5:$A$200,"A",Subgroup_Overrides!$B$5:$B$200,$C8,Subgroup_Overrides!$C$5:$C$200,$D8)&gt;0,_xludf.minifs(Subgroup_Overrides!$D$5:$D$200,Subgroup_Overrides!$A$5:$A$200,"A",Subgroup_Overrides!$B$5:$B$200,$C8,Subgroup_Overrides!$C$5:$C$200,$D8),"")</f>
        <v/>
      </c>
      <c r="K8" t="str">
        <f>IF(COUNTIFS(Subgroup_Overrides!$A$5:$A$200,"B",Subgroup_Overrides!$B$5:$B$200,$C8,Subgroup_Overrides!$C$5:$C$200,$D8)&gt;0,_xludf.minifs(Subgroup_Overrides!$D$5:$D$200,Subgroup_Overrides!$A$5:$A$200,"B",Subgroup_Overrides!$B$5:$B$200,$C8,Subgroup_Overrides!$C$5:$C$200,$D8),"")</f>
        <v/>
      </c>
      <c r="L8" t="str">
        <f t="shared" si="2"/>
        <v>LIFE</v>
      </c>
      <c r="M8">
        <f t="shared" si="3"/>
        <v>0</v>
      </c>
      <c r="N8">
        <f t="shared" si="4"/>
        <v>0</v>
      </c>
    </row>
    <row r="9" spans="1:14" ht="14.25" customHeight="1" x14ac:dyDescent="0.3">
      <c r="A9">
        <v>8</v>
      </c>
      <c r="B9" t="s">
        <v>41</v>
      </c>
      <c r="C9" t="s">
        <v>361</v>
      </c>
      <c r="D9" t="s">
        <v>362</v>
      </c>
      <c r="E9">
        <v>-0.7</v>
      </c>
      <c r="F9" s="23">
        <f>INDEX(I_prop!$B$7:$H$13, MATCH($C9, I_prop!$A$7:$A$13,0), MATCH($D9, I_prop!$B$6:$H$6,0))</f>
        <v>0</v>
      </c>
      <c r="G9" s="23">
        <f>INDEX(I_prop!$B$18:$H$24, MATCH($C9, I_prop!$A$18:$A$24,0), MATCH($D9, I_prop!$B$17:$H$17,0))</f>
        <v>0</v>
      </c>
      <c r="H9" s="23">
        <f t="shared" si="0"/>
        <v>0</v>
      </c>
      <c r="I9" s="23">
        <f t="shared" si="1"/>
        <v>0</v>
      </c>
      <c r="J9" t="str">
        <f>IF(COUNTIFS(Subgroup_Overrides!$A$5:$A$200,"A",Subgroup_Overrides!$B$5:$B$200,$C9,Subgroup_Overrides!$C$5:$C$200,$D9)&gt;0,_xludf.minifs(Subgroup_Overrides!$D$5:$D$200,Subgroup_Overrides!$A$5:$A$200,"A",Subgroup_Overrides!$B$5:$B$200,$C9,Subgroup_Overrides!$C$5:$C$200,$D9),"")</f>
        <v/>
      </c>
      <c r="K9" t="str">
        <f>IF(COUNTIFS(Subgroup_Overrides!$A$5:$A$200,"B",Subgroup_Overrides!$B$5:$B$200,$C9,Subgroup_Overrides!$C$5:$C$200,$D9)&gt;0,_xludf.minifs(Subgroup_Overrides!$D$5:$D$200,Subgroup_Overrides!$A$5:$A$200,"B",Subgroup_Overrides!$B$5:$B$200,$C9,Subgroup_Overrides!$C$5:$C$200,$D9),"")</f>
        <v/>
      </c>
      <c r="L9" t="str">
        <f t="shared" si="2"/>
        <v>BODY</v>
      </c>
      <c r="M9">
        <f t="shared" si="3"/>
        <v>0</v>
      </c>
      <c r="N9">
        <f t="shared" si="4"/>
        <v>0</v>
      </c>
    </row>
    <row r="10" spans="1:14" ht="14.25" customHeight="1" x14ac:dyDescent="0.3">
      <c r="A10">
        <v>9</v>
      </c>
      <c r="B10" t="s">
        <v>41</v>
      </c>
      <c r="C10" t="s">
        <v>363</v>
      </c>
      <c r="D10" t="s">
        <v>362</v>
      </c>
      <c r="E10">
        <v>-0.7</v>
      </c>
      <c r="F10" s="23">
        <f>INDEX(I_prop!$B$7:$H$13, MATCH($C10, I_prop!$A$7:$A$13,0), MATCH($D10, I_prop!$B$6:$H$6,0))</f>
        <v>0</v>
      </c>
      <c r="G10" s="23">
        <f>INDEX(I_prop!$B$18:$H$24, MATCH($C10, I_prop!$A$18:$A$24,0), MATCH($D10, I_prop!$B$17:$H$17,0))</f>
        <v>0</v>
      </c>
      <c r="H10" s="23">
        <f t="shared" si="0"/>
        <v>0</v>
      </c>
      <c r="I10" s="23">
        <f t="shared" si="1"/>
        <v>0</v>
      </c>
      <c r="J10" t="str">
        <f>IF(COUNTIFS(Subgroup_Overrides!$A$5:$A$200,"A",Subgroup_Overrides!$B$5:$B$200,$C10,Subgroup_Overrides!$C$5:$C$200,$D10)&gt;0,_xludf.minifs(Subgroup_Overrides!$D$5:$D$200,Subgroup_Overrides!$A$5:$A$200,"A",Subgroup_Overrides!$B$5:$B$200,$C10,Subgroup_Overrides!$C$5:$C$200,$D10),"")</f>
        <v/>
      </c>
      <c r="K10" t="str">
        <f>IF(COUNTIFS(Subgroup_Overrides!$A$5:$A$200,"B",Subgroup_Overrides!$B$5:$B$200,$C10,Subgroup_Overrides!$C$5:$C$200,$D10)&gt;0,_xludf.minifs(Subgroup_Overrides!$D$5:$D$200,Subgroup_Overrides!$A$5:$A$200,"B",Subgroup_Overrides!$B$5:$B$200,$C10,Subgroup_Overrides!$C$5:$C$200,$D10),"")</f>
        <v/>
      </c>
      <c r="L10" t="str">
        <f t="shared" si="2"/>
        <v>BODY</v>
      </c>
      <c r="M10">
        <f t="shared" si="3"/>
        <v>0</v>
      </c>
      <c r="N10">
        <f t="shared" si="4"/>
        <v>0</v>
      </c>
    </row>
    <row r="11" spans="1:14" ht="14.25" customHeight="1" x14ac:dyDescent="0.3">
      <c r="A11">
        <v>10</v>
      </c>
      <c r="B11" t="s">
        <v>41</v>
      </c>
      <c r="C11" t="s">
        <v>364</v>
      </c>
      <c r="D11" t="s">
        <v>362</v>
      </c>
      <c r="E11">
        <v>-0.7</v>
      </c>
      <c r="F11" s="23">
        <f>INDEX(I_prop!$B$7:$H$13, MATCH($C11, I_prop!$A$7:$A$13,0), MATCH($D11, I_prop!$B$6:$H$6,0))</f>
        <v>0</v>
      </c>
      <c r="G11" s="23">
        <f>INDEX(I_prop!$B$18:$H$24, MATCH($C11, I_prop!$A$18:$A$24,0), MATCH($D11, I_prop!$B$17:$H$17,0))</f>
        <v>0</v>
      </c>
      <c r="H11" s="23">
        <f t="shared" si="0"/>
        <v>0</v>
      </c>
      <c r="I11" s="23">
        <f t="shared" si="1"/>
        <v>0</v>
      </c>
      <c r="J11" t="str">
        <f>IF(COUNTIFS(Subgroup_Overrides!$A$5:$A$200,"A",Subgroup_Overrides!$B$5:$B$200,$C11,Subgroup_Overrides!$C$5:$C$200,$D11)&gt;0,_xludf.minifs(Subgroup_Overrides!$D$5:$D$200,Subgroup_Overrides!$A$5:$A$200,"A",Subgroup_Overrides!$B$5:$B$200,$C11,Subgroup_Overrides!$C$5:$C$200,$D11),"")</f>
        <v/>
      </c>
      <c r="K11" t="str">
        <f>IF(COUNTIFS(Subgroup_Overrides!$A$5:$A$200,"B",Subgroup_Overrides!$B$5:$B$200,$C11,Subgroup_Overrides!$C$5:$C$200,$D11)&gt;0,_xludf.minifs(Subgroup_Overrides!$D$5:$D$200,Subgroup_Overrides!$A$5:$A$200,"B",Subgroup_Overrides!$B$5:$B$200,$C11,Subgroup_Overrides!$C$5:$C$200,$D11),"")</f>
        <v/>
      </c>
      <c r="L11" t="str">
        <f t="shared" si="2"/>
        <v>BODY</v>
      </c>
      <c r="M11">
        <f t="shared" si="3"/>
        <v>0</v>
      </c>
      <c r="N11">
        <f t="shared" si="4"/>
        <v>0</v>
      </c>
    </row>
    <row r="12" spans="1:14" ht="14.25" customHeight="1" x14ac:dyDescent="0.3">
      <c r="A12">
        <v>11</v>
      </c>
      <c r="B12" t="s">
        <v>41</v>
      </c>
      <c r="C12" t="s">
        <v>365</v>
      </c>
      <c r="D12" t="s">
        <v>362</v>
      </c>
      <c r="E12">
        <v>-0.7</v>
      </c>
      <c r="F12" s="23">
        <f>INDEX(I_prop!$B$7:$H$13, MATCH($C12, I_prop!$A$7:$A$13,0), MATCH($D12, I_prop!$B$6:$H$6,0))</f>
        <v>0</v>
      </c>
      <c r="G12" s="23">
        <f>INDEX(I_prop!$B$18:$H$24, MATCH($C12, I_prop!$A$18:$A$24,0), MATCH($D12, I_prop!$B$17:$H$17,0))</f>
        <v>0</v>
      </c>
      <c r="H12" s="23">
        <f t="shared" si="0"/>
        <v>0</v>
      </c>
      <c r="I12" s="23">
        <f t="shared" si="1"/>
        <v>0</v>
      </c>
      <c r="J12" t="str">
        <f>IF(COUNTIFS(Subgroup_Overrides!$A$5:$A$200,"A",Subgroup_Overrides!$B$5:$B$200,$C12,Subgroup_Overrides!$C$5:$C$200,$D12)&gt;0,_xludf.minifs(Subgroup_Overrides!$D$5:$D$200,Subgroup_Overrides!$A$5:$A$200,"A",Subgroup_Overrides!$B$5:$B$200,$C12,Subgroup_Overrides!$C$5:$C$200,$D12),"")</f>
        <v/>
      </c>
      <c r="K12" t="str">
        <f>IF(COUNTIFS(Subgroup_Overrides!$A$5:$A$200,"B",Subgroup_Overrides!$B$5:$B$200,$C12,Subgroup_Overrides!$C$5:$C$200,$D12)&gt;0,_xludf.minifs(Subgroup_Overrides!$D$5:$D$200,Subgroup_Overrides!$A$5:$A$200,"B",Subgroup_Overrides!$B$5:$B$200,$C12,Subgroup_Overrides!$C$5:$C$200,$D12),"")</f>
        <v/>
      </c>
      <c r="L12" t="str">
        <f t="shared" si="2"/>
        <v>BODY</v>
      </c>
      <c r="M12">
        <f t="shared" si="3"/>
        <v>0</v>
      </c>
      <c r="N12">
        <f t="shared" si="4"/>
        <v>0</v>
      </c>
    </row>
    <row r="13" spans="1:14" ht="14.25" customHeight="1" x14ac:dyDescent="0.3">
      <c r="A13">
        <v>12</v>
      </c>
      <c r="B13" t="s">
        <v>41</v>
      </c>
      <c r="C13" t="s">
        <v>366</v>
      </c>
      <c r="D13" t="s">
        <v>362</v>
      </c>
      <c r="E13">
        <v>-0.7</v>
      </c>
      <c r="F13" s="23">
        <f>INDEX(I_prop!$B$7:$H$13, MATCH($C13, I_prop!$A$7:$A$13,0), MATCH($D13, I_prop!$B$6:$H$6,0))</f>
        <v>0</v>
      </c>
      <c r="G13" s="23">
        <f>INDEX(I_prop!$B$18:$H$24, MATCH($C13, I_prop!$A$18:$A$24,0), MATCH($D13, I_prop!$B$17:$H$17,0))</f>
        <v>0</v>
      </c>
      <c r="H13" s="23">
        <f t="shared" si="0"/>
        <v>0</v>
      </c>
      <c r="I13" s="23">
        <f t="shared" si="1"/>
        <v>0</v>
      </c>
      <c r="J13" t="str">
        <f>IF(COUNTIFS(Subgroup_Overrides!$A$5:$A$200,"A",Subgroup_Overrides!$B$5:$B$200,$C13,Subgroup_Overrides!$C$5:$C$200,$D13)&gt;0,_xludf.minifs(Subgroup_Overrides!$D$5:$D$200,Subgroup_Overrides!$A$5:$A$200,"A",Subgroup_Overrides!$B$5:$B$200,$C13,Subgroup_Overrides!$C$5:$C$200,$D13),"")</f>
        <v/>
      </c>
      <c r="K13" t="str">
        <f>IF(COUNTIFS(Subgroup_Overrides!$A$5:$A$200,"B",Subgroup_Overrides!$B$5:$B$200,$C13,Subgroup_Overrides!$C$5:$C$200,$D13)&gt;0,_xludf.minifs(Subgroup_Overrides!$D$5:$D$200,Subgroup_Overrides!$A$5:$A$200,"B",Subgroup_Overrides!$B$5:$B$200,$C13,Subgroup_Overrides!$C$5:$C$200,$D13),"")</f>
        <v/>
      </c>
      <c r="L13" t="str">
        <f t="shared" si="2"/>
        <v>BODY</v>
      </c>
      <c r="M13">
        <f t="shared" si="3"/>
        <v>0</v>
      </c>
      <c r="N13">
        <f t="shared" si="4"/>
        <v>0</v>
      </c>
    </row>
    <row r="14" spans="1:14" ht="14.25" customHeight="1" x14ac:dyDescent="0.3">
      <c r="A14">
        <v>13</v>
      </c>
      <c r="B14" t="s">
        <v>41</v>
      </c>
      <c r="C14" t="s">
        <v>367</v>
      </c>
      <c r="D14" t="s">
        <v>362</v>
      </c>
      <c r="E14">
        <v>-0.7</v>
      </c>
      <c r="F14" s="23">
        <f>INDEX(I_prop!$B$7:$H$13, MATCH($C14, I_prop!$A$7:$A$13,0), MATCH($D14, I_prop!$B$6:$H$6,0))</f>
        <v>0</v>
      </c>
      <c r="G14" s="23">
        <f>INDEX(I_prop!$B$18:$H$24, MATCH($C14, I_prop!$A$18:$A$24,0), MATCH($D14, I_prop!$B$17:$H$17,0))</f>
        <v>0</v>
      </c>
      <c r="H14" s="23">
        <f t="shared" si="0"/>
        <v>0</v>
      </c>
      <c r="I14" s="23">
        <f t="shared" si="1"/>
        <v>0</v>
      </c>
      <c r="J14" t="str">
        <f>IF(COUNTIFS(Subgroup_Overrides!$A$5:$A$200,"A",Subgroup_Overrides!$B$5:$B$200,$C14,Subgroup_Overrides!$C$5:$C$200,$D14)&gt;0,_xludf.minifs(Subgroup_Overrides!$D$5:$D$200,Subgroup_Overrides!$A$5:$A$200,"A",Subgroup_Overrides!$B$5:$B$200,$C14,Subgroup_Overrides!$C$5:$C$200,$D14),"")</f>
        <v/>
      </c>
      <c r="K14" t="str">
        <f>IF(COUNTIFS(Subgroup_Overrides!$A$5:$A$200,"B",Subgroup_Overrides!$B$5:$B$200,$C14,Subgroup_Overrides!$C$5:$C$200,$D14)&gt;0,_xludf.minifs(Subgroup_Overrides!$D$5:$D$200,Subgroup_Overrides!$A$5:$A$200,"B",Subgroup_Overrides!$B$5:$B$200,$C14,Subgroup_Overrides!$C$5:$C$200,$D14),"")</f>
        <v/>
      </c>
      <c r="L14" t="str">
        <f t="shared" si="2"/>
        <v>BODY</v>
      </c>
      <c r="M14">
        <f t="shared" si="3"/>
        <v>0</v>
      </c>
      <c r="N14">
        <f t="shared" si="4"/>
        <v>0</v>
      </c>
    </row>
    <row r="15" spans="1:14" ht="14.25" customHeight="1" x14ac:dyDescent="0.3">
      <c r="A15">
        <v>14</v>
      </c>
      <c r="B15" t="s">
        <v>42</v>
      </c>
      <c r="C15" t="s">
        <v>367</v>
      </c>
      <c r="D15" t="s">
        <v>368</v>
      </c>
      <c r="E15">
        <v>-0.65</v>
      </c>
      <c r="F15" s="23">
        <f>INDEX(I_prop!$B$7:$H$13, MATCH($C15, I_prop!$A$7:$A$13,0), MATCH($D15, I_prop!$B$6:$H$6,0))</f>
        <v>0</v>
      </c>
      <c r="G15" s="23">
        <f>INDEX(I_prop!$B$18:$H$24, MATCH($C15, I_prop!$A$18:$A$24,0), MATCH($D15, I_prop!$B$17:$H$17,0))</f>
        <v>0</v>
      </c>
      <c r="H15" s="23">
        <f t="shared" si="0"/>
        <v>0</v>
      </c>
      <c r="I15" s="23">
        <f t="shared" si="1"/>
        <v>0</v>
      </c>
      <c r="J15" t="str">
        <f>IF(COUNTIFS(Subgroup_Overrides!$A$5:$A$200,"A",Subgroup_Overrides!$B$5:$B$200,$C15,Subgroup_Overrides!$C$5:$C$200,$D15)&gt;0,_xludf.minifs(Subgroup_Overrides!$D$5:$D$200,Subgroup_Overrides!$A$5:$A$200,"A",Subgroup_Overrides!$B$5:$B$200,$C15,Subgroup_Overrides!$C$5:$C$200,$D15),"")</f>
        <v/>
      </c>
      <c r="K15" t="str">
        <f>IF(COUNTIFS(Subgroup_Overrides!$A$5:$A$200,"B",Subgroup_Overrides!$B$5:$B$200,$C15,Subgroup_Overrides!$C$5:$C$200,$D15)&gt;0,_xludf.minifs(Subgroup_Overrides!$D$5:$D$200,Subgroup_Overrides!$A$5:$A$200,"B",Subgroup_Overrides!$B$5:$B$200,$C15,Subgroup_Overrides!$C$5:$C$200,$D15),"")</f>
        <v/>
      </c>
      <c r="L15" t="str">
        <f t="shared" si="2"/>
        <v>ECOL</v>
      </c>
      <c r="M15">
        <f t="shared" si="3"/>
        <v>0</v>
      </c>
      <c r="N15">
        <f t="shared" si="4"/>
        <v>0</v>
      </c>
    </row>
    <row r="16" spans="1:14" ht="14.25" customHeight="1" x14ac:dyDescent="0.3">
      <c r="A16">
        <v>15</v>
      </c>
      <c r="B16" t="s">
        <v>42</v>
      </c>
      <c r="C16" t="s">
        <v>369</v>
      </c>
      <c r="D16" t="s">
        <v>368</v>
      </c>
      <c r="E16">
        <v>-0.65</v>
      </c>
      <c r="F16" s="23">
        <f>INDEX(I_prop!$B$7:$H$13, MATCH($C16, I_prop!$A$7:$A$13,0), MATCH($D16, I_prop!$B$6:$H$6,0))</f>
        <v>1.5316517957359872E-2</v>
      </c>
      <c r="G16" s="23">
        <f>INDEX(I_prop!$B$18:$H$24, MATCH($C16, I_prop!$A$18:$A$24,0), MATCH($D16, I_prop!$B$17:$H$17,0))</f>
        <v>-1.0211455619172208E-2</v>
      </c>
      <c r="H16" s="23">
        <f t="shared" si="0"/>
        <v>1.5316517957359872E-2</v>
      </c>
      <c r="I16" s="23">
        <f t="shared" si="1"/>
        <v>-1.0211455619172208E-2</v>
      </c>
      <c r="J16" t="str">
        <f>IF(COUNTIFS(Subgroup_Overrides!$A$5:$A$200,"A",Subgroup_Overrides!$B$5:$B$200,$C16,Subgroup_Overrides!$C$5:$C$200,$D16)&gt;0,_xludf.minifs(Subgroup_Overrides!$D$5:$D$200,Subgroup_Overrides!$A$5:$A$200,"A",Subgroup_Overrides!$B$5:$B$200,$C16,Subgroup_Overrides!$C$5:$C$200,$D16),"")</f>
        <v/>
      </c>
      <c r="K16" t="str">
        <f>IF(COUNTIFS(Subgroup_Overrides!$A$5:$A$200,"B",Subgroup_Overrides!$B$5:$B$200,$C16,Subgroup_Overrides!$C$5:$C$200,$D16)&gt;0,_xludf.minifs(Subgroup_Overrides!$D$5:$D$200,Subgroup_Overrides!$A$5:$A$200,"B",Subgroup_Overrides!$B$5:$B$200,$C16,Subgroup_Overrides!$C$5:$C$200,$D16),"")</f>
        <v/>
      </c>
      <c r="L16" t="str">
        <f t="shared" si="2"/>
        <v>ECOL</v>
      </c>
      <c r="M16">
        <f t="shared" si="3"/>
        <v>1.5316517957359872E-2</v>
      </c>
      <c r="N16">
        <f t="shared" si="4"/>
        <v>-1.0211455619172208E-2</v>
      </c>
    </row>
    <row r="17" spans="1:14" ht="14.25" customHeight="1" x14ac:dyDescent="0.3">
      <c r="A17">
        <v>16</v>
      </c>
      <c r="B17" t="s">
        <v>43</v>
      </c>
      <c r="C17" t="s">
        <v>361</v>
      </c>
      <c r="D17" t="s">
        <v>370</v>
      </c>
      <c r="E17">
        <v>-0.65</v>
      </c>
      <c r="F17" s="23">
        <f>INDEX(I_prop!$B$7:$H$13, MATCH($C17, I_prop!$A$7:$A$13,0), MATCH($D17, I_prop!$B$6:$H$6,0))</f>
        <v>0.2490078843274226</v>
      </c>
      <c r="G17" s="23">
        <f>INDEX(I_prop!$B$18:$H$24, MATCH($C17, I_prop!$A$18:$A$24,0), MATCH($D17, I_prop!$B$17:$H$17,0))</f>
        <v>-4.6333567670633638E-2</v>
      </c>
      <c r="H17" s="23">
        <f t="shared" si="0"/>
        <v>0.2490078843274226</v>
      </c>
      <c r="I17" s="23">
        <f t="shared" si="1"/>
        <v>-4.6333567670633638E-2</v>
      </c>
      <c r="J17" t="str">
        <f>IF(COUNTIFS(Subgroup_Overrides!$A$5:$A$200,"A",Subgroup_Overrides!$B$5:$B$200,$C17,Subgroup_Overrides!$C$5:$C$200,$D17)&gt;0,_xludf.minifs(Subgroup_Overrides!$D$5:$D$200,Subgroup_Overrides!$A$5:$A$200,"A",Subgroup_Overrides!$B$5:$B$200,$C17,Subgroup_Overrides!$C$5:$C$200,$D17),"")</f>
        <v/>
      </c>
      <c r="K17" t="str">
        <f>IF(COUNTIFS(Subgroup_Overrides!$A$5:$A$200,"B",Subgroup_Overrides!$B$5:$B$200,$C17,Subgroup_Overrides!$C$5:$C$200,$D17)&gt;0,_xludf.minifs(Subgroup_Overrides!$D$5:$D$200,Subgroup_Overrides!$A$5:$A$200,"B",Subgroup_Overrides!$B$5:$B$200,$C17,Subgroup_Overrides!$C$5:$C$200,$D17),"")</f>
        <v/>
      </c>
      <c r="L17" t="str">
        <f t="shared" si="2"/>
        <v>LBTY</v>
      </c>
      <c r="M17">
        <f t="shared" si="3"/>
        <v>0.2490078843274226</v>
      </c>
      <c r="N17">
        <f t="shared" si="4"/>
        <v>-4.6333567670633638E-2</v>
      </c>
    </row>
    <row r="18" spans="1:14" ht="14.25" customHeight="1" x14ac:dyDescent="0.3">
      <c r="A18">
        <v>17</v>
      </c>
      <c r="B18" t="s">
        <v>43</v>
      </c>
      <c r="C18" t="s">
        <v>363</v>
      </c>
      <c r="D18" t="s">
        <v>370</v>
      </c>
      <c r="E18">
        <v>-0.65</v>
      </c>
      <c r="F18" s="23">
        <f>INDEX(I_prop!$B$7:$H$13, MATCH($C18, I_prop!$A$7:$A$13,0), MATCH($D18, I_prop!$B$6:$H$6,0))</f>
        <v>0</v>
      </c>
      <c r="G18" s="23">
        <f>INDEX(I_prop!$B$18:$H$24, MATCH($C18, I_prop!$A$18:$A$24,0), MATCH($D18, I_prop!$B$17:$H$17,0))</f>
        <v>0</v>
      </c>
      <c r="H18" s="23">
        <f t="shared" si="0"/>
        <v>0</v>
      </c>
      <c r="I18" s="23">
        <f t="shared" si="1"/>
        <v>0</v>
      </c>
      <c r="J18" t="str">
        <f>IF(COUNTIFS(Subgroup_Overrides!$A$5:$A$200,"A",Subgroup_Overrides!$B$5:$B$200,$C18,Subgroup_Overrides!$C$5:$C$200,$D18)&gt;0,_xludf.minifs(Subgroup_Overrides!$D$5:$D$200,Subgroup_Overrides!$A$5:$A$200,"A",Subgroup_Overrides!$B$5:$B$200,$C18,Subgroup_Overrides!$C$5:$C$200,$D18),"")</f>
        <v/>
      </c>
      <c r="K18" t="str">
        <f>IF(COUNTIFS(Subgroup_Overrides!$A$5:$A$200,"B",Subgroup_Overrides!$B$5:$B$200,$C18,Subgroup_Overrides!$C$5:$C$200,$D18)&gt;0,_xludf.minifs(Subgroup_Overrides!$D$5:$D$200,Subgroup_Overrides!$A$5:$A$200,"B",Subgroup_Overrides!$B$5:$B$200,$C18,Subgroup_Overrides!$C$5:$C$200,$D18),"")</f>
        <v/>
      </c>
      <c r="L18" t="str">
        <f t="shared" si="2"/>
        <v>LBTY</v>
      </c>
      <c r="M18">
        <f t="shared" si="3"/>
        <v>0</v>
      </c>
      <c r="N18">
        <f t="shared" si="4"/>
        <v>0</v>
      </c>
    </row>
    <row r="19" spans="1:14" ht="14.25" customHeight="1" x14ac:dyDescent="0.3">
      <c r="A19">
        <v>18</v>
      </c>
      <c r="B19" t="s">
        <v>43</v>
      </c>
      <c r="C19" t="s">
        <v>364</v>
      </c>
      <c r="D19" t="s">
        <v>370</v>
      </c>
      <c r="E19">
        <v>-0.65</v>
      </c>
      <c r="F19" s="23">
        <f>INDEX(I_prop!$B$7:$H$13, MATCH($C19, I_prop!$A$7:$A$13,0), MATCH($D19, I_prop!$B$6:$H$6,0))</f>
        <v>0</v>
      </c>
      <c r="G19" s="23">
        <f>INDEX(I_prop!$B$18:$H$24, MATCH($C19, I_prop!$A$18:$A$24,0), MATCH($D19, I_prop!$B$17:$H$17,0))</f>
        <v>0</v>
      </c>
      <c r="H19" s="23">
        <f t="shared" si="0"/>
        <v>0</v>
      </c>
      <c r="I19" s="23">
        <f t="shared" si="1"/>
        <v>0</v>
      </c>
      <c r="J19" t="str">
        <f>IF(COUNTIFS(Subgroup_Overrides!$A$5:$A$200,"A",Subgroup_Overrides!$B$5:$B$200,$C19,Subgroup_Overrides!$C$5:$C$200,$D19)&gt;0,_xludf.minifs(Subgroup_Overrides!$D$5:$D$200,Subgroup_Overrides!$A$5:$A$200,"A",Subgroup_Overrides!$B$5:$B$200,$C19,Subgroup_Overrides!$C$5:$C$200,$D19),"")</f>
        <v/>
      </c>
      <c r="K19" t="str">
        <f>IF(COUNTIFS(Subgroup_Overrides!$A$5:$A$200,"B",Subgroup_Overrides!$B$5:$B$200,$C19,Subgroup_Overrides!$C$5:$C$200,$D19)&gt;0,_xludf.minifs(Subgroup_Overrides!$D$5:$D$200,Subgroup_Overrides!$A$5:$A$200,"B",Subgroup_Overrides!$B$5:$B$200,$C19,Subgroup_Overrides!$C$5:$C$200,$D19),"")</f>
        <v/>
      </c>
      <c r="L19" t="str">
        <f t="shared" si="2"/>
        <v>LBTY</v>
      </c>
      <c r="M19">
        <f t="shared" si="3"/>
        <v>0</v>
      </c>
      <c r="N19">
        <f t="shared" si="4"/>
        <v>0</v>
      </c>
    </row>
    <row r="20" spans="1:14" ht="14.25" customHeight="1" x14ac:dyDescent="0.3">
      <c r="A20">
        <v>19</v>
      </c>
      <c r="B20" t="s">
        <v>43</v>
      </c>
      <c r="C20" t="s">
        <v>365</v>
      </c>
      <c r="D20" t="s">
        <v>370</v>
      </c>
      <c r="E20">
        <v>-0.65</v>
      </c>
      <c r="F20" s="23">
        <f>INDEX(I_prop!$B$7:$H$13, MATCH($C20, I_prop!$A$7:$A$13,0), MATCH($D20, I_prop!$B$6:$H$6,0))</f>
        <v>0</v>
      </c>
      <c r="G20" s="23">
        <f>INDEX(I_prop!$B$18:$H$24, MATCH($C20, I_prop!$A$18:$A$24,0), MATCH($D20, I_prop!$B$17:$H$17,0))</f>
        <v>0</v>
      </c>
      <c r="H20" s="23">
        <f t="shared" si="0"/>
        <v>0</v>
      </c>
      <c r="I20" s="23">
        <f t="shared" si="1"/>
        <v>0</v>
      </c>
      <c r="J20" t="str">
        <f>IF(COUNTIFS(Subgroup_Overrides!$A$5:$A$200,"A",Subgroup_Overrides!$B$5:$B$200,$C20,Subgroup_Overrides!$C$5:$C$200,$D20)&gt;0,_xludf.minifs(Subgroup_Overrides!$D$5:$D$200,Subgroup_Overrides!$A$5:$A$200,"A",Subgroup_Overrides!$B$5:$B$200,$C20,Subgroup_Overrides!$C$5:$C$200,$D20),"")</f>
        <v/>
      </c>
      <c r="K20" t="str">
        <f>IF(COUNTIFS(Subgroup_Overrides!$A$5:$A$200,"B",Subgroup_Overrides!$B$5:$B$200,$C20,Subgroup_Overrides!$C$5:$C$200,$D20)&gt;0,_xludf.minifs(Subgroup_Overrides!$D$5:$D$200,Subgroup_Overrides!$A$5:$A$200,"B",Subgroup_Overrides!$B$5:$B$200,$C20,Subgroup_Overrides!$C$5:$C$200,$D20),"")</f>
        <v/>
      </c>
      <c r="L20" t="str">
        <f t="shared" si="2"/>
        <v>LBTY</v>
      </c>
      <c r="M20">
        <f t="shared" si="3"/>
        <v>0</v>
      </c>
      <c r="N20">
        <f t="shared" si="4"/>
        <v>0</v>
      </c>
    </row>
    <row r="21" spans="1:14" ht="14.25" customHeight="1" x14ac:dyDescent="0.3">
      <c r="A21">
        <v>20</v>
      </c>
      <c r="B21" t="s">
        <v>43</v>
      </c>
      <c r="C21" t="s">
        <v>366</v>
      </c>
      <c r="D21" t="s">
        <v>370</v>
      </c>
      <c r="E21">
        <v>-0.65</v>
      </c>
      <c r="F21" s="23">
        <f>INDEX(I_prop!$B$7:$H$13, MATCH($C21, I_prop!$A$7:$A$13,0), MATCH($D21, I_prop!$B$6:$H$6,0))</f>
        <v>0</v>
      </c>
      <c r="G21" s="23">
        <f>INDEX(I_prop!$B$18:$H$24, MATCH($C21, I_prop!$A$18:$A$24,0), MATCH($D21, I_prop!$B$17:$H$17,0))</f>
        <v>0</v>
      </c>
      <c r="H21" s="23">
        <f t="shared" si="0"/>
        <v>0</v>
      </c>
      <c r="I21" s="23">
        <f t="shared" si="1"/>
        <v>0</v>
      </c>
      <c r="J21" t="str">
        <f>IF(COUNTIFS(Subgroup_Overrides!$A$5:$A$200,"A",Subgroup_Overrides!$B$5:$B$200,$C21,Subgroup_Overrides!$C$5:$C$200,$D21)&gt;0,_xludf.minifs(Subgroup_Overrides!$D$5:$D$200,Subgroup_Overrides!$A$5:$A$200,"A",Subgroup_Overrides!$B$5:$B$200,$C21,Subgroup_Overrides!$C$5:$C$200,$D21),"")</f>
        <v/>
      </c>
      <c r="K21" t="str">
        <f>IF(COUNTIFS(Subgroup_Overrides!$A$5:$A$200,"B",Subgroup_Overrides!$B$5:$B$200,$C21,Subgroup_Overrides!$C$5:$C$200,$D21)&gt;0,_xludf.minifs(Subgroup_Overrides!$D$5:$D$200,Subgroup_Overrides!$A$5:$A$200,"B",Subgroup_Overrides!$B$5:$B$200,$C21,Subgroup_Overrides!$C$5:$C$200,$D21),"")</f>
        <v/>
      </c>
      <c r="L21" t="str">
        <f t="shared" si="2"/>
        <v>LBTY</v>
      </c>
      <c r="M21">
        <f t="shared" si="3"/>
        <v>0</v>
      </c>
      <c r="N21">
        <f t="shared" si="4"/>
        <v>0</v>
      </c>
    </row>
    <row r="22" spans="1:14" ht="14.25" customHeight="1" x14ac:dyDescent="0.3">
      <c r="A22">
        <v>21</v>
      </c>
      <c r="B22" t="s">
        <v>43</v>
      </c>
      <c r="C22" t="s">
        <v>367</v>
      </c>
      <c r="D22" t="s">
        <v>370</v>
      </c>
      <c r="E22">
        <v>-0.65</v>
      </c>
      <c r="F22" s="23">
        <f>INDEX(I_prop!$B$7:$H$13, MATCH($C22, I_prop!$A$7:$A$13,0), MATCH($D22, I_prop!$B$6:$H$6,0))</f>
        <v>0</v>
      </c>
      <c r="G22" s="23">
        <f>INDEX(I_prop!$B$18:$H$24, MATCH($C22, I_prop!$A$18:$A$24,0), MATCH($D22, I_prop!$B$17:$H$17,0))</f>
        <v>0</v>
      </c>
      <c r="H22" s="23">
        <f t="shared" si="0"/>
        <v>0</v>
      </c>
      <c r="I22" s="23">
        <f t="shared" si="1"/>
        <v>0</v>
      </c>
      <c r="J22" t="str">
        <f>IF(COUNTIFS(Subgroup_Overrides!$A$5:$A$200,"A",Subgroup_Overrides!$B$5:$B$200,$C22,Subgroup_Overrides!$C$5:$C$200,$D22)&gt;0,_xludf.minifs(Subgroup_Overrides!$D$5:$D$200,Subgroup_Overrides!$A$5:$A$200,"A",Subgroup_Overrides!$B$5:$B$200,$C22,Subgroup_Overrides!$C$5:$C$200,$D22),"")</f>
        <v/>
      </c>
      <c r="K22" t="str">
        <f>IF(COUNTIFS(Subgroup_Overrides!$A$5:$A$200,"B",Subgroup_Overrides!$B$5:$B$200,$C22,Subgroup_Overrides!$C$5:$C$200,$D22)&gt;0,_xludf.minifs(Subgroup_Overrides!$D$5:$D$200,Subgroup_Overrides!$A$5:$A$200,"B",Subgroup_Overrides!$B$5:$B$200,$C22,Subgroup_Overrides!$C$5:$C$200,$D22),"")</f>
        <v/>
      </c>
      <c r="L22" t="str">
        <f t="shared" si="2"/>
        <v>LBTY</v>
      </c>
      <c r="M22">
        <f t="shared" si="3"/>
        <v>0</v>
      </c>
      <c r="N22">
        <f t="shared" si="4"/>
        <v>0</v>
      </c>
    </row>
    <row r="23" spans="1:14" ht="14.25" customHeight="1" x14ac:dyDescent="0.3">
      <c r="A23">
        <v>22</v>
      </c>
      <c r="B23" t="s">
        <v>43</v>
      </c>
      <c r="C23" t="s">
        <v>364</v>
      </c>
      <c r="D23" t="s">
        <v>371</v>
      </c>
      <c r="E23">
        <v>-0.65</v>
      </c>
      <c r="F23" s="23">
        <f>INDEX(I_prop!$B$7:$H$13, MATCH($C23, I_prop!$A$7:$A$13,0), MATCH($D23, I_prop!$B$6:$H$6,0))</f>
        <v>-8.0725686815538475E-2</v>
      </c>
      <c r="G23" s="23">
        <f>INDEX(I_prop!$B$18:$H$24, MATCH($C23, I_prop!$A$18:$A$24,0), MATCH($D23, I_prop!$B$17:$H$17,0))</f>
        <v>6.1515572213509145E-2</v>
      </c>
      <c r="H23" s="23">
        <f t="shared" si="0"/>
        <v>-8.0725686815538475E-2</v>
      </c>
      <c r="I23" s="23">
        <f t="shared" si="1"/>
        <v>6.1515572213509145E-2</v>
      </c>
      <c r="J23" t="str">
        <f>IF(COUNTIFS(Subgroup_Overrides!$A$5:$A$200,"A",Subgroup_Overrides!$B$5:$B$200,$C23,Subgroup_Overrides!$C$5:$C$200,$D23)&gt;0,_xludf.minifs(Subgroup_Overrides!$D$5:$D$200,Subgroup_Overrides!$A$5:$A$200,"A",Subgroup_Overrides!$B$5:$B$200,$C23,Subgroup_Overrides!$C$5:$C$200,$D23),"")</f>
        <v/>
      </c>
      <c r="K23" t="str">
        <f>IF(COUNTIFS(Subgroup_Overrides!$A$5:$A$200,"B",Subgroup_Overrides!$B$5:$B$200,$C23,Subgroup_Overrides!$C$5:$C$200,$D23)&gt;0,_xludf.minifs(Subgroup_Overrides!$D$5:$D$200,Subgroup_Overrides!$A$5:$A$200,"B",Subgroup_Overrides!$B$5:$B$200,$C23,Subgroup_Overrides!$C$5:$C$200,$D23),"")</f>
        <v/>
      </c>
      <c r="L23" t="str">
        <f t="shared" si="2"/>
        <v>LBTY</v>
      </c>
      <c r="M23">
        <f t="shared" si="3"/>
        <v>-8.0725686815538475E-2</v>
      </c>
      <c r="N23">
        <f t="shared" si="4"/>
        <v>6.1515572213509145E-2</v>
      </c>
    </row>
    <row r="24" spans="1:14" ht="14.25" customHeight="1" x14ac:dyDescent="0.3">
      <c r="A24">
        <v>23</v>
      </c>
      <c r="B24" t="s">
        <v>43</v>
      </c>
      <c r="C24" t="s">
        <v>365</v>
      </c>
      <c r="D24" t="s">
        <v>371</v>
      </c>
      <c r="E24">
        <v>-0.65</v>
      </c>
      <c r="F24" s="23">
        <f>INDEX(I_prop!$B$7:$H$13, MATCH($C24, I_prop!$A$7:$A$13,0), MATCH($D24, I_prop!$B$6:$H$6,0))</f>
        <v>0</v>
      </c>
      <c r="G24" s="23">
        <f>INDEX(I_prop!$B$18:$H$24, MATCH($C24, I_prop!$A$18:$A$24,0), MATCH($D24, I_prop!$B$17:$H$17,0))</f>
        <v>0</v>
      </c>
      <c r="H24" s="23">
        <f t="shared" si="0"/>
        <v>0</v>
      </c>
      <c r="I24" s="23">
        <f t="shared" si="1"/>
        <v>0</v>
      </c>
      <c r="J24" t="str">
        <f>IF(COUNTIFS(Subgroup_Overrides!$A$5:$A$200,"A",Subgroup_Overrides!$B$5:$B$200,$C24,Subgroup_Overrides!$C$5:$C$200,$D24)&gt;0,_xludf.minifs(Subgroup_Overrides!$D$5:$D$200,Subgroup_Overrides!$A$5:$A$200,"A",Subgroup_Overrides!$B$5:$B$200,$C24,Subgroup_Overrides!$C$5:$C$200,$D24),"")</f>
        <v/>
      </c>
      <c r="K24" t="str">
        <f>IF(COUNTIFS(Subgroup_Overrides!$A$5:$A$200,"B",Subgroup_Overrides!$B$5:$B$200,$C24,Subgroup_Overrides!$C$5:$C$200,$D24)&gt;0,_xludf.minifs(Subgroup_Overrides!$D$5:$D$200,Subgroup_Overrides!$A$5:$A$200,"B",Subgroup_Overrides!$B$5:$B$200,$C24,Subgroup_Overrides!$C$5:$C$200,$D24),"")</f>
        <v/>
      </c>
      <c r="L24" t="str">
        <f t="shared" si="2"/>
        <v>LBTY</v>
      </c>
      <c r="M24">
        <f t="shared" si="3"/>
        <v>0</v>
      </c>
      <c r="N24">
        <f t="shared" si="4"/>
        <v>0</v>
      </c>
    </row>
    <row r="25" spans="1:14" ht="14.25" customHeight="1" x14ac:dyDescent="0.3">
      <c r="A25">
        <v>24</v>
      </c>
      <c r="B25" t="s">
        <v>43</v>
      </c>
      <c r="C25" t="s">
        <v>366</v>
      </c>
      <c r="D25" t="s">
        <v>371</v>
      </c>
      <c r="E25">
        <v>-0.65</v>
      </c>
      <c r="F25" s="23">
        <f>INDEX(I_prop!$B$7:$H$13, MATCH($C25, I_prop!$A$7:$A$13,0), MATCH($D25, I_prop!$B$6:$H$6,0))</f>
        <v>0</v>
      </c>
      <c r="G25" s="23">
        <f>INDEX(I_prop!$B$18:$H$24, MATCH($C25, I_prop!$A$18:$A$24,0), MATCH($D25, I_prop!$B$17:$H$17,0))</f>
        <v>0</v>
      </c>
      <c r="H25" s="23">
        <f t="shared" si="0"/>
        <v>0</v>
      </c>
      <c r="I25" s="23">
        <f t="shared" si="1"/>
        <v>0</v>
      </c>
      <c r="J25" t="str">
        <f>IF(COUNTIFS(Subgroup_Overrides!$A$5:$A$200,"A",Subgroup_Overrides!$B$5:$B$200,$C25,Subgroup_Overrides!$C$5:$C$200,$D25)&gt;0,_xludf.minifs(Subgroup_Overrides!$D$5:$D$200,Subgroup_Overrides!$A$5:$A$200,"A",Subgroup_Overrides!$B$5:$B$200,$C25,Subgroup_Overrides!$C$5:$C$200,$D25),"")</f>
        <v/>
      </c>
      <c r="K25" t="str">
        <f>IF(COUNTIFS(Subgroup_Overrides!$A$5:$A$200,"B",Subgroup_Overrides!$B$5:$B$200,$C25,Subgroup_Overrides!$C$5:$C$200,$D25)&gt;0,_xludf.minifs(Subgroup_Overrides!$D$5:$D$200,Subgroup_Overrides!$A$5:$A$200,"B",Subgroup_Overrides!$B$5:$B$200,$C25,Subgroup_Overrides!$C$5:$C$200,$D25),"")</f>
        <v/>
      </c>
      <c r="L25" t="str">
        <f t="shared" si="2"/>
        <v>LBTY</v>
      </c>
      <c r="M25">
        <f t="shared" si="3"/>
        <v>0</v>
      </c>
      <c r="N25">
        <f t="shared" si="4"/>
        <v>0</v>
      </c>
    </row>
    <row r="26" spans="1:14" ht="14.25" customHeight="1" x14ac:dyDescent="0.3">
      <c r="A26">
        <v>25</v>
      </c>
      <c r="B26" t="s">
        <v>43</v>
      </c>
      <c r="C26" t="s">
        <v>367</v>
      </c>
      <c r="D26" t="s">
        <v>371</v>
      </c>
      <c r="E26">
        <v>-0.65</v>
      </c>
      <c r="F26" s="23">
        <f>INDEX(I_prop!$B$7:$H$13, MATCH($C26, I_prop!$A$7:$A$13,0), MATCH($D26, I_prop!$B$6:$H$6,0))</f>
        <v>0</v>
      </c>
      <c r="G26" s="23">
        <f>INDEX(I_prop!$B$18:$H$24, MATCH($C26, I_prop!$A$18:$A$24,0), MATCH($D26, I_prop!$B$17:$H$17,0))</f>
        <v>0</v>
      </c>
      <c r="H26" s="23">
        <f t="shared" si="0"/>
        <v>0</v>
      </c>
      <c r="I26" s="23">
        <f t="shared" si="1"/>
        <v>0</v>
      </c>
      <c r="J26" t="str">
        <f>IF(COUNTIFS(Subgroup_Overrides!$A$5:$A$200,"A",Subgroup_Overrides!$B$5:$B$200,$C26,Subgroup_Overrides!$C$5:$C$200,$D26)&gt;0,_xludf.minifs(Subgroup_Overrides!$D$5:$D$200,Subgroup_Overrides!$A$5:$A$200,"A",Subgroup_Overrides!$B$5:$B$200,$C26,Subgroup_Overrides!$C$5:$C$200,$D26),"")</f>
        <v/>
      </c>
      <c r="K26" t="str">
        <f>IF(COUNTIFS(Subgroup_Overrides!$A$5:$A$200,"B",Subgroup_Overrides!$B$5:$B$200,$C26,Subgroup_Overrides!$C$5:$C$200,$D26)&gt;0,_xludf.minifs(Subgroup_Overrides!$D$5:$D$200,Subgroup_Overrides!$A$5:$A$200,"B",Subgroup_Overrides!$B$5:$B$200,$C26,Subgroup_Overrides!$C$5:$C$200,$D26),"")</f>
        <v/>
      </c>
      <c r="L26" t="str">
        <f t="shared" si="2"/>
        <v>LBTY</v>
      </c>
      <c r="M26">
        <f t="shared" si="3"/>
        <v>0</v>
      </c>
      <c r="N26">
        <f t="shared" si="4"/>
        <v>0</v>
      </c>
    </row>
    <row r="27" spans="1:14" ht="14.25" customHeight="1" x14ac:dyDescent="0.3">
      <c r="A27">
        <v>26</v>
      </c>
      <c r="B27" t="s">
        <v>44</v>
      </c>
      <c r="C27" t="s">
        <v>361</v>
      </c>
      <c r="D27" t="s">
        <v>372</v>
      </c>
      <c r="E27">
        <v>-0.5</v>
      </c>
      <c r="F27" s="23">
        <f>INDEX(I_prop!$B$7:$H$13, MATCH($C27, I_prop!$A$7:$A$13,0), MATCH($D27, I_prop!$B$6:$H$6,0))</f>
        <v>0</v>
      </c>
      <c r="G27" s="23">
        <f>INDEX(I_prop!$B$18:$H$24, MATCH($C27, I_prop!$A$18:$A$24,0), MATCH($D27, I_prop!$B$17:$H$17,0))</f>
        <v>0</v>
      </c>
      <c r="H27" s="23">
        <f t="shared" si="0"/>
        <v>0</v>
      </c>
      <c r="I27" s="23">
        <f t="shared" si="1"/>
        <v>0</v>
      </c>
      <c r="J27" t="str">
        <f>IF(COUNTIFS(Subgroup_Overrides!$A$5:$A$200,"A",Subgroup_Overrides!$B$5:$B$200,$C27,Subgroup_Overrides!$C$5:$C$200,$D27)&gt;0,_xludf.minifs(Subgroup_Overrides!$D$5:$D$200,Subgroup_Overrides!$A$5:$A$200,"A",Subgroup_Overrides!$B$5:$B$200,$C27,Subgroup_Overrides!$C$5:$C$200,$D27),"")</f>
        <v/>
      </c>
      <c r="K27" t="str">
        <f>IF(COUNTIFS(Subgroup_Overrides!$A$5:$A$200,"B",Subgroup_Overrides!$B$5:$B$200,$C27,Subgroup_Overrides!$C$5:$C$200,$D27)&gt;0,_xludf.minifs(Subgroup_Overrides!$D$5:$D$200,Subgroup_Overrides!$A$5:$A$200,"B",Subgroup_Overrides!$B$5:$B$200,$C27,Subgroup_Overrides!$C$5:$C$200,$D27),"")</f>
        <v/>
      </c>
      <c r="L27" t="str">
        <f t="shared" si="2"/>
        <v>NEED</v>
      </c>
      <c r="M27">
        <f t="shared" si="3"/>
        <v>0</v>
      </c>
      <c r="N27">
        <f t="shared" si="4"/>
        <v>0</v>
      </c>
    </row>
    <row r="28" spans="1:14" ht="14.25" customHeight="1" x14ac:dyDescent="0.3">
      <c r="A28">
        <v>27</v>
      </c>
      <c r="B28" t="s">
        <v>44</v>
      </c>
      <c r="C28" t="s">
        <v>361</v>
      </c>
      <c r="D28" t="s">
        <v>362</v>
      </c>
      <c r="E28">
        <v>-0.5</v>
      </c>
      <c r="F28" s="23">
        <f>INDEX(I_prop!$B$7:$H$13, MATCH($C28, I_prop!$A$7:$A$13,0), MATCH($D28, I_prop!$B$6:$H$6,0))</f>
        <v>0</v>
      </c>
      <c r="G28" s="23">
        <f>INDEX(I_prop!$B$18:$H$24, MATCH($C28, I_prop!$A$18:$A$24,0), MATCH($D28, I_prop!$B$17:$H$17,0))</f>
        <v>0</v>
      </c>
      <c r="H28" s="23">
        <f t="shared" si="0"/>
        <v>0</v>
      </c>
      <c r="I28" s="23">
        <f t="shared" si="1"/>
        <v>0</v>
      </c>
      <c r="J28" t="str">
        <f>IF(COUNTIFS(Subgroup_Overrides!$A$5:$A$200,"A",Subgroup_Overrides!$B$5:$B$200,$C28,Subgroup_Overrides!$C$5:$C$200,$D28)&gt;0,_xludf.minifs(Subgroup_Overrides!$D$5:$D$200,Subgroup_Overrides!$A$5:$A$200,"A",Subgroup_Overrides!$B$5:$B$200,$C28,Subgroup_Overrides!$C$5:$C$200,$D28),"")</f>
        <v/>
      </c>
      <c r="K28" t="str">
        <f>IF(COUNTIFS(Subgroup_Overrides!$A$5:$A$200,"B",Subgroup_Overrides!$B$5:$B$200,$C28,Subgroup_Overrides!$C$5:$C$200,$D28)&gt;0,_xludf.minifs(Subgroup_Overrides!$D$5:$D$200,Subgroup_Overrides!$A$5:$A$200,"B",Subgroup_Overrides!$B$5:$B$200,$C28,Subgroup_Overrides!$C$5:$C$200,$D28),"")</f>
        <v/>
      </c>
      <c r="L28" t="str">
        <f t="shared" si="2"/>
        <v>NEED</v>
      </c>
      <c r="M28">
        <f t="shared" si="3"/>
        <v>0</v>
      </c>
      <c r="N28">
        <f t="shared" si="4"/>
        <v>0</v>
      </c>
    </row>
    <row r="29" spans="1:14" ht="14.25" customHeight="1" x14ac:dyDescent="0.3">
      <c r="A29">
        <v>28</v>
      </c>
      <c r="B29" t="s">
        <v>44</v>
      </c>
      <c r="C29" t="s">
        <v>363</v>
      </c>
      <c r="D29" t="s">
        <v>372</v>
      </c>
      <c r="E29">
        <v>-0.5</v>
      </c>
      <c r="F29" s="23">
        <f>INDEX(I_prop!$B$7:$H$13, MATCH($C29, I_prop!$A$7:$A$13,0), MATCH($D29, I_prop!$B$6:$H$6,0))</f>
        <v>4.6162176234088838E-2</v>
      </c>
      <c r="G29" s="23">
        <f>INDEX(I_prop!$B$18:$H$24, MATCH($C29, I_prop!$A$18:$A$24,0), MATCH($D29, I_prop!$B$17:$H$17,0))</f>
        <v>-1.8475900437537916E-2</v>
      </c>
      <c r="H29" s="23">
        <f t="shared" si="0"/>
        <v>4.6162176234088838E-2</v>
      </c>
      <c r="I29" s="23">
        <f t="shared" si="1"/>
        <v>-1.8475900437537916E-2</v>
      </c>
      <c r="J29" t="str">
        <f>IF(COUNTIFS(Subgroup_Overrides!$A$5:$A$200,"A",Subgroup_Overrides!$B$5:$B$200,$C29,Subgroup_Overrides!$C$5:$C$200,$D29)&gt;0,_xludf.minifs(Subgroup_Overrides!$D$5:$D$200,Subgroup_Overrides!$A$5:$A$200,"A",Subgroup_Overrides!$B$5:$B$200,$C29,Subgroup_Overrides!$C$5:$C$200,$D29),"")</f>
        <v/>
      </c>
      <c r="K29" t="str">
        <f>IF(COUNTIFS(Subgroup_Overrides!$A$5:$A$200,"B",Subgroup_Overrides!$B$5:$B$200,$C29,Subgroup_Overrides!$C$5:$C$200,$D29)&gt;0,_xludf.minifs(Subgroup_Overrides!$D$5:$D$200,Subgroup_Overrides!$A$5:$A$200,"B",Subgroup_Overrides!$B$5:$B$200,$C29,Subgroup_Overrides!$C$5:$C$200,$D29),"")</f>
        <v/>
      </c>
      <c r="L29" t="str">
        <f t="shared" si="2"/>
        <v>NEED</v>
      </c>
      <c r="M29">
        <f t="shared" si="3"/>
        <v>4.6162176234088838E-2</v>
      </c>
      <c r="N29">
        <f t="shared" si="4"/>
        <v>-1.8475900437537916E-2</v>
      </c>
    </row>
    <row r="30" spans="1:14" ht="14.25" customHeight="1" x14ac:dyDescent="0.3">
      <c r="A30">
        <v>29</v>
      </c>
      <c r="B30" t="s">
        <v>44</v>
      </c>
      <c r="C30" t="s">
        <v>363</v>
      </c>
      <c r="D30" t="s">
        <v>362</v>
      </c>
      <c r="E30">
        <v>-0.5</v>
      </c>
      <c r="F30" s="23">
        <f>INDEX(I_prop!$B$7:$H$13, MATCH($C30, I_prop!$A$7:$A$13,0), MATCH($D30, I_prop!$B$6:$H$6,0))</f>
        <v>0</v>
      </c>
      <c r="G30" s="23">
        <f>INDEX(I_prop!$B$18:$H$24, MATCH($C30, I_prop!$A$18:$A$24,0), MATCH($D30, I_prop!$B$17:$H$17,0))</f>
        <v>0</v>
      </c>
      <c r="H30" s="23">
        <f t="shared" si="0"/>
        <v>0</v>
      </c>
      <c r="I30" s="23">
        <f t="shared" si="1"/>
        <v>0</v>
      </c>
      <c r="J30" t="str">
        <f>IF(COUNTIFS(Subgroup_Overrides!$A$5:$A$200,"A",Subgroup_Overrides!$B$5:$B$200,$C30,Subgroup_Overrides!$C$5:$C$200,$D30)&gt;0,_xludf.minifs(Subgroup_Overrides!$D$5:$D$200,Subgroup_Overrides!$A$5:$A$200,"A",Subgroup_Overrides!$B$5:$B$200,$C30,Subgroup_Overrides!$C$5:$C$200,$D30),"")</f>
        <v/>
      </c>
      <c r="K30" t="str">
        <f>IF(COUNTIFS(Subgroup_Overrides!$A$5:$A$200,"B",Subgroup_Overrides!$B$5:$B$200,$C30,Subgroup_Overrides!$C$5:$C$200,$D30)&gt;0,_xludf.minifs(Subgroup_Overrides!$D$5:$D$200,Subgroup_Overrides!$A$5:$A$200,"B",Subgroup_Overrides!$B$5:$B$200,$C30,Subgroup_Overrides!$C$5:$C$200,$D30),"")</f>
        <v/>
      </c>
      <c r="L30" t="str">
        <f t="shared" si="2"/>
        <v>NEED</v>
      </c>
      <c r="M30">
        <f t="shared" si="3"/>
        <v>0</v>
      </c>
      <c r="N30">
        <f t="shared" si="4"/>
        <v>0</v>
      </c>
    </row>
    <row r="31" spans="1:14" ht="14.25" customHeight="1" x14ac:dyDescent="0.3">
      <c r="A31">
        <v>30</v>
      </c>
      <c r="B31" t="s">
        <v>44</v>
      </c>
      <c r="C31" t="s">
        <v>364</v>
      </c>
      <c r="D31" t="s">
        <v>372</v>
      </c>
      <c r="E31">
        <v>-0.5</v>
      </c>
      <c r="F31" s="23">
        <f>INDEX(I_prop!$B$7:$H$13, MATCH($C31, I_prop!$A$7:$A$13,0), MATCH($D31, I_prop!$B$6:$H$6,0))</f>
        <v>-1.9795274322161643E-2</v>
      </c>
      <c r="G31" s="23">
        <f>INDEX(I_prop!$B$18:$H$24, MATCH($C31, I_prop!$A$18:$A$24,0), MATCH($D31, I_prop!$B$17:$H$17,0))</f>
        <v>1.3197807340577425E-2</v>
      </c>
      <c r="H31" s="23">
        <f t="shared" si="0"/>
        <v>-1.9795274322161643E-2</v>
      </c>
      <c r="I31" s="23">
        <f t="shared" si="1"/>
        <v>1.3197807340577425E-2</v>
      </c>
      <c r="J31" t="str">
        <f>IF(COUNTIFS(Subgroup_Overrides!$A$5:$A$200,"A",Subgroup_Overrides!$B$5:$B$200,$C31,Subgroup_Overrides!$C$5:$C$200,$D31)&gt;0,_xludf.minifs(Subgroup_Overrides!$D$5:$D$200,Subgroup_Overrides!$A$5:$A$200,"A",Subgroup_Overrides!$B$5:$B$200,$C31,Subgroup_Overrides!$C$5:$C$200,$D31),"")</f>
        <v/>
      </c>
      <c r="K31" t="str">
        <f>IF(COUNTIFS(Subgroup_Overrides!$A$5:$A$200,"B",Subgroup_Overrides!$B$5:$B$200,$C31,Subgroup_Overrides!$C$5:$C$200,$D31)&gt;0,_xludf.minifs(Subgroup_Overrides!$D$5:$D$200,Subgroup_Overrides!$A$5:$A$200,"B",Subgroup_Overrides!$B$5:$B$200,$C31,Subgroup_Overrides!$C$5:$C$200,$D31),"")</f>
        <v/>
      </c>
      <c r="L31" t="str">
        <f t="shared" si="2"/>
        <v>NEED</v>
      </c>
      <c r="M31">
        <f t="shared" si="3"/>
        <v>-1.9795274322161643E-2</v>
      </c>
      <c r="N31">
        <f t="shared" si="4"/>
        <v>1.3197807340577425E-2</v>
      </c>
    </row>
    <row r="32" spans="1:14" ht="14.25" customHeight="1" x14ac:dyDescent="0.3">
      <c r="A32">
        <v>31</v>
      </c>
      <c r="B32" t="s">
        <v>44</v>
      </c>
      <c r="C32" t="s">
        <v>364</v>
      </c>
      <c r="D32" t="s">
        <v>362</v>
      </c>
      <c r="E32">
        <v>-0.5</v>
      </c>
      <c r="F32" s="23">
        <f>INDEX(I_prop!$B$7:$H$13, MATCH($C32, I_prop!$A$7:$A$13,0), MATCH($D32, I_prop!$B$6:$H$6,0))</f>
        <v>0</v>
      </c>
      <c r="G32" s="23">
        <f>INDEX(I_prop!$B$18:$H$24, MATCH($C32, I_prop!$A$18:$A$24,0), MATCH($D32, I_prop!$B$17:$H$17,0))</f>
        <v>0</v>
      </c>
      <c r="H32" s="23">
        <f t="shared" si="0"/>
        <v>0</v>
      </c>
      <c r="I32" s="23">
        <f t="shared" si="1"/>
        <v>0</v>
      </c>
      <c r="J32" t="str">
        <f>IF(COUNTIFS(Subgroup_Overrides!$A$5:$A$200,"A",Subgroup_Overrides!$B$5:$B$200,$C32,Subgroup_Overrides!$C$5:$C$200,$D32)&gt;0,_xludf.minifs(Subgroup_Overrides!$D$5:$D$200,Subgroup_Overrides!$A$5:$A$200,"A",Subgroup_Overrides!$B$5:$B$200,$C32,Subgroup_Overrides!$C$5:$C$200,$D32),"")</f>
        <v/>
      </c>
      <c r="K32" t="str">
        <f>IF(COUNTIFS(Subgroup_Overrides!$A$5:$A$200,"B",Subgroup_Overrides!$B$5:$B$200,$C32,Subgroup_Overrides!$C$5:$C$200,$D32)&gt;0,_xludf.minifs(Subgroup_Overrides!$D$5:$D$200,Subgroup_Overrides!$A$5:$A$200,"B",Subgroup_Overrides!$B$5:$B$200,$C32,Subgroup_Overrides!$C$5:$C$200,$D32),"")</f>
        <v/>
      </c>
      <c r="L32" t="str">
        <f t="shared" si="2"/>
        <v>NEED</v>
      </c>
      <c r="M32">
        <f t="shared" si="3"/>
        <v>0</v>
      </c>
      <c r="N32">
        <f t="shared" si="4"/>
        <v>0</v>
      </c>
    </row>
    <row r="33" spans="1:14" ht="14.25" customHeight="1" x14ac:dyDescent="0.3">
      <c r="A33">
        <v>32</v>
      </c>
      <c r="B33" t="s">
        <v>44</v>
      </c>
      <c r="C33" t="s">
        <v>365</v>
      </c>
      <c r="D33" t="s">
        <v>372</v>
      </c>
      <c r="E33">
        <v>-0.5</v>
      </c>
      <c r="F33" s="23">
        <f>INDEX(I_prop!$B$7:$H$13, MATCH($C33, I_prop!$A$7:$A$13,0), MATCH($D33, I_prop!$B$6:$H$6,0))</f>
        <v>-8.5569436295896681E-2</v>
      </c>
      <c r="G33" s="23">
        <f>INDEX(I_prop!$B$18:$H$24, MATCH($C33, I_prop!$A$18:$A$24,0), MATCH($D33, I_prop!$B$17:$H$17,0))</f>
        <v>1.0211455619172206E-2</v>
      </c>
      <c r="H33" s="23">
        <f t="shared" si="0"/>
        <v>-8.5569436295896681E-2</v>
      </c>
      <c r="I33" s="23">
        <f t="shared" si="1"/>
        <v>1.0211455619172206E-2</v>
      </c>
      <c r="J33" t="str">
        <f>IF(COUNTIFS(Subgroup_Overrides!$A$5:$A$200,"A",Subgroup_Overrides!$B$5:$B$200,$C33,Subgroup_Overrides!$C$5:$C$200,$D33)&gt;0,_xludf.minifs(Subgroup_Overrides!$D$5:$D$200,Subgroup_Overrides!$A$5:$A$200,"A",Subgroup_Overrides!$B$5:$B$200,$C33,Subgroup_Overrides!$C$5:$C$200,$D33),"")</f>
        <v/>
      </c>
      <c r="K33" t="str">
        <f>IF(COUNTIFS(Subgroup_Overrides!$A$5:$A$200,"B",Subgroup_Overrides!$B$5:$B$200,$C33,Subgroup_Overrides!$C$5:$C$200,$D33)&gt;0,_xludf.minifs(Subgroup_Overrides!$D$5:$D$200,Subgroup_Overrides!$A$5:$A$200,"B",Subgroup_Overrides!$B$5:$B$200,$C33,Subgroup_Overrides!$C$5:$C$200,$D33),"")</f>
        <v/>
      </c>
      <c r="L33" t="str">
        <f t="shared" si="2"/>
        <v>NEED</v>
      </c>
      <c r="M33">
        <f t="shared" si="3"/>
        <v>-8.5569436295896681E-2</v>
      </c>
      <c r="N33">
        <f t="shared" si="4"/>
        <v>1.0211455619172206E-2</v>
      </c>
    </row>
    <row r="34" spans="1:14" ht="14.25" customHeight="1" x14ac:dyDescent="0.3">
      <c r="A34">
        <v>33</v>
      </c>
      <c r="B34" t="s">
        <v>44</v>
      </c>
      <c r="C34" t="s">
        <v>365</v>
      </c>
      <c r="D34" t="s">
        <v>362</v>
      </c>
      <c r="E34">
        <v>-0.5</v>
      </c>
      <c r="F34" s="23">
        <f>INDEX(I_prop!$B$7:$H$13, MATCH($C34, I_prop!$A$7:$A$13,0), MATCH($D34, I_prop!$B$6:$H$6,0))</f>
        <v>0</v>
      </c>
      <c r="G34" s="23">
        <f>INDEX(I_prop!$B$18:$H$24, MATCH($C34, I_prop!$A$18:$A$24,0), MATCH($D34, I_prop!$B$17:$H$17,0))</f>
        <v>0</v>
      </c>
      <c r="H34" s="23">
        <f t="shared" ref="H34:H65" si="5">IF($J34&lt;&gt;"",$J34,$F34)</f>
        <v>0</v>
      </c>
      <c r="I34" s="23">
        <f t="shared" ref="I34:I65" si="6">IF($K34&lt;&gt;"",$K34,$G34)</f>
        <v>0</v>
      </c>
      <c r="J34" t="str">
        <f>IF(COUNTIFS(Subgroup_Overrides!$A$5:$A$200,"A",Subgroup_Overrides!$B$5:$B$200,$C34,Subgroup_Overrides!$C$5:$C$200,$D34)&gt;0,_xludf.minifs(Subgroup_Overrides!$D$5:$D$200,Subgroup_Overrides!$A$5:$A$200,"A",Subgroup_Overrides!$B$5:$B$200,$C34,Subgroup_Overrides!$C$5:$C$200,$D34),"")</f>
        <v/>
      </c>
      <c r="K34" t="str">
        <f>IF(COUNTIFS(Subgroup_Overrides!$A$5:$A$200,"B",Subgroup_Overrides!$B$5:$B$200,$C34,Subgroup_Overrides!$C$5:$C$200,$D34)&gt;0,_xludf.minifs(Subgroup_Overrides!$D$5:$D$200,Subgroup_Overrides!$A$5:$A$200,"B",Subgroup_Overrides!$B$5:$B$200,$C34,Subgroup_Overrides!$C$5:$C$200,$D34),"")</f>
        <v/>
      </c>
      <c r="L34" t="str">
        <f t="shared" ref="L34:L65" si="7">TRIM(B34)</f>
        <v>NEED</v>
      </c>
      <c r="M34">
        <f t="shared" ref="M34:M65" si="8">IF(H34="",NA(),1*H34)</f>
        <v>0</v>
      </c>
      <c r="N34">
        <f t="shared" ref="N34:N65" si="9">IF(I34="",NA(),1*I34)</f>
        <v>0</v>
      </c>
    </row>
    <row r="35" spans="1:14" ht="14.25" customHeight="1" x14ac:dyDescent="0.3">
      <c r="A35">
        <v>34</v>
      </c>
      <c r="B35" t="s">
        <v>44</v>
      </c>
      <c r="C35" t="s">
        <v>366</v>
      </c>
      <c r="D35" t="s">
        <v>372</v>
      </c>
      <c r="E35">
        <v>-0.5</v>
      </c>
      <c r="F35" s="23">
        <f>INDEX(I_prop!$B$7:$H$13, MATCH($C35, I_prop!$A$7:$A$13,0), MATCH($D35, I_prop!$B$6:$H$6,0))</f>
        <v>0</v>
      </c>
      <c r="G35" s="23">
        <f>INDEX(I_prop!$B$18:$H$24, MATCH($C35, I_prop!$A$18:$A$24,0), MATCH($D35, I_prop!$B$17:$H$17,0))</f>
        <v>0</v>
      </c>
      <c r="H35" s="23">
        <f t="shared" si="5"/>
        <v>0</v>
      </c>
      <c r="I35" s="23">
        <f t="shared" si="6"/>
        <v>0</v>
      </c>
      <c r="J35" t="str">
        <f>IF(COUNTIFS(Subgroup_Overrides!$A$5:$A$200,"A",Subgroup_Overrides!$B$5:$B$200,$C35,Subgroup_Overrides!$C$5:$C$200,$D35)&gt;0,_xludf.minifs(Subgroup_Overrides!$D$5:$D$200,Subgroup_Overrides!$A$5:$A$200,"A",Subgroup_Overrides!$B$5:$B$200,$C35,Subgroup_Overrides!$C$5:$C$200,$D35),"")</f>
        <v/>
      </c>
      <c r="K35" t="str">
        <f>IF(COUNTIFS(Subgroup_Overrides!$A$5:$A$200,"B",Subgroup_Overrides!$B$5:$B$200,$C35,Subgroup_Overrides!$C$5:$C$200,$D35)&gt;0,_xludf.minifs(Subgroup_Overrides!$D$5:$D$200,Subgroup_Overrides!$A$5:$A$200,"B",Subgroup_Overrides!$B$5:$B$200,$C35,Subgroup_Overrides!$C$5:$C$200,$D35),"")</f>
        <v/>
      </c>
      <c r="L35" t="str">
        <f t="shared" si="7"/>
        <v>NEED</v>
      </c>
      <c r="M35">
        <f t="shared" si="8"/>
        <v>0</v>
      </c>
      <c r="N35">
        <f t="shared" si="9"/>
        <v>0</v>
      </c>
    </row>
    <row r="36" spans="1:14" ht="14.25" customHeight="1" x14ac:dyDescent="0.3">
      <c r="A36">
        <v>35</v>
      </c>
      <c r="B36" t="s">
        <v>44</v>
      </c>
      <c r="C36" t="s">
        <v>366</v>
      </c>
      <c r="D36" t="s">
        <v>362</v>
      </c>
      <c r="E36">
        <v>-0.5</v>
      </c>
      <c r="F36" s="23">
        <f>INDEX(I_prop!$B$7:$H$13, MATCH($C36, I_prop!$A$7:$A$13,0), MATCH($D36, I_prop!$B$6:$H$6,0))</f>
        <v>0</v>
      </c>
      <c r="G36" s="23">
        <f>INDEX(I_prop!$B$18:$H$24, MATCH($C36, I_prop!$A$18:$A$24,0), MATCH($D36, I_prop!$B$17:$H$17,0))</f>
        <v>0</v>
      </c>
      <c r="H36" s="23">
        <f t="shared" si="5"/>
        <v>0</v>
      </c>
      <c r="I36" s="23">
        <f t="shared" si="6"/>
        <v>0</v>
      </c>
      <c r="J36" t="str">
        <f>IF(COUNTIFS(Subgroup_Overrides!$A$5:$A$200,"A",Subgroup_Overrides!$B$5:$B$200,$C36,Subgroup_Overrides!$C$5:$C$200,$D36)&gt;0,_xludf.minifs(Subgroup_Overrides!$D$5:$D$200,Subgroup_Overrides!$A$5:$A$200,"A",Subgroup_Overrides!$B$5:$B$200,$C36,Subgroup_Overrides!$C$5:$C$200,$D36),"")</f>
        <v/>
      </c>
      <c r="K36" t="str">
        <f>IF(COUNTIFS(Subgroup_Overrides!$A$5:$A$200,"B",Subgroup_Overrides!$B$5:$B$200,$C36,Subgroup_Overrides!$C$5:$C$200,$D36)&gt;0,_xludf.minifs(Subgroup_Overrides!$D$5:$D$200,Subgroup_Overrides!$A$5:$A$200,"B",Subgroup_Overrides!$B$5:$B$200,$C36,Subgroup_Overrides!$C$5:$C$200,$D36),"")</f>
        <v/>
      </c>
      <c r="L36" t="str">
        <f t="shared" si="7"/>
        <v>NEED</v>
      </c>
      <c r="M36">
        <f t="shared" si="8"/>
        <v>0</v>
      </c>
      <c r="N36">
        <f t="shared" si="9"/>
        <v>0</v>
      </c>
    </row>
    <row r="37" spans="1:14" ht="14.25" customHeight="1" x14ac:dyDescent="0.3">
      <c r="A37">
        <v>36</v>
      </c>
      <c r="B37" t="s">
        <v>44</v>
      </c>
      <c r="C37" t="s">
        <v>367</v>
      </c>
      <c r="D37" t="s">
        <v>372</v>
      </c>
      <c r="E37">
        <v>-0.5</v>
      </c>
      <c r="F37" s="23">
        <f>INDEX(I_prop!$B$7:$H$13, MATCH($C37, I_prop!$A$7:$A$13,0), MATCH($D37, I_prop!$B$6:$H$6,0))</f>
        <v>0</v>
      </c>
      <c r="G37" s="23">
        <f>INDEX(I_prop!$B$18:$H$24, MATCH($C37, I_prop!$A$18:$A$24,0), MATCH($D37, I_prop!$B$17:$H$17,0))</f>
        <v>0</v>
      </c>
      <c r="H37" s="23">
        <f t="shared" si="5"/>
        <v>0</v>
      </c>
      <c r="I37" s="23">
        <f t="shared" si="6"/>
        <v>0</v>
      </c>
      <c r="J37" t="str">
        <f>IF(COUNTIFS(Subgroup_Overrides!$A$5:$A$200,"A",Subgroup_Overrides!$B$5:$B$200,$C37,Subgroup_Overrides!$C$5:$C$200,$D37)&gt;0,_xludf.minifs(Subgroup_Overrides!$D$5:$D$200,Subgroup_Overrides!$A$5:$A$200,"A",Subgroup_Overrides!$B$5:$B$200,$C37,Subgroup_Overrides!$C$5:$C$200,$D37),"")</f>
        <v/>
      </c>
      <c r="K37" t="str">
        <f>IF(COUNTIFS(Subgroup_Overrides!$A$5:$A$200,"B",Subgroup_Overrides!$B$5:$B$200,$C37,Subgroup_Overrides!$C$5:$C$200,$D37)&gt;0,_xludf.minifs(Subgroup_Overrides!$D$5:$D$200,Subgroup_Overrides!$A$5:$A$200,"B",Subgroup_Overrides!$B$5:$B$200,$C37,Subgroup_Overrides!$C$5:$C$200,$D37),"")</f>
        <v/>
      </c>
      <c r="L37" t="str">
        <f t="shared" si="7"/>
        <v>NEED</v>
      </c>
      <c r="M37">
        <f t="shared" si="8"/>
        <v>0</v>
      </c>
      <c r="N37">
        <f t="shared" si="9"/>
        <v>0</v>
      </c>
    </row>
    <row r="38" spans="1:14" ht="14.25" customHeight="1" x14ac:dyDescent="0.3">
      <c r="A38">
        <v>37</v>
      </c>
      <c r="B38" t="s">
        <v>44</v>
      </c>
      <c r="C38" t="s">
        <v>367</v>
      </c>
      <c r="D38" t="s">
        <v>362</v>
      </c>
      <c r="E38">
        <v>-0.5</v>
      </c>
      <c r="F38" s="23">
        <f>INDEX(I_prop!$B$7:$H$13, MATCH($C38, I_prop!$A$7:$A$13,0), MATCH($D38, I_prop!$B$6:$H$6,0))</f>
        <v>0</v>
      </c>
      <c r="G38" s="23">
        <f>INDEX(I_prop!$B$18:$H$24, MATCH($C38, I_prop!$A$18:$A$24,0), MATCH($D38, I_prop!$B$17:$H$17,0))</f>
        <v>0</v>
      </c>
      <c r="H38" s="23">
        <f t="shared" si="5"/>
        <v>0</v>
      </c>
      <c r="I38" s="23">
        <f t="shared" si="6"/>
        <v>0</v>
      </c>
      <c r="J38" t="str">
        <f>IF(COUNTIFS(Subgroup_Overrides!$A$5:$A$200,"A",Subgroup_Overrides!$B$5:$B$200,$C38,Subgroup_Overrides!$C$5:$C$200,$D38)&gt;0,_xludf.minifs(Subgroup_Overrides!$D$5:$D$200,Subgroup_Overrides!$A$5:$A$200,"A",Subgroup_Overrides!$B$5:$B$200,$C38,Subgroup_Overrides!$C$5:$C$200,$D38),"")</f>
        <v/>
      </c>
      <c r="K38" t="str">
        <f>IF(COUNTIFS(Subgroup_Overrides!$A$5:$A$200,"B",Subgroup_Overrides!$B$5:$B$200,$C38,Subgroup_Overrides!$C$5:$C$200,$D38)&gt;0,_xludf.minifs(Subgroup_Overrides!$D$5:$D$200,Subgroup_Overrides!$A$5:$A$200,"B",Subgroup_Overrides!$B$5:$B$200,$C38,Subgroup_Overrides!$C$5:$C$200,$D38),"")</f>
        <v/>
      </c>
      <c r="L38" t="str">
        <f t="shared" si="7"/>
        <v>NEED</v>
      </c>
      <c r="M38">
        <f t="shared" si="8"/>
        <v>0</v>
      </c>
      <c r="N38">
        <f t="shared" si="9"/>
        <v>0</v>
      </c>
    </row>
    <row r="39" spans="1:14" ht="14.25" customHeight="1" x14ac:dyDescent="0.3">
      <c r="A39">
        <v>38</v>
      </c>
      <c r="B39" t="s">
        <v>45</v>
      </c>
      <c r="C39" t="s">
        <v>361</v>
      </c>
      <c r="D39" t="s">
        <v>371</v>
      </c>
      <c r="E39">
        <v>-0.55000000000000004</v>
      </c>
      <c r="F39" s="23">
        <f>INDEX(I_prop!$B$7:$H$13, MATCH($C39, I_prop!$A$7:$A$13,0), MATCH($D39, I_prop!$B$6:$H$6,0))</f>
        <v>0</v>
      </c>
      <c r="G39" s="23">
        <f>INDEX(I_prop!$B$18:$H$24, MATCH($C39, I_prop!$A$18:$A$24,0), MATCH($D39, I_prop!$B$17:$H$17,0))</f>
        <v>0</v>
      </c>
      <c r="H39" s="23">
        <f t="shared" si="5"/>
        <v>0</v>
      </c>
      <c r="I39" s="23">
        <f t="shared" si="6"/>
        <v>0</v>
      </c>
      <c r="J39" t="str">
        <f>IF(COUNTIFS(Subgroup_Overrides!$A$5:$A$200,"A",Subgroup_Overrides!$B$5:$B$200,$C39,Subgroup_Overrides!$C$5:$C$200,$D39)&gt;0,_xludf.minifs(Subgroup_Overrides!$D$5:$D$200,Subgroup_Overrides!$A$5:$A$200,"A",Subgroup_Overrides!$B$5:$B$200,$C39,Subgroup_Overrides!$C$5:$C$200,$D39),"")</f>
        <v/>
      </c>
      <c r="K39" t="str">
        <f>IF(COUNTIFS(Subgroup_Overrides!$A$5:$A$200,"B",Subgroup_Overrides!$B$5:$B$200,$C39,Subgroup_Overrides!$C$5:$C$200,$D39)&gt;0,_xludf.minifs(Subgroup_Overrides!$D$5:$D$200,Subgroup_Overrides!$A$5:$A$200,"B",Subgroup_Overrides!$B$5:$B$200,$C39,Subgroup_Overrides!$C$5:$C$200,$D39),"")</f>
        <v/>
      </c>
      <c r="L39" t="str">
        <f t="shared" si="7"/>
        <v>DIGN</v>
      </c>
      <c r="M39">
        <f t="shared" si="8"/>
        <v>0</v>
      </c>
      <c r="N39">
        <f t="shared" si="9"/>
        <v>0</v>
      </c>
    </row>
    <row r="40" spans="1:14" ht="14.25" customHeight="1" x14ac:dyDescent="0.3">
      <c r="A40">
        <v>39</v>
      </c>
      <c r="B40" t="s">
        <v>45</v>
      </c>
      <c r="C40" t="s">
        <v>361</v>
      </c>
      <c r="D40" t="s">
        <v>370</v>
      </c>
      <c r="E40">
        <v>-0.55000000000000004</v>
      </c>
      <c r="F40" s="23">
        <f>INDEX(I_prop!$B$7:$H$13, MATCH($C40, I_prop!$A$7:$A$13,0), MATCH($D40, I_prop!$B$6:$H$6,0))</f>
        <v>0.2490078843274226</v>
      </c>
      <c r="G40" s="23">
        <f>INDEX(I_prop!$B$18:$H$24, MATCH($C40, I_prop!$A$18:$A$24,0), MATCH($D40, I_prop!$B$17:$H$17,0))</f>
        <v>-4.6333567670633638E-2</v>
      </c>
      <c r="H40" s="23">
        <f t="shared" si="5"/>
        <v>0.2490078843274226</v>
      </c>
      <c r="I40" s="23">
        <f t="shared" si="6"/>
        <v>-4.6333567670633638E-2</v>
      </c>
      <c r="J40" t="str">
        <f>IF(COUNTIFS(Subgroup_Overrides!$A$5:$A$200,"A",Subgroup_Overrides!$B$5:$B$200,$C40,Subgroup_Overrides!$C$5:$C$200,$D40)&gt;0,_xludf.minifs(Subgroup_Overrides!$D$5:$D$200,Subgroup_Overrides!$A$5:$A$200,"A",Subgroup_Overrides!$B$5:$B$200,$C40,Subgroup_Overrides!$C$5:$C$200,$D40),"")</f>
        <v/>
      </c>
      <c r="K40" t="str">
        <f>IF(COUNTIFS(Subgroup_Overrides!$A$5:$A$200,"B",Subgroup_Overrides!$B$5:$B$200,$C40,Subgroup_Overrides!$C$5:$C$200,$D40)&gt;0,_xludf.minifs(Subgroup_Overrides!$D$5:$D$200,Subgroup_Overrides!$A$5:$A$200,"B",Subgroup_Overrides!$B$5:$B$200,$C40,Subgroup_Overrides!$C$5:$C$200,$D40),"")</f>
        <v/>
      </c>
      <c r="L40" t="str">
        <f t="shared" si="7"/>
        <v>DIGN</v>
      </c>
      <c r="M40">
        <f t="shared" si="8"/>
        <v>0.2490078843274226</v>
      </c>
      <c r="N40">
        <f t="shared" si="9"/>
        <v>-4.6333567670633638E-2</v>
      </c>
    </row>
    <row r="41" spans="1:14" ht="14.25" customHeight="1" x14ac:dyDescent="0.3">
      <c r="A41">
        <v>40</v>
      </c>
      <c r="B41" t="s">
        <v>45</v>
      </c>
      <c r="C41" t="s">
        <v>363</v>
      </c>
      <c r="D41" t="s">
        <v>371</v>
      </c>
      <c r="E41">
        <v>-0.55000000000000004</v>
      </c>
      <c r="F41" s="23">
        <f>INDEX(I_prop!$B$7:$H$13, MATCH($C41, I_prop!$A$7:$A$13,0), MATCH($D41, I_prop!$B$6:$H$6,0))</f>
        <v>0</v>
      </c>
      <c r="G41" s="23">
        <f>INDEX(I_prop!$B$18:$H$24, MATCH($C41, I_prop!$A$18:$A$24,0), MATCH($D41, I_prop!$B$17:$H$17,0))</f>
        <v>0</v>
      </c>
      <c r="H41" s="23">
        <f t="shared" si="5"/>
        <v>0</v>
      </c>
      <c r="I41" s="23">
        <f t="shared" si="6"/>
        <v>0</v>
      </c>
      <c r="J41" t="str">
        <f>IF(COUNTIFS(Subgroup_Overrides!$A$5:$A$200,"A",Subgroup_Overrides!$B$5:$B$200,$C41,Subgroup_Overrides!$C$5:$C$200,$D41)&gt;0,_xludf.minifs(Subgroup_Overrides!$D$5:$D$200,Subgroup_Overrides!$A$5:$A$200,"A",Subgroup_Overrides!$B$5:$B$200,$C41,Subgroup_Overrides!$C$5:$C$200,$D41),"")</f>
        <v/>
      </c>
      <c r="K41" t="str">
        <f>IF(COUNTIFS(Subgroup_Overrides!$A$5:$A$200,"B",Subgroup_Overrides!$B$5:$B$200,$C41,Subgroup_Overrides!$C$5:$C$200,$D41)&gt;0,_xludf.minifs(Subgroup_Overrides!$D$5:$D$200,Subgroup_Overrides!$A$5:$A$200,"B",Subgroup_Overrides!$B$5:$B$200,$C41,Subgroup_Overrides!$C$5:$C$200,$D41),"")</f>
        <v/>
      </c>
      <c r="L41" t="str">
        <f t="shared" si="7"/>
        <v>DIGN</v>
      </c>
      <c r="M41">
        <f t="shared" si="8"/>
        <v>0</v>
      </c>
      <c r="N41">
        <f t="shared" si="9"/>
        <v>0</v>
      </c>
    </row>
    <row r="42" spans="1:14" ht="14.25" customHeight="1" x14ac:dyDescent="0.3">
      <c r="A42">
        <v>41</v>
      </c>
      <c r="B42" t="s">
        <v>45</v>
      </c>
      <c r="C42" t="s">
        <v>363</v>
      </c>
      <c r="D42" t="s">
        <v>370</v>
      </c>
      <c r="E42">
        <v>-0.55000000000000004</v>
      </c>
      <c r="F42" s="23">
        <f>INDEX(I_prop!$B$7:$H$13, MATCH($C42, I_prop!$A$7:$A$13,0), MATCH($D42, I_prop!$B$6:$H$6,0))</f>
        <v>0</v>
      </c>
      <c r="G42" s="23">
        <f>INDEX(I_prop!$B$18:$H$24, MATCH($C42, I_prop!$A$18:$A$24,0), MATCH($D42, I_prop!$B$17:$H$17,0))</f>
        <v>0</v>
      </c>
      <c r="H42" s="23">
        <f t="shared" si="5"/>
        <v>0</v>
      </c>
      <c r="I42" s="23">
        <f t="shared" si="6"/>
        <v>0</v>
      </c>
      <c r="J42" t="str">
        <f>IF(COUNTIFS(Subgroup_Overrides!$A$5:$A$200,"A",Subgroup_Overrides!$B$5:$B$200,$C42,Subgroup_Overrides!$C$5:$C$200,$D42)&gt;0,_xludf.minifs(Subgroup_Overrides!$D$5:$D$200,Subgroup_Overrides!$A$5:$A$200,"A",Subgroup_Overrides!$B$5:$B$200,$C42,Subgroup_Overrides!$C$5:$C$200,$D42),"")</f>
        <v/>
      </c>
      <c r="K42" t="str">
        <f>IF(COUNTIFS(Subgroup_Overrides!$A$5:$A$200,"B",Subgroup_Overrides!$B$5:$B$200,$C42,Subgroup_Overrides!$C$5:$C$200,$D42)&gt;0,_xludf.minifs(Subgroup_Overrides!$D$5:$D$200,Subgroup_Overrides!$A$5:$A$200,"B",Subgroup_Overrides!$B$5:$B$200,$C42,Subgroup_Overrides!$C$5:$C$200,$D42),"")</f>
        <v/>
      </c>
      <c r="L42" t="str">
        <f t="shared" si="7"/>
        <v>DIGN</v>
      </c>
      <c r="M42">
        <f t="shared" si="8"/>
        <v>0</v>
      </c>
      <c r="N42">
        <f t="shared" si="9"/>
        <v>0</v>
      </c>
    </row>
    <row r="43" spans="1:14" ht="14.25" customHeight="1" x14ac:dyDescent="0.3">
      <c r="A43">
        <v>42</v>
      </c>
      <c r="B43" t="s">
        <v>45</v>
      </c>
      <c r="C43" t="s">
        <v>364</v>
      </c>
      <c r="D43" t="s">
        <v>371</v>
      </c>
      <c r="E43">
        <v>-0.55000000000000004</v>
      </c>
      <c r="F43" s="23">
        <f>INDEX(I_prop!$B$7:$H$13, MATCH($C43, I_prop!$A$7:$A$13,0), MATCH($D43, I_prop!$B$6:$H$6,0))</f>
        <v>-8.0725686815538475E-2</v>
      </c>
      <c r="G43" s="23">
        <f>INDEX(I_prop!$B$18:$H$24, MATCH($C43, I_prop!$A$18:$A$24,0), MATCH($D43, I_prop!$B$17:$H$17,0))</f>
        <v>6.1515572213509145E-2</v>
      </c>
      <c r="H43" s="23">
        <f t="shared" si="5"/>
        <v>-8.0725686815538475E-2</v>
      </c>
      <c r="I43" s="23">
        <f t="shared" si="6"/>
        <v>6.1515572213509145E-2</v>
      </c>
      <c r="J43" t="str">
        <f>IF(COUNTIFS(Subgroup_Overrides!$A$5:$A$200,"A",Subgroup_Overrides!$B$5:$B$200,$C43,Subgroup_Overrides!$C$5:$C$200,$D43)&gt;0,_xludf.minifs(Subgroup_Overrides!$D$5:$D$200,Subgroup_Overrides!$A$5:$A$200,"A",Subgroup_Overrides!$B$5:$B$200,$C43,Subgroup_Overrides!$C$5:$C$200,$D43),"")</f>
        <v/>
      </c>
      <c r="K43" t="str">
        <f>IF(COUNTIFS(Subgroup_Overrides!$A$5:$A$200,"B",Subgroup_Overrides!$B$5:$B$200,$C43,Subgroup_Overrides!$C$5:$C$200,$D43)&gt;0,_xludf.minifs(Subgroup_Overrides!$D$5:$D$200,Subgroup_Overrides!$A$5:$A$200,"B",Subgroup_Overrides!$B$5:$B$200,$C43,Subgroup_Overrides!$C$5:$C$200,$D43),"")</f>
        <v/>
      </c>
      <c r="L43" t="str">
        <f t="shared" si="7"/>
        <v>DIGN</v>
      </c>
      <c r="M43">
        <f t="shared" si="8"/>
        <v>-8.0725686815538475E-2</v>
      </c>
      <c r="N43">
        <f t="shared" si="9"/>
        <v>6.1515572213509145E-2</v>
      </c>
    </row>
    <row r="44" spans="1:14" ht="14.25" customHeight="1" x14ac:dyDescent="0.3">
      <c r="A44">
        <v>43</v>
      </c>
      <c r="B44" t="s">
        <v>45</v>
      </c>
      <c r="C44" t="s">
        <v>364</v>
      </c>
      <c r="D44" t="s">
        <v>370</v>
      </c>
      <c r="E44">
        <v>-0.55000000000000004</v>
      </c>
      <c r="F44" s="23">
        <f>INDEX(I_prop!$B$7:$H$13, MATCH($C44, I_prop!$A$7:$A$13,0), MATCH($D44, I_prop!$B$6:$H$6,0))</f>
        <v>0</v>
      </c>
      <c r="G44" s="23">
        <f>INDEX(I_prop!$B$18:$H$24, MATCH($C44, I_prop!$A$18:$A$24,0), MATCH($D44, I_prop!$B$17:$H$17,0))</f>
        <v>0</v>
      </c>
      <c r="H44" s="23">
        <f t="shared" si="5"/>
        <v>0</v>
      </c>
      <c r="I44" s="23">
        <f t="shared" si="6"/>
        <v>0</v>
      </c>
      <c r="J44" t="str">
        <f>IF(COUNTIFS(Subgroup_Overrides!$A$5:$A$200,"A",Subgroup_Overrides!$B$5:$B$200,$C44,Subgroup_Overrides!$C$5:$C$200,$D44)&gt;0,_xludf.minifs(Subgroup_Overrides!$D$5:$D$200,Subgroup_Overrides!$A$5:$A$200,"A",Subgroup_Overrides!$B$5:$B$200,$C44,Subgroup_Overrides!$C$5:$C$200,$D44),"")</f>
        <v/>
      </c>
      <c r="K44" t="str">
        <f>IF(COUNTIFS(Subgroup_Overrides!$A$5:$A$200,"B",Subgroup_Overrides!$B$5:$B$200,$C44,Subgroup_Overrides!$C$5:$C$200,$D44)&gt;0,_xludf.minifs(Subgroup_Overrides!$D$5:$D$200,Subgroup_Overrides!$A$5:$A$200,"B",Subgroup_Overrides!$B$5:$B$200,$C44,Subgroup_Overrides!$C$5:$C$200,$D44),"")</f>
        <v/>
      </c>
      <c r="L44" t="str">
        <f t="shared" si="7"/>
        <v>DIGN</v>
      </c>
      <c r="M44">
        <f t="shared" si="8"/>
        <v>0</v>
      </c>
      <c r="N44">
        <f t="shared" si="9"/>
        <v>0</v>
      </c>
    </row>
    <row r="45" spans="1:14" ht="14.25" customHeight="1" x14ac:dyDescent="0.3">
      <c r="A45">
        <v>44</v>
      </c>
      <c r="B45" t="s">
        <v>45</v>
      </c>
      <c r="C45" t="s">
        <v>365</v>
      </c>
      <c r="D45" t="s">
        <v>371</v>
      </c>
      <c r="E45">
        <v>-0.55000000000000004</v>
      </c>
      <c r="F45" s="23">
        <f>INDEX(I_prop!$B$7:$H$13, MATCH($C45, I_prop!$A$7:$A$13,0), MATCH($D45, I_prop!$B$6:$H$6,0))</f>
        <v>0</v>
      </c>
      <c r="G45" s="23">
        <f>INDEX(I_prop!$B$18:$H$24, MATCH($C45, I_prop!$A$18:$A$24,0), MATCH($D45, I_prop!$B$17:$H$17,0))</f>
        <v>0</v>
      </c>
      <c r="H45" s="23">
        <f t="shared" si="5"/>
        <v>0</v>
      </c>
      <c r="I45" s="23">
        <f t="shared" si="6"/>
        <v>0</v>
      </c>
      <c r="J45" t="str">
        <f>IF(COUNTIFS(Subgroup_Overrides!$A$5:$A$200,"A",Subgroup_Overrides!$B$5:$B$200,$C45,Subgroup_Overrides!$C$5:$C$200,$D45)&gt;0,_xludf.minifs(Subgroup_Overrides!$D$5:$D$200,Subgroup_Overrides!$A$5:$A$200,"A",Subgroup_Overrides!$B$5:$B$200,$C45,Subgroup_Overrides!$C$5:$C$200,$D45),"")</f>
        <v/>
      </c>
      <c r="K45" t="str">
        <f>IF(COUNTIFS(Subgroup_Overrides!$A$5:$A$200,"B",Subgroup_Overrides!$B$5:$B$200,$C45,Subgroup_Overrides!$C$5:$C$200,$D45)&gt;0,_xludf.minifs(Subgroup_Overrides!$D$5:$D$200,Subgroup_Overrides!$A$5:$A$200,"B",Subgroup_Overrides!$B$5:$B$200,$C45,Subgroup_Overrides!$C$5:$C$200,$D45),"")</f>
        <v/>
      </c>
      <c r="L45" t="str">
        <f t="shared" si="7"/>
        <v>DIGN</v>
      </c>
      <c r="M45">
        <f t="shared" si="8"/>
        <v>0</v>
      </c>
      <c r="N45">
        <f t="shared" si="9"/>
        <v>0</v>
      </c>
    </row>
    <row r="46" spans="1:14" ht="14.25" customHeight="1" x14ac:dyDescent="0.3">
      <c r="A46">
        <v>45</v>
      </c>
      <c r="B46" t="s">
        <v>45</v>
      </c>
      <c r="C46" t="s">
        <v>365</v>
      </c>
      <c r="D46" t="s">
        <v>370</v>
      </c>
      <c r="E46">
        <v>-0.55000000000000004</v>
      </c>
      <c r="F46" s="23">
        <f>INDEX(I_prop!$B$7:$H$13, MATCH($C46, I_prop!$A$7:$A$13,0), MATCH($D46, I_prop!$B$6:$H$6,0))</f>
        <v>0</v>
      </c>
      <c r="G46" s="23">
        <f>INDEX(I_prop!$B$18:$H$24, MATCH($C46, I_prop!$A$18:$A$24,0), MATCH($D46, I_prop!$B$17:$H$17,0))</f>
        <v>0</v>
      </c>
      <c r="H46" s="23">
        <f t="shared" si="5"/>
        <v>0</v>
      </c>
      <c r="I46" s="23">
        <f t="shared" si="6"/>
        <v>0</v>
      </c>
      <c r="J46" t="str">
        <f>IF(COUNTIFS(Subgroup_Overrides!$A$5:$A$200,"A",Subgroup_Overrides!$B$5:$B$200,$C46,Subgroup_Overrides!$C$5:$C$200,$D46)&gt;0,_xludf.minifs(Subgroup_Overrides!$D$5:$D$200,Subgroup_Overrides!$A$5:$A$200,"A",Subgroup_Overrides!$B$5:$B$200,$C46,Subgroup_Overrides!$C$5:$C$200,$D46),"")</f>
        <v/>
      </c>
      <c r="K46" t="str">
        <f>IF(COUNTIFS(Subgroup_Overrides!$A$5:$A$200,"B",Subgroup_Overrides!$B$5:$B$200,$C46,Subgroup_Overrides!$C$5:$C$200,$D46)&gt;0,_xludf.minifs(Subgroup_Overrides!$D$5:$D$200,Subgroup_Overrides!$A$5:$A$200,"B",Subgroup_Overrides!$B$5:$B$200,$C46,Subgroup_Overrides!$C$5:$C$200,$D46),"")</f>
        <v/>
      </c>
      <c r="L46" t="str">
        <f t="shared" si="7"/>
        <v>DIGN</v>
      </c>
      <c r="M46">
        <f t="shared" si="8"/>
        <v>0</v>
      </c>
      <c r="N46">
        <f t="shared" si="9"/>
        <v>0</v>
      </c>
    </row>
    <row r="47" spans="1:14" ht="14.25" customHeight="1" x14ac:dyDescent="0.3">
      <c r="A47">
        <v>46</v>
      </c>
      <c r="B47" t="s">
        <v>45</v>
      </c>
      <c r="C47" t="s">
        <v>366</v>
      </c>
      <c r="D47" t="s">
        <v>371</v>
      </c>
      <c r="E47">
        <v>-0.55000000000000004</v>
      </c>
      <c r="F47" s="23">
        <f>INDEX(I_prop!$B$7:$H$13, MATCH($C47, I_prop!$A$7:$A$13,0), MATCH($D47, I_prop!$B$6:$H$6,0))</f>
        <v>0</v>
      </c>
      <c r="G47" s="23">
        <f>INDEX(I_prop!$B$18:$H$24, MATCH($C47, I_prop!$A$18:$A$24,0), MATCH($D47, I_prop!$B$17:$H$17,0))</f>
        <v>0</v>
      </c>
      <c r="H47" s="23">
        <f t="shared" si="5"/>
        <v>0</v>
      </c>
      <c r="I47" s="23">
        <f t="shared" si="6"/>
        <v>0</v>
      </c>
      <c r="J47" t="str">
        <f>IF(COUNTIFS(Subgroup_Overrides!$A$5:$A$200,"A",Subgroup_Overrides!$B$5:$B$200,$C47,Subgroup_Overrides!$C$5:$C$200,$D47)&gt;0,_xludf.minifs(Subgroup_Overrides!$D$5:$D$200,Subgroup_Overrides!$A$5:$A$200,"A",Subgroup_Overrides!$B$5:$B$200,$C47,Subgroup_Overrides!$C$5:$C$200,$D47),"")</f>
        <v/>
      </c>
      <c r="K47" t="str">
        <f>IF(COUNTIFS(Subgroup_Overrides!$A$5:$A$200,"B",Subgroup_Overrides!$B$5:$B$200,$C47,Subgroup_Overrides!$C$5:$C$200,$D47)&gt;0,_xludf.minifs(Subgroup_Overrides!$D$5:$D$200,Subgroup_Overrides!$A$5:$A$200,"B",Subgroup_Overrides!$B$5:$B$200,$C47,Subgroup_Overrides!$C$5:$C$200,$D47),"")</f>
        <v/>
      </c>
      <c r="L47" t="str">
        <f t="shared" si="7"/>
        <v>DIGN</v>
      </c>
      <c r="M47">
        <f t="shared" si="8"/>
        <v>0</v>
      </c>
      <c r="N47">
        <f t="shared" si="9"/>
        <v>0</v>
      </c>
    </row>
    <row r="48" spans="1:14" ht="14.25" customHeight="1" x14ac:dyDescent="0.3">
      <c r="A48">
        <v>47</v>
      </c>
      <c r="B48" t="s">
        <v>45</v>
      </c>
      <c r="C48" t="s">
        <v>366</v>
      </c>
      <c r="D48" t="s">
        <v>370</v>
      </c>
      <c r="E48">
        <v>-0.55000000000000004</v>
      </c>
      <c r="F48" s="23">
        <f>INDEX(I_prop!$B$7:$H$13, MATCH($C48, I_prop!$A$7:$A$13,0), MATCH($D48, I_prop!$B$6:$H$6,0))</f>
        <v>0</v>
      </c>
      <c r="G48" s="23">
        <f>INDEX(I_prop!$B$18:$H$24, MATCH($C48, I_prop!$A$18:$A$24,0), MATCH($D48, I_prop!$B$17:$H$17,0))</f>
        <v>0</v>
      </c>
      <c r="H48" s="23">
        <f t="shared" si="5"/>
        <v>0</v>
      </c>
      <c r="I48" s="23">
        <f t="shared" si="6"/>
        <v>0</v>
      </c>
      <c r="J48" t="str">
        <f>IF(COUNTIFS(Subgroup_Overrides!$A$5:$A$200,"A",Subgroup_Overrides!$B$5:$B$200,$C48,Subgroup_Overrides!$C$5:$C$200,$D48)&gt;0,_xludf.minifs(Subgroup_Overrides!$D$5:$D$200,Subgroup_Overrides!$A$5:$A$200,"A",Subgroup_Overrides!$B$5:$B$200,$C48,Subgroup_Overrides!$C$5:$C$200,$D48),"")</f>
        <v/>
      </c>
      <c r="K48" t="str">
        <f>IF(COUNTIFS(Subgroup_Overrides!$A$5:$A$200,"B",Subgroup_Overrides!$B$5:$B$200,$C48,Subgroup_Overrides!$C$5:$C$200,$D48)&gt;0,_xludf.minifs(Subgroup_Overrides!$D$5:$D$200,Subgroup_Overrides!$A$5:$A$200,"B",Subgroup_Overrides!$B$5:$B$200,$C48,Subgroup_Overrides!$C$5:$C$200,$D48),"")</f>
        <v/>
      </c>
      <c r="L48" t="str">
        <f t="shared" si="7"/>
        <v>DIGN</v>
      </c>
      <c r="M48">
        <f t="shared" si="8"/>
        <v>0</v>
      </c>
      <c r="N48">
        <f t="shared" si="9"/>
        <v>0</v>
      </c>
    </row>
    <row r="49" spans="1:14" ht="14.25" customHeight="1" x14ac:dyDescent="0.3">
      <c r="A49">
        <v>48</v>
      </c>
      <c r="B49" t="s">
        <v>45</v>
      </c>
      <c r="C49" t="s">
        <v>367</v>
      </c>
      <c r="D49" t="s">
        <v>371</v>
      </c>
      <c r="E49">
        <v>-0.55000000000000004</v>
      </c>
      <c r="F49" s="23">
        <f>INDEX(I_prop!$B$7:$H$13, MATCH($C49, I_prop!$A$7:$A$13,0), MATCH($D49, I_prop!$B$6:$H$6,0))</f>
        <v>0</v>
      </c>
      <c r="G49" s="23">
        <f>INDEX(I_prop!$B$18:$H$24, MATCH($C49, I_prop!$A$18:$A$24,0), MATCH($D49, I_prop!$B$17:$H$17,0))</f>
        <v>0</v>
      </c>
      <c r="H49" s="23">
        <f t="shared" si="5"/>
        <v>0</v>
      </c>
      <c r="I49" s="23">
        <f t="shared" si="6"/>
        <v>0</v>
      </c>
      <c r="J49" t="str">
        <f>IF(COUNTIFS(Subgroup_Overrides!$A$5:$A$200,"A",Subgroup_Overrides!$B$5:$B$200,$C49,Subgroup_Overrides!$C$5:$C$200,$D49)&gt;0,_xludf.minifs(Subgroup_Overrides!$D$5:$D$200,Subgroup_Overrides!$A$5:$A$200,"A",Subgroup_Overrides!$B$5:$B$200,$C49,Subgroup_Overrides!$C$5:$C$200,$D49),"")</f>
        <v/>
      </c>
      <c r="K49" t="str">
        <f>IF(COUNTIFS(Subgroup_Overrides!$A$5:$A$200,"B",Subgroup_Overrides!$B$5:$B$200,$C49,Subgroup_Overrides!$C$5:$C$200,$D49)&gt;0,_xludf.minifs(Subgroup_Overrides!$D$5:$D$200,Subgroup_Overrides!$A$5:$A$200,"B",Subgroup_Overrides!$B$5:$B$200,$C49,Subgroup_Overrides!$C$5:$C$200,$D49),"")</f>
        <v/>
      </c>
      <c r="L49" t="str">
        <f t="shared" si="7"/>
        <v>DIGN</v>
      </c>
      <c r="M49">
        <f t="shared" si="8"/>
        <v>0</v>
      </c>
      <c r="N49">
        <f t="shared" si="9"/>
        <v>0</v>
      </c>
    </row>
    <row r="50" spans="1:14" ht="14.25" customHeight="1" x14ac:dyDescent="0.3">
      <c r="A50">
        <v>49</v>
      </c>
      <c r="B50" t="s">
        <v>45</v>
      </c>
      <c r="C50" t="s">
        <v>367</v>
      </c>
      <c r="D50" t="s">
        <v>370</v>
      </c>
      <c r="E50">
        <v>-0.55000000000000004</v>
      </c>
      <c r="F50" s="23">
        <f>INDEX(I_prop!$B$7:$H$13, MATCH($C50, I_prop!$A$7:$A$13,0), MATCH($D50, I_prop!$B$6:$H$6,0))</f>
        <v>0</v>
      </c>
      <c r="G50" s="23">
        <f>INDEX(I_prop!$B$18:$H$24, MATCH($C50, I_prop!$A$18:$A$24,0), MATCH($D50, I_prop!$B$17:$H$17,0))</f>
        <v>0</v>
      </c>
      <c r="H50" s="23">
        <f t="shared" si="5"/>
        <v>0</v>
      </c>
      <c r="I50" s="23">
        <f t="shared" si="6"/>
        <v>0</v>
      </c>
      <c r="J50" t="str">
        <f>IF(COUNTIFS(Subgroup_Overrides!$A$5:$A$200,"A",Subgroup_Overrides!$B$5:$B$200,$C50,Subgroup_Overrides!$C$5:$C$200,$D50)&gt;0,_xludf.minifs(Subgroup_Overrides!$D$5:$D$200,Subgroup_Overrides!$A$5:$A$200,"A",Subgroup_Overrides!$B$5:$B$200,$C50,Subgroup_Overrides!$C$5:$C$200,$D50),"")</f>
        <v/>
      </c>
      <c r="K50" t="str">
        <f>IF(COUNTIFS(Subgroup_Overrides!$A$5:$A$200,"B",Subgroup_Overrides!$B$5:$B$200,$C50,Subgroup_Overrides!$C$5:$C$200,$D50)&gt;0,_xludf.minifs(Subgroup_Overrides!$D$5:$D$200,Subgroup_Overrides!$A$5:$A$200,"B",Subgroup_Overrides!$B$5:$B$200,$C50,Subgroup_Overrides!$C$5:$C$200,$D50),"")</f>
        <v/>
      </c>
      <c r="L50" t="str">
        <f t="shared" si="7"/>
        <v>DIGN</v>
      </c>
      <c r="M50">
        <f t="shared" si="8"/>
        <v>0</v>
      </c>
      <c r="N50">
        <f t="shared" si="9"/>
        <v>0</v>
      </c>
    </row>
    <row r="51" spans="1:14" ht="14.25" customHeight="1" x14ac:dyDescent="0.3">
      <c r="A51">
        <v>50</v>
      </c>
      <c r="B51" t="s">
        <v>46</v>
      </c>
      <c r="C51" t="s">
        <v>365</v>
      </c>
      <c r="D51" t="s">
        <v>371</v>
      </c>
      <c r="E51">
        <v>-0.45</v>
      </c>
      <c r="F51" s="23">
        <f>INDEX(I_prop!$B$7:$H$13, MATCH($C51, I_prop!$A$7:$A$13,0), MATCH($D51, I_prop!$B$6:$H$6,0))</f>
        <v>0</v>
      </c>
      <c r="G51" s="23">
        <f>INDEX(I_prop!$B$18:$H$24, MATCH($C51, I_prop!$A$18:$A$24,0), MATCH($D51, I_prop!$B$17:$H$17,0))</f>
        <v>0</v>
      </c>
      <c r="H51" s="23">
        <f t="shared" si="5"/>
        <v>0</v>
      </c>
      <c r="I51" s="23">
        <f t="shared" si="6"/>
        <v>0</v>
      </c>
      <c r="J51" t="str">
        <f>IF(COUNTIFS(Subgroup_Overrides!$A$5:$A$200,"A",Subgroup_Overrides!$B$5:$B$200,$C51,Subgroup_Overrides!$C$5:$C$200,$D51)&gt;0,_xludf.minifs(Subgroup_Overrides!$D$5:$D$200,Subgroup_Overrides!$A$5:$A$200,"A",Subgroup_Overrides!$B$5:$B$200,$C51,Subgroup_Overrides!$C$5:$C$200,$D51),"")</f>
        <v/>
      </c>
      <c r="K51" t="str">
        <f>IF(COUNTIFS(Subgroup_Overrides!$A$5:$A$200,"B",Subgroup_Overrides!$B$5:$B$200,$C51,Subgroup_Overrides!$C$5:$C$200,$D51)&gt;0,_xludf.minifs(Subgroup_Overrides!$D$5:$D$200,Subgroup_Overrides!$A$5:$A$200,"B",Subgroup_Overrides!$B$5:$B$200,$C51,Subgroup_Overrides!$C$5:$C$200,$D51),"")</f>
        <v/>
      </c>
      <c r="L51" t="str">
        <f t="shared" si="7"/>
        <v>PROC</v>
      </c>
      <c r="M51">
        <f t="shared" si="8"/>
        <v>0</v>
      </c>
      <c r="N51">
        <f t="shared" si="9"/>
        <v>0</v>
      </c>
    </row>
    <row r="52" spans="1:14" ht="14.25" customHeight="1" x14ac:dyDescent="0.3">
      <c r="A52">
        <v>51</v>
      </c>
      <c r="B52" t="s">
        <v>46</v>
      </c>
      <c r="C52" t="s">
        <v>365</v>
      </c>
      <c r="D52" t="s">
        <v>373</v>
      </c>
      <c r="E52">
        <v>-0.45</v>
      </c>
      <c r="F52" s="23">
        <f>INDEX(I_prop!$B$7:$H$13, MATCH($C52, I_prop!$A$7:$A$13,0), MATCH($D52, I_prop!$B$6:$H$6,0))</f>
        <v>0</v>
      </c>
      <c r="G52" s="23">
        <f>INDEX(I_prop!$B$18:$H$24, MATCH($C52, I_prop!$A$18:$A$24,0), MATCH($D52, I_prop!$B$17:$H$17,0))</f>
        <v>0</v>
      </c>
      <c r="H52" s="23">
        <f t="shared" si="5"/>
        <v>0</v>
      </c>
      <c r="I52" s="23">
        <f t="shared" si="6"/>
        <v>0</v>
      </c>
      <c r="J52" t="str">
        <f>IF(COUNTIFS(Subgroup_Overrides!$A$5:$A$200,"A",Subgroup_Overrides!$B$5:$B$200,$C52,Subgroup_Overrides!$C$5:$C$200,$D52)&gt;0,_xludf.minifs(Subgroup_Overrides!$D$5:$D$200,Subgroup_Overrides!$A$5:$A$200,"A",Subgroup_Overrides!$B$5:$B$200,$C52,Subgroup_Overrides!$C$5:$C$200,$D52),"")</f>
        <v/>
      </c>
      <c r="K52" t="str">
        <f>IF(COUNTIFS(Subgroup_Overrides!$A$5:$A$200,"B",Subgroup_Overrides!$B$5:$B$200,$C52,Subgroup_Overrides!$C$5:$C$200,$D52)&gt;0,_xludf.minifs(Subgroup_Overrides!$D$5:$D$200,Subgroup_Overrides!$A$5:$A$200,"B",Subgroup_Overrides!$B$5:$B$200,$C52,Subgroup_Overrides!$C$5:$C$200,$D52),"")</f>
        <v/>
      </c>
      <c r="L52" t="str">
        <f t="shared" si="7"/>
        <v>PROC</v>
      </c>
      <c r="M52">
        <f t="shared" si="8"/>
        <v>0</v>
      </c>
      <c r="N52">
        <f t="shared" si="9"/>
        <v>0</v>
      </c>
    </row>
    <row r="53" spans="1:14" ht="14.25" customHeight="1" x14ac:dyDescent="0.3">
      <c r="A53">
        <v>52</v>
      </c>
      <c r="B53" t="s">
        <v>46</v>
      </c>
      <c r="C53" t="s">
        <v>365</v>
      </c>
      <c r="D53" t="s">
        <v>370</v>
      </c>
      <c r="E53">
        <v>-0.45</v>
      </c>
      <c r="F53" s="23">
        <f>INDEX(I_prop!$B$7:$H$13, MATCH($C53, I_prop!$A$7:$A$13,0), MATCH($D53, I_prop!$B$6:$H$6,0))</f>
        <v>0</v>
      </c>
      <c r="G53" s="23">
        <f>INDEX(I_prop!$B$18:$H$24, MATCH($C53, I_prop!$A$18:$A$24,0), MATCH($D53, I_prop!$B$17:$H$17,0))</f>
        <v>0</v>
      </c>
      <c r="H53" s="23">
        <f t="shared" si="5"/>
        <v>0</v>
      </c>
      <c r="I53" s="23">
        <f t="shared" si="6"/>
        <v>0</v>
      </c>
      <c r="J53" t="str">
        <f>IF(COUNTIFS(Subgroup_Overrides!$A$5:$A$200,"A",Subgroup_Overrides!$B$5:$B$200,$C53,Subgroup_Overrides!$C$5:$C$200,$D53)&gt;0,_xludf.minifs(Subgroup_Overrides!$D$5:$D$200,Subgroup_Overrides!$A$5:$A$200,"A",Subgroup_Overrides!$B$5:$B$200,$C53,Subgroup_Overrides!$C$5:$C$200,$D53),"")</f>
        <v/>
      </c>
      <c r="K53" t="str">
        <f>IF(COUNTIFS(Subgroup_Overrides!$A$5:$A$200,"B",Subgroup_Overrides!$B$5:$B$200,$C53,Subgroup_Overrides!$C$5:$C$200,$D53)&gt;0,_xludf.minifs(Subgroup_Overrides!$D$5:$D$200,Subgroup_Overrides!$A$5:$A$200,"B",Subgroup_Overrides!$B$5:$B$200,$C53,Subgroup_Overrides!$C$5:$C$200,$D53),"")</f>
        <v/>
      </c>
      <c r="L53" t="str">
        <f t="shared" si="7"/>
        <v>PROC</v>
      </c>
      <c r="M53">
        <f t="shared" si="8"/>
        <v>0</v>
      </c>
      <c r="N53">
        <f t="shared" si="9"/>
        <v>0</v>
      </c>
    </row>
    <row r="54" spans="1:14" ht="14.25" customHeight="1" x14ac:dyDescent="0.3">
      <c r="A54">
        <v>53</v>
      </c>
      <c r="B54" t="s">
        <v>46</v>
      </c>
      <c r="C54" t="s">
        <v>366</v>
      </c>
      <c r="D54" t="s">
        <v>371</v>
      </c>
      <c r="E54">
        <v>-0.45</v>
      </c>
      <c r="F54" s="23">
        <f>INDEX(I_prop!$B$7:$H$13, MATCH($C54, I_prop!$A$7:$A$13,0), MATCH($D54, I_prop!$B$6:$H$6,0))</f>
        <v>0</v>
      </c>
      <c r="G54" s="23">
        <f>INDEX(I_prop!$B$18:$H$24, MATCH($C54, I_prop!$A$18:$A$24,0), MATCH($D54, I_prop!$B$17:$H$17,0))</f>
        <v>0</v>
      </c>
      <c r="H54" s="23">
        <f t="shared" si="5"/>
        <v>0</v>
      </c>
      <c r="I54" s="23">
        <f t="shared" si="6"/>
        <v>0</v>
      </c>
      <c r="J54" t="str">
        <f>IF(COUNTIFS(Subgroup_Overrides!$A$5:$A$200,"A",Subgroup_Overrides!$B$5:$B$200,$C54,Subgroup_Overrides!$C$5:$C$200,$D54)&gt;0,_xludf.minifs(Subgroup_Overrides!$D$5:$D$200,Subgroup_Overrides!$A$5:$A$200,"A",Subgroup_Overrides!$B$5:$B$200,$C54,Subgroup_Overrides!$C$5:$C$200,$D54),"")</f>
        <v/>
      </c>
      <c r="K54" t="str">
        <f>IF(COUNTIFS(Subgroup_Overrides!$A$5:$A$200,"B",Subgroup_Overrides!$B$5:$B$200,$C54,Subgroup_Overrides!$C$5:$C$200,$D54)&gt;0,_xludf.minifs(Subgroup_Overrides!$D$5:$D$200,Subgroup_Overrides!$A$5:$A$200,"B",Subgroup_Overrides!$B$5:$B$200,$C54,Subgroup_Overrides!$C$5:$C$200,$D54),"")</f>
        <v/>
      </c>
      <c r="L54" t="str">
        <f t="shared" si="7"/>
        <v>PROC</v>
      </c>
      <c r="M54">
        <f t="shared" si="8"/>
        <v>0</v>
      </c>
      <c r="N54">
        <f t="shared" si="9"/>
        <v>0</v>
      </c>
    </row>
    <row r="55" spans="1:14" ht="14.25" customHeight="1" x14ac:dyDescent="0.3">
      <c r="A55">
        <v>54</v>
      </c>
      <c r="B55" t="s">
        <v>46</v>
      </c>
      <c r="C55" t="s">
        <v>366</v>
      </c>
      <c r="D55" t="s">
        <v>373</v>
      </c>
      <c r="E55">
        <v>-0.45</v>
      </c>
      <c r="F55" s="23">
        <f>INDEX(I_prop!$B$7:$H$13, MATCH($C55, I_prop!$A$7:$A$13,0), MATCH($D55, I_prop!$B$6:$H$6,0))</f>
        <v>0</v>
      </c>
      <c r="G55" s="23">
        <f>INDEX(I_prop!$B$18:$H$24, MATCH($C55, I_prop!$A$18:$A$24,0), MATCH($D55, I_prop!$B$17:$H$17,0))</f>
        <v>0</v>
      </c>
      <c r="H55" s="23">
        <f t="shared" si="5"/>
        <v>0</v>
      </c>
      <c r="I55" s="23">
        <f t="shared" si="6"/>
        <v>0</v>
      </c>
      <c r="J55" t="str">
        <f>IF(COUNTIFS(Subgroup_Overrides!$A$5:$A$200,"A",Subgroup_Overrides!$B$5:$B$200,$C55,Subgroup_Overrides!$C$5:$C$200,$D55)&gt;0,_xludf.minifs(Subgroup_Overrides!$D$5:$D$200,Subgroup_Overrides!$A$5:$A$200,"A",Subgroup_Overrides!$B$5:$B$200,$C55,Subgroup_Overrides!$C$5:$C$200,$D55),"")</f>
        <v/>
      </c>
      <c r="K55" t="str">
        <f>IF(COUNTIFS(Subgroup_Overrides!$A$5:$A$200,"B",Subgroup_Overrides!$B$5:$B$200,$C55,Subgroup_Overrides!$C$5:$C$200,$D55)&gt;0,_xludf.minifs(Subgroup_Overrides!$D$5:$D$200,Subgroup_Overrides!$A$5:$A$200,"B",Subgroup_Overrides!$B$5:$B$200,$C55,Subgroup_Overrides!$C$5:$C$200,$D55),"")</f>
        <v/>
      </c>
      <c r="L55" t="str">
        <f t="shared" si="7"/>
        <v>PROC</v>
      </c>
      <c r="M55">
        <f t="shared" si="8"/>
        <v>0</v>
      </c>
      <c r="N55">
        <f t="shared" si="9"/>
        <v>0</v>
      </c>
    </row>
    <row r="56" spans="1:14" ht="14.25" customHeight="1" x14ac:dyDescent="0.3">
      <c r="A56">
        <v>55</v>
      </c>
      <c r="B56" t="s">
        <v>46</v>
      </c>
      <c r="C56" t="s">
        <v>366</v>
      </c>
      <c r="D56" t="s">
        <v>370</v>
      </c>
      <c r="E56">
        <v>-0.45</v>
      </c>
      <c r="F56" s="23">
        <f>INDEX(I_prop!$B$7:$H$13, MATCH($C56, I_prop!$A$7:$A$13,0), MATCH($D56, I_prop!$B$6:$H$6,0))</f>
        <v>0</v>
      </c>
      <c r="G56" s="23">
        <f>INDEX(I_prop!$B$18:$H$24, MATCH($C56, I_prop!$A$18:$A$24,0), MATCH($D56, I_prop!$B$17:$H$17,0))</f>
        <v>0</v>
      </c>
      <c r="H56" s="23">
        <f t="shared" si="5"/>
        <v>0</v>
      </c>
      <c r="I56" s="23">
        <f t="shared" si="6"/>
        <v>0</v>
      </c>
      <c r="J56" t="str">
        <f>IF(COUNTIFS(Subgroup_Overrides!$A$5:$A$200,"A",Subgroup_Overrides!$B$5:$B$200,$C56,Subgroup_Overrides!$C$5:$C$200,$D56)&gt;0,_xludf.minifs(Subgroup_Overrides!$D$5:$D$200,Subgroup_Overrides!$A$5:$A$200,"A",Subgroup_Overrides!$B$5:$B$200,$C56,Subgroup_Overrides!$C$5:$C$200,$D56),"")</f>
        <v/>
      </c>
      <c r="K56" t="str">
        <f>IF(COUNTIFS(Subgroup_Overrides!$A$5:$A$200,"B",Subgroup_Overrides!$B$5:$B$200,$C56,Subgroup_Overrides!$C$5:$C$200,$D56)&gt;0,_xludf.minifs(Subgroup_Overrides!$D$5:$D$200,Subgroup_Overrides!$A$5:$A$200,"B",Subgroup_Overrides!$B$5:$B$200,$C56,Subgroup_Overrides!$C$5:$C$200,$D56),"")</f>
        <v/>
      </c>
      <c r="L56" t="str">
        <f t="shared" si="7"/>
        <v>PROC</v>
      </c>
      <c r="M56">
        <f t="shared" si="8"/>
        <v>0</v>
      </c>
      <c r="N56">
        <f t="shared" si="9"/>
        <v>0</v>
      </c>
    </row>
    <row r="57" spans="1:14" ht="14.25" customHeight="1" x14ac:dyDescent="0.3">
      <c r="A57">
        <v>56</v>
      </c>
      <c r="B57" t="s">
        <v>46</v>
      </c>
      <c r="C57" t="s">
        <v>367</v>
      </c>
      <c r="D57" t="s">
        <v>371</v>
      </c>
      <c r="E57">
        <v>-0.45</v>
      </c>
      <c r="F57" s="23">
        <f>INDEX(I_prop!$B$7:$H$13, MATCH($C57, I_prop!$A$7:$A$13,0), MATCH($D57, I_prop!$B$6:$H$6,0))</f>
        <v>0</v>
      </c>
      <c r="G57" s="23">
        <f>INDEX(I_prop!$B$18:$H$24, MATCH($C57, I_prop!$A$18:$A$24,0), MATCH($D57, I_prop!$B$17:$H$17,0))</f>
        <v>0</v>
      </c>
      <c r="H57" s="23">
        <f t="shared" si="5"/>
        <v>0</v>
      </c>
      <c r="I57" s="23">
        <f t="shared" si="6"/>
        <v>0</v>
      </c>
      <c r="J57" t="str">
        <f>IF(COUNTIFS(Subgroup_Overrides!$A$5:$A$200,"A",Subgroup_Overrides!$B$5:$B$200,$C57,Subgroup_Overrides!$C$5:$C$200,$D57)&gt;0,_xludf.minifs(Subgroup_Overrides!$D$5:$D$200,Subgroup_Overrides!$A$5:$A$200,"A",Subgroup_Overrides!$B$5:$B$200,$C57,Subgroup_Overrides!$C$5:$C$200,$D57),"")</f>
        <v/>
      </c>
      <c r="K57" t="str">
        <f>IF(COUNTIFS(Subgroup_Overrides!$A$5:$A$200,"B",Subgroup_Overrides!$B$5:$B$200,$C57,Subgroup_Overrides!$C$5:$C$200,$D57)&gt;0,_xludf.minifs(Subgroup_Overrides!$D$5:$D$200,Subgroup_Overrides!$A$5:$A$200,"B",Subgroup_Overrides!$B$5:$B$200,$C57,Subgroup_Overrides!$C$5:$C$200,$D57),"")</f>
        <v/>
      </c>
      <c r="L57" t="str">
        <f t="shared" si="7"/>
        <v>PROC</v>
      </c>
      <c r="M57">
        <f t="shared" si="8"/>
        <v>0</v>
      </c>
      <c r="N57">
        <f t="shared" si="9"/>
        <v>0</v>
      </c>
    </row>
    <row r="58" spans="1:14" ht="14.25" customHeight="1" x14ac:dyDescent="0.3">
      <c r="A58">
        <v>57</v>
      </c>
      <c r="B58" t="s">
        <v>46</v>
      </c>
      <c r="C58" t="s">
        <v>367</v>
      </c>
      <c r="D58" t="s">
        <v>373</v>
      </c>
      <c r="E58">
        <v>-0.45</v>
      </c>
      <c r="F58" s="23">
        <f>INDEX(I_prop!$B$7:$H$13, MATCH($C58, I_prop!$A$7:$A$13,0), MATCH($D58, I_prop!$B$6:$H$6,0))</f>
        <v>0</v>
      </c>
      <c r="G58" s="23">
        <f>INDEX(I_prop!$B$18:$H$24, MATCH($C58, I_prop!$A$18:$A$24,0), MATCH($D58, I_prop!$B$17:$H$17,0))</f>
        <v>0</v>
      </c>
      <c r="H58" s="23">
        <f t="shared" si="5"/>
        <v>0</v>
      </c>
      <c r="I58" s="23">
        <f t="shared" si="6"/>
        <v>0</v>
      </c>
      <c r="J58" t="str">
        <f>IF(COUNTIFS(Subgroup_Overrides!$A$5:$A$200,"A",Subgroup_Overrides!$B$5:$B$200,$C58,Subgroup_Overrides!$C$5:$C$200,$D58)&gt;0,_xludf.minifs(Subgroup_Overrides!$D$5:$D$200,Subgroup_Overrides!$A$5:$A$200,"A",Subgroup_Overrides!$B$5:$B$200,$C58,Subgroup_Overrides!$C$5:$C$200,$D58),"")</f>
        <v/>
      </c>
      <c r="K58" t="str">
        <f>IF(COUNTIFS(Subgroup_Overrides!$A$5:$A$200,"B",Subgroup_Overrides!$B$5:$B$200,$C58,Subgroup_Overrides!$C$5:$C$200,$D58)&gt;0,_xludf.minifs(Subgroup_Overrides!$D$5:$D$200,Subgroup_Overrides!$A$5:$A$200,"B",Subgroup_Overrides!$B$5:$B$200,$C58,Subgroup_Overrides!$C$5:$C$200,$D58),"")</f>
        <v/>
      </c>
      <c r="L58" t="str">
        <f t="shared" si="7"/>
        <v>PROC</v>
      </c>
      <c r="M58">
        <f t="shared" si="8"/>
        <v>0</v>
      </c>
      <c r="N58">
        <f t="shared" si="9"/>
        <v>0</v>
      </c>
    </row>
    <row r="59" spans="1:14" ht="14.25" customHeight="1" x14ac:dyDescent="0.3">
      <c r="A59">
        <v>58</v>
      </c>
      <c r="B59" t="s">
        <v>46</v>
      </c>
      <c r="C59" t="s">
        <v>367</v>
      </c>
      <c r="D59" t="s">
        <v>370</v>
      </c>
      <c r="E59">
        <v>-0.45</v>
      </c>
      <c r="F59" s="23">
        <f>INDEX(I_prop!$B$7:$H$13, MATCH($C59, I_prop!$A$7:$A$13,0), MATCH($D59, I_prop!$B$6:$H$6,0))</f>
        <v>0</v>
      </c>
      <c r="G59" s="23">
        <f>INDEX(I_prop!$B$18:$H$24, MATCH($C59, I_prop!$A$18:$A$24,0), MATCH($D59, I_prop!$B$17:$H$17,0))</f>
        <v>0</v>
      </c>
      <c r="H59" s="23">
        <f t="shared" si="5"/>
        <v>0</v>
      </c>
      <c r="I59" s="23">
        <f t="shared" si="6"/>
        <v>0</v>
      </c>
      <c r="J59" t="str">
        <f>IF(COUNTIFS(Subgroup_Overrides!$A$5:$A$200,"A",Subgroup_Overrides!$B$5:$B$200,$C59,Subgroup_Overrides!$C$5:$C$200,$D59)&gt;0,_xludf.minifs(Subgroup_Overrides!$D$5:$D$200,Subgroup_Overrides!$A$5:$A$200,"A",Subgroup_Overrides!$B$5:$B$200,$C59,Subgroup_Overrides!$C$5:$C$200,$D59),"")</f>
        <v/>
      </c>
      <c r="K59" t="str">
        <f>IF(COUNTIFS(Subgroup_Overrides!$A$5:$A$200,"B",Subgroup_Overrides!$B$5:$B$200,$C59,Subgroup_Overrides!$C$5:$C$200,$D59)&gt;0,_xludf.minifs(Subgroup_Overrides!$D$5:$D$200,Subgroup_Overrides!$A$5:$A$200,"B",Subgroup_Overrides!$B$5:$B$200,$C59,Subgroup_Overrides!$C$5:$C$200,$D59),"")</f>
        <v/>
      </c>
      <c r="L59" t="str">
        <f t="shared" si="7"/>
        <v>PROC</v>
      </c>
      <c r="M59">
        <f t="shared" si="8"/>
        <v>0</v>
      </c>
      <c r="N59">
        <f t="shared" si="9"/>
        <v>0</v>
      </c>
    </row>
    <row r="60" spans="1:14" ht="14.25" customHeight="1" x14ac:dyDescent="0.3">
      <c r="A60">
        <v>59</v>
      </c>
      <c r="B60" t="s">
        <v>47</v>
      </c>
      <c r="C60" t="s">
        <v>361</v>
      </c>
      <c r="D60" t="s">
        <v>373</v>
      </c>
      <c r="E60">
        <v>-0.4</v>
      </c>
      <c r="F60" s="23">
        <f>INDEX(I_prop!$B$7:$H$13, MATCH($C60, I_prop!$A$7:$A$13,0), MATCH($D60, I_prop!$B$6:$H$6,0))</f>
        <v>0</v>
      </c>
      <c r="G60" s="23">
        <f>INDEX(I_prop!$B$18:$H$24, MATCH($C60, I_prop!$A$18:$A$24,0), MATCH($D60, I_prop!$B$17:$H$17,0))</f>
        <v>0</v>
      </c>
      <c r="H60" s="23">
        <f t="shared" si="5"/>
        <v>0</v>
      </c>
      <c r="I60" s="23">
        <f t="shared" si="6"/>
        <v>0</v>
      </c>
      <c r="J60" t="str">
        <f>IF(COUNTIFS(Subgroup_Overrides!$A$5:$A$200,"A",Subgroup_Overrides!$B$5:$B$200,$C60,Subgroup_Overrides!$C$5:$C$200,$D60)&gt;0,_xludf.minifs(Subgroup_Overrides!$D$5:$D$200,Subgroup_Overrides!$A$5:$A$200,"A",Subgroup_Overrides!$B$5:$B$200,$C60,Subgroup_Overrides!$C$5:$C$200,$D60),"")</f>
        <v/>
      </c>
      <c r="K60" t="str">
        <f>IF(COUNTIFS(Subgroup_Overrides!$A$5:$A$200,"B",Subgroup_Overrides!$B$5:$B$200,$C60,Subgroup_Overrides!$C$5:$C$200,$D60)&gt;0,_xludf.minifs(Subgroup_Overrides!$D$5:$D$200,Subgroup_Overrides!$A$5:$A$200,"B",Subgroup_Overrides!$B$5:$B$200,$C60,Subgroup_Overrides!$C$5:$C$200,$D60),"")</f>
        <v/>
      </c>
      <c r="L60" t="str">
        <f t="shared" si="7"/>
        <v>INFO</v>
      </c>
      <c r="M60">
        <f t="shared" si="8"/>
        <v>0</v>
      </c>
      <c r="N60">
        <f t="shared" si="9"/>
        <v>0</v>
      </c>
    </row>
    <row r="61" spans="1:14" ht="14.25" customHeight="1" x14ac:dyDescent="0.3">
      <c r="A61">
        <v>60</v>
      </c>
      <c r="B61" t="s">
        <v>47</v>
      </c>
      <c r="C61" t="s">
        <v>361</v>
      </c>
      <c r="D61" t="s">
        <v>370</v>
      </c>
      <c r="E61">
        <v>-0.4</v>
      </c>
      <c r="F61" s="23">
        <f>INDEX(I_prop!$B$7:$H$13, MATCH($C61, I_prop!$A$7:$A$13,0), MATCH($D61, I_prop!$B$6:$H$6,0))</f>
        <v>0.2490078843274226</v>
      </c>
      <c r="G61" s="23">
        <f>INDEX(I_prop!$B$18:$H$24, MATCH($C61, I_prop!$A$18:$A$24,0), MATCH($D61, I_prop!$B$17:$H$17,0))</f>
        <v>-4.6333567670633638E-2</v>
      </c>
      <c r="H61" s="23">
        <f t="shared" si="5"/>
        <v>0.2490078843274226</v>
      </c>
      <c r="I61" s="23">
        <f t="shared" si="6"/>
        <v>-4.6333567670633638E-2</v>
      </c>
      <c r="J61" t="str">
        <f>IF(COUNTIFS(Subgroup_Overrides!$A$5:$A$200,"A",Subgroup_Overrides!$B$5:$B$200,$C61,Subgroup_Overrides!$C$5:$C$200,$D61)&gt;0,_xludf.minifs(Subgroup_Overrides!$D$5:$D$200,Subgroup_Overrides!$A$5:$A$200,"A",Subgroup_Overrides!$B$5:$B$200,$C61,Subgroup_Overrides!$C$5:$C$200,$D61),"")</f>
        <v/>
      </c>
      <c r="K61" t="str">
        <f>IF(COUNTIFS(Subgroup_Overrides!$A$5:$A$200,"B",Subgroup_Overrides!$B$5:$B$200,$C61,Subgroup_Overrides!$C$5:$C$200,$D61)&gt;0,_xludf.minifs(Subgroup_Overrides!$D$5:$D$200,Subgroup_Overrides!$A$5:$A$200,"B",Subgroup_Overrides!$B$5:$B$200,$C61,Subgroup_Overrides!$C$5:$C$200,$D61),"")</f>
        <v/>
      </c>
      <c r="L61" t="str">
        <f t="shared" si="7"/>
        <v>INFO</v>
      </c>
      <c r="M61">
        <f t="shared" si="8"/>
        <v>0.2490078843274226</v>
      </c>
      <c r="N61">
        <f t="shared" si="9"/>
        <v>-4.6333567670633638E-2</v>
      </c>
    </row>
    <row r="62" spans="1:14" ht="14.25" customHeight="1" x14ac:dyDescent="0.3">
      <c r="A62">
        <v>61</v>
      </c>
      <c r="B62" t="s">
        <v>47</v>
      </c>
      <c r="C62" t="s">
        <v>363</v>
      </c>
      <c r="D62" t="s">
        <v>373</v>
      </c>
      <c r="E62">
        <v>-0.4</v>
      </c>
      <c r="F62" s="23">
        <f>INDEX(I_prop!$B$7:$H$13, MATCH($C62, I_prop!$A$7:$A$13,0), MATCH($D62, I_prop!$B$6:$H$6,0))</f>
        <v>0</v>
      </c>
      <c r="G62" s="23">
        <f>INDEX(I_prop!$B$18:$H$24, MATCH($C62, I_prop!$A$18:$A$24,0), MATCH($D62, I_prop!$B$17:$H$17,0))</f>
        <v>0</v>
      </c>
      <c r="H62" s="23">
        <f t="shared" si="5"/>
        <v>0</v>
      </c>
      <c r="I62" s="23">
        <f t="shared" si="6"/>
        <v>0</v>
      </c>
      <c r="J62" t="str">
        <f>IF(COUNTIFS(Subgroup_Overrides!$A$5:$A$200,"A",Subgroup_Overrides!$B$5:$B$200,$C62,Subgroup_Overrides!$C$5:$C$200,$D62)&gt;0,_xludf.minifs(Subgroup_Overrides!$D$5:$D$200,Subgroup_Overrides!$A$5:$A$200,"A",Subgroup_Overrides!$B$5:$B$200,$C62,Subgroup_Overrides!$C$5:$C$200,$D62),"")</f>
        <v/>
      </c>
      <c r="K62" t="str">
        <f>IF(COUNTIFS(Subgroup_Overrides!$A$5:$A$200,"B",Subgroup_Overrides!$B$5:$B$200,$C62,Subgroup_Overrides!$C$5:$C$200,$D62)&gt;0,_xludf.minifs(Subgroup_Overrides!$D$5:$D$200,Subgroup_Overrides!$A$5:$A$200,"B",Subgroup_Overrides!$B$5:$B$200,$C62,Subgroup_Overrides!$C$5:$C$200,$D62),"")</f>
        <v/>
      </c>
      <c r="L62" t="str">
        <f t="shared" si="7"/>
        <v>INFO</v>
      </c>
      <c r="M62">
        <f t="shared" si="8"/>
        <v>0</v>
      </c>
      <c r="N62">
        <f t="shared" si="9"/>
        <v>0</v>
      </c>
    </row>
    <row r="63" spans="1:14" ht="14.25" customHeight="1" x14ac:dyDescent="0.3">
      <c r="A63">
        <v>62</v>
      </c>
      <c r="B63" t="s">
        <v>47</v>
      </c>
      <c r="C63" t="s">
        <v>363</v>
      </c>
      <c r="D63" t="s">
        <v>370</v>
      </c>
      <c r="E63">
        <v>-0.4</v>
      </c>
      <c r="F63" s="23">
        <f>INDEX(I_prop!$B$7:$H$13, MATCH($C63, I_prop!$A$7:$A$13,0), MATCH($D63, I_prop!$B$6:$H$6,0))</f>
        <v>0</v>
      </c>
      <c r="G63" s="23">
        <f>INDEX(I_prop!$B$18:$H$24, MATCH($C63, I_prop!$A$18:$A$24,0), MATCH($D63, I_prop!$B$17:$H$17,0))</f>
        <v>0</v>
      </c>
      <c r="H63" s="23">
        <f t="shared" si="5"/>
        <v>0</v>
      </c>
      <c r="I63" s="23">
        <f t="shared" si="6"/>
        <v>0</v>
      </c>
      <c r="J63" t="str">
        <f>IF(COUNTIFS(Subgroup_Overrides!$A$5:$A$200,"A",Subgroup_Overrides!$B$5:$B$200,$C63,Subgroup_Overrides!$C$5:$C$200,$D63)&gt;0,_xludf.minifs(Subgroup_Overrides!$D$5:$D$200,Subgroup_Overrides!$A$5:$A$200,"A",Subgroup_Overrides!$B$5:$B$200,$C63,Subgroup_Overrides!$C$5:$C$200,$D63),"")</f>
        <v/>
      </c>
      <c r="K63" t="str">
        <f>IF(COUNTIFS(Subgroup_Overrides!$A$5:$A$200,"B",Subgroup_Overrides!$B$5:$B$200,$C63,Subgroup_Overrides!$C$5:$C$200,$D63)&gt;0,_xludf.minifs(Subgroup_Overrides!$D$5:$D$200,Subgroup_Overrides!$A$5:$A$200,"B",Subgroup_Overrides!$B$5:$B$200,$C63,Subgroup_Overrides!$C$5:$C$200,$D63),"")</f>
        <v/>
      </c>
      <c r="L63" t="str">
        <f t="shared" si="7"/>
        <v>INFO</v>
      </c>
      <c r="M63">
        <f t="shared" si="8"/>
        <v>0</v>
      </c>
      <c r="N63">
        <f t="shared" si="9"/>
        <v>0</v>
      </c>
    </row>
    <row r="64" spans="1:14" ht="14.25" customHeight="1" x14ac:dyDescent="0.3">
      <c r="A64">
        <v>63</v>
      </c>
      <c r="B64" t="s">
        <v>47</v>
      </c>
      <c r="C64" t="s">
        <v>364</v>
      </c>
      <c r="D64" t="s">
        <v>373</v>
      </c>
      <c r="E64">
        <v>-0.4</v>
      </c>
      <c r="F64" s="23">
        <f>INDEX(I_prop!$B$7:$H$13, MATCH($C64, I_prop!$A$7:$A$13,0), MATCH($D64, I_prop!$B$6:$H$6,0))</f>
        <v>0</v>
      </c>
      <c r="G64" s="23">
        <f>INDEX(I_prop!$B$18:$H$24, MATCH($C64, I_prop!$A$18:$A$24,0), MATCH($D64, I_prop!$B$17:$H$17,0))</f>
        <v>0</v>
      </c>
      <c r="H64" s="23">
        <f t="shared" si="5"/>
        <v>0</v>
      </c>
      <c r="I64" s="23">
        <f t="shared" si="6"/>
        <v>0</v>
      </c>
      <c r="J64" t="str">
        <f>IF(COUNTIFS(Subgroup_Overrides!$A$5:$A$200,"A",Subgroup_Overrides!$B$5:$B$200,$C64,Subgroup_Overrides!$C$5:$C$200,$D64)&gt;0,_xludf.minifs(Subgroup_Overrides!$D$5:$D$200,Subgroup_Overrides!$A$5:$A$200,"A",Subgroup_Overrides!$B$5:$B$200,$C64,Subgroup_Overrides!$C$5:$C$200,$D64),"")</f>
        <v/>
      </c>
      <c r="K64" t="str">
        <f>IF(COUNTIFS(Subgroup_Overrides!$A$5:$A$200,"B",Subgroup_Overrides!$B$5:$B$200,$C64,Subgroup_Overrides!$C$5:$C$200,$D64)&gt;0,_xludf.minifs(Subgroup_Overrides!$D$5:$D$200,Subgroup_Overrides!$A$5:$A$200,"B",Subgroup_Overrides!$B$5:$B$200,$C64,Subgroup_Overrides!$C$5:$C$200,$D64),"")</f>
        <v/>
      </c>
      <c r="L64" t="str">
        <f t="shared" si="7"/>
        <v>INFO</v>
      </c>
      <c r="M64">
        <f t="shared" si="8"/>
        <v>0</v>
      </c>
      <c r="N64">
        <f t="shared" si="9"/>
        <v>0</v>
      </c>
    </row>
    <row r="65" spans="1:14" ht="14.25" customHeight="1" x14ac:dyDescent="0.3">
      <c r="A65">
        <v>64</v>
      </c>
      <c r="B65" t="s">
        <v>47</v>
      </c>
      <c r="C65" t="s">
        <v>364</v>
      </c>
      <c r="D65" t="s">
        <v>370</v>
      </c>
      <c r="E65">
        <v>-0.4</v>
      </c>
      <c r="F65" s="23">
        <f>INDEX(I_prop!$B$7:$H$13, MATCH($C65, I_prop!$A$7:$A$13,0), MATCH($D65, I_prop!$B$6:$H$6,0))</f>
        <v>0</v>
      </c>
      <c r="G65" s="23">
        <f>INDEX(I_prop!$B$18:$H$24, MATCH($C65, I_prop!$A$18:$A$24,0), MATCH($D65, I_prop!$B$17:$H$17,0))</f>
        <v>0</v>
      </c>
      <c r="H65" s="23">
        <f t="shared" si="5"/>
        <v>0</v>
      </c>
      <c r="I65" s="23">
        <f t="shared" si="6"/>
        <v>0</v>
      </c>
      <c r="J65" t="str">
        <f>IF(COUNTIFS(Subgroup_Overrides!$A$5:$A$200,"A",Subgroup_Overrides!$B$5:$B$200,$C65,Subgroup_Overrides!$C$5:$C$200,$D65)&gt;0,_xludf.minifs(Subgroup_Overrides!$D$5:$D$200,Subgroup_Overrides!$A$5:$A$200,"A",Subgroup_Overrides!$B$5:$B$200,$C65,Subgroup_Overrides!$C$5:$C$200,$D65),"")</f>
        <v/>
      </c>
      <c r="K65" t="str">
        <f>IF(COUNTIFS(Subgroup_Overrides!$A$5:$A$200,"B",Subgroup_Overrides!$B$5:$B$200,$C65,Subgroup_Overrides!$C$5:$C$200,$D65)&gt;0,_xludf.minifs(Subgroup_Overrides!$D$5:$D$200,Subgroup_Overrides!$A$5:$A$200,"B",Subgroup_Overrides!$B$5:$B$200,$C65,Subgroup_Overrides!$C$5:$C$200,$D65),"")</f>
        <v/>
      </c>
      <c r="L65" t="str">
        <f t="shared" si="7"/>
        <v>INFO</v>
      </c>
      <c r="M65">
        <f t="shared" si="8"/>
        <v>0</v>
      </c>
      <c r="N65">
        <f t="shared" si="9"/>
        <v>0</v>
      </c>
    </row>
    <row r="66" spans="1:14" ht="14.25" customHeight="1" x14ac:dyDescent="0.3">
      <c r="A66">
        <v>65</v>
      </c>
      <c r="B66" t="s">
        <v>47</v>
      </c>
      <c r="C66" t="s">
        <v>365</v>
      </c>
      <c r="D66" t="s">
        <v>373</v>
      </c>
      <c r="E66">
        <v>-0.4</v>
      </c>
      <c r="F66" s="23">
        <f>INDEX(I_prop!$B$7:$H$13, MATCH($C66, I_prop!$A$7:$A$13,0), MATCH($D66, I_prop!$B$6:$H$6,0))</f>
        <v>0</v>
      </c>
      <c r="G66" s="23">
        <f>INDEX(I_prop!$B$18:$H$24, MATCH($C66, I_prop!$A$18:$A$24,0), MATCH($D66, I_prop!$B$17:$H$17,0))</f>
        <v>0</v>
      </c>
      <c r="H66" s="23">
        <f t="shared" ref="H66:H71" si="10">IF($J66&lt;&gt;"",$J66,$F66)</f>
        <v>0</v>
      </c>
      <c r="I66" s="23">
        <f t="shared" ref="I66:I71" si="11">IF($K66&lt;&gt;"",$K66,$G66)</f>
        <v>0</v>
      </c>
      <c r="J66" t="str">
        <f>IF(COUNTIFS(Subgroup_Overrides!$A$5:$A$200,"A",Subgroup_Overrides!$B$5:$B$200,$C66,Subgroup_Overrides!$C$5:$C$200,$D66)&gt;0,_xludf.minifs(Subgroup_Overrides!$D$5:$D$200,Subgroup_Overrides!$A$5:$A$200,"A",Subgroup_Overrides!$B$5:$B$200,$C66,Subgroup_Overrides!$C$5:$C$200,$D66),"")</f>
        <v/>
      </c>
      <c r="K66" t="str">
        <f>IF(COUNTIFS(Subgroup_Overrides!$A$5:$A$200,"B",Subgroup_Overrides!$B$5:$B$200,$C66,Subgroup_Overrides!$C$5:$C$200,$D66)&gt;0,_xludf.minifs(Subgroup_Overrides!$D$5:$D$200,Subgroup_Overrides!$A$5:$A$200,"B",Subgroup_Overrides!$B$5:$B$200,$C66,Subgroup_Overrides!$C$5:$C$200,$D66),"")</f>
        <v/>
      </c>
      <c r="L66" t="str">
        <f t="shared" ref="L66:L71" si="12">TRIM(B66)</f>
        <v>INFO</v>
      </c>
      <c r="M66">
        <f t="shared" ref="M66:M71" si="13">IF(H66="",NA(),1*H66)</f>
        <v>0</v>
      </c>
      <c r="N66">
        <f t="shared" ref="N66:N71" si="14">IF(I66="",NA(),1*I66)</f>
        <v>0</v>
      </c>
    </row>
    <row r="67" spans="1:14" ht="14.25" customHeight="1" x14ac:dyDescent="0.3">
      <c r="A67">
        <v>66</v>
      </c>
      <c r="B67" t="s">
        <v>47</v>
      </c>
      <c r="C67" t="s">
        <v>365</v>
      </c>
      <c r="D67" t="s">
        <v>370</v>
      </c>
      <c r="E67">
        <v>-0.4</v>
      </c>
      <c r="F67" s="23">
        <f>INDEX(I_prop!$B$7:$H$13, MATCH($C67, I_prop!$A$7:$A$13,0), MATCH($D67, I_prop!$B$6:$H$6,0))</f>
        <v>0</v>
      </c>
      <c r="G67" s="23">
        <f>INDEX(I_prop!$B$18:$H$24, MATCH($C67, I_prop!$A$18:$A$24,0), MATCH($D67, I_prop!$B$17:$H$17,0))</f>
        <v>0</v>
      </c>
      <c r="H67" s="23">
        <f t="shared" si="10"/>
        <v>0</v>
      </c>
      <c r="I67" s="23">
        <f t="shared" si="11"/>
        <v>0</v>
      </c>
      <c r="J67" t="str">
        <f>IF(COUNTIFS(Subgroup_Overrides!$A$5:$A$200,"A",Subgroup_Overrides!$B$5:$B$200,$C67,Subgroup_Overrides!$C$5:$C$200,$D67)&gt;0,_xludf.minifs(Subgroup_Overrides!$D$5:$D$200,Subgroup_Overrides!$A$5:$A$200,"A",Subgroup_Overrides!$B$5:$B$200,$C67,Subgroup_Overrides!$C$5:$C$200,$D67),"")</f>
        <v/>
      </c>
      <c r="K67" t="str">
        <f>IF(COUNTIFS(Subgroup_Overrides!$A$5:$A$200,"B",Subgroup_Overrides!$B$5:$B$200,$C67,Subgroup_Overrides!$C$5:$C$200,$D67)&gt;0,_xludf.minifs(Subgroup_Overrides!$D$5:$D$200,Subgroup_Overrides!$A$5:$A$200,"B",Subgroup_Overrides!$B$5:$B$200,$C67,Subgroup_Overrides!$C$5:$C$200,$D67),"")</f>
        <v/>
      </c>
      <c r="L67" t="str">
        <f t="shared" si="12"/>
        <v>INFO</v>
      </c>
      <c r="M67">
        <f t="shared" si="13"/>
        <v>0</v>
      </c>
      <c r="N67">
        <f t="shared" si="14"/>
        <v>0</v>
      </c>
    </row>
    <row r="68" spans="1:14" ht="14.25" customHeight="1" x14ac:dyDescent="0.3">
      <c r="A68">
        <v>67</v>
      </c>
      <c r="B68" t="s">
        <v>47</v>
      </c>
      <c r="C68" t="s">
        <v>366</v>
      </c>
      <c r="D68" t="s">
        <v>373</v>
      </c>
      <c r="E68">
        <v>-0.4</v>
      </c>
      <c r="F68" s="23">
        <f>INDEX(I_prop!$B$7:$H$13, MATCH($C68, I_prop!$A$7:$A$13,0), MATCH($D68, I_prop!$B$6:$H$6,0))</f>
        <v>0</v>
      </c>
      <c r="G68" s="23">
        <f>INDEX(I_prop!$B$18:$H$24, MATCH($C68, I_prop!$A$18:$A$24,0), MATCH($D68, I_prop!$B$17:$H$17,0))</f>
        <v>0</v>
      </c>
      <c r="H68" s="23">
        <f t="shared" si="10"/>
        <v>0</v>
      </c>
      <c r="I68" s="23">
        <f t="shared" si="11"/>
        <v>0</v>
      </c>
      <c r="J68" t="str">
        <f>IF(COUNTIFS(Subgroup_Overrides!$A$5:$A$200,"A",Subgroup_Overrides!$B$5:$B$200,$C68,Subgroup_Overrides!$C$5:$C$200,$D68)&gt;0,_xludf.minifs(Subgroup_Overrides!$D$5:$D$200,Subgroup_Overrides!$A$5:$A$200,"A",Subgroup_Overrides!$B$5:$B$200,$C68,Subgroup_Overrides!$C$5:$C$200,$D68),"")</f>
        <v/>
      </c>
      <c r="K68" t="str">
        <f>IF(COUNTIFS(Subgroup_Overrides!$A$5:$A$200,"B",Subgroup_Overrides!$B$5:$B$200,$C68,Subgroup_Overrides!$C$5:$C$200,$D68)&gt;0,_xludf.minifs(Subgroup_Overrides!$D$5:$D$200,Subgroup_Overrides!$A$5:$A$200,"B",Subgroup_Overrides!$B$5:$B$200,$C68,Subgroup_Overrides!$C$5:$C$200,$D68),"")</f>
        <v/>
      </c>
      <c r="L68" t="str">
        <f t="shared" si="12"/>
        <v>INFO</v>
      </c>
      <c r="M68">
        <f t="shared" si="13"/>
        <v>0</v>
      </c>
      <c r="N68">
        <f t="shared" si="14"/>
        <v>0</v>
      </c>
    </row>
    <row r="69" spans="1:14" ht="14.25" customHeight="1" x14ac:dyDescent="0.3">
      <c r="A69">
        <v>68</v>
      </c>
      <c r="B69" t="s">
        <v>47</v>
      </c>
      <c r="C69" t="s">
        <v>366</v>
      </c>
      <c r="D69" t="s">
        <v>370</v>
      </c>
      <c r="E69">
        <v>-0.4</v>
      </c>
      <c r="F69" s="23">
        <f>INDEX(I_prop!$B$7:$H$13, MATCH($C69, I_prop!$A$7:$A$13,0), MATCH($D69, I_prop!$B$6:$H$6,0))</f>
        <v>0</v>
      </c>
      <c r="G69" s="23">
        <f>INDEX(I_prop!$B$18:$H$24, MATCH($C69, I_prop!$A$18:$A$24,0), MATCH($D69, I_prop!$B$17:$H$17,0))</f>
        <v>0</v>
      </c>
      <c r="H69" s="23">
        <f t="shared" si="10"/>
        <v>0</v>
      </c>
      <c r="I69" s="23">
        <f t="shared" si="11"/>
        <v>0</v>
      </c>
      <c r="J69" t="str">
        <f>IF(COUNTIFS(Subgroup_Overrides!$A$5:$A$200,"A",Subgroup_Overrides!$B$5:$B$200,$C69,Subgroup_Overrides!$C$5:$C$200,$D69)&gt;0,_xludf.minifs(Subgroup_Overrides!$D$5:$D$200,Subgroup_Overrides!$A$5:$A$200,"A",Subgroup_Overrides!$B$5:$B$200,$C69,Subgroup_Overrides!$C$5:$C$200,$D69),"")</f>
        <v/>
      </c>
      <c r="K69" t="str">
        <f>IF(COUNTIFS(Subgroup_Overrides!$A$5:$A$200,"B",Subgroup_Overrides!$B$5:$B$200,$C69,Subgroup_Overrides!$C$5:$C$200,$D69)&gt;0,_xludf.minifs(Subgroup_Overrides!$D$5:$D$200,Subgroup_Overrides!$A$5:$A$200,"B",Subgroup_Overrides!$B$5:$B$200,$C69,Subgroup_Overrides!$C$5:$C$200,$D69),"")</f>
        <v/>
      </c>
      <c r="L69" t="str">
        <f t="shared" si="12"/>
        <v>INFO</v>
      </c>
      <c r="M69">
        <f t="shared" si="13"/>
        <v>0</v>
      </c>
      <c r="N69">
        <f t="shared" si="14"/>
        <v>0</v>
      </c>
    </row>
    <row r="70" spans="1:14" ht="14.25" customHeight="1" x14ac:dyDescent="0.3">
      <c r="A70">
        <v>69</v>
      </c>
      <c r="B70" t="s">
        <v>47</v>
      </c>
      <c r="C70" t="s">
        <v>367</v>
      </c>
      <c r="D70" t="s">
        <v>373</v>
      </c>
      <c r="E70">
        <v>-0.4</v>
      </c>
      <c r="F70" s="23">
        <f>INDEX(I_prop!$B$7:$H$13, MATCH($C70, I_prop!$A$7:$A$13,0), MATCH($D70, I_prop!$B$6:$H$6,0))</f>
        <v>0</v>
      </c>
      <c r="G70" s="23">
        <f>INDEX(I_prop!$B$18:$H$24, MATCH($C70, I_prop!$A$18:$A$24,0), MATCH($D70, I_prop!$B$17:$H$17,0))</f>
        <v>0</v>
      </c>
      <c r="H70" s="23">
        <f t="shared" si="10"/>
        <v>0</v>
      </c>
      <c r="I70" s="23">
        <f t="shared" si="11"/>
        <v>0</v>
      </c>
      <c r="J70" t="str">
        <f>IF(COUNTIFS(Subgroup_Overrides!$A$5:$A$200,"A",Subgroup_Overrides!$B$5:$B$200,$C70,Subgroup_Overrides!$C$5:$C$200,$D70)&gt;0,_xludf.minifs(Subgroup_Overrides!$D$5:$D$200,Subgroup_Overrides!$A$5:$A$200,"A",Subgroup_Overrides!$B$5:$B$200,$C70,Subgroup_Overrides!$C$5:$C$200,$D70),"")</f>
        <v/>
      </c>
      <c r="K70" t="str">
        <f>IF(COUNTIFS(Subgroup_Overrides!$A$5:$A$200,"B",Subgroup_Overrides!$B$5:$B$200,$C70,Subgroup_Overrides!$C$5:$C$200,$D70)&gt;0,_xludf.minifs(Subgroup_Overrides!$D$5:$D$200,Subgroup_Overrides!$A$5:$A$200,"B",Subgroup_Overrides!$B$5:$B$200,$C70,Subgroup_Overrides!$C$5:$C$200,$D70),"")</f>
        <v/>
      </c>
      <c r="L70" t="str">
        <f t="shared" si="12"/>
        <v>INFO</v>
      </c>
      <c r="M70">
        <f t="shared" si="13"/>
        <v>0</v>
      </c>
      <c r="N70">
        <f t="shared" si="14"/>
        <v>0</v>
      </c>
    </row>
    <row r="71" spans="1:14" ht="14.25" customHeight="1" x14ac:dyDescent="0.3">
      <c r="A71">
        <v>70</v>
      </c>
      <c r="B71" t="s">
        <v>47</v>
      </c>
      <c r="C71" t="s">
        <v>367</v>
      </c>
      <c r="D71" t="s">
        <v>370</v>
      </c>
      <c r="E71">
        <v>-0.4</v>
      </c>
      <c r="F71" s="23">
        <f>INDEX(I_prop!$B$7:$H$13, MATCH($C71, I_prop!$A$7:$A$13,0), MATCH($D71, I_prop!$B$6:$H$6,0))</f>
        <v>0</v>
      </c>
      <c r="G71" s="23">
        <f>INDEX(I_prop!$B$18:$H$24, MATCH($C71, I_prop!$A$18:$A$24,0), MATCH($D71, I_prop!$B$17:$H$17,0))</f>
        <v>0</v>
      </c>
      <c r="H71" s="23">
        <f t="shared" si="10"/>
        <v>0</v>
      </c>
      <c r="I71" s="23">
        <f t="shared" si="11"/>
        <v>0</v>
      </c>
      <c r="J71" t="str">
        <f>IF(COUNTIFS(Subgroup_Overrides!$A$5:$A$200,"A",Subgroup_Overrides!$B$5:$B$200,$C71,Subgroup_Overrides!$C$5:$C$200,$D71)&gt;0,_xludf.minifs(Subgroup_Overrides!$D$5:$D$200,Subgroup_Overrides!$A$5:$A$200,"A",Subgroup_Overrides!$B$5:$B$200,$C71,Subgroup_Overrides!$C$5:$C$200,$D71),"")</f>
        <v/>
      </c>
      <c r="K71" t="str">
        <f>IF(COUNTIFS(Subgroup_Overrides!$A$5:$A$200,"B",Subgroup_Overrides!$B$5:$B$200,$C71,Subgroup_Overrides!$C$5:$C$200,$D71)&gt;0,_xludf.minifs(Subgroup_Overrides!$D$5:$D$200,Subgroup_Overrides!$A$5:$A$200,"B",Subgroup_Overrides!$B$5:$B$200,$C71,Subgroup_Overrides!$C$5:$C$200,$D71),"")</f>
        <v/>
      </c>
      <c r="L71" t="str">
        <f t="shared" si="12"/>
        <v>INFO</v>
      </c>
      <c r="M71">
        <f t="shared" si="13"/>
        <v>0</v>
      </c>
      <c r="N71">
        <f t="shared" si="1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zoomScaleNormal="100" workbookViewId="0">
      <selection sqref="A1:H1"/>
    </sheetView>
  </sheetViews>
  <sheetFormatPr defaultColWidth="8.6640625" defaultRowHeight="14.4" x14ac:dyDescent="0.3"/>
  <sheetData>
    <row r="1" spans="1:8" ht="14.25" customHeight="1" x14ac:dyDescent="0.3">
      <c r="A1" s="50" t="s">
        <v>383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t="s">
        <v>384</v>
      </c>
    </row>
    <row r="4" spans="1:8" ht="14.25" customHeight="1" x14ac:dyDescent="0.3">
      <c r="A4" s="7" t="s">
        <v>385</v>
      </c>
    </row>
    <row r="5" spans="1:8" ht="13.5" customHeight="1" x14ac:dyDescent="0.3"/>
    <row r="6" spans="1:8" ht="14.25" customHeight="1" x14ac:dyDescent="0.3">
      <c r="A6" s="7" t="s">
        <v>386</v>
      </c>
      <c r="B6" s="7" t="s">
        <v>359</v>
      </c>
      <c r="C6" s="7" t="s">
        <v>360</v>
      </c>
      <c r="D6" s="7" t="s">
        <v>387</v>
      </c>
      <c r="E6" s="7" t="s">
        <v>388</v>
      </c>
    </row>
    <row r="7" spans="1:8" ht="14.25" customHeight="1" x14ac:dyDescent="0.3">
      <c r="A7" t="s">
        <v>389</v>
      </c>
      <c r="B7" t="s">
        <v>367</v>
      </c>
      <c r="C7" t="s">
        <v>390</v>
      </c>
      <c r="D7">
        <v>0.35</v>
      </c>
      <c r="E7" t="s">
        <v>391</v>
      </c>
    </row>
    <row r="8" spans="1:8" ht="14.25" customHeight="1" x14ac:dyDescent="0.3">
      <c r="A8" t="s">
        <v>392</v>
      </c>
      <c r="B8" t="s">
        <v>367</v>
      </c>
      <c r="C8" t="s">
        <v>393</v>
      </c>
      <c r="D8">
        <v>0.3</v>
      </c>
      <c r="E8" t="s">
        <v>394</v>
      </c>
    </row>
    <row r="9" spans="1:8" ht="14.25" customHeight="1" x14ac:dyDescent="0.3">
      <c r="A9" t="s">
        <v>395</v>
      </c>
      <c r="B9" t="s">
        <v>369</v>
      </c>
      <c r="C9" t="s">
        <v>393</v>
      </c>
      <c r="D9">
        <v>0.35</v>
      </c>
      <c r="E9" t="s">
        <v>396</v>
      </c>
    </row>
    <row r="10" spans="1:8" ht="13.5" customHeight="1" x14ac:dyDescent="0.3"/>
    <row r="11" spans="1:8" ht="14.25" customHeight="1" x14ac:dyDescent="0.3">
      <c r="A11" t="s">
        <v>397</v>
      </c>
      <c r="B11">
        <f>SUM(D7:D9)</f>
        <v>0.99999999999999989</v>
      </c>
      <c r="C11" t="s">
        <v>398</v>
      </c>
    </row>
    <row r="12" spans="1:8" ht="13.5" customHeight="1" x14ac:dyDescent="0.3"/>
    <row r="13" spans="1:8" ht="14.25" customHeight="1" x14ac:dyDescent="0.3">
      <c r="A13" s="7" t="s">
        <v>399</v>
      </c>
    </row>
    <row r="14" spans="1:8" ht="14.25" customHeight="1" x14ac:dyDescent="0.3">
      <c r="A14" t="s">
        <v>400</v>
      </c>
    </row>
    <row r="15" spans="1:8" ht="14.25" customHeight="1" x14ac:dyDescent="0.3">
      <c r="A15" t="s">
        <v>401</v>
      </c>
    </row>
    <row r="16" spans="1:8" ht="14.25" customHeight="1" x14ac:dyDescent="0.3">
      <c r="A16" t="s">
        <v>402</v>
      </c>
    </row>
    <row r="17" spans="1:2" ht="14.25" customHeight="1" x14ac:dyDescent="0.3">
      <c r="A17" t="s">
        <v>403</v>
      </c>
    </row>
    <row r="18" spans="1:2" ht="13.5" customHeight="1" x14ac:dyDescent="0.3"/>
    <row r="19" spans="1:2" ht="14.25" customHeight="1" x14ac:dyDescent="0.3">
      <c r="A19" t="s">
        <v>404</v>
      </c>
      <c r="B19" s="10" t="s">
        <v>405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zoomScaleNormal="100" workbookViewId="0">
      <selection sqref="A1:H1"/>
    </sheetView>
  </sheetViews>
  <sheetFormatPr defaultColWidth="8.6640625" defaultRowHeight="14.4" x14ac:dyDescent="0.3"/>
  <sheetData>
    <row r="1" spans="1:8" ht="14.25" customHeight="1" x14ac:dyDescent="0.3">
      <c r="A1" s="50" t="s">
        <v>406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t="s">
        <v>407</v>
      </c>
    </row>
    <row r="4" spans="1:8" ht="14.25" customHeight="1" x14ac:dyDescent="0.3">
      <c r="A4" t="s">
        <v>408</v>
      </c>
      <c r="D4" t="s">
        <v>409</v>
      </c>
    </row>
    <row r="5" spans="1:8" ht="13.5" customHeight="1" x14ac:dyDescent="0.3"/>
    <row r="6" spans="1:8" ht="14.25" customHeight="1" x14ac:dyDescent="0.3">
      <c r="A6" s="7" t="s">
        <v>410</v>
      </c>
      <c r="B6" s="7" t="s">
        <v>411</v>
      </c>
      <c r="C6" s="7" t="s">
        <v>412</v>
      </c>
      <c r="D6" s="7" t="s">
        <v>413</v>
      </c>
      <c r="E6" s="7" t="s">
        <v>332</v>
      </c>
      <c r="F6" s="7" t="s">
        <v>102</v>
      </c>
      <c r="G6" t="s">
        <v>54</v>
      </c>
    </row>
    <row r="7" spans="1:8" ht="14.25" customHeight="1" x14ac:dyDescent="0.3">
      <c r="A7" t="s">
        <v>55</v>
      </c>
      <c r="B7" t="s">
        <v>414</v>
      </c>
      <c r="C7" t="s">
        <v>415</v>
      </c>
      <c r="D7">
        <f>SUMIF(Scenario_Impacts!$B$11:$B$16,A7,Scenario_Impacts!$C$11:$C$16)</f>
        <v>0.08</v>
      </c>
      <c r="E7">
        <v>0.02</v>
      </c>
      <c r="F7" s="10" t="str">
        <f t="shared" ref="F7:F12" si="0">IF(G7="NO","OPTIONAL",IF(D7&gt;=E7,"✓ COVERED","✗ MISSING"))</f>
        <v>✓ COVERED</v>
      </c>
      <c r="G7" t="str">
        <f>IF(A7="WTSL-AIX",IF(Config!$B$13="YES","YES","NO"),"YES")</f>
        <v>YES</v>
      </c>
    </row>
    <row r="8" spans="1:8" ht="14.25" customHeight="1" x14ac:dyDescent="0.3">
      <c r="A8" t="s">
        <v>57</v>
      </c>
      <c r="B8" t="s">
        <v>416</v>
      </c>
      <c r="C8" t="s">
        <v>417</v>
      </c>
      <c r="D8">
        <f>SUMIF(Scenario_Impacts!$B$11:$B$16,A8,Scenario_Impacts!$C$11:$C$16)</f>
        <v>7.0000000000000007E-2</v>
      </c>
      <c r="E8">
        <v>0.02</v>
      </c>
      <c r="F8" s="10" t="str">
        <f t="shared" si="0"/>
        <v>✓ COVERED</v>
      </c>
      <c r="G8" t="str">
        <f>IF(A8="WTSL-AIX",IF(Config!$B$13="YES","YES","NO"),"YES")</f>
        <v>YES</v>
      </c>
    </row>
    <row r="9" spans="1:8" ht="14.25" customHeight="1" x14ac:dyDescent="0.3">
      <c r="A9" t="s">
        <v>58</v>
      </c>
      <c r="B9" t="s">
        <v>418</v>
      </c>
      <c r="C9" t="s">
        <v>419</v>
      </c>
      <c r="D9">
        <f>SUMIF(Scenario_Impacts!$B$11:$B$16,A9,Scenario_Impacts!$C$11:$C$16)</f>
        <v>0.15</v>
      </c>
      <c r="E9">
        <v>0.02</v>
      </c>
      <c r="F9" s="10" t="str">
        <f t="shared" si="0"/>
        <v>✓ COVERED</v>
      </c>
      <c r="G9" t="str">
        <f>IF(A9="WTSL-AIX",IF(Config!$B$13="YES","YES","NO"),"YES")</f>
        <v>YES</v>
      </c>
    </row>
    <row r="10" spans="1:8" ht="14.25" customHeight="1" x14ac:dyDescent="0.3">
      <c r="A10" t="s">
        <v>59</v>
      </c>
      <c r="B10" t="s">
        <v>420</v>
      </c>
      <c r="C10" t="s">
        <v>421</v>
      </c>
      <c r="D10">
        <f>SUMIF(Scenario_Impacts!$B$11:$B$16,A10,Scenario_Impacts!$C$11:$C$16)</f>
        <v>0.03</v>
      </c>
      <c r="E10">
        <v>0.02</v>
      </c>
      <c r="F10" s="10" t="str">
        <f t="shared" si="0"/>
        <v>✓ COVERED</v>
      </c>
      <c r="G10" t="str">
        <f>IF(A10="WTSL-AIX",IF(Config!$B$13="YES","YES","NO"),"YES")</f>
        <v>YES</v>
      </c>
    </row>
    <row r="11" spans="1:8" ht="14.25" customHeight="1" x14ac:dyDescent="0.3">
      <c r="A11" t="s">
        <v>60</v>
      </c>
      <c r="B11" t="s">
        <v>422</v>
      </c>
      <c r="C11" t="s">
        <v>423</v>
      </c>
      <c r="D11">
        <f>SUMIF(Scenario_Impacts!$B$11:$B$16,A11,Scenario_Impacts!$C$11:$C$16)</f>
        <v>0.05</v>
      </c>
      <c r="E11">
        <v>0.02</v>
      </c>
      <c r="F11" s="10" t="str">
        <f t="shared" si="0"/>
        <v>✓ COVERED</v>
      </c>
      <c r="G11" t="str">
        <f>IF(A11="WTSL-AIX",IF(Config!$B$13="YES","YES","NO"),"YES")</f>
        <v>YES</v>
      </c>
    </row>
    <row r="12" spans="1:8" ht="14.25" customHeight="1" x14ac:dyDescent="0.3">
      <c r="A12" t="s">
        <v>61</v>
      </c>
      <c r="B12" t="s">
        <v>424</v>
      </c>
      <c r="C12" t="s">
        <v>425</v>
      </c>
      <c r="D12">
        <f>SUMIF(Scenario_Impacts!$B$11:$B$16,A12,Scenario_Impacts!$C$11:$C$16)</f>
        <v>0.02</v>
      </c>
      <c r="E12">
        <v>0.02</v>
      </c>
      <c r="F12" s="10" t="str">
        <f t="shared" si="0"/>
        <v>OPTIONAL</v>
      </c>
      <c r="G12" t="str">
        <f>IF(A12="WTSL-AIX",IF(Config!$B$13="YES","YES","NO"),"YES")</f>
        <v>NO</v>
      </c>
    </row>
    <row r="13" spans="1:8" ht="13.5" customHeight="1" x14ac:dyDescent="0.3"/>
    <row r="14" spans="1:8" ht="13.5" customHeight="1" x14ac:dyDescent="0.3"/>
    <row r="15" spans="1:8" ht="14.25" customHeight="1" x14ac:dyDescent="0.3">
      <c r="A15" s="7" t="s">
        <v>426</v>
      </c>
    </row>
    <row r="16" spans="1:8" ht="14.25" customHeight="1" x14ac:dyDescent="0.3">
      <c r="A16" t="s">
        <v>427</v>
      </c>
      <c r="B16" s="10">
        <f>CANON!B41</f>
        <v>5</v>
      </c>
      <c r="C16" t="s">
        <v>428</v>
      </c>
    </row>
    <row r="17" spans="1:3" ht="14.25" customHeight="1" x14ac:dyDescent="0.3">
      <c r="A17" t="s">
        <v>429</v>
      </c>
      <c r="B17" s="10">
        <f>COUNTIF(F7:F12,"✓*")</f>
        <v>5</v>
      </c>
    </row>
    <row r="18" spans="1:3" ht="14.25" customHeight="1" x14ac:dyDescent="0.3">
      <c r="A18" t="s">
        <v>430</v>
      </c>
      <c r="B18">
        <f>SUM(D7:D12)</f>
        <v>0.40000000000000008</v>
      </c>
      <c r="C18" t="s">
        <v>431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zoomScaleNormal="100" workbookViewId="0">
      <selection sqref="A1:N1"/>
    </sheetView>
  </sheetViews>
  <sheetFormatPr defaultColWidth="8.6640625" defaultRowHeight="14.4" x14ac:dyDescent="0.3"/>
  <sheetData>
    <row r="1" spans="1:14" ht="14.25" customHeight="1" x14ac:dyDescent="0.3">
      <c r="A1" s="50" t="s">
        <v>432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3.5" customHeight="1" x14ac:dyDescent="0.3"/>
    <row r="3" spans="1:14" ht="14.25" customHeight="1" x14ac:dyDescent="0.3">
      <c r="A3" t="s">
        <v>433</v>
      </c>
    </row>
    <row r="4" spans="1:14" ht="14.25" customHeight="1" x14ac:dyDescent="0.3">
      <c r="A4" t="s">
        <v>434</v>
      </c>
    </row>
    <row r="5" spans="1:14" ht="13.5" customHeight="1" x14ac:dyDescent="0.3"/>
    <row r="6" spans="1:14" ht="14.25" customHeight="1" x14ac:dyDescent="0.3">
      <c r="A6" s="22" t="s">
        <v>435</v>
      </c>
      <c r="B6" s="22" t="s">
        <v>436</v>
      </c>
      <c r="C6" s="22" t="s">
        <v>359</v>
      </c>
      <c r="D6" s="22" t="s">
        <v>437</v>
      </c>
      <c r="E6" s="22" t="s">
        <v>412</v>
      </c>
      <c r="F6" s="22" t="s">
        <v>438</v>
      </c>
      <c r="G6" s="22" t="s">
        <v>439</v>
      </c>
      <c r="H6" s="22" t="s">
        <v>440</v>
      </c>
      <c r="I6" s="22" t="s">
        <v>441</v>
      </c>
      <c r="J6" s="22" t="s">
        <v>442</v>
      </c>
      <c r="K6" s="22" t="s">
        <v>443</v>
      </c>
      <c r="L6" s="22" t="s">
        <v>444</v>
      </c>
      <c r="M6" s="22" t="s">
        <v>445</v>
      </c>
      <c r="N6" s="22" t="s">
        <v>446</v>
      </c>
    </row>
    <row r="7" spans="1:14" ht="14.25" customHeight="1" x14ac:dyDescent="0.3">
      <c r="A7" t="s">
        <v>447</v>
      </c>
      <c r="B7" t="s">
        <v>448</v>
      </c>
      <c r="C7" t="s">
        <v>364</v>
      </c>
      <c r="D7" t="s">
        <v>371</v>
      </c>
      <c r="E7" t="s">
        <v>449</v>
      </c>
      <c r="F7">
        <v>-0.3</v>
      </c>
      <c r="G7">
        <v>0.8</v>
      </c>
      <c r="H7">
        <v>0.7</v>
      </c>
      <c r="I7">
        <v>0.5</v>
      </c>
      <c r="J7">
        <v>5</v>
      </c>
      <c r="K7">
        <v>1</v>
      </c>
      <c r="L7">
        <v>1</v>
      </c>
      <c r="M7" s="23">
        <f>MIN(1, LN(1+MAX(J7, CANON!$B$27)) / LN(1+CANON!$B$25))</f>
        <v>0.54994057061185864</v>
      </c>
      <c r="N7" s="24">
        <f t="shared" ref="N7:N20" si="0">F7*G7*H7*I7*K7*L7*M7</f>
        <v>-4.6195007931396123E-2</v>
      </c>
    </row>
    <row r="8" spans="1:14" ht="14.25" customHeight="1" x14ac:dyDescent="0.3">
      <c r="A8" t="s">
        <v>450</v>
      </c>
      <c r="B8" t="s">
        <v>448</v>
      </c>
      <c r="C8" t="s">
        <v>364</v>
      </c>
      <c r="D8" t="s">
        <v>371</v>
      </c>
      <c r="E8" t="s">
        <v>451</v>
      </c>
      <c r="F8">
        <v>0.15</v>
      </c>
      <c r="G8">
        <v>0.6</v>
      </c>
      <c r="H8">
        <v>0.5</v>
      </c>
      <c r="I8">
        <v>0.3</v>
      </c>
      <c r="J8">
        <v>3</v>
      </c>
      <c r="K8">
        <v>1</v>
      </c>
      <c r="L8">
        <v>1</v>
      </c>
      <c r="M8" s="23">
        <f>MIN(1, LN(1+MAX(J8, CANON!$B$27)) / LN(1+CANON!$B$25))</f>
        <v>0.4254921071067263</v>
      </c>
      <c r="N8" s="24">
        <f t="shared" si="0"/>
        <v>5.7441434459408053E-3</v>
      </c>
    </row>
    <row r="9" spans="1:14" ht="14.25" customHeight="1" x14ac:dyDescent="0.3">
      <c r="A9" t="s">
        <v>452</v>
      </c>
      <c r="B9" t="s">
        <v>448</v>
      </c>
      <c r="C9" t="s">
        <v>361</v>
      </c>
      <c r="D9" t="s">
        <v>370</v>
      </c>
      <c r="E9" t="s">
        <v>453</v>
      </c>
      <c r="F9">
        <v>0.4</v>
      </c>
      <c r="G9">
        <v>0.9</v>
      </c>
      <c r="H9">
        <v>0.8</v>
      </c>
      <c r="I9">
        <v>0.6</v>
      </c>
      <c r="J9">
        <v>10</v>
      </c>
      <c r="K9">
        <v>1</v>
      </c>
      <c r="L9">
        <v>1</v>
      </c>
      <c r="M9" s="23">
        <f>MIN(1, LN(1+MAX(J9, CANON!$B$27)) / LN(1+CANON!$B$25))</f>
        <v>0.7359804244028082</v>
      </c>
      <c r="N9" s="24">
        <f t="shared" si="0"/>
        <v>0.12717741733680527</v>
      </c>
    </row>
    <row r="10" spans="1:14" ht="14.25" customHeight="1" x14ac:dyDescent="0.3">
      <c r="A10" t="s">
        <v>454</v>
      </c>
      <c r="B10" t="s">
        <v>448</v>
      </c>
      <c r="C10" t="s">
        <v>363</v>
      </c>
      <c r="D10" t="s">
        <v>372</v>
      </c>
      <c r="E10" t="s">
        <v>455</v>
      </c>
      <c r="F10">
        <v>0.25</v>
      </c>
      <c r="G10">
        <v>0.7</v>
      </c>
      <c r="H10">
        <v>0.6</v>
      </c>
      <c r="I10">
        <v>0.4</v>
      </c>
      <c r="J10">
        <v>5</v>
      </c>
      <c r="K10">
        <v>1</v>
      </c>
      <c r="L10">
        <v>1</v>
      </c>
      <c r="M10" s="23">
        <f>MIN(1, LN(1+MAX(J10, CANON!$B$27)) / LN(1+CANON!$B$25))</f>
        <v>0.54994057061185864</v>
      </c>
      <c r="N10" s="24">
        <f t="shared" si="0"/>
        <v>2.3097503965698065E-2</v>
      </c>
    </row>
    <row r="11" spans="1:14" ht="14.25" customHeight="1" x14ac:dyDescent="0.3">
      <c r="A11" t="s">
        <v>456</v>
      </c>
      <c r="B11" t="s">
        <v>448</v>
      </c>
      <c r="C11" t="s">
        <v>361</v>
      </c>
      <c r="D11" t="s">
        <v>457</v>
      </c>
      <c r="E11" t="s">
        <v>458</v>
      </c>
      <c r="F11">
        <v>0.35</v>
      </c>
      <c r="G11">
        <v>0.8</v>
      </c>
      <c r="H11">
        <v>0.7</v>
      </c>
      <c r="I11">
        <v>0.5</v>
      </c>
      <c r="J11">
        <v>10</v>
      </c>
      <c r="K11">
        <v>1</v>
      </c>
      <c r="L11">
        <v>1</v>
      </c>
      <c r="M11" s="23">
        <f>MIN(1, LN(1+MAX(J11, CANON!$B$27)) / LN(1+CANON!$B$25))</f>
        <v>0.7359804244028082</v>
      </c>
      <c r="N11" s="24">
        <f t="shared" si="0"/>
        <v>7.2126081591475197E-2</v>
      </c>
    </row>
    <row r="12" spans="1:14" ht="14.25" customHeight="1" x14ac:dyDescent="0.3">
      <c r="A12" t="s">
        <v>459</v>
      </c>
      <c r="B12" t="s">
        <v>448</v>
      </c>
      <c r="C12" t="s">
        <v>369</v>
      </c>
      <c r="D12" t="s">
        <v>368</v>
      </c>
      <c r="E12" t="s">
        <v>460</v>
      </c>
      <c r="F12">
        <v>0.15</v>
      </c>
      <c r="G12">
        <v>0.5</v>
      </c>
      <c r="H12">
        <v>0.4</v>
      </c>
      <c r="I12">
        <v>0.3</v>
      </c>
      <c r="J12">
        <v>15</v>
      </c>
      <c r="K12">
        <v>1</v>
      </c>
      <c r="L12">
        <v>1</v>
      </c>
      <c r="M12" s="23">
        <f>MIN(1, LN(1+MAX(J12, CANON!$B$27)) / LN(1+CANON!$B$25))</f>
        <v>0.85098421421345261</v>
      </c>
      <c r="N12" s="24">
        <f t="shared" si="0"/>
        <v>7.6588579279210731E-3</v>
      </c>
    </row>
    <row r="13" spans="1:14" ht="14.25" customHeight="1" x14ac:dyDescent="0.3">
      <c r="A13" t="s">
        <v>461</v>
      </c>
      <c r="B13" t="s">
        <v>448</v>
      </c>
      <c r="C13" t="s">
        <v>365</v>
      </c>
      <c r="D13" t="s">
        <v>372</v>
      </c>
      <c r="E13" t="s">
        <v>462</v>
      </c>
      <c r="F13">
        <v>-0.2</v>
      </c>
      <c r="G13">
        <v>0.9</v>
      </c>
      <c r="H13">
        <v>0.8</v>
      </c>
      <c r="I13">
        <v>0.7</v>
      </c>
      <c r="J13">
        <v>3</v>
      </c>
      <c r="K13">
        <v>1</v>
      </c>
      <c r="L13">
        <v>1</v>
      </c>
      <c r="M13" s="23">
        <f>MIN(1, LN(1+MAX(J13, CANON!$B$27)) / LN(1+CANON!$B$25))</f>
        <v>0.4254921071067263</v>
      </c>
      <c r="N13" s="24">
        <f t="shared" si="0"/>
        <v>-4.2889604396358014E-2</v>
      </c>
    </row>
    <row r="14" spans="1:14" ht="14.25" customHeight="1" x14ac:dyDescent="0.3">
      <c r="A14" t="s">
        <v>463</v>
      </c>
      <c r="B14" t="s">
        <v>448</v>
      </c>
      <c r="C14" t="s">
        <v>364</v>
      </c>
      <c r="D14" t="s">
        <v>372</v>
      </c>
      <c r="E14" t="s">
        <v>464</v>
      </c>
      <c r="F14">
        <v>-0.15</v>
      </c>
      <c r="G14">
        <v>0.6</v>
      </c>
      <c r="H14">
        <v>0.5</v>
      </c>
      <c r="I14">
        <v>0.4</v>
      </c>
      <c r="J14">
        <v>5</v>
      </c>
      <c r="K14">
        <v>1</v>
      </c>
      <c r="L14">
        <v>1</v>
      </c>
      <c r="M14" s="23">
        <f>MIN(1, LN(1+MAX(J14, CANON!$B$27)) / LN(1+CANON!$B$25))</f>
        <v>0.54994057061185864</v>
      </c>
      <c r="N14" s="24">
        <f t="shared" si="0"/>
        <v>-9.898930271013455E-3</v>
      </c>
    </row>
    <row r="15" spans="1:14" ht="14.25" customHeight="1" x14ac:dyDescent="0.3">
      <c r="A15" t="s">
        <v>465</v>
      </c>
      <c r="B15" t="s">
        <v>466</v>
      </c>
      <c r="C15" t="s">
        <v>364</v>
      </c>
      <c r="D15" t="s">
        <v>371</v>
      </c>
      <c r="E15" t="s">
        <v>467</v>
      </c>
      <c r="F15">
        <v>0.2</v>
      </c>
      <c r="G15">
        <v>0.8</v>
      </c>
      <c r="H15">
        <v>0.7</v>
      </c>
      <c r="I15">
        <v>0.5</v>
      </c>
      <c r="J15">
        <v>5</v>
      </c>
      <c r="K15">
        <v>1</v>
      </c>
      <c r="L15">
        <v>1</v>
      </c>
      <c r="M15" s="23">
        <f>MIN(1, LN(1+MAX(J15, CANON!$B$27)) / LN(1+CANON!$B$25))</f>
        <v>0.54994057061185864</v>
      </c>
      <c r="N15" s="24">
        <f t="shared" si="0"/>
        <v>3.0796671954264089E-2</v>
      </c>
    </row>
    <row r="16" spans="1:14" ht="14.25" customHeight="1" x14ac:dyDescent="0.3">
      <c r="A16" t="s">
        <v>468</v>
      </c>
      <c r="B16" t="s">
        <v>466</v>
      </c>
      <c r="C16" t="s">
        <v>361</v>
      </c>
      <c r="D16" t="s">
        <v>370</v>
      </c>
      <c r="E16" t="s">
        <v>469</v>
      </c>
      <c r="F16">
        <v>-0.15</v>
      </c>
      <c r="G16">
        <v>0.7</v>
      </c>
      <c r="H16">
        <v>0.6</v>
      </c>
      <c r="I16">
        <v>0.5</v>
      </c>
      <c r="J16">
        <v>10</v>
      </c>
      <c r="K16">
        <v>1</v>
      </c>
      <c r="L16">
        <v>1</v>
      </c>
      <c r="M16" s="23">
        <f>MIN(1, LN(1+MAX(J16, CANON!$B$27)) / LN(1+CANON!$B$25))</f>
        <v>0.7359804244028082</v>
      </c>
      <c r="N16" s="24">
        <f t="shared" si="0"/>
        <v>-2.318338336868846E-2</v>
      </c>
    </row>
    <row r="17" spans="1:14" ht="14.25" customHeight="1" x14ac:dyDescent="0.3">
      <c r="A17" t="s">
        <v>470</v>
      </c>
      <c r="B17" t="s">
        <v>466</v>
      </c>
      <c r="C17" t="s">
        <v>363</v>
      </c>
      <c r="D17" t="s">
        <v>372</v>
      </c>
      <c r="E17" t="s">
        <v>471</v>
      </c>
      <c r="F17">
        <v>-0.1</v>
      </c>
      <c r="G17">
        <v>0.7</v>
      </c>
      <c r="H17">
        <v>0.6</v>
      </c>
      <c r="I17">
        <v>0.4</v>
      </c>
      <c r="J17">
        <v>5</v>
      </c>
      <c r="K17">
        <v>1</v>
      </c>
      <c r="L17">
        <v>1</v>
      </c>
      <c r="M17" s="23">
        <f>MIN(1, LN(1+MAX(J17, CANON!$B$27)) / LN(1+CANON!$B$25))</f>
        <v>0.54994057061185864</v>
      </c>
      <c r="N17" s="24">
        <f t="shared" si="0"/>
        <v>-9.239001586279225E-3</v>
      </c>
    </row>
    <row r="18" spans="1:14" ht="14.25" customHeight="1" x14ac:dyDescent="0.3">
      <c r="A18" t="s">
        <v>472</v>
      </c>
      <c r="B18" t="s">
        <v>466</v>
      </c>
      <c r="C18" t="s">
        <v>369</v>
      </c>
      <c r="D18" t="s">
        <v>368</v>
      </c>
      <c r="E18" t="s">
        <v>473</v>
      </c>
      <c r="F18">
        <v>-0.1</v>
      </c>
      <c r="G18">
        <v>0.5</v>
      </c>
      <c r="H18">
        <v>0.4</v>
      </c>
      <c r="I18">
        <v>0.3</v>
      </c>
      <c r="J18">
        <v>15</v>
      </c>
      <c r="K18">
        <v>1</v>
      </c>
      <c r="L18">
        <v>1</v>
      </c>
      <c r="M18" s="23">
        <f>MIN(1, LN(1+MAX(J18, CANON!$B$27)) / LN(1+CANON!$B$25))</f>
        <v>0.85098421421345261</v>
      </c>
      <c r="N18" s="24">
        <f t="shared" si="0"/>
        <v>-5.1059052852807166E-3</v>
      </c>
    </row>
    <row r="19" spans="1:14" ht="14.25" customHeight="1" x14ac:dyDescent="0.3">
      <c r="A19" t="s">
        <v>474</v>
      </c>
      <c r="B19" t="s">
        <v>466</v>
      </c>
      <c r="C19" t="s">
        <v>365</v>
      </c>
      <c r="D19" t="s">
        <v>372</v>
      </c>
      <c r="E19" t="s">
        <v>475</v>
      </c>
      <c r="F19">
        <v>0.1</v>
      </c>
      <c r="G19">
        <v>0.6</v>
      </c>
      <c r="H19">
        <v>0.5</v>
      </c>
      <c r="I19">
        <v>0.4</v>
      </c>
      <c r="J19">
        <v>3</v>
      </c>
      <c r="K19">
        <v>1</v>
      </c>
      <c r="L19">
        <v>1</v>
      </c>
      <c r="M19" s="23">
        <f>MIN(1, LN(1+MAX(J19, CANON!$B$27)) / LN(1+CANON!$B$25))</f>
        <v>0.4254921071067263</v>
      </c>
      <c r="N19" s="24">
        <f t="shared" si="0"/>
        <v>5.1059052852807157E-3</v>
      </c>
    </row>
    <row r="20" spans="1:14" ht="14.25" customHeight="1" x14ac:dyDescent="0.3">
      <c r="A20" t="s">
        <v>476</v>
      </c>
      <c r="B20" t="s">
        <v>466</v>
      </c>
      <c r="C20" t="s">
        <v>364</v>
      </c>
      <c r="D20" t="s">
        <v>372</v>
      </c>
      <c r="E20" t="s">
        <v>477</v>
      </c>
      <c r="F20">
        <v>0.1</v>
      </c>
      <c r="G20">
        <v>0.6</v>
      </c>
      <c r="H20">
        <v>0.5</v>
      </c>
      <c r="I20">
        <v>0.4</v>
      </c>
      <c r="J20">
        <v>5</v>
      </c>
      <c r="K20">
        <v>1</v>
      </c>
      <c r="L20">
        <v>1</v>
      </c>
      <c r="M20" s="23">
        <f>MIN(1, LN(1+MAX(J20, CANON!$B$27)) / LN(1+CANON!$B$25))</f>
        <v>0.54994057061185864</v>
      </c>
      <c r="N20" s="24">
        <f t="shared" si="0"/>
        <v>6.5992868473423042E-3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zoomScaleNormal="100" workbookViewId="0"/>
  </sheetViews>
  <sheetFormatPr defaultColWidth="8.6640625" defaultRowHeight="14.4" x14ac:dyDescent="0.3"/>
  <sheetData>
    <row r="1" spans="1:9" ht="14.25" customHeight="1" x14ac:dyDescent="0.3">
      <c r="A1" s="50" t="s">
        <v>478</v>
      </c>
      <c r="B1" s="49"/>
      <c r="C1" s="49"/>
      <c r="D1" s="49"/>
      <c r="E1" s="49"/>
      <c r="F1" s="49"/>
      <c r="G1" s="49"/>
      <c r="H1" s="49"/>
    </row>
    <row r="2" spans="1:9" ht="13.5" customHeight="1" x14ac:dyDescent="0.3"/>
    <row r="3" spans="1:9" ht="14.25" customHeight="1" x14ac:dyDescent="0.3">
      <c r="A3" t="s">
        <v>479</v>
      </c>
    </row>
    <row r="4" spans="1:9" ht="14.25" customHeight="1" x14ac:dyDescent="0.3">
      <c r="A4" t="s">
        <v>480</v>
      </c>
    </row>
    <row r="5" spans="1:9" ht="14.25" customHeight="1" x14ac:dyDescent="0.3">
      <c r="A5" t="s">
        <v>481</v>
      </c>
    </row>
    <row r="6" spans="1:9" ht="14.25" customHeight="1" x14ac:dyDescent="0.3">
      <c r="A6" s="7" t="s">
        <v>482</v>
      </c>
    </row>
    <row r="7" spans="1:9" ht="13.5" customHeight="1" x14ac:dyDescent="0.3"/>
    <row r="8" spans="1:9" ht="14.25" customHeight="1" x14ac:dyDescent="0.3">
      <c r="A8" s="7" t="s">
        <v>483</v>
      </c>
    </row>
    <row r="9" spans="1:9" ht="14.25" customHeight="1" x14ac:dyDescent="0.3">
      <c r="A9" s="7" t="s">
        <v>484</v>
      </c>
      <c r="B9" s="7" t="s">
        <v>411</v>
      </c>
      <c r="C9" s="7" t="s">
        <v>485</v>
      </c>
      <c r="D9" s="7" t="s">
        <v>486</v>
      </c>
      <c r="E9" s="7" t="s">
        <v>487</v>
      </c>
      <c r="F9" t="s">
        <v>488</v>
      </c>
      <c r="G9" t="s">
        <v>489</v>
      </c>
      <c r="H9" t="s">
        <v>490</v>
      </c>
      <c r="I9" t="s">
        <v>491</v>
      </c>
    </row>
    <row r="10" spans="1:9" ht="14.25" customHeight="1" x14ac:dyDescent="0.3">
      <c r="A10" t="s">
        <v>492</v>
      </c>
      <c r="B10" t="s">
        <v>493</v>
      </c>
      <c r="C10">
        <v>0.6</v>
      </c>
      <c r="D10" s="23">
        <f t="shared" ref="D10:D16" si="0">I10</f>
        <v>0</v>
      </c>
      <c r="E10" t="s">
        <v>494</v>
      </c>
      <c r="F10" s="23">
        <v>0</v>
      </c>
      <c r="G10" s="23">
        <v>0</v>
      </c>
      <c r="H10" s="23">
        <v>1.5317000000000001E-2</v>
      </c>
      <c r="I10" s="23">
        <f t="shared" ref="I10:I16" si="1">0.35*MAX(0,-F10)+0.3*MAX(0,-G10)+0.35*MAX(0,-H10)</f>
        <v>0</v>
      </c>
    </row>
    <row r="11" spans="1:9" ht="14.25" customHeight="1" x14ac:dyDescent="0.3">
      <c r="A11" t="s">
        <v>495</v>
      </c>
      <c r="B11" t="s">
        <v>58</v>
      </c>
      <c r="C11">
        <v>0.15</v>
      </c>
      <c r="D11" s="23">
        <f t="shared" si="0"/>
        <v>6.9999999999999993E-3</v>
      </c>
      <c r="E11" t="s">
        <v>496</v>
      </c>
      <c r="F11">
        <v>-0.02</v>
      </c>
      <c r="G11">
        <v>0</v>
      </c>
      <c r="H11">
        <v>0.01</v>
      </c>
      <c r="I11" s="23">
        <f t="shared" si="1"/>
        <v>6.9999999999999993E-3</v>
      </c>
    </row>
    <row r="12" spans="1:9" ht="14.25" customHeight="1" x14ac:dyDescent="0.3">
      <c r="A12" t="s">
        <v>497</v>
      </c>
      <c r="B12" t="s">
        <v>55</v>
      </c>
      <c r="C12">
        <v>0.08</v>
      </c>
      <c r="D12" s="23">
        <f t="shared" si="0"/>
        <v>1.7499999999999998E-2</v>
      </c>
      <c r="E12" t="s">
        <v>498</v>
      </c>
      <c r="F12">
        <v>-0.05</v>
      </c>
      <c r="G12">
        <v>0</v>
      </c>
      <c r="H12">
        <v>0.02</v>
      </c>
      <c r="I12" s="23">
        <f t="shared" si="1"/>
        <v>1.7499999999999998E-2</v>
      </c>
    </row>
    <row r="13" spans="1:9" ht="14.25" customHeight="1" x14ac:dyDescent="0.3">
      <c r="A13" t="s">
        <v>499</v>
      </c>
      <c r="B13" t="s">
        <v>57</v>
      </c>
      <c r="C13">
        <v>7.0000000000000007E-2</v>
      </c>
      <c r="D13" s="23">
        <f t="shared" si="0"/>
        <v>1.9499999999999997E-2</v>
      </c>
      <c r="E13" t="s">
        <v>500</v>
      </c>
      <c r="F13">
        <v>-0.01</v>
      </c>
      <c r="G13">
        <v>-0.03</v>
      </c>
      <c r="H13">
        <v>-0.02</v>
      </c>
      <c r="I13" s="23">
        <f t="shared" si="1"/>
        <v>1.9499999999999997E-2</v>
      </c>
    </row>
    <row r="14" spans="1:9" ht="14.25" customHeight="1" x14ac:dyDescent="0.3">
      <c r="A14" t="s">
        <v>501</v>
      </c>
      <c r="B14" t="s">
        <v>60</v>
      </c>
      <c r="C14">
        <v>0.05</v>
      </c>
      <c r="D14" s="23">
        <f t="shared" si="0"/>
        <v>1.3499999999999998E-2</v>
      </c>
      <c r="E14" t="s">
        <v>502</v>
      </c>
      <c r="F14">
        <v>-0.03</v>
      </c>
      <c r="G14">
        <v>-0.01</v>
      </c>
      <c r="H14">
        <v>0.01</v>
      </c>
      <c r="I14" s="23">
        <f t="shared" si="1"/>
        <v>1.3499999999999998E-2</v>
      </c>
    </row>
    <row r="15" spans="1:9" ht="14.25" customHeight="1" x14ac:dyDescent="0.3">
      <c r="A15" t="s">
        <v>503</v>
      </c>
      <c r="B15" t="s">
        <v>59</v>
      </c>
      <c r="C15">
        <v>0.03</v>
      </c>
      <c r="D15" s="23">
        <f t="shared" si="0"/>
        <v>2.3499999999999997E-2</v>
      </c>
      <c r="E15" t="s">
        <v>504</v>
      </c>
      <c r="F15">
        <v>-0.04</v>
      </c>
      <c r="G15">
        <v>-0.02</v>
      </c>
      <c r="H15">
        <v>-0.01</v>
      </c>
      <c r="I15" s="23">
        <f t="shared" si="1"/>
        <v>2.3499999999999997E-2</v>
      </c>
    </row>
    <row r="16" spans="1:9" ht="14.25" customHeight="1" x14ac:dyDescent="0.3">
      <c r="A16" t="s">
        <v>505</v>
      </c>
      <c r="B16" t="s">
        <v>61</v>
      </c>
      <c r="C16">
        <v>0.02</v>
      </c>
      <c r="D16" s="23">
        <f t="shared" si="0"/>
        <v>9.9999999999999985E-3</v>
      </c>
      <c r="E16" t="s">
        <v>506</v>
      </c>
      <c r="F16">
        <v>-0.02</v>
      </c>
      <c r="G16">
        <v>-0.01</v>
      </c>
      <c r="H16">
        <v>0</v>
      </c>
      <c r="I16" s="23">
        <f t="shared" si="1"/>
        <v>9.9999999999999985E-3</v>
      </c>
    </row>
    <row r="17" spans="1:9" ht="13.5" customHeight="1" x14ac:dyDescent="0.3"/>
    <row r="18" spans="1:9" ht="13.5" customHeight="1" x14ac:dyDescent="0.3"/>
    <row r="19" spans="1:9" ht="14.25" customHeight="1" x14ac:dyDescent="0.3">
      <c r="A19" s="7" t="s">
        <v>507</v>
      </c>
    </row>
    <row r="20" spans="1:9" ht="14.25" customHeight="1" x14ac:dyDescent="0.3">
      <c r="A20" s="7" t="s">
        <v>484</v>
      </c>
      <c r="B20" s="7" t="s">
        <v>411</v>
      </c>
      <c r="C20" s="7" t="s">
        <v>485</v>
      </c>
      <c r="D20" s="7" t="s">
        <v>486</v>
      </c>
      <c r="E20" s="7" t="s">
        <v>487</v>
      </c>
      <c r="F20" t="s">
        <v>488</v>
      </c>
      <c r="G20" t="s">
        <v>489</v>
      </c>
      <c r="H20" t="s">
        <v>490</v>
      </c>
      <c r="I20" t="s">
        <v>491</v>
      </c>
    </row>
    <row r="21" spans="1:9" ht="14.25" customHeight="1" x14ac:dyDescent="0.3">
      <c r="A21" t="s">
        <v>492</v>
      </c>
      <c r="B21" t="s">
        <v>493</v>
      </c>
      <c r="C21">
        <v>0.6</v>
      </c>
      <c r="D21" s="23">
        <f t="shared" ref="D21:D27" si="2">I21</f>
        <v>3.5738499999999995E-3</v>
      </c>
      <c r="E21" t="s">
        <v>508</v>
      </c>
      <c r="F21" s="23">
        <v>0</v>
      </c>
      <c r="G21" s="23">
        <v>0</v>
      </c>
      <c r="H21" s="23">
        <v>-1.0211E-2</v>
      </c>
      <c r="I21" s="23">
        <f t="shared" ref="I21:I27" si="3">0.35*MAX(0,-F21)+0.3*MAX(0,-G21)+0.35*MAX(0,-H21)</f>
        <v>3.5738499999999995E-3</v>
      </c>
    </row>
    <row r="22" spans="1:9" ht="14.25" customHeight="1" x14ac:dyDescent="0.3">
      <c r="A22" t="s">
        <v>495</v>
      </c>
      <c r="B22" t="s">
        <v>58</v>
      </c>
      <c r="C22">
        <v>0.15</v>
      </c>
      <c r="D22" s="23">
        <f t="shared" si="2"/>
        <v>1.0499999999999999E-2</v>
      </c>
      <c r="E22" t="s">
        <v>509</v>
      </c>
      <c r="F22">
        <v>-1.4999999999999999E-2</v>
      </c>
      <c r="G22">
        <v>0</v>
      </c>
      <c r="H22">
        <v>-1.4999999999999999E-2</v>
      </c>
      <c r="I22" s="23">
        <f t="shared" si="3"/>
        <v>1.0499999999999999E-2</v>
      </c>
    </row>
    <row r="23" spans="1:9" ht="14.25" customHeight="1" x14ac:dyDescent="0.3">
      <c r="A23" t="s">
        <v>497</v>
      </c>
      <c r="B23" t="s">
        <v>55</v>
      </c>
      <c r="C23">
        <v>0.08</v>
      </c>
      <c r="D23" s="23">
        <f t="shared" si="2"/>
        <v>3.15E-2</v>
      </c>
      <c r="E23" t="s">
        <v>510</v>
      </c>
      <c r="F23">
        <v>-0.08</v>
      </c>
      <c r="G23">
        <v>0</v>
      </c>
      <c r="H23">
        <v>-0.01</v>
      </c>
      <c r="I23" s="23">
        <f t="shared" si="3"/>
        <v>3.15E-2</v>
      </c>
    </row>
    <row r="24" spans="1:9" ht="14.25" customHeight="1" x14ac:dyDescent="0.3">
      <c r="A24" t="s">
        <v>499</v>
      </c>
      <c r="B24" t="s">
        <v>57</v>
      </c>
      <c r="C24">
        <v>7.0000000000000007E-2</v>
      </c>
      <c r="D24" s="23">
        <f t="shared" si="2"/>
        <v>2.35E-2</v>
      </c>
      <c r="E24" t="s">
        <v>511</v>
      </c>
      <c r="F24">
        <v>-0.01</v>
      </c>
      <c r="G24">
        <v>-0.02</v>
      </c>
      <c r="H24">
        <v>-0.04</v>
      </c>
      <c r="I24" s="23">
        <f t="shared" si="3"/>
        <v>2.35E-2</v>
      </c>
    </row>
    <row r="25" spans="1:9" ht="14.25" customHeight="1" x14ac:dyDescent="0.3">
      <c r="A25" t="s">
        <v>501</v>
      </c>
      <c r="B25" t="s">
        <v>60</v>
      </c>
      <c r="C25">
        <v>0.05</v>
      </c>
      <c r="D25" s="23">
        <f t="shared" si="2"/>
        <v>1.3499999999999998E-2</v>
      </c>
      <c r="E25" t="s">
        <v>512</v>
      </c>
      <c r="F25">
        <v>-0.02</v>
      </c>
      <c r="G25">
        <v>-0.01</v>
      </c>
      <c r="H25">
        <v>-0.01</v>
      </c>
      <c r="I25" s="23">
        <f t="shared" si="3"/>
        <v>1.3499999999999998E-2</v>
      </c>
    </row>
    <row r="26" spans="1:9" ht="14.25" customHeight="1" x14ac:dyDescent="0.3">
      <c r="A26" t="s">
        <v>503</v>
      </c>
      <c r="B26" t="s">
        <v>59</v>
      </c>
      <c r="C26">
        <v>0.03</v>
      </c>
      <c r="D26" s="23">
        <f t="shared" si="2"/>
        <v>2.1749999999999999E-2</v>
      </c>
      <c r="E26" t="s">
        <v>513</v>
      </c>
      <c r="F26">
        <v>-0.03</v>
      </c>
      <c r="G26">
        <v>-0.02</v>
      </c>
      <c r="H26">
        <v>-1.4999999999999999E-2</v>
      </c>
      <c r="I26" s="23">
        <f t="shared" si="3"/>
        <v>2.1749999999999999E-2</v>
      </c>
    </row>
    <row r="27" spans="1:9" ht="14.25" customHeight="1" x14ac:dyDescent="0.3">
      <c r="A27" t="s">
        <v>505</v>
      </c>
      <c r="B27" t="s">
        <v>61</v>
      </c>
      <c r="C27">
        <v>0.02</v>
      </c>
      <c r="D27" s="23">
        <f t="shared" si="2"/>
        <v>6.9999999999999993E-3</v>
      </c>
      <c r="E27" t="s">
        <v>514</v>
      </c>
      <c r="F27">
        <v>-0.01</v>
      </c>
      <c r="G27">
        <v>0</v>
      </c>
      <c r="H27">
        <v>-0.01</v>
      </c>
      <c r="I27" s="23">
        <f t="shared" si="3"/>
        <v>6.9999999999999993E-3</v>
      </c>
    </row>
    <row r="28" spans="1:9" ht="13.5" customHeight="1" x14ac:dyDescent="0.3"/>
    <row r="29" spans="1:9" ht="14.25" customHeight="1" x14ac:dyDescent="0.3">
      <c r="A29" t="s">
        <v>515</v>
      </c>
    </row>
    <row r="30" spans="1:9" ht="14.25" customHeight="1" x14ac:dyDescent="0.3">
      <c r="A30" s="7" t="s">
        <v>516</v>
      </c>
    </row>
    <row r="31" spans="1:9" ht="14.25" customHeight="1" x14ac:dyDescent="0.3">
      <c r="A31" t="s">
        <v>517</v>
      </c>
      <c r="B31" t="s">
        <v>518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zoomScaleNormal="100" workbookViewId="0"/>
  </sheetViews>
  <sheetFormatPr defaultColWidth="8.6640625" defaultRowHeight="14.4" x14ac:dyDescent="0.3"/>
  <sheetData>
    <row r="1" spans="1:9" ht="14.25" customHeight="1" x14ac:dyDescent="0.3">
      <c r="A1" s="50" t="s">
        <v>519</v>
      </c>
      <c r="B1" s="49"/>
      <c r="C1" s="49"/>
      <c r="D1" s="49"/>
      <c r="E1" s="49"/>
      <c r="F1" s="49"/>
      <c r="G1" s="49"/>
      <c r="H1" s="49"/>
      <c r="I1" s="49"/>
    </row>
    <row r="2" spans="1:9" ht="13.5" customHeight="1" x14ac:dyDescent="0.3"/>
    <row r="3" spans="1:9" ht="14.25" customHeight="1" x14ac:dyDescent="0.3">
      <c r="A3" t="s">
        <v>520</v>
      </c>
    </row>
    <row r="4" spans="1:9" ht="13.5" customHeight="1" x14ac:dyDescent="0.3"/>
    <row r="5" spans="1:9" ht="14.25" customHeight="1" x14ac:dyDescent="0.3">
      <c r="A5" s="7" t="s">
        <v>521</v>
      </c>
    </row>
    <row r="6" spans="1:9" ht="14.25" customHeight="1" x14ac:dyDescent="0.3">
      <c r="B6" s="7" t="s">
        <v>372</v>
      </c>
      <c r="C6" s="7" t="s">
        <v>362</v>
      </c>
      <c r="D6" s="7" t="s">
        <v>371</v>
      </c>
      <c r="E6" s="7" t="s">
        <v>373</v>
      </c>
      <c r="F6" s="7" t="s">
        <v>370</v>
      </c>
      <c r="G6" s="7" t="s">
        <v>457</v>
      </c>
      <c r="H6" s="7" t="s">
        <v>368</v>
      </c>
    </row>
    <row r="7" spans="1:9" ht="14.25" customHeight="1" x14ac:dyDescent="0.3">
      <c r="A7" s="7" t="s">
        <v>361</v>
      </c>
      <c r="B7" s="23">
        <f>TANH(Parameters!$B$24*SUMIFS(Impact_Input!$N:$N,Impact_Input!$B:$B,"A",Impact_Input!$C:$C,$A7,Impact_Input!$D:$D,B$6))</f>
        <v>0</v>
      </c>
      <c r="C7" s="23">
        <f>TANH(Parameters!$B$24*SUMIFS(Impact_Input!$N:$N,Impact_Input!$B:$B,"A",Impact_Input!$C:$C,$A7,Impact_Input!$D:$D,C$6))</f>
        <v>0</v>
      </c>
      <c r="D7" s="23">
        <f>TANH(Parameters!$B$24*SUMIFS(Impact_Input!$N:$N,Impact_Input!$B:$B,"A",Impact_Input!$C:$C,$A7,Impact_Input!$D:$D,D$6))</f>
        <v>0</v>
      </c>
      <c r="E7" s="23">
        <f>TANH(Parameters!$B$24*SUMIFS(Impact_Input!$N:$N,Impact_Input!$B:$B,"A",Impact_Input!$C:$C,$A7,Impact_Input!$D:$D,E$6))</f>
        <v>0</v>
      </c>
      <c r="F7" s="25">
        <f>TANH(Parameters!$B$24*SUMIFS(Impact_Input!$N:$N,Impact_Input!$B:$B,"A",Impact_Input!$C:$C,$A7,Impact_Input!$D:$D,F$6))</f>
        <v>0.2490078843274226</v>
      </c>
      <c r="G7" s="25">
        <f>TANH(Parameters!$B$24*SUMIFS(Impact_Input!$N:$N,Impact_Input!$B:$B,"A",Impact_Input!$C:$C,$A7,Impact_Input!$D:$D,G$6))</f>
        <v>0.14325985579314451</v>
      </c>
      <c r="H7" s="23">
        <f>TANH(Parameters!$B$24*SUMIFS(Impact_Input!$N:$N,Impact_Input!$B:$B,"A",Impact_Input!$C:$C,$A7,Impact_Input!$D:$D,H$6))</f>
        <v>0</v>
      </c>
    </row>
    <row r="8" spans="1:9" ht="14.25" customHeight="1" x14ac:dyDescent="0.3">
      <c r="A8" s="7" t="s">
        <v>363</v>
      </c>
      <c r="B8" s="25">
        <f>TANH(Parameters!$B$24*SUMIFS(Impact_Input!$N:$N,Impact_Input!$B:$B,"A",Impact_Input!$C:$C,$A8,Impact_Input!$D:$D,B$6))</f>
        <v>4.6162176234088838E-2</v>
      </c>
      <c r="C8" s="23">
        <f>TANH(Parameters!$B$24*SUMIFS(Impact_Input!$N:$N,Impact_Input!$B:$B,"A",Impact_Input!$C:$C,$A8,Impact_Input!$D:$D,C$6))</f>
        <v>0</v>
      </c>
      <c r="D8" s="23">
        <f>TANH(Parameters!$B$24*SUMIFS(Impact_Input!$N:$N,Impact_Input!$B:$B,"A",Impact_Input!$C:$C,$A8,Impact_Input!$D:$D,D$6))</f>
        <v>0</v>
      </c>
      <c r="E8" s="23">
        <f>TANH(Parameters!$B$24*SUMIFS(Impact_Input!$N:$N,Impact_Input!$B:$B,"A",Impact_Input!$C:$C,$A8,Impact_Input!$D:$D,E$6))</f>
        <v>0</v>
      </c>
      <c r="F8" s="23">
        <f>TANH(Parameters!$B$24*SUMIFS(Impact_Input!$N:$N,Impact_Input!$B:$B,"A",Impact_Input!$C:$C,$A8,Impact_Input!$D:$D,F$6))</f>
        <v>0</v>
      </c>
      <c r="G8" s="23">
        <f>TANH(Parameters!$B$24*SUMIFS(Impact_Input!$N:$N,Impact_Input!$B:$B,"A",Impact_Input!$C:$C,$A8,Impact_Input!$D:$D,G$6))</f>
        <v>0</v>
      </c>
      <c r="H8" s="23">
        <f>TANH(Parameters!$B$24*SUMIFS(Impact_Input!$N:$N,Impact_Input!$B:$B,"A",Impact_Input!$C:$C,$A8,Impact_Input!$D:$D,H$6))</f>
        <v>0</v>
      </c>
    </row>
    <row r="9" spans="1:9" ht="14.25" customHeight="1" x14ac:dyDescent="0.3">
      <c r="A9" s="7" t="s">
        <v>364</v>
      </c>
      <c r="B9" s="26">
        <f>TANH(Parameters!$B$24*SUMIFS(Impact_Input!$N:$N,Impact_Input!$B:$B,"A",Impact_Input!$C:$C,$A9,Impact_Input!$D:$D,B$6))</f>
        <v>-1.9795274322161643E-2</v>
      </c>
      <c r="C9" s="23">
        <f>TANH(Parameters!$B$24*SUMIFS(Impact_Input!$N:$N,Impact_Input!$B:$B,"A",Impact_Input!$C:$C,$A9,Impact_Input!$D:$D,C$6))</f>
        <v>0</v>
      </c>
      <c r="D9" s="26">
        <f>TANH(Parameters!$B$24*SUMIFS(Impact_Input!$N:$N,Impact_Input!$B:$B,"A",Impact_Input!$C:$C,$A9,Impact_Input!$D:$D,D$6))</f>
        <v>-8.0725686815538475E-2</v>
      </c>
      <c r="E9" s="23">
        <f>TANH(Parameters!$B$24*SUMIFS(Impact_Input!$N:$N,Impact_Input!$B:$B,"A",Impact_Input!$C:$C,$A9,Impact_Input!$D:$D,E$6))</f>
        <v>0</v>
      </c>
      <c r="F9" s="23">
        <f>TANH(Parameters!$B$24*SUMIFS(Impact_Input!$N:$N,Impact_Input!$B:$B,"A",Impact_Input!$C:$C,$A9,Impact_Input!$D:$D,F$6))</f>
        <v>0</v>
      </c>
      <c r="G9" s="23">
        <f>TANH(Parameters!$B$24*SUMIFS(Impact_Input!$N:$N,Impact_Input!$B:$B,"A",Impact_Input!$C:$C,$A9,Impact_Input!$D:$D,G$6))</f>
        <v>0</v>
      </c>
      <c r="H9" s="23">
        <f>TANH(Parameters!$B$24*SUMIFS(Impact_Input!$N:$N,Impact_Input!$B:$B,"A",Impact_Input!$C:$C,$A9,Impact_Input!$D:$D,H$6))</f>
        <v>0</v>
      </c>
    </row>
    <row r="10" spans="1:9" ht="14.25" customHeight="1" x14ac:dyDescent="0.3">
      <c r="A10" s="7" t="s">
        <v>365</v>
      </c>
      <c r="B10" s="26">
        <f>TANH(Parameters!$B$24*SUMIFS(Impact_Input!$N:$N,Impact_Input!$B:$B,"A",Impact_Input!$C:$C,$A10,Impact_Input!$D:$D,B$6))</f>
        <v>-8.5569436295896681E-2</v>
      </c>
      <c r="C10" s="23">
        <f>TANH(Parameters!$B$24*SUMIFS(Impact_Input!$N:$N,Impact_Input!$B:$B,"A",Impact_Input!$C:$C,$A10,Impact_Input!$D:$D,C$6))</f>
        <v>0</v>
      </c>
      <c r="D10" s="23">
        <f>TANH(Parameters!$B$24*SUMIFS(Impact_Input!$N:$N,Impact_Input!$B:$B,"A",Impact_Input!$C:$C,$A10,Impact_Input!$D:$D,D$6))</f>
        <v>0</v>
      </c>
      <c r="E10" s="23">
        <f>TANH(Parameters!$B$24*SUMIFS(Impact_Input!$N:$N,Impact_Input!$B:$B,"A",Impact_Input!$C:$C,$A10,Impact_Input!$D:$D,E$6))</f>
        <v>0</v>
      </c>
      <c r="F10" s="23">
        <f>TANH(Parameters!$B$24*SUMIFS(Impact_Input!$N:$N,Impact_Input!$B:$B,"A",Impact_Input!$C:$C,$A10,Impact_Input!$D:$D,F$6))</f>
        <v>0</v>
      </c>
      <c r="G10" s="23">
        <f>TANH(Parameters!$B$24*SUMIFS(Impact_Input!$N:$N,Impact_Input!$B:$B,"A",Impact_Input!$C:$C,$A10,Impact_Input!$D:$D,G$6))</f>
        <v>0</v>
      </c>
      <c r="H10" s="23">
        <f>TANH(Parameters!$B$24*SUMIFS(Impact_Input!$N:$N,Impact_Input!$B:$B,"A",Impact_Input!$C:$C,$A10,Impact_Input!$D:$D,H$6))</f>
        <v>0</v>
      </c>
    </row>
    <row r="11" spans="1:9" ht="14.25" customHeight="1" x14ac:dyDescent="0.3">
      <c r="A11" s="7" t="s">
        <v>366</v>
      </c>
      <c r="B11" s="23">
        <f>TANH(Parameters!$B$24*SUMIFS(Impact_Input!$N:$N,Impact_Input!$B:$B,"A",Impact_Input!$C:$C,$A11,Impact_Input!$D:$D,B$6))</f>
        <v>0</v>
      </c>
      <c r="C11" s="23">
        <f>TANH(Parameters!$B$24*SUMIFS(Impact_Input!$N:$N,Impact_Input!$B:$B,"A",Impact_Input!$C:$C,$A11,Impact_Input!$D:$D,C$6))</f>
        <v>0</v>
      </c>
      <c r="D11" s="23">
        <f>TANH(Parameters!$B$24*SUMIFS(Impact_Input!$N:$N,Impact_Input!$B:$B,"A",Impact_Input!$C:$C,$A11,Impact_Input!$D:$D,D$6))</f>
        <v>0</v>
      </c>
      <c r="E11" s="23">
        <f>TANH(Parameters!$B$24*SUMIFS(Impact_Input!$N:$N,Impact_Input!$B:$B,"A",Impact_Input!$C:$C,$A11,Impact_Input!$D:$D,E$6))</f>
        <v>0</v>
      </c>
      <c r="F11" s="23">
        <f>TANH(Parameters!$B$24*SUMIFS(Impact_Input!$N:$N,Impact_Input!$B:$B,"A",Impact_Input!$C:$C,$A11,Impact_Input!$D:$D,F$6))</f>
        <v>0</v>
      </c>
      <c r="G11" s="23">
        <f>TANH(Parameters!$B$24*SUMIFS(Impact_Input!$N:$N,Impact_Input!$B:$B,"A",Impact_Input!$C:$C,$A11,Impact_Input!$D:$D,G$6))</f>
        <v>0</v>
      </c>
      <c r="H11" s="23">
        <f>TANH(Parameters!$B$24*SUMIFS(Impact_Input!$N:$N,Impact_Input!$B:$B,"A",Impact_Input!$C:$C,$A11,Impact_Input!$D:$D,H$6))</f>
        <v>0</v>
      </c>
    </row>
    <row r="12" spans="1:9" ht="14.25" customHeight="1" x14ac:dyDescent="0.3">
      <c r="A12" s="7" t="s">
        <v>367</v>
      </c>
      <c r="B12" s="23">
        <f>TANH(Parameters!$B$24*SUMIFS(Impact_Input!$N:$N,Impact_Input!$B:$B,"A",Impact_Input!$C:$C,$A12,Impact_Input!$D:$D,B$6))</f>
        <v>0</v>
      </c>
      <c r="C12" s="23">
        <f>TANH(Parameters!$B$24*SUMIFS(Impact_Input!$N:$N,Impact_Input!$B:$B,"A",Impact_Input!$C:$C,$A12,Impact_Input!$D:$D,C$6))</f>
        <v>0</v>
      </c>
      <c r="D12" s="23">
        <f>TANH(Parameters!$B$24*SUMIFS(Impact_Input!$N:$N,Impact_Input!$B:$B,"A",Impact_Input!$C:$C,$A12,Impact_Input!$D:$D,D$6))</f>
        <v>0</v>
      </c>
      <c r="E12" s="23">
        <f>TANH(Parameters!$B$24*SUMIFS(Impact_Input!$N:$N,Impact_Input!$B:$B,"A",Impact_Input!$C:$C,$A12,Impact_Input!$D:$D,E$6))</f>
        <v>0</v>
      </c>
      <c r="F12" s="23">
        <f>TANH(Parameters!$B$24*SUMIFS(Impact_Input!$N:$N,Impact_Input!$B:$B,"A",Impact_Input!$C:$C,$A12,Impact_Input!$D:$D,F$6))</f>
        <v>0</v>
      </c>
      <c r="G12" s="23">
        <f>TANH(Parameters!$B$24*SUMIFS(Impact_Input!$N:$N,Impact_Input!$B:$B,"A",Impact_Input!$C:$C,$A12,Impact_Input!$D:$D,G$6))</f>
        <v>0</v>
      </c>
      <c r="H12" s="23">
        <f>TANH(Parameters!$B$24*SUMIFS(Impact_Input!$N:$N,Impact_Input!$B:$B,"A",Impact_Input!$C:$C,$A12,Impact_Input!$D:$D,H$6))</f>
        <v>0</v>
      </c>
    </row>
    <row r="13" spans="1:9" ht="14.25" customHeight="1" x14ac:dyDescent="0.3">
      <c r="A13" s="7" t="s">
        <v>369</v>
      </c>
      <c r="B13" s="23">
        <f>TANH(Parameters!$B$24*SUMIFS(Impact_Input!$N:$N,Impact_Input!$B:$B,"A",Impact_Input!$C:$C,$A13,Impact_Input!$D:$D,B$6))</f>
        <v>0</v>
      </c>
      <c r="C13" s="23">
        <f>TANH(Parameters!$B$24*SUMIFS(Impact_Input!$N:$N,Impact_Input!$B:$B,"A",Impact_Input!$C:$C,$A13,Impact_Input!$D:$D,C$6))</f>
        <v>0</v>
      </c>
      <c r="D13" s="23">
        <f>TANH(Parameters!$B$24*SUMIFS(Impact_Input!$N:$N,Impact_Input!$B:$B,"A",Impact_Input!$C:$C,$A13,Impact_Input!$D:$D,D$6))</f>
        <v>0</v>
      </c>
      <c r="E13" s="23">
        <f>TANH(Parameters!$B$24*SUMIFS(Impact_Input!$N:$N,Impact_Input!$B:$B,"A",Impact_Input!$C:$C,$A13,Impact_Input!$D:$D,E$6))</f>
        <v>0</v>
      </c>
      <c r="F13" s="23">
        <f>TANH(Parameters!$B$24*SUMIFS(Impact_Input!$N:$N,Impact_Input!$B:$B,"A",Impact_Input!$C:$C,$A13,Impact_Input!$D:$D,F$6))</f>
        <v>0</v>
      </c>
      <c r="G13" s="23">
        <f>TANH(Parameters!$B$24*SUMIFS(Impact_Input!$N:$N,Impact_Input!$B:$B,"A",Impact_Input!$C:$C,$A13,Impact_Input!$D:$D,G$6))</f>
        <v>0</v>
      </c>
      <c r="H13" s="25">
        <f>TANH(Parameters!$B$24*SUMIFS(Impact_Input!$N:$N,Impact_Input!$B:$B,"A",Impact_Input!$C:$C,$A13,Impact_Input!$D:$D,H$6))</f>
        <v>1.5316517957359872E-2</v>
      </c>
    </row>
    <row r="14" spans="1:9" ht="13.5" customHeight="1" x14ac:dyDescent="0.3"/>
    <row r="15" spans="1:9" ht="13.5" customHeight="1" x14ac:dyDescent="0.3"/>
    <row r="16" spans="1:9" ht="14.25" customHeight="1" x14ac:dyDescent="0.3">
      <c r="A16" s="7" t="s">
        <v>522</v>
      </c>
    </row>
    <row r="17" spans="1:8" ht="14.25" customHeight="1" x14ac:dyDescent="0.3">
      <c r="B17" s="7" t="s">
        <v>372</v>
      </c>
      <c r="C17" s="7" t="s">
        <v>362</v>
      </c>
      <c r="D17" s="7" t="s">
        <v>371</v>
      </c>
      <c r="E17" s="7" t="s">
        <v>373</v>
      </c>
      <c r="F17" s="7" t="s">
        <v>370</v>
      </c>
      <c r="G17" s="7" t="s">
        <v>457</v>
      </c>
      <c r="H17" s="7" t="s">
        <v>368</v>
      </c>
    </row>
    <row r="18" spans="1:8" ht="14.25" customHeight="1" x14ac:dyDescent="0.3">
      <c r="A18" s="7" t="s">
        <v>361</v>
      </c>
      <c r="B18" s="23">
        <f>TANH(Parameters!$B$24*SUMIFS(Impact_Input!$N:$N,Impact_Input!$B:$B,"B",Impact_Input!$C:$C,$A18,Impact_Input!$D:$D,B$17))</f>
        <v>0</v>
      </c>
      <c r="C18" s="23">
        <f>TANH(Parameters!$B$24*SUMIFS(Impact_Input!$N:$N,Impact_Input!$B:$B,"B",Impact_Input!$C:$C,$A18,Impact_Input!$D:$D,C$17))</f>
        <v>0</v>
      </c>
      <c r="D18" s="23">
        <f>TANH(Parameters!$B$24*SUMIFS(Impact_Input!$N:$N,Impact_Input!$B:$B,"B",Impact_Input!$C:$C,$A18,Impact_Input!$D:$D,D$17))</f>
        <v>0</v>
      </c>
      <c r="E18" s="23">
        <f>TANH(Parameters!$B$24*SUMIFS(Impact_Input!$N:$N,Impact_Input!$B:$B,"B",Impact_Input!$C:$C,$A18,Impact_Input!$D:$D,E$17))</f>
        <v>0</v>
      </c>
      <c r="F18" s="26">
        <f>TANH(Parameters!$B$24*SUMIFS(Impact_Input!$N:$N,Impact_Input!$B:$B,"B",Impact_Input!$C:$C,$A18,Impact_Input!$D:$D,F$17))</f>
        <v>-4.6333567670633638E-2</v>
      </c>
      <c r="G18" s="23">
        <f>TANH(Parameters!$B$24*SUMIFS(Impact_Input!$N:$N,Impact_Input!$B:$B,"B",Impact_Input!$C:$C,$A18,Impact_Input!$D:$D,G$17))</f>
        <v>0</v>
      </c>
      <c r="H18" s="23">
        <f>TANH(Parameters!$B$24*SUMIFS(Impact_Input!$N:$N,Impact_Input!$B:$B,"B",Impact_Input!$C:$C,$A18,Impact_Input!$D:$D,H$17))</f>
        <v>0</v>
      </c>
    </row>
    <row r="19" spans="1:8" ht="14.25" customHeight="1" x14ac:dyDescent="0.3">
      <c r="A19" s="7" t="s">
        <v>363</v>
      </c>
      <c r="B19" s="26">
        <f>TANH(Parameters!$B$24*SUMIFS(Impact_Input!$N:$N,Impact_Input!$B:$B,"B",Impact_Input!$C:$C,$A19,Impact_Input!$D:$D,B$17))</f>
        <v>-1.8475900437537916E-2</v>
      </c>
      <c r="C19" s="23">
        <f>TANH(Parameters!$B$24*SUMIFS(Impact_Input!$N:$N,Impact_Input!$B:$B,"B",Impact_Input!$C:$C,$A19,Impact_Input!$D:$D,C$17))</f>
        <v>0</v>
      </c>
      <c r="D19" s="23">
        <f>TANH(Parameters!$B$24*SUMIFS(Impact_Input!$N:$N,Impact_Input!$B:$B,"B",Impact_Input!$C:$C,$A19,Impact_Input!$D:$D,D$17))</f>
        <v>0</v>
      </c>
      <c r="E19" s="23">
        <f>TANH(Parameters!$B$24*SUMIFS(Impact_Input!$N:$N,Impact_Input!$B:$B,"B",Impact_Input!$C:$C,$A19,Impact_Input!$D:$D,E$17))</f>
        <v>0</v>
      </c>
      <c r="F19" s="23">
        <f>TANH(Parameters!$B$24*SUMIFS(Impact_Input!$N:$N,Impact_Input!$B:$B,"B",Impact_Input!$C:$C,$A19,Impact_Input!$D:$D,F$17))</f>
        <v>0</v>
      </c>
      <c r="G19" s="23">
        <f>TANH(Parameters!$B$24*SUMIFS(Impact_Input!$N:$N,Impact_Input!$B:$B,"B",Impact_Input!$C:$C,$A19,Impact_Input!$D:$D,G$17))</f>
        <v>0</v>
      </c>
      <c r="H19" s="23">
        <f>TANH(Parameters!$B$24*SUMIFS(Impact_Input!$N:$N,Impact_Input!$B:$B,"B",Impact_Input!$C:$C,$A19,Impact_Input!$D:$D,H$17))</f>
        <v>0</v>
      </c>
    </row>
    <row r="20" spans="1:8" ht="14.25" customHeight="1" x14ac:dyDescent="0.3">
      <c r="A20" s="7" t="s">
        <v>364</v>
      </c>
      <c r="B20" s="25">
        <f>TANH(Parameters!$B$24*SUMIFS(Impact_Input!$N:$N,Impact_Input!$B:$B,"B",Impact_Input!$C:$C,$A20,Impact_Input!$D:$D,B$17))</f>
        <v>1.3197807340577425E-2</v>
      </c>
      <c r="C20" s="23">
        <f>TANH(Parameters!$B$24*SUMIFS(Impact_Input!$N:$N,Impact_Input!$B:$B,"B",Impact_Input!$C:$C,$A20,Impact_Input!$D:$D,C$17))</f>
        <v>0</v>
      </c>
      <c r="D20" s="25">
        <f>TANH(Parameters!$B$24*SUMIFS(Impact_Input!$N:$N,Impact_Input!$B:$B,"B",Impact_Input!$C:$C,$A20,Impact_Input!$D:$D,D$17))</f>
        <v>6.1515572213509145E-2</v>
      </c>
      <c r="E20" s="23">
        <f>TANH(Parameters!$B$24*SUMIFS(Impact_Input!$N:$N,Impact_Input!$B:$B,"B",Impact_Input!$C:$C,$A20,Impact_Input!$D:$D,E$17))</f>
        <v>0</v>
      </c>
      <c r="F20" s="23">
        <f>TANH(Parameters!$B$24*SUMIFS(Impact_Input!$N:$N,Impact_Input!$B:$B,"B",Impact_Input!$C:$C,$A20,Impact_Input!$D:$D,F$17))</f>
        <v>0</v>
      </c>
      <c r="G20" s="23">
        <f>TANH(Parameters!$B$24*SUMIFS(Impact_Input!$N:$N,Impact_Input!$B:$B,"B",Impact_Input!$C:$C,$A20,Impact_Input!$D:$D,G$17))</f>
        <v>0</v>
      </c>
      <c r="H20" s="23">
        <f>TANH(Parameters!$B$24*SUMIFS(Impact_Input!$N:$N,Impact_Input!$B:$B,"B",Impact_Input!$C:$C,$A20,Impact_Input!$D:$D,H$17))</f>
        <v>0</v>
      </c>
    </row>
    <row r="21" spans="1:8" ht="14.25" customHeight="1" x14ac:dyDescent="0.3">
      <c r="A21" s="7" t="s">
        <v>365</v>
      </c>
      <c r="B21" s="25">
        <f>TANH(Parameters!$B$24*SUMIFS(Impact_Input!$N:$N,Impact_Input!$B:$B,"B",Impact_Input!$C:$C,$A21,Impact_Input!$D:$D,B$17))</f>
        <v>1.0211455619172206E-2</v>
      </c>
      <c r="C21" s="23">
        <f>TANH(Parameters!$B$24*SUMIFS(Impact_Input!$N:$N,Impact_Input!$B:$B,"B",Impact_Input!$C:$C,$A21,Impact_Input!$D:$D,C$17))</f>
        <v>0</v>
      </c>
      <c r="D21" s="23">
        <f>TANH(Parameters!$B$24*SUMIFS(Impact_Input!$N:$N,Impact_Input!$B:$B,"B",Impact_Input!$C:$C,$A21,Impact_Input!$D:$D,D$17))</f>
        <v>0</v>
      </c>
      <c r="E21" s="23">
        <f>TANH(Parameters!$B$24*SUMIFS(Impact_Input!$N:$N,Impact_Input!$B:$B,"B",Impact_Input!$C:$C,$A21,Impact_Input!$D:$D,E$17))</f>
        <v>0</v>
      </c>
      <c r="F21" s="23">
        <f>TANH(Parameters!$B$24*SUMIFS(Impact_Input!$N:$N,Impact_Input!$B:$B,"B",Impact_Input!$C:$C,$A21,Impact_Input!$D:$D,F$17))</f>
        <v>0</v>
      </c>
      <c r="G21" s="23">
        <f>TANH(Parameters!$B$24*SUMIFS(Impact_Input!$N:$N,Impact_Input!$B:$B,"B",Impact_Input!$C:$C,$A21,Impact_Input!$D:$D,G$17))</f>
        <v>0</v>
      </c>
      <c r="H21" s="23">
        <f>TANH(Parameters!$B$24*SUMIFS(Impact_Input!$N:$N,Impact_Input!$B:$B,"B",Impact_Input!$C:$C,$A21,Impact_Input!$D:$D,H$17))</f>
        <v>0</v>
      </c>
    </row>
    <row r="22" spans="1:8" ht="14.25" customHeight="1" x14ac:dyDescent="0.3">
      <c r="A22" s="7" t="s">
        <v>366</v>
      </c>
      <c r="B22" s="23">
        <f>TANH(Parameters!$B$24*SUMIFS(Impact_Input!$N:$N,Impact_Input!$B:$B,"B",Impact_Input!$C:$C,$A22,Impact_Input!$D:$D,B$17))</f>
        <v>0</v>
      </c>
      <c r="C22" s="23">
        <f>TANH(Parameters!$B$24*SUMIFS(Impact_Input!$N:$N,Impact_Input!$B:$B,"B",Impact_Input!$C:$C,$A22,Impact_Input!$D:$D,C$17))</f>
        <v>0</v>
      </c>
      <c r="D22" s="23">
        <f>TANH(Parameters!$B$24*SUMIFS(Impact_Input!$N:$N,Impact_Input!$B:$B,"B",Impact_Input!$C:$C,$A22,Impact_Input!$D:$D,D$17))</f>
        <v>0</v>
      </c>
      <c r="E22" s="23">
        <f>TANH(Parameters!$B$24*SUMIFS(Impact_Input!$N:$N,Impact_Input!$B:$B,"B",Impact_Input!$C:$C,$A22,Impact_Input!$D:$D,E$17))</f>
        <v>0</v>
      </c>
      <c r="F22" s="23">
        <f>TANH(Parameters!$B$24*SUMIFS(Impact_Input!$N:$N,Impact_Input!$B:$B,"B",Impact_Input!$C:$C,$A22,Impact_Input!$D:$D,F$17))</f>
        <v>0</v>
      </c>
      <c r="G22" s="23">
        <f>TANH(Parameters!$B$24*SUMIFS(Impact_Input!$N:$N,Impact_Input!$B:$B,"B",Impact_Input!$C:$C,$A22,Impact_Input!$D:$D,G$17))</f>
        <v>0</v>
      </c>
      <c r="H22" s="23">
        <f>TANH(Parameters!$B$24*SUMIFS(Impact_Input!$N:$N,Impact_Input!$B:$B,"B",Impact_Input!$C:$C,$A22,Impact_Input!$D:$D,H$17))</f>
        <v>0</v>
      </c>
    </row>
    <row r="23" spans="1:8" ht="14.25" customHeight="1" x14ac:dyDescent="0.3">
      <c r="A23" s="7" t="s">
        <v>367</v>
      </c>
      <c r="B23" s="23">
        <f>TANH(Parameters!$B$24*SUMIFS(Impact_Input!$N:$N,Impact_Input!$B:$B,"B",Impact_Input!$C:$C,$A23,Impact_Input!$D:$D,B$17))</f>
        <v>0</v>
      </c>
      <c r="C23" s="23">
        <f>TANH(Parameters!$B$24*SUMIFS(Impact_Input!$N:$N,Impact_Input!$B:$B,"B",Impact_Input!$C:$C,$A23,Impact_Input!$D:$D,C$17))</f>
        <v>0</v>
      </c>
      <c r="D23" s="23">
        <f>TANH(Parameters!$B$24*SUMIFS(Impact_Input!$N:$N,Impact_Input!$B:$B,"B",Impact_Input!$C:$C,$A23,Impact_Input!$D:$D,D$17))</f>
        <v>0</v>
      </c>
      <c r="E23" s="23">
        <f>TANH(Parameters!$B$24*SUMIFS(Impact_Input!$N:$N,Impact_Input!$B:$B,"B",Impact_Input!$C:$C,$A23,Impact_Input!$D:$D,E$17))</f>
        <v>0</v>
      </c>
      <c r="F23" s="23">
        <f>TANH(Parameters!$B$24*SUMIFS(Impact_Input!$N:$N,Impact_Input!$B:$B,"B",Impact_Input!$C:$C,$A23,Impact_Input!$D:$D,F$17))</f>
        <v>0</v>
      </c>
      <c r="G23" s="23">
        <f>TANH(Parameters!$B$24*SUMIFS(Impact_Input!$N:$N,Impact_Input!$B:$B,"B",Impact_Input!$C:$C,$A23,Impact_Input!$D:$D,G$17))</f>
        <v>0</v>
      </c>
      <c r="H23" s="23">
        <f>TANH(Parameters!$B$24*SUMIFS(Impact_Input!$N:$N,Impact_Input!$B:$B,"B",Impact_Input!$C:$C,$A23,Impact_Input!$D:$D,H$17))</f>
        <v>0</v>
      </c>
    </row>
    <row r="24" spans="1:8" ht="14.25" customHeight="1" x14ac:dyDescent="0.3">
      <c r="A24" s="7" t="s">
        <v>369</v>
      </c>
      <c r="B24" s="23">
        <f>TANH(Parameters!$B$24*SUMIFS(Impact_Input!$N:$N,Impact_Input!$B:$B,"B",Impact_Input!$C:$C,$A24,Impact_Input!$D:$D,B$17))</f>
        <v>0</v>
      </c>
      <c r="C24" s="23">
        <f>TANH(Parameters!$B$24*SUMIFS(Impact_Input!$N:$N,Impact_Input!$B:$B,"B",Impact_Input!$C:$C,$A24,Impact_Input!$D:$D,C$17))</f>
        <v>0</v>
      </c>
      <c r="D24" s="23">
        <f>TANH(Parameters!$B$24*SUMIFS(Impact_Input!$N:$N,Impact_Input!$B:$B,"B",Impact_Input!$C:$C,$A24,Impact_Input!$D:$D,D$17))</f>
        <v>0</v>
      </c>
      <c r="E24" s="23">
        <f>TANH(Parameters!$B$24*SUMIFS(Impact_Input!$N:$N,Impact_Input!$B:$B,"B",Impact_Input!$C:$C,$A24,Impact_Input!$D:$D,E$17))</f>
        <v>0</v>
      </c>
      <c r="F24" s="23">
        <f>TANH(Parameters!$B$24*SUMIFS(Impact_Input!$N:$N,Impact_Input!$B:$B,"B",Impact_Input!$C:$C,$A24,Impact_Input!$D:$D,F$17))</f>
        <v>0</v>
      </c>
      <c r="G24" s="23">
        <f>TANH(Parameters!$B$24*SUMIFS(Impact_Input!$N:$N,Impact_Input!$B:$B,"B",Impact_Input!$C:$C,$A24,Impact_Input!$D:$D,G$17))</f>
        <v>0</v>
      </c>
      <c r="H24" s="26">
        <f>TANH(Parameters!$B$24*SUMIFS(Impact_Input!$N:$N,Impact_Input!$B:$B,"B",Impact_Input!$C:$C,$A24,Impact_Input!$D:$D,H$17))</f>
        <v>-1.0211455619172208E-2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0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1" t="s">
        <v>523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t="s">
        <v>524</v>
      </c>
    </row>
    <row r="4" spans="1:10" ht="14.25" customHeight="1" x14ac:dyDescent="0.3">
      <c r="A4" t="s">
        <v>525</v>
      </c>
    </row>
    <row r="5" spans="1:10" ht="13.5" customHeight="1" x14ac:dyDescent="0.3">
      <c r="A5" t="s">
        <v>526</v>
      </c>
    </row>
    <row r="6" spans="1:10" ht="14.25" customHeight="1" x14ac:dyDescent="0.3">
      <c r="A6" s="7" t="s">
        <v>527</v>
      </c>
    </row>
    <row r="7" spans="1:10" ht="14.25" customHeight="1" x14ac:dyDescent="0.3">
      <c r="A7" s="9" t="s">
        <v>37</v>
      </c>
      <c r="B7" s="9" t="s">
        <v>38</v>
      </c>
      <c r="C7" s="9" t="s">
        <v>39</v>
      </c>
      <c r="D7" s="9" t="s">
        <v>528</v>
      </c>
      <c r="E7" s="9" t="s">
        <v>529</v>
      </c>
      <c r="F7" s="9" t="s">
        <v>530</v>
      </c>
      <c r="G7" s="9" t="s">
        <v>531</v>
      </c>
      <c r="H7" t="s">
        <v>532</v>
      </c>
      <c r="I7" t="s">
        <v>533</v>
      </c>
    </row>
    <row r="8" spans="1:10" ht="14.25" customHeight="1" x14ac:dyDescent="0.3">
      <c r="A8" t="s">
        <v>40</v>
      </c>
      <c r="B8">
        <v>1</v>
      </c>
      <c r="C8">
        <v>-0.9</v>
      </c>
      <c r="D8" s="23">
        <f>_xlfn.MINIFS(Rights_Coverage_View!$M$2:$M$71,Rights_Coverage_View!$L$2:$L$71,$A8)</f>
        <v>0</v>
      </c>
      <c r="E8" s="23">
        <f>_xlfn.MINIFS(Rights_Coverage_View!$N$2:$N$71,Rights_Coverage_View!$L$2:$L$71,$A8)</f>
        <v>0</v>
      </c>
      <c r="F8" s="10" t="str">
        <f t="shared" ref="F8:G15" si="0">IF(D8&gt;=$C8,"PASS","FAIL")</f>
        <v>PASS</v>
      </c>
      <c r="G8" s="10" t="str">
        <f t="shared" si="0"/>
        <v>PASS</v>
      </c>
      <c r="H8" t="str">
        <f ca="1">IFERROR("Rights_Coverage_View!"&amp;ADDRESS(_xludf.aggregate(15,6,ROW(Rights_Coverage_View!$H$2:$H$100)/((Rights_Coverage_View!$B$2:$B$100=$A8)*(Rights_Coverage_View!$H$2:$H$100=D8)*(Rights_Coverage_View!$H$2:$H$100&lt;&gt;"")),1),8,4),"ERR")</f>
        <v>ERR</v>
      </c>
      <c r="I8" t="str">
        <f ca="1">IFERROR("Rights_Coverage_View!"&amp;ADDRESS(_xludf.aggregate(15,6,ROW(Rights_Coverage_View!$I$2:$I$100)/((Rights_Coverage_View!$B$2:$B$100=$A8)*(Rights_Coverage_View!$I$2:$I$100=E8)*(Rights_Coverage_View!$I$2:$I$100&lt;&gt;"")),1),9,4),"ERR")</f>
        <v>ERR</v>
      </c>
    </row>
    <row r="9" spans="1:10" ht="14.25" customHeight="1" x14ac:dyDescent="0.3">
      <c r="A9" t="s">
        <v>41</v>
      </c>
      <c r="B9">
        <v>2</v>
      </c>
      <c r="C9">
        <v>-0.7</v>
      </c>
      <c r="D9" s="23">
        <f>_xlfn.MINIFS(Rights_Coverage_View!$M$2:$M$71,Rights_Coverage_View!$L$2:$L$71,$A9)</f>
        <v>0</v>
      </c>
      <c r="E9" s="23">
        <f>_xlfn.MINIFS(Rights_Coverage_View!$N$2:$N$71,Rights_Coverage_View!$L$2:$L$71,$A9)</f>
        <v>0</v>
      </c>
      <c r="F9" s="10" t="str">
        <f t="shared" si="0"/>
        <v>PASS</v>
      </c>
      <c r="G9" s="10" t="str">
        <f t="shared" si="0"/>
        <v>PASS</v>
      </c>
      <c r="H9" t="str">
        <f ca="1">IFERROR("Rights_Coverage_View!"&amp;ADDRESS(_xludf.aggregate(15,6,ROW(Rights_Coverage_View!$H$2:$H$100)/((Rights_Coverage_View!$B$2:$B$100=$A9)*(Rights_Coverage_View!$H$2:$H$100=D9)*(Rights_Coverage_View!$H$2:$H$100&lt;&gt;"")),1),8,4),"ERR")</f>
        <v>ERR</v>
      </c>
      <c r="I9" t="str">
        <f ca="1">IFERROR("Rights_Coverage_View!"&amp;ADDRESS(_xludf.aggregate(15,6,ROW(Rights_Coverage_View!$I$2:$I$100)/((Rights_Coverage_View!$B$2:$B$100=$A9)*(Rights_Coverage_View!$I$2:$I$100=E9)*(Rights_Coverage_View!$I$2:$I$100&lt;&gt;"")),1),9,4),"ERR")</f>
        <v>ERR</v>
      </c>
    </row>
    <row r="10" spans="1:10" ht="14.25" customHeight="1" x14ac:dyDescent="0.3">
      <c r="A10" t="s">
        <v>42</v>
      </c>
      <c r="B10">
        <v>3</v>
      </c>
      <c r="C10">
        <v>-0.65</v>
      </c>
      <c r="D10" s="23">
        <f>_xlfn.MINIFS(Rights_Coverage_View!$M$2:$M$71,Rights_Coverage_View!$L$2:$L$71,$A10)</f>
        <v>0</v>
      </c>
      <c r="E10" s="23">
        <f>_xlfn.MINIFS(Rights_Coverage_View!$N$2:$N$71,Rights_Coverage_View!$L$2:$L$71,$A10)</f>
        <v>-1.0211455619172208E-2</v>
      </c>
      <c r="F10" s="10" t="str">
        <f t="shared" si="0"/>
        <v>PASS</v>
      </c>
      <c r="G10" s="10" t="str">
        <f t="shared" si="0"/>
        <v>PASS</v>
      </c>
      <c r="H10" t="str">
        <f ca="1">IFERROR("Rights_Coverage_View!"&amp;ADDRESS(_xludf.aggregate(15,6,ROW(Rights_Coverage_View!$H$2:$H$100)/((Rights_Coverage_View!$B$2:$B$100=$A10)*(Rights_Coverage_View!$H$2:$H$100=D10)*(Rights_Coverage_View!$H$2:$H$100&lt;&gt;"")),1),8,4),"ERR")</f>
        <v>ERR</v>
      </c>
      <c r="I10" t="str">
        <f ca="1">IFERROR("Rights_Coverage_View!"&amp;ADDRESS(_xludf.aggregate(15,6,ROW(Rights_Coverage_View!$I$2:$I$100)/((Rights_Coverage_View!$B$2:$B$100=$A10)*(Rights_Coverage_View!$I$2:$I$100=E10)*(Rights_Coverage_View!$I$2:$I$100&lt;&gt;"")),1),9,4),"ERR")</f>
        <v>ERR</v>
      </c>
    </row>
    <row r="11" spans="1:10" ht="14.25" customHeight="1" x14ac:dyDescent="0.3">
      <c r="A11" t="s">
        <v>43</v>
      </c>
      <c r="B11">
        <v>4</v>
      </c>
      <c r="C11">
        <v>-0.65</v>
      </c>
      <c r="D11" s="23">
        <f>_xlfn.MINIFS(Rights_Coverage_View!$M$2:$M$71,Rights_Coverage_View!$L$2:$L$71,$A11)</f>
        <v>-8.0725686815538475E-2</v>
      </c>
      <c r="E11" s="23">
        <f>_xlfn.MINIFS(Rights_Coverage_View!$N$2:$N$71,Rights_Coverage_View!$L$2:$L$71,$A11)</f>
        <v>-4.6333567670633638E-2</v>
      </c>
      <c r="F11" s="10" t="str">
        <f t="shared" si="0"/>
        <v>PASS</v>
      </c>
      <c r="G11" s="10" t="str">
        <f t="shared" si="0"/>
        <v>PASS</v>
      </c>
      <c r="H11" t="str">
        <f ca="1">IFERROR("Rights_Coverage_View!"&amp;ADDRESS(_xludf.aggregate(15,6,ROW(Rights_Coverage_View!$H$2:$H$100)/((Rights_Coverage_View!$B$2:$B$100=$A11)*(Rights_Coverage_View!$H$2:$H$100=D11)*(Rights_Coverage_View!$H$2:$H$100&lt;&gt;"")),1),8,4),"ERR")</f>
        <v>ERR</v>
      </c>
      <c r="I11" t="str">
        <f ca="1">IFERROR("Rights_Coverage_View!"&amp;ADDRESS(_xludf.aggregate(15,6,ROW(Rights_Coverage_View!$I$2:$I$100)/((Rights_Coverage_View!$B$2:$B$100=$A11)*(Rights_Coverage_View!$I$2:$I$100=E11)*(Rights_Coverage_View!$I$2:$I$100&lt;&gt;"")),1),9,4),"ERR")</f>
        <v>ERR</v>
      </c>
    </row>
    <row r="12" spans="1:10" ht="14.25" customHeight="1" x14ac:dyDescent="0.3">
      <c r="A12" t="s">
        <v>44</v>
      </c>
      <c r="B12">
        <v>5</v>
      </c>
      <c r="C12">
        <v>-0.5</v>
      </c>
      <c r="D12" s="23">
        <f>_xlfn.MINIFS(Rights_Coverage_View!$M$2:$M$71,Rights_Coverage_View!$L$2:$L$71,$A12)</f>
        <v>-8.5569436295896681E-2</v>
      </c>
      <c r="E12" s="23">
        <f>_xlfn.MINIFS(Rights_Coverage_View!$N$2:$N$71,Rights_Coverage_View!$L$2:$L$71,$A12)</f>
        <v>-1.8475900437537916E-2</v>
      </c>
      <c r="F12" s="10" t="str">
        <f t="shared" si="0"/>
        <v>PASS</v>
      </c>
      <c r="G12" s="10" t="str">
        <f t="shared" si="0"/>
        <v>PASS</v>
      </c>
      <c r="H12" t="str">
        <f ca="1">IFERROR("Rights_Coverage_View!"&amp;ADDRESS(_xludf.aggregate(15,6,ROW(Rights_Coverage_View!$H$2:$H$100)/((Rights_Coverage_View!$B$2:$B$100=$A12)*(Rights_Coverage_View!$H$2:$H$100=D12)*(Rights_Coverage_View!$H$2:$H$100&lt;&gt;"")),1),8,4),"ERR")</f>
        <v>ERR</v>
      </c>
      <c r="I12" t="str">
        <f ca="1">IFERROR("Rights_Coverage_View!"&amp;ADDRESS(_xludf.aggregate(15,6,ROW(Rights_Coverage_View!$I$2:$I$100)/((Rights_Coverage_View!$B$2:$B$100=$A12)*(Rights_Coverage_View!$I$2:$I$100=E12)*(Rights_Coverage_View!$I$2:$I$100&lt;&gt;"")),1),9,4),"ERR")</f>
        <v>ERR</v>
      </c>
    </row>
    <row r="13" spans="1:10" ht="14.25" customHeight="1" x14ac:dyDescent="0.3">
      <c r="A13" t="s">
        <v>45</v>
      </c>
      <c r="B13">
        <v>6</v>
      </c>
      <c r="C13">
        <v>-0.55000000000000004</v>
      </c>
      <c r="D13" s="23">
        <f>_xlfn.MINIFS(Rights_Coverage_View!$M$2:$M$71,Rights_Coverage_View!$L$2:$L$71,$A13)</f>
        <v>-8.0725686815538475E-2</v>
      </c>
      <c r="E13" s="23">
        <f>_xlfn.MINIFS(Rights_Coverage_View!$N$2:$N$71,Rights_Coverage_View!$L$2:$L$71,$A13)</f>
        <v>-4.6333567670633638E-2</v>
      </c>
      <c r="F13" s="10" t="str">
        <f t="shared" si="0"/>
        <v>PASS</v>
      </c>
      <c r="G13" s="10" t="str">
        <f t="shared" si="0"/>
        <v>PASS</v>
      </c>
      <c r="H13" t="str">
        <f ca="1">IFERROR("Rights_Coverage_View!"&amp;ADDRESS(_xludf.aggregate(15,6,ROW(Rights_Coverage_View!$H$2:$H$100)/((Rights_Coverage_View!$B$2:$B$100=$A13)*(Rights_Coverage_View!$H$2:$H$100=D13)*(Rights_Coverage_View!$H$2:$H$100&lt;&gt;"")),1),8,4),"ERR")</f>
        <v>ERR</v>
      </c>
      <c r="I13" t="str">
        <f ca="1">IFERROR("Rights_Coverage_View!"&amp;ADDRESS(_xludf.aggregate(15,6,ROW(Rights_Coverage_View!$I$2:$I$100)/((Rights_Coverage_View!$B$2:$B$100=$A13)*(Rights_Coverage_View!$I$2:$I$100=E13)*(Rights_Coverage_View!$I$2:$I$100&lt;&gt;"")),1),9,4),"ERR")</f>
        <v>ERR</v>
      </c>
    </row>
    <row r="14" spans="1:10" ht="14.25" customHeight="1" x14ac:dyDescent="0.3">
      <c r="A14" t="s">
        <v>46</v>
      </c>
      <c r="B14">
        <v>7</v>
      </c>
      <c r="C14">
        <v>-0.45</v>
      </c>
      <c r="D14">
        <f>_xlfn.MINIFS(Rights_Coverage_View!$M$2:$M$71,Rights_Coverage_View!$L$2:$L$71,$A14)</f>
        <v>0</v>
      </c>
      <c r="E14">
        <f>_xlfn.MINIFS(Rights_Coverage_View!$N$2:$N$71,Rights_Coverage_View!$L$2:$L$71,$A14)</f>
        <v>0</v>
      </c>
      <c r="F14" s="10" t="str">
        <f t="shared" si="0"/>
        <v>PASS</v>
      </c>
      <c r="G14" s="10" t="str">
        <f t="shared" si="0"/>
        <v>PASS</v>
      </c>
      <c r="H14" t="str">
        <f ca="1">IFERROR("Rights_Coverage_View!"&amp;ADDRESS(_xludf.aggregate(15,6,ROW(Rights_Coverage_View!$H$2:$H$100)/((Rights_Coverage_View!$B$2:$B$100=$A14)*(Rights_Coverage_View!$H$2:$H$100=D14)*(Rights_Coverage_View!$H$2:$H$100&lt;&gt;"")),1),8,4),"ERR")</f>
        <v>ERR</v>
      </c>
      <c r="I14" t="str">
        <f ca="1">IFERROR("Rights_Coverage_View!"&amp;ADDRESS(_xludf.aggregate(15,6,ROW(Rights_Coverage_View!$I$2:$I$100)/((Rights_Coverage_View!$B$2:$B$100=$A14)*(Rights_Coverage_View!$I$2:$I$100=E14)*(Rights_Coverage_View!$I$2:$I$100&lt;&gt;"")),1),9,4),"ERR")</f>
        <v>ERR</v>
      </c>
    </row>
    <row r="15" spans="1:10" ht="14.25" customHeight="1" x14ac:dyDescent="0.3">
      <c r="A15" t="s">
        <v>47</v>
      </c>
      <c r="B15">
        <v>8</v>
      </c>
      <c r="C15">
        <v>-0.4</v>
      </c>
      <c r="D15" s="23">
        <f>_xlfn.MINIFS(Rights_Coverage_View!$M$2:$M$71,Rights_Coverage_View!$L$2:$L$71,$A15)</f>
        <v>0</v>
      </c>
      <c r="E15" s="23">
        <f>_xlfn.MINIFS(Rights_Coverage_View!$N$2:$N$71,Rights_Coverage_View!$L$2:$L$71,$A15)</f>
        <v>-4.6333567670633638E-2</v>
      </c>
      <c r="F15" s="10" t="str">
        <f t="shared" si="0"/>
        <v>PASS</v>
      </c>
      <c r="G15" s="10" t="str">
        <f t="shared" si="0"/>
        <v>PASS</v>
      </c>
      <c r="H15" t="str">
        <f ca="1">IFERROR("Rights_Coverage_View!"&amp;ADDRESS(_xludf.aggregate(15,6,ROW(Rights_Coverage_View!$H$2:$H$100)/((Rights_Coverage_View!$B$2:$B$100=$A15)*(Rights_Coverage_View!$H$2:$H$100=D15)*(Rights_Coverage_View!$H$2:$H$100&lt;&gt;"")),1),8,4),"ERR")</f>
        <v>ERR</v>
      </c>
      <c r="I15" t="str">
        <f ca="1">IFERROR("Rights_Coverage_View!"&amp;ADDRESS(_xludf.aggregate(15,6,ROW(Rights_Coverage_View!$I$2:$I$100)/((Rights_Coverage_View!$B$2:$B$100=$A15)*(Rights_Coverage_View!$I$2:$I$100=E15)*(Rights_Coverage_View!$I$2:$I$100&lt;&gt;"")),1),9,4),"ERR")</f>
        <v>ERR</v>
      </c>
    </row>
    <row r="16" spans="1:10" ht="14.25" customHeight="1" x14ac:dyDescent="0.3">
      <c r="D16" s="23">
        <f>MIN(D8:D15)</f>
        <v>-8.5569436295896681E-2</v>
      </c>
      <c r="E16" s="23">
        <f>MIN(E8:E15)</f>
        <v>-4.6333567670633638E-2</v>
      </c>
      <c r="F16" s="10"/>
    </row>
    <row r="17" spans="1:6" ht="14.25" customHeight="1" x14ac:dyDescent="0.3">
      <c r="A17" s="9" t="s">
        <v>534</v>
      </c>
    </row>
    <row r="18" spans="1:6" ht="14.25" customHeight="1" x14ac:dyDescent="0.3">
      <c r="A18" t="s">
        <v>535</v>
      </c>
      <c r="B18" s="10" t="s">
        <v>536</v>
      </c>
      <c r="C18" t="s">
        <v>537</v>
      </c>
      <c r="D18" t="str">
        <f>IF(COUNTIF(F8:F15,"FAIL")=0,"PASS","FAIL")</f>
        <v>PASS</v>
      </c>
      <c r="E18" t="s">
        <v>538</v>
      </c>
    </row>
    <row r="19" spans="1:6" ht="14.25" customHeight="1" x14ac:dyDescent="0.3">
      <c r="A19" t="s">
        <v>539</v>
      </c>
      <c r="B19" s="10" t="s">
        <v>536</v>
      </c>
      <c r="C19" t="s">
        <v>540</v>
      </c>
      <c r="D19" t="str">
        <f>IF(COUNTIF(G8:G15,"FAIL")=0,"PASS","FAIL")</f>
        <v>PASS</v>
      </c>
    </row>
    <row r="20" spans="1:6" ht="14.25" customHeight="1" x14ac:dyDescent="0.3">
      <c r="A20" t="s">
        <v>541</v>
      </c>
    </row>
    <row r="21" spans="1:6" ht="14.25" hidden="1" customHeight="1" x14ac:dyDescent="0.3">
      <c r="A21" s="7" t="s">
        <v>542</v>
      </c>
    </row>
    <row r="22" spans="1:6" ht="14.25" hidden="1" customHeight="1" x14ac:dyDescent="0.3">
      <c r="A22" s="7" t="s">
        <v>37</v>
      </c>
      <c r="B22" s="7" t="s">
        <v>38</v>
      </c>
      <c r="C22" s="7" t="s">
        <v>39</v>
      </c>
      <c r="D22" s="7">
        <v>0</v>
      </c>
      <c r="E22" s="7">
        <v>0</v>
      </c>
      <c r="F22" s="7" t="s">
        <v>543</v>
      </c>
    </row>
    <row r="23" spans="1:6" ht="14.25" hidden="1" customHeight="1" x14ac:dyDescent="0.3">
      <c r="A23" t="s">
        <v>40</v>
      </c>
      <c r="B23">
        <v>1</v>
      </c>
      <c r="C23">
        <v>-0.9</v>
      </c>
      <c r="D23" s="23">
        <v>0</v>
      </c>
      <c r="E23" s="23">
        <v>0</v>
      </c>
      <c r="F23" s="10" t="s">
        <v>543</v>
      </c>
    </row>
    <row r="24" spans="1:6" ht="14.25" hidden="1" customHeight="1" x14ac:dyDescent="0.3">
      <c r="A24" t="s">
        <v>41</v>
      </c>
      <c r="B24">
        <v>2</v>
      </c>
      <c r="C24">
        <v>-0.7</v>
      </c>
      <c r="D24" s="23">
        <v>-1.0211E-2</v>
      </c>
      <c r="E24" s="23">
        <v>0</v>
      </c>
      <c r="F24" s="10" t="s">
        <v>543</v>
      </c>
    </row>
    <row r="25" spans="1:6" ht="14.25" hidden="1" customHeight="1" x14ac:dyDescent="0.3">
      <c r="A25" t="s">
        <v>42</v>
      </c>
      <c r="B25">
        <v>3</v>
      </c>
      <c r="C25">
        <v>-0.65</v>
      </c>
      <c r="D25" s="23">
        <v>-4.6334E-2</v>
      </c>
      <c r="E25" s="23">
        <v>0</v>
      </c>
      <c r="F25" s="10" t="s">
        <v>543</v>
      </c>
    </row>
    <row r="26" spans="1:6" ht="14.25" hidden="1" customHeight="1" x14ac:dyDescent="0.3">
      <c r="A26" t="s">
        <v>43</v>
      </c>
      <c r="B26">
        <v>4</v>
      </c>
      <c r="C26">
        <v>-0.65</v>
      </c>
      <c r="D26" s="23">
        <v>-1.8475999999999999E-2</v>
      </c>
      <c r="E26" s="23">
        <v>0</v>
      </c>
      <c r="F26" s="10" t="s">
        <v>543</v>
      </c>
    </row>
    <row r="27" spans="1:6" ht="14.25" hidden="1" customHeight="1" x14ac:dyDescent="0.3">
      <c r="A27" t="s">
        <v>44</v>
      </c>
      <c r="B27">
        <v>5</v>
      </c>
      <c r="C27">
        <v>-0.5</v>
      </c>
      <c r="D27" s="23">
        <v>-4.6334E-2</v>
      </c>
      <c r="E27" s="23">
        <v>0</v>
      </c>
      <c r="F27" s="10" t="s">
        <v>543</v>
      </c>
    </row>
    <row r="28" spans="1:6" ht="14.25" hidden="1" customHeight="1" x14ac:dyDescent="0.3">
      <c r="A28" t="s">
        <v>45</v>
      </c>
      <c r="B28">
        <v>6</v>
      </c>
      <c r="C28">
        <v>-0.55000000000000004</v>
      </c>
      <c r="D28" s="23">
        <v>0</v>
      </c>
      <c r="E28" s="23">
        <v>0</v>
      </c>
      <c r="F28" s="10" t="s">
        <v>543</v>
      </c>
    </row>
    <row r="29" spans="1:6" ht="14.25" hidden="1" customHeight="1" x14ac:dyDescent="0.3">
      <c r="A29" t="s">
        <v>46</v>
      </c>
      <c r="B29">
        <v>7</v>
      </c>
      <c r="C29">
        <v>-0.45</v>
      </c>
      <c r="D29">
        <f>MIN(IF(Rights_Coverage_View!$B$2:$B$71="PROC",Rights_Coverage_View!$I$2:$I$71,1))</f>
        <v>1</v>
      </c>
      <c r="E29">
        <f>MAX(0,C29-D29)</f>
        <v>0</v>
      </c>
      <c r="F29" t="str">
        <f>IF(E29=0,"PASS","FAIL")</f>
        <v>PASS</v>
      </c>
    </row>
    <row r="30" spans="1:6" ht="14.25" hidden="1" customHeight="1" x14ac:dyDescent="0.3">
      <c r="A30" t="s">
        <v>47</v>
      </c>
      <c r="B30">
        <v>8</v>
      </c>
      <c r="C30">
        <v>-0.4</v>
      </c>
      <c r="D30" s="23">
        <v>0</v>
      </c>
      <c r="E30" s="23">
        <v>0</v>
      </c>
      <c r="F30" s="10" t="s">
        <v>543</v>
      </c>
    </row>
    <row r="31" spans="1:6" ht="14.25" hidden="1" customHeight="1" x14ac:dyDescent="0.3">
      <c r="D31" s="23"/>
      <c r="E31" s="23"/>
      <c r="F31" s="10"/>
    </row>
    <row r="32" spans="1:6" ht="14.25" hidden="1" customHeight="1" x14ac:dyDescent="0.3"/>
    <row r="33" spans="1:5" ht="14.25" hidden="1" customHeight="1" x14ac:dyDescent="0.3">
      <c r="A33" t="s">
        <v>544</v>
      </c>
      <c r="D33" t="str">
        <f>IF(COUNTIF(F23:F30,"FAIL")=0,"PASS","FAIL")</f>
        <v>PASS</v>
      </c>
      <c r="E33" t="s">
        <v>538</v>
      </c>
    </row>
    <row r="34" spans="1:5" ht="14.25" hidden="1" customHeight="1" x14ac:dyDescent="0.3">
      <c r="A34" t="s">
        <v>545</v>
      </c>
      <c r="B34" s="10"/>
    </row>
    <row r="35" spans="1:5" ht="14.25" hidden="1" customHeight="1" x14ac:dyDescent="0.3">
      <c r="A35" t="s">
        <v>534</v>
      </c>
    </row>
    <row r="36" spans="1:5" ht="14.25" hidden="1" customHeight="1" x14ac:dyDescent="0.3">
      <c r="A36" s="7" t="s">
        <v>546</v>
      </c>
      <c r="B36" t="s">
        <v>547</v>
      </c>
    </row>
    <row r="37" spans="1:5" ht="14.25" hidden="1" customHeight="1" x14ac:dyDescent="0.3">
      <c r="A37" t="s">
        <v>548</v>
      </c>
      <c r="B37" t="s">
        <v>549</v>
      </c>
    </row>
    <row r="38" spans="1:5" ht="14.25" hidden="1" customHeight="1" x14ac:dyDescent="0.3">
      <c r="A38" t="s">
        <v>550</v>
      </c>
    </row>
    <row r="39" spans="1:5" ht="14.25" hidden="1" customHeight="1" x14ac:dyDescent="0.3">
      <c r="A39" t="s">
        <v>551</v>
      </c>
    </row>
    <row r="40" spans="1:5" ht="13.5" hidden="1" customHeight="1" x14ac:dyDescent="0.3"/>
    <row r="41" spans="1:5" ht="13.5" hidden="1" customHeight="1" x14ac:dyDescent="0.3"/>
    <row r="42" spans="1:5" ht="13.5" hidden="1" customHeight="1" x14ac:dyDescent="0.3"/>
    <row r="43" spans="1:5" ht="13.5" hidden="1" customHeight="1" x14ac:dyDescent="0.3"/>
    <row r="44" spans="1:5" ht="13.5" hidden="1" customHeight="1" x14ac:dyDescent="0.3"/>
    <row r="45" spans="1:5" ht="13.5" hidden="1" customHeight="1" x14ac:dyDescent="0.3"/>
    <row r="46" spans="1:5" ht="13.5" hidden="1" customHeight="1" x14ac:dyDescent="0.3"/>
    <row r="47" spans="1:5" ht="13.5" hidden="1" customHeight="1" x14ac:dyDescent="0.3"/>
    <row r="48" spans="1:5" ht="13.5" hidden="1" customHeight="1" x14ac:dyDescent="0.3"/>
    <row r="49" ht="13.5" hidden="1" customHeight="1" x14ac:dyDescent="0.3"/>
    <row r="50" ht="13.5" hidden="1" customHeight="1" x14ac:dyDescent="0.3"/>
    <row r="51" ht="13.5" hidden="1" customHeight="1" x14ac:dyDescent="0.3"/>
    <row r="52" ht="13.5" hidden="1" customHeight="1" x14ac:dyDescent="0.3"/>
    <row r="53" ht="13.5" hidden="1" customHeight="1" x14ac:dyDescent="0.3"/>
    <row r="54" ht="13.5" hidden="1" customHeight="1" x14ac:dyDescent="0.3"/>
    <row r="55" ht="13.5" hidden="1" customHeight="1" x14ac:dyDescent="0.3"/>
    <row r="56" ht="13.5" hidden="1" customHeight="1" x14ac:dyDescent="0.3"/>
    <row r="57" ht="13.5" hidden="1" customHeight="1" x14ac:dyDescent="0.3"/>
    <row r="58" ht="13.5" hidden="1" customHeight="1" x14ac:dyDescent="0.3"/>
    <row r="59" ht="13.5" hidden="1" customHeight="1" x14ac:dyDescent="0.3"/>
    <row r="60" ht="13.5" hidden="1" customHeight="1" x14ac:dyDescent="0.3"/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54"/>
  <sheetViews>
    <sheetView zoomScaleNormal="100" workbookViewId="0"/>
  </sheetViews>
  <sheetFormatPr defaultColWidth="8.6640625" defaultRowHeight="14.4" x14ac:dyDescent="0.3"/>
  <sheetData>
    <row r="1" spans="1:21" ht="14.25" customHeight="1" x14ac:dyDescent="0.3">
      <c r="A1" s="51" t="s">
        <v>552</v>
      </c>
      <c r="B1" s="49"/>
      <c r="C1" s="49"/>
      <c r="D1" s="49"/>
      <c r="E1" s="49"/>
      <c r="F1" s="49"/>
      <c r="G1" s="49"/>
      <c r="H1" s="49"/>
      <c r="I1" s="49"/>
      <c r="J1" s="49"/>
    </row>
    <row r="2" spans="1:21" ht="14.25" customHeight="1" x14ac:dyDescent="0.3"/>
    <row r="3" spans="1:21" ht="14.25" customHeight="1" x14ac:dyDescent="0.3">
      <c r="A3" t="s">
        <v>553</v>
      </c>
    </row>
    <row r="4" spans="1:21" ht="14.25" customHeight="1" x14ac:dyDescent="0.3">
      <c r="A4" t="s">
        <v>554</v>
      </c>
    </row>
    <row r="5" spans="1:21" ht="14.25" customHeight="1" x14ac:dyDescent="0.3"/>
    <row r="6" spans="1:21" ht="14.25" customHeight="1" x14ac:dyDescent="0.3">
      <c r="A6" s="9" t="s">
        <v>555</v>
      </c>
    </row>
    <row r="7" spans="1:21" ht="14.25" customHeight="1" x14ac:dyDescent="0.3">
      <c r="A7" t="s">
        <v>556</v>
      </c>
      <c r="B7">
        <v>0.95</v>
      </c>
      <c r="H7" s="23"/>
      <c r="M7" t="s">
        <v>557</v>
      </c>
      <c r="N7" t="s">
        <v>558</v>
      </c>
      <c r="P7" t="s">
        <v>559</v>
      </c>
    </row>
    <row r="8" spans="1:21" ht="14.25" customHeight="1" x14ac:dyDescent="0.3">
      <c r="A8" s="7" t="s">
        <v>560</v>
      </c>
      <c r="B8">
        <v>0.05</v>
      </c>
      <c r="L8" s="23"/>
      <c r="M8">
        <f t="shared" ref="M8:M14" si="0">L8+ROW()/1000000</f>
        <v>7.9999999999999996E-6</v>
      </c>
      <c r="N8">
        <f t="shared" ref="N8:N14" si="1">RANK(M8,$M$8:$M$14,0)</f>
        <v>7</v>
      </c>
      <c r="P8" t="s">
        <v>484</v>
      </c>
      <c r="Q8" t="s">
        <v>485</v>
      </c>
      <c r="R8" t="s">
        <v>486</v>
      </c>
      <c r="S8" t="s">
        <v>561</v>
      </c>
      <c r="T8" t="s">
        <v>562</v>
      </c>
      <c r="U8" t="s">
        <v>563</v>
      </c>
    </row>
    <row r="9" spans="1:21" ht="14.25" customHeight="1" x14ac:dyDescent="0.3">
      <c r="A9" s="7" t="s">
        <v>564</v>
      </c>
      <c r="B9" s="16">
        <f>CANON!B58</f>
        <v>0.2</v>
      </c>
      <c r="C9" s="7"/>
      <c r="D9" s="7"/>
      <c r="E9" s="7"/>
      <c r="F9" s="7"/>
      <c r="L9" s="23"/>
      <c r="M9">
        <f t="shared" si="0"/>
        <v>9.0000000000000002E-6</v>
      </c>
      <c r="N9">
        <f t="shared" si="1"/>
        <v>6</v>
      </c>
      <c r="P9">
        <f>INDEX($J$8:$J$14,MATCH(1,$N$8:$N$14,0))</f>
        <v>0</v>
      </c>
      <c r="Q9" t="str">
        <f t="shared" ref="Q9:Q15" si="2">IFERROR(VLOOKUP(P9,$J$8:$L$14,2,FALSE()),"")</f>
        <v/>
      </c>
      <c r="R9" t="str">
        <f t="shared" ref="R9:R15" si="3">IFERROR(VLOOKUP(P9,$J$8:$L$14,3,FALSE()),"")</f>
        <v/>
      </c>
      <c r="S9" t="str">
        <f>IFERROR(Q9,"")</f>
        <v/>
      </c>
      <c r="U9" t="str">
        <f t="shared" ref="U9:U15" si="4">IFERROR(T9*R9,"")</f>
        <v/>
      </c>
    </row>
    <row r="10" spans="1:21" ht="14.25" customHeight="1" x14ac:dyDescent="0.3">
      <c r="A10" t="s">
        <v>565</v>
      </c>
      <c r="B10" t="s">
        <v>13</v>
      </c>
      <c r="L10" s="23"/>
      <c r="M10">
        <f t="shared" si="0"/>
        <v>1.0000000000000001E-5</v>
      </c>
      <c r="N10">
        <f t="shared" si="1"/>
        <v>5</v>
      </c>
      <c r="P10">
        <f>INDEX($J$8:$J$14,MATCH(2,$N$8:$N$14,0))</f>
        <v>0</v>
      </c>
      <c r="Q10" t="str">
        <f t="shared" si="2"/>
        <v/>
      </c>
      <c r="R10" t="str">
        <f t="shared" si="3"/>
        <v/>
      </c>
      <c r="S10" t="str">
        <f t="shared" ref="S10:S15" si="5">IFERROR(S9+Q10,"")</f>
        <v/>
      </c>
      <c r="U10" t="str">
        <f t="shared" si="4"/>
        <v/>
      </c>
    </row>
    <row r="11" spans="1:21" ht="14.25" customHeight="1" x14ac:dyDescent="0.3">
      <c r="L11" s="23"/>
      <c r="M11">
        <f t="shared" si="0"/>
        <v>1.1E-5</v>
      </c>
      <c r="N11">
        <f t="shared" si="1"/>
        <v>4</v>
      </c>
      <c r="P11">
        <f>INDEX($J$8:$J$14,MATCH(3,$N$8:$N$14,0))</f>
        <v>0</v>
      </c>
      <c r="Q11" t="str">
        <f t="shared" si="2"/>
        <v/>
      </c>
      <c r="R11" t="str">
        <f t="shared" si="3"/>
        <v/>
      </c>
      <c r="S11" t="str">
        <f t="shared" si="5"/>
        <v/>
      </c>
      <c r="U11" t="str">
        <f t="shared" si="4"/>
        <v/>
      </c>
    </row>
    <row r="12" spans="1:21" ht="14.25" customHeight="1" x14ac:dyDescent="0.3">
      <c r="A12" s="9" t="s">
        <v>566</v>
      </c>
      <c r="L12" s="23"/>
      <c r="M12">
        <f t="shared" si="0"/>
        <v>1.2E-5</v>
      </c>
      <c r="N12">
        <f t="shared" si="1"/>
        <v>3</v>
      </c>
      <c r="P12">
        <f>INDEX($J$8:$J$14,MATCH(4,$N$8:$N$14,0))</f>
        <v>0</v>
      </c>
      <c r="Q12" t="str">
        <f t="shared" si="2"/>
        <v/>
      </c>
      <c r="R12" t="str">
        <f t="shared" si="3"/>
        <v/>
      </c>
      <c r="S12" t="str">
        <f t="shared" si="5"/>
        <v/>
      </c>
      <c r="U12" t="str">
        <f t="shared" si="4"/>
        <v/>
      </c>
    </row>
    <row r="13" spans="1:21" ht="14.25" customHeight="1" x14ac:dyDescent="0.3">
      <c r="A13" t="s">
        <v>567</v>
      </c>
      <c r="L13" s="23"/>
      <c r="M13">
        <f t="shared" si="0"/>
        <v>1.2999999999999999E-5</v>
      </c>
      <c r="N13">
        <f t="shared" si="1"/>
        <v>2</v>
      </c>
      <c r="P13">
        <f>INDEX($J$8:$J$14,MATCH(5,$N$8:$N$14,0))</f>
        <v>0</v>
      </c>
      <c r="Q13" t="str">
        <f t="shared" si="2"/>
        <v/>
      </c>
      <c r="R13" t="str">
        <f t="shared" si="3"/>
        <v/>
      </c>
      <c r="S13" t="str">
        <f t="shared" si="5"/>
        <v/>
      </c>
      <c r="U13" t="str">
        <f t="shared" si="4"/>
        <v/>
      </c>
    </row>
    <row r="14" spans="1:21" ht="14.25" customHeight="1" x14ac:dyDescent="0.3">
      <c r="A14" s="9" t="s">
        <v>558</v>
      </c>
      <c r="B14" s="9" t="s">
        <v>484</v>
      </c>
      <c r="C14" s="9" t="s">
        <v>486</v>
      </c>
      <c r="D14" s="9" t="s">
        <v>485</v>
      </c>
      <c r="E14" s="9" t="s">
        <v>561</v>
      </c>
      <c r="F14" s="9" t="s">
        <v>568</v>
      </c>
      <c r="G14" s="9" t="s">
        <v>569</v>
      </c>
      <c r="H14" s="9" t="s">
        <v>570</v>
      </c>
      <c r="L14" s="23"/>
      <c r="M14">
        <f t="shared" si="0"/>
        <v>1.4E-5</v>
      </c>
      <c r="N14">
        <f t="shared" si="1"/>
        <v>1</v>
      </c>
      <c r="P14">
        <f>INDEX($J$8:$J$14,MATCH(6,$N$8:$N$14,0))</f>
        <v>0</v>
      </c>
      <c r="Q14" t="str">
        <f t="shared" si="2"/>
        <v/>
      </c>
      <c r="R14" t="str">
        <f t="shared" si="3"/>
        <v/>
      </c>
      <c r="S14" t="str">
        <f t="shared" si="5"/>
        <v/>
      </c>
      <c r="U14" t="str">
        <f t="shared" si="4"/>
        <v/>
      </c>
    </row>
    <row r="15" spans="1:21" ht="14.25" customHeight="1" x14ac:dyDescent="0.3">
      <c r="A15">
        <v>1</v>
      </c>
      <c r="B15" t="s">
        <v>503</v>
      </c>
      <c r="C15">
        <v>2.35E-2</v>
      </c>
      <c r="D15">
        <v>0.03</v>
      </c>
      <c r="E15">
        <v>0.03</v>
      </c>
      <c r="F15" t="s">
        <v>56</v>
      </c>
      <c r="G15">
        <v>0.03</v>
      </c>
      <c r="H15" s="23">
        <v>7.0500000000000001E-4</v>
      </c>
      <c r="P15">
        <f>INDEX($J$8:$J$14,MATCH(7,$N$8:$N$14,0))</f>
        <v>0</v>
      </c>
      <c r="Q15" t="str">
        <f t="shared" si="2"/>
        <v/>
      </c>
      <c r="R15" t="str">
        <f t="shared" si="3"/>
        <v/>
      </c>
      <c r="S15" t="str">
        <f t="shared" si="5"/>
        <v/>
      </c>
      <c r="U15" t="str">
        <f t="shared" si="4"/>
        <v/>
      </c>
    </row>
    <row r="16" spans="1:21" ht="14.25" customHeight="1" x14ac:dyDescent="0.3">
      <c r="A16">
        <v>2</v>
      </c>
      <c r="B16" t="s">
        <v>499</v>
      </c>
      <c r="C16">
        <v>1.95E-2</v>
      </c>
      <c r="D16">
        <v>7.0000000000000007E-2</v>
      </c>
      <c r="E16">
        <v>0.1</v>
      </c>
      <c r="F16" t="s">
        <v>571</v>
      </c>
      <c r="G16">
        <v>0.02</v>
      </c>
      <c r="H16">
        <v>3.8999999999999999E-4</v>
      </c>
    </row>
    <row r="17" spans="1:21" ht="14.25" customHeight="1" x14ac:dyDescent="0.3">
      <c r="A17">
        <v>3</v>
      </c>
      <c r="B17" t="s">
        <v>497</v>
      </c>
      <c r="C17">
        <v>1.7500000000000002E-2</v>
      </c>
      <c r="D17">
        <v>0.08</v>
      </c>
      <c r="E17">
        <v>0.18</v>
      </c>
      <c r="F17" t="s">
        <v>16</v>
      </c>
      <c r="G17">
        <v>0</v>
      </c>
      <c r="H17">
        <v>0</v>
      </c>
    </row>
    <row r="18" spans="1:21" ht="14.25" customHeight="1" x14ac:dyDescent="0.3">
      <c r="A18" s="7">
        <v>4</v>
      </c>
      <c r="B18" t="s">
        <v>501</v>
      </c>
      <c r="C18">
        <v>1.35E-2</v>
      </c>
      <c r="D18">
        <v>0.05</v>
      </c>
      <c r="E18">
        <v>0.23</v>
      </c>
      <c r="F18" t="s">
        <v>16</v>
      </c>
      <c r="G18">
        <v>0</v>
      </c>
      <c r="H18">
        <v>0</v>
      </c>
      <c r="M18" t="s">
        <v>557</v>
      </c>
      <c r="N18" t="s">
        <v>558</v>
      </c>
      <c r="P18" t="s">
        <v>559</v>
      </c>
    </row>
    <row r="19" spans="1:21" ht="14.25" customHeight="1" x14ac:dyDescent="0.3">
      <c r="A19" s="27">
        <v>5</v>
      </c>
      <c r="B19" t="s">
        <v>505</v>
      </c>
      <c r="C19">
        <v>0.01</v>
      </c>
      <c r="D19">
        <v>0.02</v>
      </c>
      <c r="E19">
        <v>0.25</v>
      </c>
      <c r="F19" t="s">
        <v>16</v>
      </c>
      <c r="G19">
        <v>0</v>
      </c>
      <c r="H19">
        <v>0</v>
      </c>
      <c r="L19" s="23"/>
      <c r="M19">
        <f t="shared" ref="M19:M25" si="6">L19+ROW()/1000000</f>
        <v>1.9000000000000001E-5</v>
      </c>
      <c r="N19">
        <f t="shared" ref="N19:N25" si="7">RANK(M19,$M$19:$M$25,0)</f>
        <v>7</v>
      </c>
      <c r="P19" t="s">
        <v>484</v>
      </c>
      <c r="Q19" t="s">
        <v>485</v>
      </c>
      <c r="R19" t="s">
        <v>486</v>
      </c>
      <c r="S19" t="s">
        <v>561</v>
      </c>
      <c r="T19" t="s">
        <v>562</v>
      </c>
      <c r="U19" t="s">
        <v>563</v>
      </c>
    </row>
    <row r="20" spans="1:21" ht="14.25" customHeight="1" x14ac:dyDescent="0.3">
      <c r="A20">
        <v>6</v>
      </c>
      <c r="B20" t="s">
        <v>495</v>
      </c>
      <c r="C20">
        <v>7.0000000000000001E-3</v>
      </c>
      <c r="D20">
        <v>0.15</v>
      </c>
      <c r="E20">
        <v>0.4</v>
      </c>
      <c r="F20" t="s">
        <v>16</v>
      </c>
      <c r="G20">
        <v>0</v>
      </c>
      <c r="H20">
        <v>0</v>
      </c>
      <c r="L20" s="23"/>
      <c r="M20">
        <f t="shared" si="6"/>
        <v>2.0000000000000002E-5</v>
      </c>
      <c r="N20">
        <f t="shared" si="7"/>
        <v>6</v>
      </c>
      <c r="P20">
        <f>INDEX($J$19:$J$25,MATCH(1,$N$19:$N$25,0))</f>
        <v>0</v>
      </c>
      <c r="Q20" t="str">
        <f t="shared" ref="Q20:Q26" si="8">IFERROR(VLOOKUP(P20,$J$19:$L$25,2,FALSE()),"")</f>
        <v/>
      </c>
      <c r="R20" t="str">
        <f t="shared" ref="R20:R26" si="9">IFERROR(VLOOKUP(P20,$J$19:$L$25,3,FALSE()),"")</f>
        <v/>
      </c>
      <c r="S20" t="str">
        <f>IFERROR(Q20,"")</f>
        <v/>
      </c>
      <c r="U20" t="str">
        <f t="shared" ref="U20:U26" si="10">IFERROR(T20*R20,"")</f>
        <v/>
      </c>
    </row>
    <row r="21" spans="1:21" ht="14.25" customHeight="1" x14ac:dyDescent="0.3">
      <c r="A21" s="7">
        <v>7</v>
      </c>
      <c r="B21" t="s">
        <v>492</v>
      </c>
      <c r="C21">
        <v>0</v>
      </c>
      <c r="D21">
        <v>0.6</v>
      </c>
      <c r="E21">
        <v>1</v>
      </c>
      <c r="F21" t="s">
        <v>16</v>
      </c>
      <c r="G21">
        <v>0</v>
      </c>
      <c r="H21">
        <v>0</v>
      </c>
      <c r="L21" s="23"/>
      <c r="M21">
        <f t="shared" si="6"/>
        <v>2.0999999999999999E-5</v>
      </c>
      <c r="N21">
        <f t="shared" si="7"/>
        <v>5</v>
      </c>
      <c r="P21">
        <f>INDEX($J$19:$J$25,MATCH(2,$N$19:$N$25,0))</f>
        <v>0</v>
      </c>
      <c r="Q21" t="str">
        <f t="shared" si="8"/>
        <v/>
      </c>
      <c r="R21" t="str">
        <f t="shared" si="9"/>
        <v/>
      </c>
      <c r="S21" t="str">
        <f t="shared" ref="S21:S26" si="11">IFERROR(S20+Q21,"")</f>
        <v/>
      </c>
      <c r="U21" t="str">
        <f t="shared" si="10"/>
        <v/>
      </c>
    </row>
    <row r="22" spans="1:21" ht="14.25" customHeight="1" x14ac:dyDescent="0.3">
      <c r="A22" s="7"/>
      <c r="B22" s="7"/>
      <c r="C22" s="7"/>
      <c r="D22" s="7"/>
      <c r="E22" s="7"/>
      <c r="F22" s="7"/>
      <c r="L22" s="23"/>
      <c r="M22">
        <f t="shared" si="6"/>
        <v>2.1999999999999999E-5</v>
      </c>
      <c r="N22">
        <f t="shared" si="7"/>
        <v>4</v>
      </c>
      <c r="P22">
        <f>INDEX($J$19:$J$25,MATCH(3,$N$19:$N$25,0))</f>
        <v>0</v>
      </c>
      <c r="Q22" t="str">
        <f t="shared" si="8"/>
        <v/>
      </c>
      <c r="R22" t="str">
        <f t="shared" si="9"/>
        <v/>
      </c>
      <c r="S22" t="str">
        <f t="shared" si="11"/>
        <v/>
      </c>
      <c r="U22" t="str">
        <f t="shared" si="10"/>
        <v/>
      </c>
    </row>
    <row r="23" spans="1:21" ht="14.25" customHeight="1" x14ac:dyDescent="0.3">
      <c r="A23" t="s">
        <v>572</v>
      </c>
      <c r="L23" s="23"/>
      <c r="M23">
        <f t="shared" si="6"/>
        <v>2.3E-5</v>
      </c>
      <c r="N23">
        <f t="shared" si="7"/>
        <v>3</v>
      </c>
      <c r="P23">
        <f>INDEX($J$19:$J$25,MATCH(4,$N$19:$N$25,0))</f>
        <v>0</v>
      </c>
      <c r="Q23" t="str">
        <f t="shared" si="8"/>
        <v/>
      </c>
      <c r="R23" t="str">
        <f t="shared" si="9"/>
        <v/>
      </c>
      <c r="S23" t="str">
        <f t="shared" si="11"/>
        <v/>
      </c>
      <c r="U23" t="str">
        <f t="shared" si="10"/>
        <v/>
      </c>
    </row>
    <row r="24" spans="1:21" ht="14.25" customHeight="1" x14ac:dyDescent="0.3">
      <c r="A24" t="s">
        <v>573</v>
      </c>
      <c r="B24">
        <v>1.0950000000000001E-3</v>
      </c>
      <c r="L24" s="23"/>
      <c r="M24">
        <f t="shared" si="6"/>
        <v>2.4000000000000001E-5</v>
      </c>
      <c r="N24">
        <f t="shared" si="7"/>
        <v>2</v>
      </c>
      <c r="P24">
        <f>INDEX($J$19:$J$25,MATCH(5,$N$19:$N$25,0))</f>
        <v>0</v>
      </c>
      <c r="Q24" t="str">
        <f t="shared" si="8"/>
        <v/>
      </c>
      <c r="R24" t="str">
        <f t="shared" si="9"/>
        <v/>
      </c>
      <c r="S24" t="str">
        <f t="shared" si="11"/>
        <v/>
      </c>
      <c r="U24" t="str">
        <f t="shared" si="10"/>
        <v/>
      </c>
    </row>
    <row r="25" spans="1:21" ht="14.25" customHeight="1" x14ac:dyDescent="0.3">
      <c r="A25" t="s">
        <v>574</v>
      </c>
      <c r="B25" s="9">
        <v>2.1899999999999999E-2</v>
      </c>
      <c r="L25" s="23"/>
      <c r="M25">
        <f t="shared" si="6"/>
        <v>2.5000000000000001E-5</v>
      </c>
      <c r="N25">
        <f t="shared" si="7"/>
        <v>1</v>
      </c>
      <c r="P25">
        <f>INDEX($J$19:$J$25,MATCH(6,$N$19:$N$25,0))</f>
        <v>0</v>
      </c>
      <c r="Q25" t="str">
        <f t="shared" si="8"/>
        <v/>
      </c>
      <c r="R25" t="str">
        <f t="shared" si="9"/>
        <v/>
      </c>
      <c r="S25" t="str">
        <f t="shared" si="11"/>
        <v/>
      </c>
      <c r="U25" t="str">
        <f t="shared" si="10"/>
        <v/>
      </c>
    </row>
    <row r="26" spans="1:21" ht="14.25" customHeight="1" x14ac:dyDescent="0.3">
      <c r="A26" t="s">
        <v>575</v>
      </c>
      <c r="B26" s="10" t="s">
        <v>543</v>
      </c>
      <c r="C26" t="s">
        <v>576</v>
      </c>
      <c r="P26">
        <f>INDEX($J$19:$J$25,MATCH(7,$N$19:$N$25,0))</f>
        <v>0</v>
      </c>
      <c r="Q26" t="str">
        <f t="shared" si="8"/>
        <v/>
      </c>
      <c r="R26" t="str">
        <f t="shared" si="9"/>
        <v/>
      </c>
      <c r="S26" t="str">
        <f t="shared" si="11"/>
        <v/>
      </c>
      <c r="U26" t="str">
        <f t="shared" si="10"/>
        <v/>
      </c>
    </row>
    <row r="27" spans="1:21" ht="14.25" customHeight="1" x14ac:dyDescent="0.3"/>
    <row r="28" spans="1:21" ht="14.25" customHeight="1" x14ac:dyDescent="0.3">
      <c r="H28" s="23"/>
    </row>
    <row r="29" spans="1:21" ht="14.25" customHeight="1" x14ac:dyDescent="0.3">
      <c r="A29" s="9" t="s">
        <v>577</v>
      </c>
    </row>
    <row r="30" spans="1:21" ht="14.25" customHeight="1" x14ac:dyDescent="0.3">
      <c r="A30" s="9" t="s">
        <v>558</v>
      </c>
      <c r="B30" s="9" t="s">
        <v>484</v>
      </c>
      <c r="C30" s="9" t="s">
        <v>486</v>
      </c>
      <c r="D30" s="9" t="s">
        <v>485</v>
      </c>
      <c r="E30" s="9" t="s">
        <v>561</v>
      </c>
      <c r="F30" s="9" t="s">
        <v>568</v>
      </c>
      <c r="G30" s="9" t="s">
        <v>569</v>
      </c>
      <c r="H30" s="9" t="s">
        <v>570</v>
      </c>
    </row>
    <row r="31" spans="1:21" ht="14.25" customHeight="1" x14ac:dyDescent="0.3">
      <c r="A31" s="7">
        <v>1</v>
      </c>
      <c r="B31" t="s">
        <v>497</v>
      </c>
      <c r="C31">
        <v>3.15E-2</v>
      </c>
      <c r="D31">
        <v>0.08</v>
      </c>
      <c r="E31">
        <v>0.08</v>
      </c>
      <c r="F31" t="s">
        <v>571</v>
      </c>
      <c r="G31">
        <v>0.05</v>
      </c>
      <c r="H31">
        <v>1.575E-3</v>
      </c>
    </row>
    <row r="32" spans="1:21" ht="14.25" customHeight="1" x14ac:dyDescent="0.3">
      <c r="A32" s="27">
        <v>2</v>
      </c>
      <c r="B32" t="s">
        <v>499</v>
      </c>
      <c r="C32">
        <v>2.35E-2</v>
      </c>
      <c r="D32">
        <v>7.0000000000000007E-2</v>
      </c>
      <c r="E32">
        <v>0.15</v>
      </c>
      <c r="F32" t="s">
        <v>16</v>
      </c>
      <c r="G32">
        <v>0</v>
      </c>
      <c r="H32">
        <v>0</v>
      </c>
    </row>
    <row r="33" spans="1:8" ht="14.25" customHeight="1" x14ac:dyDescent="0.3">
      <c r="A33">
        <v>3</v>
      </c>
      <c r="B33" t="s">
        <v>503</v>
      </c>
      <c r="C33">
        <v>2.1749999999999999E-2</v>
      </c>
      <c r="D33">
        <v>0.03</v>
      </c>
      <c r="E33">
        <v>0.18</v>
      </c>
      <c r="F33" t="s">
        <v>16</v>
      </c>
      <c r="G33">
        <v>0</v>
      </c>
      <c r="H33">
        <v>0</v>
      </c>
    </row>
    <row r="34" spans="1:8" ht="14.25" customHeight="1" x14ac:dyDescent="0.3">
      <c r="A34">
        <v>4</v>
      </c>
      <c r="B34" t="s">
        <v>501</v>
      </c>
      <c r="C34">
        <v>1.35E-2</v>
      </c>
      <c r="D34">
        <v>0.05</v>
      </c>
      <c r="E34">
        <v>0.23</v>
      </c>
      <c r="F34" t="s">
        <v>16</v>
      </c>
      <c r="G34">
        <v>0</v>
      </c>
      <c r="H34">
        <v>0</v>
      </c>
    </row>
    <row r="35" spans="1:8" ht="14.25" customHeight="1" x14ac:dyDescent="0.3">
      <c r="A35" s="7">
        <v>5</v>
      </c>
      <c r="B35" t="s">
        <v>495</v>
      </c>
      <c r="C35">
        <v>1.0500000000000001E-2</v>
      </c>
      <c r="D35">
        <v>0.15</v>
      </c>
      <c r="E35">
        <v>0.38</v>
      </c>
      <c r="F35" t="s">
        <v>16</v>
      </c>
      <c r="G35">
        <v>0</v>
      </c>
      <c r="H35">
        <v>0</v>
      </c>
    </row>
    <row r="36" spans="1:8" ht="14.25" customHeight="1" x14ac:dyDescent="0.3">
      <c r="A36" s="28">
        <v>6</v>
      </c>
      <c r="B36" t="s">
        <v>505</v>
      </c>
      <c r="C36">
        <v>7.0000000000000001E-3</v>
      </c>
      <c r="D36">
        <v>0.02</v>
      </c>
      <c r="E36">
        <v>0.4</v>
      </c>
      <c r="F36" t="s">
        <v>16</v>
      </c>
      <c r="G36">
        <v>0</v>
      </c>
      <c r="H36">
        <v>0</v>
      </c>
    </row>
    <row r="37" spans="1:8" ht="14.25" customHeight="1" x14ac:dyDescent="0.3">
      <c r="A37">
        <v>7</v>
      </c>
      <c r="B37" t="s">
        <v>492</v>
      </c>
      <c r="C37">
        <v>3.5739999999999999E-3</v>
      </c>
      <c r="D37">
        <v>0.6</v>
      </c>
      <c r="E37">
        <v>1</v>
      </c>
      <c r="F37" t="s">
        <v>16</v>
      </c>
      <c r="G37">
        <v>0</v>
      </c>
      <c r="H37">
        <v>0</v>
      </c>
    </row>
    <row r="38" spans="1:8" ht="14.25" customHeight="1" x14ac:dyDescent="0.3">
      <c r="A38" s="29"/>
    </row>
    <row r="39" spans="1:8" ht="14.25" customHeight="1" x14ac:dyDescent="0.3">
      <c r="A39" t="s">
        <v>578</v>
      </c>
    </row>
    <row r="40" spans="1:8" ht="14.25" customHeight="1" x14ac:dyDescent="0.3">
      <c r="A40" t="s">
        <v>573</v>
      </c>
      <c r="B40">
        <v>1.575E-3</v>
      </c>
    </row>
    <row r="41" spans="1:8" ht="14.25" customHeight="1" x14ac:dyDescent="0.3">
      <c r="A41" t="s">
        <v>579</v>
      </c>
      <c r="B41" s="9">
        <v>3.15E-2</v>
      </c>
    </row>
    <row r="42" spans="1:8" ht="14.25" customHeight="1" x14ac:dyDescent="0.3">
      <c r="A42" t="s">
        <v>575</v>
      </c>
      <c r="B42" s="10" t="s">
        <v>543</v>
      </c>
      <c r="C42" t="s">
        <v>580</v>
      </c>
    </row>
    <row r="43" spans="1:8" ht="14.25" customHeight="1" x14ac:dyDescent="0.3">
      <c r="A43" t="str">
        <f>IF(Dashboard!$B$36="YES","  2nd: Option "&amp;IF($H$15&lt;=$H$28,"B","A")&amp;" (CVaR = "&amp;TEXT(MAX($H$15,$H$28),"0.000")&amp;")","")</f>
        <v/>
      </c>
    </row>
    <row r="44" spans="1:8" ht="14.25" customHeight="1" x14ac:dyDescent="0.3"/>
    <row r="45" spans="1:8" ht="14.25" customHeight="1" x14ac:dyDescent="0.3">
      <c r="A45" s="30" t="s">
        <v>581</v>
      </c>
    </row>
    <row r="46" spans="1:8" ht="14.25" customHeight="1" x14ac:dyDescent="0.3">
      <c r="A46" t="s">
        <v>582</v>
      </c>
    </row>
    <row r="47" spans="1:8" ht="14.25" customHeight="1" x14ac:dyDescent="0.3">
      <c r="A47" t="s">
        <v>583</v>
      </c>
    </row>
    <row r="48" spans="1:8" ht="14.25" customHeight="1" x14ac:dyDescent="0.3">
      <c r="A48" t="s">
        <v>584</v>
      </c>
    </row>
    <row r="49" spans="1:1" ht="14.25" customHeight="1" x14ac:dyDescent="0.3"/>
    <row r="50" spans="1:1" ht="14.25" customHeight="1" x14ac:dyDescent="0.3"/>
    <row r="51" spans="1:1" ht="13.5" customHeight="1" x14ac:dyDescent="0.3"/>
    <row r="52" spans="1:1" ht="14.25" customHeight="1" x14ac:dyDescent="0.3">
      <c r="A52" s="29"/>
    </row>
    <row r="53" spans="1:1" ht="14.25" customHeight="1" x14ac:dyDescent="0.3"/>
    <row r="54" spans="1:1" ht="14.25" customHeight="1" x14ac:dyDescent="0.3"/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6"/>
  <sheetViews>
    <sheetView zoomScaleNormal="100" workbookViewId="0"/>
  </sheetViews>
  <sheetFormatPr defaultColWidth="8.6640625" defaultRowHeight="14.4" x14ac:dyDescent="0.3"/>
  <sheetData>
    <row r="1" spans="1:12" ht="14.25" customHeight="1" x14ac:dyDescent="0.3">
      <c r="A1" s="50" t="s">
        <v>585</v>
      </c>
      <c r="B1" s="49"/>
      <c r="C1" s="49"/>
      <c r="D1" s="49"/>
      <c r="E1" s="49"/>
      <c r="F1" s="49"/>
      <c r="G1" s="49"/>
      <c r="H1" s="49"/>
    </row>
    <row r="2" spans="1:12" ht="14.25" customHeight="1" x14ac:dyDescent="0.3">
      <c r="J2" t="s">
        <v>586</v>
      </c>
    </row>
    <row r="3" spans="1:12" ht="14.25" customHeight="1" x14ac:dyDescent="0.3">
      <c r="A3" t="s">
        <v>587</v>
      </c>
      <c r="J3" t="s">
        <v>330</v>
      </c>
      <c r="K3">
        <f>CANON!B23</f>
        <v>0.05</v>
      </c>
    </row>
    <row r="4" spans="1:12" ht="14.25" customHeight="1" x14ac:dyDescent="0.3">
      <c r="A4" t="str">
        <f>"θ_pos = "&amp;TEXT(Parameters!$B$28,"0.00")&amp;" | τ_c = "&amp;TEXT(Parameters!$B$27,"0.00")</f>
        <v>θ_pos = 0.05 | τ_c = -0.10</v>
      </c>
      <c r="J4" t="s">
        <v>588</v>
      </c>
      <c r="K4">
        <f>CANON!B24</f>
        <v>-0.1</v>
      </c>
    </row>
    <row r="5" spans="1:12" ht="14.25" customHeight="1" x14ac:dyDescent="0.3">
      <c r="A5" s="28" t="str">
        <f>IF(Dashboard!$B$36="YES","NOTE: Informational only (TRC fallback active).","NOTE: Normal mode (containment evaluated for admissible options).")</f>
        <v>NOTE: Normal mode (containment evaluated for admissible options).</v>
      </c>
      <c r="J5" t="s">
        <v>359</v>
      </c>
      <c r="K5" t="s">
        <v>589</v>
      </c>
      <c r="L5" t="s">
        <v>590</v>
      </c>
    </row>
    <row r="6" spans="1:12" ht="14.25" customHeight="1" x14ac:dyDescent="0.3">
      <c r="J6" t="s">
        <v>361</v>
      </c>
      <c r="K6">
        <f>(I_prop!B7+I_prop!C7+I_prop!D7+I_prop!E7+I_prop!F7+I_prop!G7+I_prop!H7)/7</f>
        <v>5.6038248588652438E-2</v>
      </c>
      <c r="L6">
        <f>(I_prop!B18+I_prop!C18+I_prop!D18+I_prop!E18+I_prop!F18+I_prop!G18+I_prop!H18)/7</f>
        <v>-6.6190810958048057E-3</v>
      </c>
    </row>
    <row r="7" spans="1:12" ht="14.25" customHeight="1" x14ac:dyDescent="0.3">
      <c r="A7" s="7" t="s">
        <v>591</v>
      </c>
      <c r="J7" t="s">
        <v>363</v>
      </c>
      <c r="K7">
        <f>(I_prop!B8+I_prop!C8+I_prop!D8+I_prop!E8+I_prop!F8+I_prop!G8+I_prop!H8)/7</f>
        <v>6.5945966048698342E-3</v>
      </c>
      <c r="L7">
        <f>(I_prop!B19+I_prop!C19+I_prop!D19+I_prop!E19+I_prop!F19+I_prop!G19+I_prop!H19)/7</f>
        <v>-2.6394143482197023E-3</v>
      </c>
    </row>
    <row r="8" spans="1:12" ht="14.25" customHeight="1" x14ac:dyDescent="0.3">
      <c r="A8" s="7" t="s">
        <v>359</v>
      </c>
      <c r="B8" s="7">
        <v>5.6000000000000001E-2</v>
      </c>
      <c r="C8" s="7" t="s">
        <v>56</v>
      </c>
      <c r="J8" t="s">
        <v>364</v>
      </c>
      <c r="K8">
        <f>(I_prop!B9+I_prop!C9+I_prop!D9+I_prop!E9+I_prop!F9+I_prop!G9+I_prop!H9)/7</f>
        <v>-1.4360137305385731E-2</v>
      </c>
      <c r="L8">
        <f>(I_prop!B20+I_prop!C20+I_prop!D20+I_prop!E20+I_prop!F20+I_prop!G20+I_prop!H20)/7</f>
        <v>1.0673339936298081E-2</v>
      </c>
    </row>
    <row r="9" spans="1:12" ht="14.25" customHeight="1" x14ac:dyDescent="0.3">
      <c r="A9" t="s">
        <v>361</v>
      </c>
      <c r="B9" s="23">
        <v>6.6E-3</v>
      </c>
      <c r="C9" t="s">
        <v>16</v>
      </c>
      <c r="J9" t="s">
        <v>365</v>
      </c>
      <c r="K9">
        <f>(I_prop!B10+I_prop!C10+I_prop!D10+I_prop!E10+I_prop!F10+I_prop!G10+I_prop!H10)/7</f>
        <v>-1.2224205185128097E-2</v>
      </c>
      <c r="L9">
        <f>(I_prop!B21+I_prop!C21+I_prop!D21+I_prop!E21+I_prop!F21+I_prop!G21+I_prop!H21)/7</f>
        <v>1.458779374167458E-3</v>
      </c>
    </row>
    <row r="10" spans="1:12" ht="14.25" customHeight="1" x14ac:dyDescent="0.3">
      <c r="A10" t="s">
        <v>363</v>
      </c>
      <c r="B10" s="23">
        <v>-1.44E-2</v>
      </c>
      <c r="C10" t="s">
        <v>16</v>
      </c>
      <c r="J10" t="s">
        <v>366</v>
      </c>
      <c r="K10">
        <f>(I_prop!B11+I_prop!C11+I_prop!D11+I_prop!E11+I_prop!F11+I_prop!G11+I_prop!H11)/7</f>
        <v>0</v>
      </c>
      <c r="L10">
        <f>(I_prop!B22+I_prop!C22+I_prop!D22+I_prop!E22+I_prop!F22+I_prop!G22+I_prop!H22)/7</f>
        <v>0</v>
      </c>
    </row>
    <row r="11" spans="1:12" ht="14.25" customHeight="1" x14ac:dyDescent="0.3">
      <c r="A11" t="s">
        <v>364</v>
      </c>
      <c r="B11" s="23">
        <v>-1.2200000000000001E-2</v>
      </c>
      <c r="C11" t="s">
        <v>16</v>
      </c>
      <c r="J11" t="s">
        <v>367</v>
      </c>
      <c r="K11">
        <f>(I_prop!B12+I_prop!C12+I_prop!D12+I_prop!E12+I_prop!F12+I_prop!G12+I_prop!H12)/7</f>
        <v>0</v>
      </c>
      <c r="L11">
        <f>(I_prop!B23+I_prop!C23+I_prop!D23+I_prop!E23+I_prop!F23+I_prop!G23+I_prop!H23)/7</f>
        <v>0</v>
      </c>
    </row>
    <row r="12" spans="1:12" ht="14.25" customHeight="1" x14ac:dyDescent="0.3">
      <c r="A12" t="s">
        <v>365</v>
      </c>
      <c r="B12" s="23">
        <v>0</v>
      </c>
      <c r="C12" t="s">
        <v>16</v>
      </c>
      <c r="J12" t="s">
        <v>369</v>
      </c>
      <c r="K12">
        <f>(I_prop!B13+I_prop!C13+I_prop!D13+I_prop!E13+I_prop!F13+I_prop!G13+I_prop!H13)/7</f>
        <v>2.1880739939085531E-3</v>
      </c>
      <c r="L12">
        <f>(I_prop!B24+I_prop!C24+I_prop!D24+I_prop!E24+I_prop!F24+I_prop!G24+I_prop!H24)/7</f>
        <v>-1.4587793741674582E-3</v>
      </c>
    </row>
    <row r="13" spans="1:12" ht="14.25" customHeight="1" x14ac:dyDescent="0.3">
      <c r="A13" t="s">
        <v>366</v>
      </c>
      <c r="B13" s="23">
        <v>0</v>
      </c>
      <c r="C13" t="s">
        <v>16</v>
      </c>
    </row>
    <row r="14" spans="1:12" ht="14.25" customHeight="1" x14ac:dyDescent="0.3">
      <c r="A14" t="s">
        <v>367</v>
      </c>
      <c r="B14" s="23">
        <v>2.2000000000000001E-3</v>
      </c>
      <c r="C14" t="s">
        <v>16</v>
      </c>
      <c r="J14" t="s">
        <v>592</v>
      </c>
      <c r="K14" t="str">
        <f>IF(COUNTIF($K$6:$K$12,"&gt;="&amp;$K$3)=0,"PASS (vacuous)",IF(0&gt;=$K$4,"PASS","FAIL"))</f>
        <v>PASS</v>
      </c>
    </row>
    <row r="15" spans="1:12" ht="14.25" customHeight="1" x14ac:dyDescent="0.3">
      <c r="A15" t="s">
        <v>369</v>
      </c>
      <c r="B15" s="23"/>
      <c r="C15" t="s">
        <v>16</v>
      </c>
      <c r="J15" t="s">
        <v>593</v>
      </c>
      <c r="K15" t="str">
        <f>IF(COUNTIF($L$6:$L$12,"&gt;="&amp;$K$3)=0,"PASS (vacuous)",IF(0&gt;=$K$4,"PASS","FAIL"))</f>
        <v>PASS (vacuous)</v>
      </c>
    </row>
    <row r="16" spans="1:12" ht="14.25" customHeight="1" x14ac:dyDescent="0.3">
      <c r="A16" t="s">
        <v>594</v>
      </c>
    </row>
    <row r="17" spans="1:3" ht="14.25" customHeight="1" x14ac:dyDescent="0.3"/>
    <row r="18" spans="1:3" ht="14.25" customHeight="1" x14ac:dyDescent="0.3">
      <c r="A18" s="10" t="s">
        <v>595</v>
      </c>
    </row>
    <row r="19" spans="1:3" ht="13.5" customHeight="1" x14ac:dyDescent="0.3"/>
    <row r="20" spans="1:3" ht="14.25" customHeight="1" x14ac:dyDescent="0.3">
      <c r="A20" s="7" t="s">
        <v>596</v>
      </c>
    </row>
    <row r="21" spans="1:3" ht="14.25" customHeight="1" x14ac:dyDescent="0.3">
      <c r="A21" s="7" t="s">
        <v>359</v>
      </c>
      <c r="B21" s="7">
        <v>-6.6E-3</v>
      </c>
      <c r="C21" s="7" t="s">
        <v>16</v>
      </c>
    </row>
    <row r="22" spans="1:3" ht="14.25" customHeight="1" x14ac:dyDescent="0.3">
      <c r="A22" t="s">
        <v>361</v>
      </c>
      <c r="B22">
        <v>-2.5999999999999999E-3</v>
      </c>
      <c r="C22" t="s">
        <v>16</v>
      </c>
    </row>
    <row r="23" spans="1:3" ht="14.25" customHeight="1" x14ac:dyDescent="0.3">
      <c r="A23" t="s">
        <v>363</v>
      </c>
      <c r="B23">
        <v>1.0699999999999999E-2</v>
      </c>
      <c r="C23" t="s">
        <v>16</v>
      </c>
    </row>
    <row r="24" spans="1:3" ht="14.25" customHeight="1" x14ac:dyDescent="0.3">
      <c r="A24" t="s">
        <v>364</v>
      </c>
      <c r="B24" s="23">
        <v>1.5E-3</v>
      </c>
      <c r="C24" t="s">
        <v>16</v>
      </c>
    </row>
    <row r="25" spans="1:3" ht="14.25" customHeight="1" x14ac:dyDescent="0.3">
      <c r="A25" t="s">
        <v>365</v>
      </c>
      <c r="B25" s="23">
        <v>0</v>
      </c>
      <c r="C25" t="s">
        <v>16</v>
      </c>
    </row>
    <row r="26" spans="1:3" ht="14.25" customHeight="1" x14ac:dyDescent="0.3">
      <c r="A26" t="s">
        <v>366</v>
      </c>
      <c r="B26" s="23">
        <v>0</v>
      </c>
      <c r="C26" t="s">
        <v>16</v>
      </c>
    </row>
    <row r="27" spans="1:3" ht="14.25" customHeight="1" x14ac:dyDescent="0.3">
      <c r="A27" t="s">
        <v>367</v>
      </c>
      <c r="B27" s="23">
        <v>-1.5E-3</v>
      </c>
      <c r="C27" t="s">
        <v>16</v>
      </c>
    </row>
    <row r="28" spans="1:3" ht="14.25" customHeight="1" x14ac:dyDescent="0.3">
      <c r="A28" t="s">
        <v>369</v>
      </c>
      <c r="B28" s="23"/>
      <c r="C28" t="s">
        <v>16</v>
      </c>
    </row>
    <row r="29" spans="1:3" ht="14.25" customHeight="1" x14ac:dyDescent="0.3">
      <c r="A29" t="s">
        <v>597</v>
      </c>
      <c r="B29" s="23"/>
    </row>
    <row r="30" spans="1:3" ht="14.25" customHeight="1" x14ac:dyDescent="0.3">
      <c r="A30" t="s">
        <v>598</v>
      </c>
      <c r="B30" s="23"/>
    </row>
    <row r="31" spans="1:3" ht="14.25" customHeight="1" x14ac:dyDescent="0.3">
      <c r="A31" s="10" t="s">
        <v>598</v>
      </c>
    </row>
    <row r="32" spans="1:3" ht="14.25" customHeight="1" x14ac:dyDescent="0.3">
      <c r="A32" t="s">
        <v>599</v>
      </c>
    </row>
    <row r="33" spans="1:1" ht="14.25" customHeight="1" x14ac:dyDescent="0.3">
      <c r="A33" s="7" t="s">
        <v>600</v>
      </c>
    </row>
    <row r="34" spans="1:1" ht="14.25" customHeight="1" x14ac:dyDescent="0.3">
      <c r="A34" t="s">
        <v>601</v>
      </c>
    </row>
    <row r="35" spans="1:1" ht="14.25" customHeight="1" x14ac:dyDescent="0.3">
      <c r="A35" t="str">
        <f>IF(Dashboard!$B$36="YES","NOTE: Informational only (TRC fallback active).","NOTE: Normal mode (containment evaluated for admissible options).")</f>
        <v>NOTE: Normal mode (containment evaluated for admissible options).</v>
      </c>
    </row>
    <row r="36" spans="1:1" ht="14.25" customHeight="1" x14ac:dyDescent="0.3">
      <c r="A36" s="28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3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602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t="s">
        <v>603</v>
      </c>
    </row>
    <row r="4" spans="1:10" ht="14.25" customHeight="1" x14ac:dyDescent="0.3">
      <c r="A4" t="s">
        <v>604</v>
      </c>
    </row>
    <row r="5" spans="1:10" ht="14.25" customHeight="1" x14ac:dyDescent="0.3">
      <c r="A5" s="28"/>
      <c r="B5">
        <v>5.4619999999999998E-3</v>
      </c>
    </row>
    <row r="6" spans="1:10" ht="14.25" customHeight="1" x14ac:dyDescent="0.3">
      <c r="B6">
        <v>2.02E-4</v>
      </c>
      <c r="C6" s="23">
        <f>B61</f>
        <v>5.4623680995595815E-3</v>
      </c>
    </row>
    <row r="7" spans="1:10" ht="14.25" customHeight="1" x14ac:dyDescent="0.3">
      <c r="A7" s="7" t="s">
        <v>605</v>
      </c>
      <c r="B7" t="s">
        <v>606</v>
      </c>
      <c r="C7" s="23">
        <f>B62</f>
        <v>2.0212064175336813E-4</v>
      </c>
    </row>
    <row r="8" spans="1:10" ht="13.5" customHeight="1" x14ac:dyDescent="0.3"/>
    <row r="9" spans="1:10" ht="14.25" customHeight="1" x14ac:dyDescent="0.3">
      <c r="A9" t="s">
        <v>607</v>
      </c>
    </row>
    <row r="10" spans="1:10" ht="14.25" customHeight="1" x14ac:dyDescent="0.3">
      <c r="A10" t="s">
        <v>608</v>
      </c>
      <c r="B10">
        <v>0.13800000000000001</v>
      </c>
      <c r="C10" s="31">
        <v>2.82E-3</v>
      </c>
    </row>
    <row r="11" spans="1:10" ht="14.25" customHeight="1" x14ac:dyDescent="0.3">
      <c r="A11" t="s">
        <v>609</v>
      </c>
      <c r="B11">
        <v>9.8000000000000004E-2</v>
      </c>
      <c r="C11" s="31">
        <v>2E-3</v>
      </c>
    </row>
    <row r="12" spans="1:10" ht="14.25" customHeight="1" x14ac:dyDescent="0.3">
      <c r="A12" t="s">
        <v>610</v>
      </c>
      <c r="B12" s="23">
        <f>INDEX(I_prop!$B$7:$H$13, MATCH("U2", I_prop!$A$7:$A$13,0), MATCH("D1", I_prop!$B$6:$H$6,0))</f>
        <v>4.6162176234088838E-2</v>
      </c>
      <c r="C12" s="31"/>
    </row>
    <row r="13" spans="1:10" ht="14.25" customHeight="1" x14ac:dyDescent="0.3">
      <c r="A13" t="s">
        <v>611</v>
      </c>
      <c r="B13" s="23">
        <f>INDEX(I_prop!$B$7:$H$13, MATCH("U3", I_prop!$A$7:$A$13,0), MATCH("D1", I_prop!$B$6:$H$6,0))</f>
        <v>-1.9795274322161643E-2</v>
      </c>
      <c r="C13" s="31"/>
    </row>
    <row r="14" spans="1:10" ht="14.25" customHeight="1" x14ac:dyDescent="0.3">
      <c r="A14" t="s">
        <v>612</v>
      </c>
      <c r="B14" s="23">
        <f>INDEX(I_prop!$B$7:$H$13, MATCH("U3", I_prop!$A$7:$A$13,0), MATCH("D3", I_prop!$B$6:$H$6,0))</f>
        <v>-8.0725686815538475E-2</v>
      </c>
      <c r="C14" s="31"/>
    </row>
    <row r="15" spans="1:10" ht="14.25" customHeight="1" x14ac:dyDescent="0.3">
      <c r="A15" t="s">
        <v>613</v>
      </c>
      <c r="B15" s="23">
        <f>INDEX(I_prop!$B$7:$H$13, MATCH("U4", I_prop!$A$7:$A$13,0), MATCH("D1", I_prop!$B$6:$H$6,0))</f>
        <v>-8.5569436295896681E-2</v>
      </c>
      <c r="C15" s="31"/>
    </row>
    <row r="16" spans="1:10" ht="14.25" customHeight="1" x14ac:dyDescent="0.3">
      <c r="A16" t="s">
        <v>614</v>
      </c>
      <c r="B16" s="23">
        <f>INDEX(I_prop!$B$7:$H$13, MATCH("U7", I_prop!$A$7:$A$13,0), MATCH("D7", I_prop!$B$6:$H$6,0))</f>
        <v>1.5316517957359872E-2</v>
      </c>
      <c r="C16" s="31"/>
    </row>
    <row r="17" spans="1:3" ht="14.25" customHeight="1" x14ac:dyDescent="0.3">
      <c r="A17" t="s">
        <v>615</v>
      </c>
    </row>
    <row r="18" spans="1:3" ht="14.25" customHeight="1" x14ac:dyDescent="0.3">
      <c r="A18" s="16"/>
    </row>
    <row r="19" spans="1:3" ht="13.5" customHeight="1" x14ac:dyDescent="0.3"/>
    <row r="20" spans="1:3" ht="13.5" customHeight="1" x14ac:dyDescent="0.3"/>
    <row r="21" spans="1:3" ht="14.25" customHeight="1" x14ac:dyDescent="0.3">
      <c r="A21" s="7" t="s">
        <v>616</v>
      </c>
    </row>
    <row r="22" spans="1:3" ht="14.25" customHeight="1" x14ac:dyDescent="0.3">
      <c r="A22" t="s">
        <v>608</v>
      </c>
      <c r="B22">
        <v>-7.2999999999999995E-2</v>
      </c>
      <c r="C22" s="31">
        <v>-1.49E-3</v>
      </c>
    </row>
    <row r="23" spans="1:3" ht="14.25" customHeight="1" x14ac:dyDescent="0.3">
      <c r="A23" t="s">
        <v>610</v>
      </c>
      <c r="B23" s="23">
        <f>INDEX(I_prop!$B$18:$H$24, MATCH("U2", I_prop!$A$18:$A$24,0), MATCH("D1", I_prop!$B$17:$H$17,0))</f>
        <v>-1.8475900437537916E-2</v>
      </c>
      <c r="C23" s="31"/>
    </row>
    <row r="24" spans="1:3" ht="14.25" customHeight="1" x14ac:dyDescent="0.3">
      <c r="A24" t="s">
        <v>611</v>
      </c>
      <c r="B24" s="23">
        <f>INDEX(I_prop!$B$18:$H$24, MATCH("U3", I_prop!$A$18:$A$24,0), MATCH("D1", I_prop!$B$17:$H$17,0))</f>
        <v>1.3197807340577425E-2</v>
      </c>
      <c r="C24" s="31"/>
    </row>
    <row r="25" spans="1:3" ht="14.25" customHeight="1" x14ac:dyDescent="0.3">
      <c r="A25" t="s">
        <v>612</v>
      </c>
      <c r="B25" s="23">
        <f>INDEX(I_prop!$B$18:$H$24, MATCH("U3", I_prop!$A$18:$A$24,0), MATCH("D3", I_prop!$B$17:$H$17,0))</f>
        <v>6.1515572213509145E-2</v>
      </c>
      <c r="C25" s="31"/>
    </row>
    <row r="26" spans="1:3" ht="14.25" customHeight="1" x14ac:dyDescent="0.3">
      <c r="A26" t="s">
        <v>613</v>
      </c>
      <c r="B26" s="23">
        <f>INDEX(I_prop!$B$18:$H$24, MATCH("U4", I_prop!$A$18:$A$24,0), MATCH("D1", I_prop!$B$17:$H$17,0))</f>
        <v>1.0211455619172206E-2</v>
      </c>
      <c r="C26" s="31"/>
    </row>
    <row r="27" spans="1:3" ht="14.25" customHeight="1" x14ac:dyDescent="0.3">
      <c r="A27" t="s">
        <v>614</v>
      </c>
      <c r="B27" s="23">
        <f>INDEX(I_prop!$B$18:$H$24, MATCH("U7", I_prop!$A$18:$A$24,0), MATCH("D7", I_prop!$B$17:$H$17,0))</f>
        <v>-1.0211455619172208E-2</v>
      </c>
      <c r="C27" s="31"/>
    </row>
    <row r="28" spans="1:3" ht="14.25" customHeight="1" x14ac:dyDescent="0.3">
      <c r="A28" t="s">
        <v>617</v>
      </c>
    </row>
    <row r="29" spans="1:3" ht="14.25" customHeight="1" x14ac:dyDescent="0.3">
      <c r="A29" s="16"/>
    </row>
    <row r="30" spans="1:3" ht="13.5" customHeight="1" x14ac:dyDescent="0.3"/>
    <row r="31" spans="1:3" ht="13.5" customHeight="1" x14ac:dyDescent="0.3"/>
    <row r="32" spans="1:3" ht="14.25" customHeight="1" x14ac:dyDescent="0.3">
      <c r="A32" s="7" t="s">
        <v>618</v>
      </c>
    </row>
    <row r="33" spans="1:1" ht="14.25" customHeight="1" x14ac:dyDescent="0.3">
      <c r="A33" t="s">
        <v>615</v>
      </c>
    </row>
    <row r="34" spans="1:1" ht="14.25" customHeight="1" x14ac:dyDescent="0.3">
      <c r="A34" t="s">
        <v>617</v>
      </c>
    </row>
    <row r="35" spans="1:1" ht="14.25" customHeight="1" x14ac:dyDescent="0.3">
      <c r="A35" t="s">
        <v>619</v>
      </c>
    </row>
    <row r="36" spans="1:1" ht="14.25" customHeight="1" x14ac:dyDescent="0.3">
      <c r="A36" t="s">
        <v>620</v>
      </c>
    </row>
    <row r="37" spans="1:1" ht="14.25" customHeight="1" x14ac:dyDescent="0.3">
      <c r="A37" t="str">
        <f>"Gap/√(2σ²+ε) = "&amp;TEXT(ABS(CANON!B63-CANON!B64)/SQRT(2*CANON!B26^2+0.000001),"0.000")&amp;" &lt; δ = "&amp;TEXT(CANON!B22,"0.###")</f>
        <v>Gap/√(2σ²+ε) = 0.186 &lt; δ = 2.</v>
      </c>
    </row>
    <row r="38" spans="1:1" ht="14.25" customHeight="1" x14ac:dyDescent="0.3">
      <c r="A38" t="s">
        <v>621</v>
      </c>
    </row>
    <row r="39" spans="1:1" ht="14.25" customHeight="1" x14ac:dyDescent="0.3">
      <c r="A39" s="28" t="s">
        <v>622</v>
      </c>
    </row>
    <row r="40" spans="1:1" ht="13.5" customHeight="1" x14ac:dyDescent="0.3"/>
    <row r="41" spans="1:1" ht="14.25" customHeight="1" x14ac:dyDescent="0.3">
      <c r="A41" s="7" t="s">
        <v>623</v>
      </c>
    </row>
    <row r="42" spans="1:1" ht="14.25" customHeight="1" x14ac:dyDescent="0.3">
      <c r="A42" t="s">
        <v>624</v>
      </c>
    </row>
    <row r="43" spans="1:1" ht="14.25" customHeight="1" x14ac:dyDescent="0.3">
      <c r="A43" s="28"/>
    </row>
    <row r="44" spans="1:1" ht="14.25" customHeight="1" x14ac:dyDescent="0.3">
      <c r="A44" t="s">
        <v>625</v>
      </c>
    </row>
    <row r="45" spans="1:1" ht="13.5" customHeight="1" x14ac:dyDescent="0.3"/>
    <row r="46" spans="1:1" ht="13.5" customHeight="1" x14ac:dyDescent="0.3"/>
    <row r="47" spans="1:1" ht="13.5" customHeight="1" x14ac:dyDescent="0.3"/>
    <row r="48" spans="1:1" ht="13.5" customHeight="1" x14ac:dyDescent="0.3"/>
    <row r="49" spans="1:9" ht="13.5" customHeight="1" x14ac:dyDescent="0.3"/>
    <row r="50" spans="1:9" ht="14.25" customHeight="1" x14ac:dyDescent="0.3">
      <c r="A50" t="s">
        <v>626</v>
      </c>
    </row>
    <row r="51" spans="1:9" ht="14.25" customHeight="1" x14ac:dyDescent="0.3">
      <c r="B51" t="s">
        <v>372</v>
      </c>
      <c r="C51" t="s">
        <v>362</v>
      </c>
      <c r="D51" t="s">
        <v>371</v>
      </c>
      <c r="E51" t="s">
        <v>373</v>
      </c>
      <c r="F51" t="s">
        <v>370</v>
      </c>
      <c r="G51" t="s">
        <v>457</v>
      </c>
      <c r="H51" t="s">
        <v>368</v>
      </c>
      <c r="I51" t="s">
        <v>627</v>
      </c>
    </row>
    <row r="52" spans="1:9" ht="14.25" customHeight="1" x14ac:dyDescent="0.3">
      <c r="A52" t="s">
        <v>359</v>
      </c>
      <c r="B52" s="23">
        <f>Parameters!$B$48</f>
        <v>0.14285714285714299</v>
      </c>
      <c r="C52" s="23">
        <f>Parameters!$B$49</f>
        <v>0.14285714285714299</v>
      </c>
      <c r="D52" s="23">
        <f>Parameters!$B$50</f>
        <v>0.14285714285714299</v>
      </c>
      <c r="E52" s="23">
        <f>Parameters!$B$51</f>
        <v>0.14285714285714299</v>
      </c>
      <c r="F52" s="23">
        <f>Parameters!$B$52</f>
        <v>0.14285714285714299</v>
      </c>
      <c r="G52" s="23">
        <f>Parameters!$B$53</f>
        <v>0.14285714285714299</v>
      </c>
      <c r="H52" s="23">
        <f>Parameters!$B$54</f>
        <v>0.14285714285714299</v>
      </c>
    </row>
    <row r="53" spans="1:9" ht="14.25" customHeight="1" x14ac:dyDescent="0.3">
      <c r="A53" t="s">
        <v>361</v>
      </c>
      <c r="B53" s="23">
        <f t="shared" ref="B53:H53" si="0">$I53*B52</f>
        <v>2.0408163265306159E-2</v>
      </c>
      <c r="C53" s="23">
        <f t="shared" si="0"/>
        <v>2.0408163265306159E-2</v>
      </c>
      <c r="D53" s="23">
        <f t="shared" si="0"/>
        <v>2.0408163265306159E-2</v>
      </c>
      <c r="E53" s="23">
        <f t="shared" si="0"/>
        <v>2.0408163265306159E-2</v>
      </c>
      <c r="F53" s="23">
        <f t="shared" si="0"/>
        <v>2.0408163265306159E-2</v>
      </c>
      <c r="G53" s="23">
        <f t="shared" si="0"/>
        <v>2.0408163265306159E-2</v>
      </c>
      <c r="H53" s="23">
        <f t="shared" si="0"/>
        <v>2.0408163265306159E-2</v>
      </c>
      <c r="I53" s="23">
        <f>Parameters!$B$38</f>
        <v>0.14285714285714299</v>
      </c>
    </row>
    <row r="54" spans="1:9" ht="14.25" customHeight="1" x14ac:dyDescent="0.3">
      <c r="A54" t="s">
        <v>363</v>
      </c>
      <c r="B54" s="23">
        <f t="shared" ref="B54:H54" si="1">$I54*B52</f>
        <v>2.0408163265306159E-2</v>
      </c>
      <c r="C54" s="23">
        <f t="shared" si="1"/>
        <v>2.0408163265306159E-2</v>
      </c>
      <c r="D54" s="23">
        <f t="shared" si="1"/>
        <v>2.0408163265306159E-2</v>
      </c>
      <c r="E54" s="23">
        <f t="shared" si="1"/>
        <v>2.0408163265306159E-2</v>
      </c>
      <c r="F54" s="23">
        <f t="shared" si="1"/>
        <v>2.0408163265306159E-2</v>
      </c>
      <c r="G54" s="23">
        <f t="shared" si="1"/>
        <v>2.0408163265306159E-2</v>
      </c>
      <c r="H54" s="23">
        <f t="shared" si="1"/>
        <v>2.0408163265306159E-2</v>
      </c>
      <c r="I54" s="23">
        <f>Parameters!$B$39</f>
        <v>0.14285714285714299</v>
      </c>
    </row>
    <row r="55" spans="1:9" ht="14.25" customHeight="1" x14ac:dyDescent="0.3">
      <c r="A55" t="s">
        <v>364</v>
      </c>
      <c r="B55" s="23">
        <f t="shared" ref="B55:H55" si="2">$I55*B52</f>
        <v>2.0408163265306159E-2</v>
      </c>
      <c r="C55" s="23">
        <f t="shared" si="2"/>
        <v>2.0408163265306159E-2</v>
      </c>
      <c r="D55" s="23">
        <f t="shared" si="2"/>
        <v>2.0408163265306159E-2</v>
      </c>
      <c r="E55" s="23">
        <f t="shared" si="2"/>
        <v>2.0408163265306159E-2</v>
      </c>
      <c r="F55" s="23">
        <f t="shared" si="2"/>
        <v>2.0408163265306159E-2</v>
      </c>
      <c r="G55" s="23">
        <f t="shared" si="2"/>
        <v>2.0408163265306159E-2</v>
      </c>
      <c r="H55" s="23">
        <f t="shared" si="2"/>
        <v>2.0408163265306159E-2</v>
      </c>
      <c r="I55" s="23">
        <f>Parameters!$B$40</f>
        <v>0.14285714285714299</v>
      </c>
    </row>
    <row r="56" spans="1:9" ht="14.25" customHeight="1" x14ac:dyDescent="0.3">
      <c r="A56" t="s">
        <v>365</v>
      </c>
      <c r="B56" s="23">
        <f t="shared" ref="B56:H56" si="3">$I56*B52</f>
        <v>2.0408163265306159E-2</v>
      </c>
      <c r="C56" s="23">
        <f t="shared" si="3"/>
        <v>2.0408163265306159E-2</v>
      </c>
      <c r="D56" s="23">
        <f t="shared" si="3"/>
        <v>2.0408163265306159E-2</v>
      </c>
      <c r="E56" s="23">
        <f t="shared" si="3"/>
        <v>2.0408163265306159E-2</v>
      </c>
      <c r="F56" s="23">
        <f t="shared" si="3"/>
        <v>2.0408163265306159E-2</v>
      </c>
      <c r="G56" s="23">
        <f t="shared" si="3"/>
        <v>2.0408163265306159E-2</v>
      </c>
      <c r="H56" s="23">
        <f t="shared" si="3"/>
        <v>2.0408163265306159E-2</v>
      </c>
      <c r="I56" s="23">
        <f>Parameters!$B$41</f>
        <v>0.14285714285714299</v>
      </c>
    </row>
    <row r="57" spans="1:9" ht="14.25" customHeight="1" x14ac:dyDescent="0.3">
      <c r="A57" t="s">
        <v>366</v>
      </c>
      <c r="B57" s="23">
        <f t="shared" ref="B57:H57" si="4">$I57*B52</f>
        <v>2.0408163265306159E-2</v>
      </c>
      <c r="C57" s="23">
        <f t="shared" si="4"/>
        <v>2.0408163265306159E-2</v>
      </c>
      <c r="D57" s="23">
        <f t="shared" si="4"/>
        <v>2.0408163265306159E-2</v>
      </c>
      <c r="E57" s="23">
        <f t="shared" si="4"/>
        <v>2.0408163265306159E-2</v>
      </c>
      <c r="F57" s="23">
        <f t="shared" si="4"/>
        <v>2.0408163265306159E-2</v>
      </c>
      <c r="G57" s="23">
        <f t="shared" si="4"/>
        <v>2.0408163265306159E-2</v>
      </c>
      <c r="H57" s="23">
        <f t="shared" si="4"/>
        <v>2.0408163265306159E-2</v>
      </c>
      <c r="I57" s="23">
        <f>Parameters!$B$42</f>
        <v>0.14285714285714299</v>
      </c>
    </row>
    <row r="58" spans="1:9" ht="14.25" customHeight="1" x14ac:dyDescent="0.3">
      <c r="A58" t="s">
        <v>367</v>
      </c>
      <c r="B58" s="23">
        <f t="shared" ref="B58:H58" si="5">$I58*B52</f>
        <v>2.0408163265306159E-2</v>
      </c>
      <c r="C58" s="23">
        <f t="shared" si="5"/>
        <v>2.0408163265306159E-2</v>
      </c>
      <c r="D58" s="23">
        <f t="shared" si="5"/>
        <v>2.0408163265306159E-2</v>
      </c>
      <c r="E58" s="23">
        <f t="shared" si="5"/>
        <v>2.0408163265306159E-2</v>
      </c>
      <c r="F58" s="23">
        <f t="shared" si="5"/>
        <v>2.0408163265306159E-2</v>
      </c>
      <c r="G58" s="23">
        <f t="shared" si="5"/>
        <v>2.0408163265306159E-2</v>
      </c>
      <c r="H58" s="23">
        <f t="shared" si="5"/>
        <v>2.0408163265306159E-2</v>
      </c>
      <c r="I58" s="23">
        <f>Parameters!$B$43</f>
        <v>0.14285714285714299</v>
      </c>
    </row>
    <row r="59" spans="1:9" ht="14.25" customHeight="1" x14ac:dyDescent="0.3">
      <c r="A59" t="s">
        <v>369</v>
      </c>
      <c r="B59" s="23">
        <f t="shared" ref="B59:H59" si="6">$I59*B52</f>
        <v>2.0408163265306159E-2</v>
      </c>
      <c r="C59" s="23">
        <f t="shared" si="6"/>
        <v>2.0408163265306159E-2</v>
      </c>
      <c r="D59" s="23">
        <f t="shared" si="6"/>
        <v>2.0408163265306159E-2</v>
      </c>
      <c r="E59" s="23">
        <f t="shared" si="6"/>
        <v>2.0408163265306159E-2</v>
      </c>
      <c r="F59" s="23">
        <f t="shared" si="6"/>
        <v>2.0408163265306159E-2</v>
      </c>
      <c r="G59" s="23">
        <f t="shared" si="6"/>
        <v>2.0408163265306159E-2</v>
      </c>
      <c r="H59" s="23">
        <f t="shared" si="6"/>
        <v>2.0408163265306159E-2</v>
      </c>
      <c r="I59" s="23">
        <f>Parameters!$B$44</f>
        <v>0.14285714285714299</v>
      </c>
    </row>
    <row r="60" spans="1:9" ht="13.5" customHeight="1" x14ac:dyDescent="0.3"/>
    <row r="61" spans="1:9" ht="14.25" customHeight="1" x14ac:dyDescent="0.3">
      <c r="A61" t="s">
        <v>628</v>
      </c>
      <c r="B61" s="23">
        <f>SUMPRODUCT(I_prop!$B$7:$H$13, $B$53:$H$59)</f>
        <v>5.4623680995595815E-3</v>
      </c>
    </row>
    <row r="62" spans="1:9" ht="14.25" customHeight="1" x14ac:dyDescent="0.3">
      <c r="A62" t="s">
        <v>629</v>
      </c>
      <c r="B62" s="23">
        <f>SUMPRODUCT(I_prop!$B$18:$H$24, $B$53:$H$59)</f>
        <v>2.0212064175336813E-4</v>
      </c>
    </row>
    <row r="63" spans="1:9" ht="14.25" customHeight="1" x14ac:dyDescent="0.3">
      <c r="A63" t="s">
        <v>630</v>
      </c>
      <c r="B63" t="str">
        <f>IF(B61&gt;B62,"A",IF(B62&gt;B61,"B","TIE"))</f>
        <v>A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"/>
  <sheetViews>
    <sheetView zoomScaleNormal="100" workbookViewId="0"/>
  </sheetViews>
  <sheetFormatPr defaultColWidth="8.6640625" defaultRowHeight="14.4" x14ac:dyDescent="0.3"/>
  <sheetData>
    <row r="1" spans="1:8" ht="14.25" customHeight="1" x14ac:dyDescent="0.3">
      <c r="A1" s="50" t="s">
        <v>631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t="s">
        <v>632</v>
      </c>
    </row>
    <row r="4" spans="1:8" ht="14.25" customHeight="1" x14ac:dyDescent="0.3">
      <c r="A4" t="s">
        <v>633</v>
      </c>
    </row>
    <row r="5" spans="1:8" ht="14.25" customHeight="1" x14ac:dyDescent="0.3">
      <c r="A5" t="s">
        <v>634</v>
      </c>
    </row>
    <row r="6" spans="1:8" ht="14.25" customHeight="1" x14ac:dyDescent="0.3">
      <c r="A6" s="28"/>
    </row>
    <row r="7" spans="1:8" ht="13.5" customHeight="1" x14ac:dyDescent="0.3"/>
    <row r="8" spans="1:8" ht="14.25" customHeight="1" x14ac:dyDescent="0.3">
      <c r="A8" s="7" t="s">
        <v>635</v>
      </c>
    </row>
    <row r="9" spans="1:8" ht="14.25" customHeight="1" x14ac:dyDescent="0.3">
      <c r="A9" t="s">
        <v>636</v>
      </c>
    </row>
    <row r="10" spans="1:8" ht="14.25" customHeight="1" x14ac:dyDescent="0.3">
      <c r="A10" t="s">
        <v>637</v>
      </c>
    </row>
    <row r="11" spans="1:8" ht="14.25" customHeight="1" x14ac:dyDescent="0.3">
      <c r="A11" t="s">
        <v>638</v>
      </c>
    </row>
    <row r="12" spans="1:8" ht="14.25" customHeight="1" x14ac:dyDescent="0.3">
      <c r="A12" t="s">
        <v>639</v>
      </c>
    </row>
    <row r="13" spans="1:8" ht="14.25" customHeight="1" x14ac:dyDescent="0.3">
      <c r="A13" s="7" t="s">
        <v>359</v>
      </c>
      <c r="B13" s="7" t="s">
        <v>640</v>
      </c>
      <c r="C13" s="7" t="s">
        <v>641</v>
      </c>
      <c r="D13" s="7" t="s">
        <v>642</v>
      </c>
      <c r="E13" s="7" t="s">
        <v>643</v>
      </c>
      <c r="F13" s="7" t="s">
        <v>644</v>
      </c>
    </row>
    <row r="14" spans="1:8" ht="14.25" customHeight="1" x14ac:dyDescent="0.3">
      <c r="A14" t="s">
        <v>361</v>
      </c>
      <c r="B14">
        <v>0.7</v>
      </c>
      <c r="C14">
        <v>0.7</v>
      </c>
      <c r="D14">
        <v>0.7</v>
      </c>
      <c r="E14">
        <v>1</v>
      </c>
      <c r="F14" s="23">
        <f t="shared" ref="F14:F20" si="0">AVERAGE(B14:E14)</f>
        <v>0.77499999999999991</v>
      </c>
    </row>
    <row r="15" spans="1:8" ht="14.25" customHeight="1" x14ac:dyDescent="0.3">
      <c r="A15" t="s">
        <v>363</v>
      </c>
      <c r="B15">
        <v>0.7</v>
      </c>
      <c r="C15">
        <v>0.7</v>
      </c>
      <c r="D15">
        <v>0.7</v>
      </c>
      <c r="E15">
        <v>0.7</v>
      </c>
      <c r="F15" s="23">
        <f t="shared" si="0"/>
        <v>0.7</v>
      </c>
    </row>
    <row r="16" spans="1:8" ht="14.25" customHeight="1" x14ac:dyDescent="0.3">
      <c r="A16" t="s">
        <v>364</v>
      </c>
      <c r="B16">
        <v>0.7</v>
      </c>
      <c r="C16">
        <v>0.7</v>
      </c>
      <c r="D16">
        <v>0.7</v>
      </c>
      <c r="E16">
        <v>0.7</v>
      </c>
      <c r="F16" s="23">
        <f t="shared" si="0"/>
        <v>0.7</v>
      </c>
    </row>
    <row r="17" spans="1:6" ht="14.25" customHeight="1" x14ac:dyDescent="0.3">
      <c r="A17" t="s">
        <v>365</v>
      </c>
      <c r="B17">
        <v>0.7</v>
      </c>
      <c r="C17">
        <v>0.7</v>
      </c>
      <c r="D17">
        <v>0.7</v>
      </c>
      <c r="E17">
        <v>0.7</v>
      </c>
      <c r="F17" s="23">
        <f t="shared" si="0"/>
        <v>0.7</v>
      </c>
    </row>
    <row r="18" spans="1:6" ht="14.25" customHeight="1" x14ac:dyDescent="0.3">
      <c r="A18" t="s">
        <v>366</v>
      </c>
      <c r="B18">
        <v>0.7</v>
      </c>
      <c r="C18">
        <v>0.7</v>
      </c>
      <c r="D18">
        <v>0.7</v>
      </c>
      <c r="E18">
        <v>0.7</v>
      </c>
      <c r="F18" s="23">
        <f t="shared" si="0"/>
        <v>0.7</v>
      </c>
    </row>
    <row r="19" spans="1:6" ht="14.25" customHeight="1" x14ac:dyDescent="0.3">
      <c r="A19" t="s">
        <v>367</v>
      </c>
      <c r="B19">
        <v>0.7</v>
      </c>
      <c r="C19">
        <v>0.7</v>
      </c>
      <c r="D19">
        <v>0.7</v>
      </c>
      <c r="E19">
        <v>0.7</v>
      </c>
      <c r="F19" s="23">
        <f t="shared" si="0"/>
        <v>0.7</v>
      </c>
    </row>
    <row r="20" spans="1:6" ht="14.25" customHeight="1" x14ac:dyDescent="0.3">
      <c r="A20" t="s">
        <v>369</v>
      </c>
      <c r="B20">
        <v>0.7</v>
      </c>
      <c r="C20">
        <v>0.7</v>
      </c>
      <c r="D20">
        <v>0.7</v>
      </c>
      <c r="E20">
        <v>0.7</v>
      </c>
      <c r="F20" s="23">
        <f t="shared" si="0"/>
        <v>0.7</v>
      </c>
    </row>
    <row r="21" spans="1:6" ht="13.5" customHeight="1" x14ac:dyDescent="0.3"/>
    <row r="22" spans="1:6" ht="14.25" customHeight="1" x14ac:dyDescent="0.3">
      <c r="A22" s="7" t="s">
        <v>645</v>
      </c>
      <c r="B22" s="23">
        <f>AVERAGE(F14:F20)</f>
        <v>0.71071428571428574</v>
      </c>
    </row>
    <row r="23" spans="1:6" ht="14.25" customHeight="1" x14ac:dyDescent="0.3">
      <c r="A23" t="s">
        <v>646</v>
      </c>
    </row>
    <row r="24" spans="1:6" ht="14.25" customHeight="1" x14ac:dyDescent="0.3">
      <c r="A24" t="s">
        <v>647</v>
      </c>
    </row>
    <row r="25" spans="1:6" ht="13.5" customHeight="1" x14ac:dyDescent="0.3"/>
    <row r="26" spans="1:6" ht="14.25" customHeight="1" x14ac:dyDescent="0.3">
      <c r="A26" s="7" t="s">
        <v>648</v>
      </c>
    </row>
    <row r="27" spans="1:6" ht="14.25" customHeight="1" x14ac:dyDescent="0.3">
      <c r="A27" t="s">
        <v>649</v>
      </c>
    </row>
    <row r="28" spans="1:6" ht="14.25" customHeight="1" x14ac:dyDescent="0.3">
      <c r="A28" s="10" t="s">
        <v>650</v>
      </c>
    </row>
    <row r="29" spans="1:6" ht="14.25" customHeight="1" x14ac:dyDescent="0.3">
      <c r="A29" t="s">
        <v>651</v>
      </c>
    </row>
    <row r="30" spans="1:6" ht="14.25" customHeight="1" x14ac:dyDescent="0.3">
      <c r="A30" s="7" t="s">
        <v>652</v>
      </c>
    </row>
    <row r="31" spans="1:6" ht="14.25" customHeight="1" x14ac:dyDescent="0.3">
      <c r="A31" s="28" t="s">
        <v>653</v>
      </c>
    </row>
    <row r="32" spans="1:6" ht="14.25" customHeight="1" x14ac:dyDescent="0.3">
      <c r="A32" t="s">
        <v>654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1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35" customWidth="1"/>
    <col min="3" max="4" width="25" customWidth="1"/>
    <col min="5" max="5" width="20" customWidth="1"/>
  </cols>
  <sheetData>
    <row r="1" spans="1:5" ht="14.25" customHeight="1" x14ac:dyDescent="0.3">
      <c r="A1" s="32" t="s">
        <v>655</v>
      </c>
    </row>
    <row r="2" spans="1:5" ht="14.25" customHeight="1" x14ac:dyDescent="0.3">
      <c r="A2" t="str">
        <f>"Sheet: "&amp;CANON!B7&amp;" | Framework: "&amp;CANON!B5</f>
        <v>Sheet: v1.8.3 | Framework: Ripple_Logic v8.5.3</v>
      </c>
      <c r="B2" t="str">
        <f>"Sheet: "&amp;CANON!B7&amp;" | Framework: "&amp;CANON!B5</f>
        <v>Sheet: v1.8.3 | Framework: Ripple_Logic v8.5.3</v>
      </c>
    </row>
    <row r="3" spans="1:5" ht="14.25" customHeight="1" x14ac:dyDescent="0.3">
      <c r="A3" s="7"/>
    </row>
    <row r="4" spans="1:5" ht="14.25" customHeight="1" x14ac:dyDescent="0.3">
      <c r="A4" s="7" t="s">
        <v>656</v>
      </c>
    </row>
    <row r="5" spans="1:5" ht="14.25" customHeight="1" x14ac:dyDescent="0.3">
      <c r="A5" t="s">
        <v>657</v>
      </c>
      <c r="B5" t="str">
        <f>PCC!B5</f>
        <v>Remote Work Policy Implementation</v>
      </c>
    </row>
    <row r="6" spans="1:5" ht="14.25" customHeight="1" x14ac:dyDescent="0.3">
      <c r="A6" t="s">
        <v>284</v>
      </c>
      <c r="B6" t="str">
        <f>PCC!B6</f>
        <v>2026-02-01</v>
      </c>
    </row>
    <row r="7" spans="1:5" ht="14.25" customHeight="1" x14ac:dyDescent="0.3">
      <c r="A7" t="s">
        <v>658</v>
      </c>
      <c r="B7" t="str">
        <f>CANON!B10&amp;" ("&amp;IF(CANON!B10=1,"Personal",IF(CANON!B10=2,"Core","High-Stakes"))&amp;")"</f>
        <v>2 (Core)</v>
      </c>
    </row>
    <row r="8" spans="1:5" ht="14.25" customHeight="1" x14ac:dyDescent="0.3">
      <c r="A8" t="s">
        <v>565</v>
      </c>
      <c r="B8" s="28" t="str">
        <f>CANON!B11</f>
        <v>ORG</v>
      </c>
    </row>
    <row r="9" spans="1:5" ht="14.25" customHeight="1" x14ac:dyDescent="0.3">
      <c r="A9" t="s">
        <v>291</v>
      </c>
      <c r="B9" t="str">
        <f>CANON!B12</f>
        <v>NO</v>
      </c>
    </row>
    <row r="10" spans="1:5" ht="14.25" customHeight="1" x14ac:dyDescent="0.3">
      <c r="A10" s="7" t="s">
        <v>659</v>
      </c>
      <c r="B10" s="17" t="str">
        <f>IF(CANON!B13=1,"YES","NO")</f>
        <v>YES</v>
      </c>
    </row>
    <row r="11" spans="1:5" ht="14.25" customHeight="1" x14ac:dyDescent="0.3">
      <c r="A11" s="7"/>
      <c r="B11" s="7"/>
      <c r="C11" s="7"/>
      <c r="D11" s="33"/>
      <c r="E11" s="7"/>
    </row>
    <row r="12" spans="1:5" ht="14.25" customHeight="1" x14ac:dyDescent="0.3">
      <c r="A12" s="7" t="s">
        <v>660</v>
      </c>
    </row>
    <row r="13" spans="1:5" ht="14.25" customHeight="1" x14ac:dyDescent="0.3">
      <c r="A13" s="7" t="s">
        <v>661</v>
      </c>
      <c r="B13" s="7" t="s">
        <v>662</v>
      </c>
      <c r="C13" s="34" t="s">
        <v>663</v>
      </c>
      <c r="D13" s="34" t="s">
        <v>664</v>
      </c>
      <c r="E13" s="29" t="s">
        <v>665</v>
      </c>
    </row>
    <row r="14" spans="1:5" ht="14.25" customHeight="1" x14ac:dyDescent="0.3">
      <c r="A14" t="s">
        <v>666</v>
      </c>
      <c r="B14" t="s">
        <v>205</v>
      </c>
      <c r="C14" t="str">
        <f>CANON!B51</f>
        <v>PASS</v>
      </c>
      <c r="D14" t="str">
        <f>CANON!B52</f>
        <v>PASS</v>
      </c>
      <c r="E14" s="28" t="str">
        <f>IF(AND(C14="PASS",D14="PASS"),"Both Pass",IF(C14="PASS","A only",IF(D14="PASS","B only","Neither")))</f>
        <v>Both Pass</v>
      </c>
    </row>
    <row r="15" spans="1:5" ht="14.25" customHeight="1" x14ac:dyDescent="0.3">
      <c r="A15" t="s">
        <v>667</v>
      </c>
      <c r="B15" t="s">
        <v>668</v>
      </c>
      <c r="C15" s="17" t="str">
        <f>CANON!B56&amp;" (CVaR="&amp;TEXT(CANON!B54,"0.0000")&amp;")"</f>
        <v>PASS (CVaR=0.0219)</v>
      </c>
      <c r="D15" s="17" t="str">
        <f>CANON!B57&amp;" (CVaR="&amp;TEXT(CANON!B55,"0.0000")&amp;")"</f>
        <v>PASS (CVaR=0.0315)</v>
      </c>
      <c r="E15" s="28" t="str">
        <f>IF(AND(CANON!B56="PASS",CANON!B57="PASS"),"Both Pass",IF(CANON!B56="PASS","A only",IF(CANON!B57="PASS","B only","Neither")))</f>
        <v>Both Pass</v>
      </c>
    </row>
    <row r="16" spans="1:5" ht="14.25" customHeight="1" x14ac:dyDescent="0.3">
      <c r="A16" t="s">
        <v>669</v>
      </c>
      <c r="B16" t="s">
        <v>214</v>
      </c>
      <c r="C16" s="23" t="str">
        <f>CANON!B60</f>
        <v>PASS</v>
      </c>
      <c r="D16" t="str">
        <f>CANON!B61</f>
        <v>PASS (vacuous)</v>
      </c>
      <c r="E16" s="28" t="str">
        <f>IF(AND(C16="PASS",D16="PASS"),"Both Pass","Review")</f>
        <v>Review</v>
      </c>
    </row>
    <row r="17" spans="1:5" ht="14.25" customHeight="1" x14ac:dyDescent="0.3">
      <c r="A17" s="7" t="s">
        <v>670</v>
      </c>
      <c r="B17" t="s">
        <v>671</v>
      </c>
      <c r="C17" t="str">
        <f>TEXT(CANON!B63,"0.000000")</f>
        <v>0.005462</v>
      </c>
      <c r="D17" t="str">
        <f>TEXT(CANON!B64,"0.000000")</f>
        <v>0.000202</v>
      </c>
      <c r="E17" t="str">
        <f>IF(CANON!B63&gt;CANON!B64,"A higher",IF(CANON!B64&gt;CANON!B63,"B higher","Tie"))</f>
        <v>A higher</v>
      </c>
    </row>
    <row r="18" spans="1:5" ht="14.25" customHeight="1" x14ac:dyDescent="0.3">
      <c r="C18" s="23"/>
      <c r="D18" s="23"/>
    </row>
    <row r="19" spans="1:5" ht="14.25" customHeight="1" x14ac:dyDescent="0.3">
      <c r="A19" s="7" t="s">
        <v>672</v>
      </c>
    </row>
    <row r="20" spans="1:5" ht="14.25" customHeight="1" x14ac:dyDescent="0.3">
      <c r="A20" s="7" t="s">
        <v>673</v>
      </c>
      <c r="B20" t="str">
        <f>CANON!B70</f>
        <v>NORMAL</v>
      </c>
    </row>
    <row r="21" spans="1:5" ht="14.25" customHeight="1" x14ac:dyDescent="0.3">
      <c r="A21" t="s">
        <v>674</v>
      </c>
      <c r="B21" t="str">
        <f>IF(CANON!B71="","NONE (INVALID)",IF(CANON!B71="TIE","TIE (UCI required)","OPTION "&amp;CANON!B71))</f>
        <v>OPTION A</v>
      </c>
    </row>
    <row r="22" spans="1:5" ht="14.25" customHeight="1" x14ac:dyDescent="0.3">
      <c r="A22" t="s">
        <v>675</v>
      </c>
      <c r="B22" s="27" t="str">
        <f>CANON!B72</f>
        <v>RLS comparison</v>
      </c>
    </row>
    <row r="23" spans="1:5" ht="14.25" customHeight="1" x14ac:dyDescent="0.3">
      <c r="A23" t="s">
        <v>676</v>
      </c>
      <c r="B23" s="28" t="str">
        <f>CANON!B73</f>
        <v>NO</v>
      </c>
    </row>
    <row r="24" spans="1:5" ht="14.25" customHeight="1" x14ac:dyDescent="0.3"/>
    <row r="25" spans="1:5" ht="14.25" customHeight="1" x14ac:dyDescent="0.3">
      <c r="A25" s="7" t="s">
        <v>677</v>
      </c>
    </row>
    <row r="26" spans="1:5" ht="14.25" customHeight="1" x14ac:dyDescent="0.3">
      <c r="A26" t="s">
        <v>678</v>
      </c>
      <c r="B26" t="str">
        <f>CANON!B81</f>
        <v>YES</v>
      </c>
    </row>
    <row r="27" spans="1:5" ht="14.25" customHeight="1" x14ac:dyDescent="0.3">
      <c r="A27" s="28" t="s">
        <v>679</v>
      </c>
      <c r="B27">
        <f>CANON!B80</f>
        <v>0</v>
      </c>
    </row>
    <row r="28" spans="1:5" ht="14.25" customHeight="1" x14ac:dyDescent="0.3">
      <c r="A28" t="s">
        <v>680</v>
      </c>
      <c r="B28">
        <f>CANON!B76</f>
        <v>0</v>
      </c>
    </row>
    <row r="29" spans="1:5" ht="14.25" customHeight="1" x14ac:dyDescent="0.3">
      <c r="A29" t="s">
        <v>681</v>
      </c>
      <c r="B29" t="str">
        <f>IF(CANON!B77=TRUE(),"YES (BLOCKS CLAIM)","NO")</f>
        <v>NO</v>
      </c>
    </row>
    <row r="30" spans="1:5" ht="14.25" customHeight="1" x14ac:dyDescent="0.3"/>
    <row r="31" spans="1:5" ht="14.25" customHeight="1" x14ac:dyDescent="0.3">
      <c r="A31" s="7" t="s">
        <v>682</v>
      </c>
    </row>
    <row r="32" spans="1:5" ht="14.25" customHeight="1" x14ac:dyDescent="0.3">
      <c r="A32" t="s">
        <v>683</v>
      </c>
      <c r="B32" s="17">
        <f>Audit_Flags!B21</f>
        <v>0</v>
      </c>
    </row>
    <row r="33" spans="1:2" ht="17.25" customHeight="1" x14ac:dyDescent="0.3">
      <c r="A33" t="s">
        <v>684</v>
      </c>
      <c r="B33" s="35">
        <f>Audit_Flags!B22</f>
        <v>0</v>
      </c>
    </row>
    <row r="34" spans="1:2" ht="14.25" customHeight="1" x14ac:dyDescent="0.3">
      <c r="A34" t="s">
        <v>685</v>
      </c>
      <c r="B34" s="17">
        <f>Audit_Flags!B23</f>
        <v>1</v>
      </c>
    </row>
    <row r="35" spans="1:2" ht="14.25" customHeight="1" x14ac:dyDescent="0.3">
      <c r="A35" t="s">
        <v>686</v>
      </c>
      <c r="B35" s="17">
        <f>Audit_Flags!B24</f>
        <v>1</v>
      </c>
    </row>
    <row r="36" spans="1:2" ht="14.25" customHeight="1" x14ac:dyDescent="0.3">
      <c r="B36" s="27"/>
    </row>
    <row r="37" spans="1:2" ht="14.25" customHeight="1" x14ac:dyDescent="0.3">
      <c r="A37" t="s">
        <v>687</v>
      </c>
      <c r="B37" t="s">
        <v>688</v>
      </c>
    </row>
    <row r="38" spans="1:2" ht="14.25" customHeight="1" x14ac:dyDescent="0.3"/>
    <row r="39" spans="1:2" ht="14.25" customHeight="1" x14ac:dyDescent="0.3">
      <c r="A39" s="7"/>
    </row>
    <row r="40" spans="1:2" ht="14.25" customHeight="1" x14ac:dyDescent="0.3">
      <c r="A40" s="17" t="str">
        <f>Audit_Flags!B26</f>
        <v>NO</v>
      </c>
    </row>
    <row r="41" spans="1:2" ht="14.25" customHeight="1" x14ac:dyDescent="0.3"/>
    <row r="42" spans="1:2" ht="14.25" customHeight="1" x14ac:dyDescent="0.3"/>
    <row r="43" spans="1:2" ht="14.25" customHeight="1" x14ac:dyDescent="0.3">
      <c r="A43" t="s">
        <v>689</v>
      </c>
      <c r="B43">
        <f>Audit_Flags!B24</f>
        <v>1</v>
      </c>
    </row>
    <row r="44" spans="1:2" ht="14.25" customHeight="1" x14ac:dyDescent="0.3"/>
    <row r="45" spans="1:2" ht="14.25" customHeight="1" x14ac:dyDescent="0.3"/>
    <row r="46" spans="1:2" ht="13.5" customHeight="1" x14ac:dyDescent="0.3"/>
    <row r="47" spans="1:2" ht="14.25" customHeight="1" x14ac:dyDescent="0.3">
      <c r="A47" s="7" t="s">
        <v>690</v>
      </c>
    </row>
    <row r="48" spans="1:2" ht="14.25" customHeight="1" x14ac:dyDescent="0.3">
      <c r="A48" t="s">
        <v>691</v>
      </c>
    </row>
    <row r="49" spans="1:1" ht="14.25" customHeight="1" x14ac:dyDescent="0.3">
      <c r="A49" t="s">
        <v>692</v>
      </c>
    </row>
    <row r="50" spans="1:1" ht="14.25" customHeight="1" x14ac:dyDescent="0.3">
      <c r="A50" s="17" t="str">
        <f>TEXT(DATE(2026,2,2)+90,"YYYY-MM-DD")</f>
        <v>2026-05-03</v>
      </c>
    </row>
    <row r="51" spans="1:1" ht="14.25" customHeight="1" x14ac:dyDescent="0.3">
      <c r="A51" t="s">
        <v>693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14" customWidth="1"/>
    <col min="3" max="3" width="28" customWidth="1"/>
    <col min="4" max="4" width="45" customWidth="1"/>
    <col min="5" max="5" width="25" customWidth="1"/>
  </cols>
  <sheetData>
    <row r="1" spans="1:12" ht="14.25" customHeight="1" x14ac:dyDescent="0.3">
      <c r="A1" s="9" t="s">
        <v>694</v>
      </c>
    </row>
    <row r="2" spans="1:12" ht="14.25" customHeight="1" x14ac:dyDescent="0.3">
      <c r="A2" t="s">
        <v>695</v>
      </c>
    </row>
    <row r="3" spans="1:12" ht="14.25" customHeight="1" x14ac:dyDescent="0.3">
      <c r="A3" s="7" t="s">
        <v>696</v>
      </c>
      <c r="B3" s="7"/>
      <c r="C3" s="7"/>
      <c r="D3" s="7"/>
      <c r="E3" s="7"/>
    </row>
    <row r="4" spans="1:12" ht="14.25" customHeight="1" x14ac:dyDescent="0.3">
      <c r="A4" s="9" t="s">
        <v>697</v>
      </c>
      <c r="B4" s="9" t="s">
        <v>698</v>
      </c>
      <c r="C4" s="36" t="s">
        <v>699</v>
      </c>
      <c r="D4" s="9" t="s">
        <v>412</v>
      </c>
      <c r="E4" s="9" t="s">
        <v>700</v>
      </c>
      <c r="F4" s="9" t="s">
        <v>181</v>
      </c>
      <c r="G4" s="9" t="s">
        <v>701</v>
      </c>
      <c r="H4" s="9" t="s">
        <v>702</v>
      </c>
    </row>
    <row r="5" spans="1:12" ht="14.25" customHeight="1" x14ac:dyDescent="0.3">
      <c r="A5" t="s">
        <v>703</v>
      </c>
      <c r="B5" s="17" t="str">
        <f>IF(AND(CANON!B13=1,CANON!B76&gt;0),"YES","NO")</f>
        <v>NO</v>
      </c>
      <c r="C5" s="37" t="s">
        <v>704</v>
      </c>
      <c r="D5" t="s">
        <v>705</v>
      </c>
      <c r="E5" t="str">
        <f>IF(AND(CANON!$B$13=1,CANON!$B$76&gt;0),"YES","NO")</f>
        <v>NO</v>
      </c>
      <c r="F5" t="s">
        <v>706</v>
      </c>
      <c r="G5" t="str">
        <f t="shared" ref="G5:G18" si="0">IF(B5="YES",A5,"")</f>
        <v/>
      </c>
      <c r="H5" t="str">
        <f t="shared" ref="H5:H18" si="1">IF(B5="YES",C5,"")</f>
        <v/>
      </c>
      <c r="I5" t="str">
        <f t="shared" ref="I5:I18" si="2">IF($H5="INVALID",$G5,"")</f>
        <v/>
      </c>
      <c r="J5" t="str">
        <f t="shared" ref="J5:J18" si="3">IF($H5="ESCALATE",$G5,"")</f>
        <v/>
      </c>
      <c r="K5" t="str">
        <f t="shared" ref="K5:K18" si="4">IF($H5="REVIEW",$G5,"")</f>
        <v/>
      </c>
      <c r="L5" t="str">
        <f t="shared" ref="L5:L18" si="5">IF($G5&lt;&gt;"",$G5&amp;" ("&amp;$H5&amp;")","")</f>
        <v/>
      </c>
    </row>
    <row r="6" spans="1:12" ht="14.25" customHeight="1" x14ac:dyDescent="0.3">
      <c r="A6" t="s">
        <v>707</v>
      </c>
      <c r="B6" s="17" t="str">
        <f>IF(WTSL_Categories!$B$17 &lt; WTSL_Categories!$B$16,"YES","NO")</f>
        <v>NO</v>
      </c>
      <c r="C6" s="37" t="s">
        <v>708</v>
      </c>
      <c r="D6" t="s">
        <v>709</v>
      </c>
      <c r="E6" t="str">
        <f>IF(WTSL_Categories!$B$17 &lt; WTSL_Categories!$B$16,"YES","NO")</f>
        <v>NO</v>
      </c>
      <c r="F6" t="s">
        <v>710</v>
      </c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t="str">
        <f t="shared" si="4"/>
        <v/>
      </c>
      <c r="L6" t="str">
        <f t="shared" si="5"/>
        <v/>
      </c>
    </row>
    <row r="7" spans="1:12" ht="14.25" customHeight="1" x14ac:dyDescent="0.3">
      <c r="A7" t="s">
        <v>711</v>
      </c>
      <c r="B7" s="17" t="str">
        <f>IF(Config!B2&lt;&gt;CANON!B7,"YES","NO")</f>
        <v>NO</v>
      </c>
      <c r="C7" s="37" t="s">
        <v>704</v>
      </c>
      <c r="D7" t="s">
        <v>712</v>
      </c>
      <c r="E7" t="s">
        <v>713</v>
      </c>
      <c r="F7" t="s">
        <v>186</v>
      </c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  <c r="L7" t="str">
        <f t="shared" si="5"/>
        <v/>
      </c>
    </row>
    <row r="8" spans="1:12" ht="14.25" customHeight="1" x14ac:dyDescent="0.3">
      <c r="A8" t="s">
        <v>714</v>
      </c>
      <c r="B8" s="17" t="str">
        <f>IF(CANON!B38&lt;&gt;8,"YES","NO")</f>
        <v>NO</v>
      </c>
      <c r="C8" s="37" t="s">
        <v>704</v>
      </c>
      <c r="D8" t="s">
        <v>715</v>
      </c>
      <c r="E8" t="s">
        <v>716</v>
      </c>
      <c r="F8" t="s">
        <v>202</v>
      </c>
      <c r="G8" t="str">
        <f t="shared" si="0"/>
        <v/>
      </c>
      <c r="H8" t="str">
        <f t="shared" si="1"/>
        <v/>
      </c>
      <c r="I8" t="str">
        <f t="shared" si="2"/>
        <v/>
      </c>
      <c r="J8" t="str">
        <f t="shared" si="3"/>
        <v/>
      </c>
      <c r="K8" t="str">
        <f t="shared" si="4"/>
        <v/>
      </c>
      <c r="L8" t="str">
        <f t="shared" si="5"/>
        <v/>
      </c>
    </row>
    <row r="9" spans="1:12" ht="14.25" customHeight="1" x14ac:dyDescent="0.3">
      <c r="A9" t="s">
        <v>717</v>
      </c>
      <c r="B9" s="17" t="str">
        <f>IF(OR(CANON!B71="",CANON!B71="NONE"),"YES","NO")</f>
        <v>NO</v>
      </c>
      <c r="C9" s="38" t="s">
        <v>704</v>
      </c>
      <c r="D9" t="s">
        <v>718</v>
      </c>
      <c r="E9" t="s">
        <v>719</v>
      </c>
      <c r="F9" t="s">
        <v>233</v>
      </c>
      <c r="G9" t="str">
        <f t="shared" si="0"/>
        <v/>
      </c>
      <c r="H9" t="str">
        <f t="shared" si="1"/>
        <v/>
      </c>
      <c r="I9" t="str">
        <f t="shared" si="2"/>
        <v/>
      </c>
      <c r="J9" t="str">
        <f t="shared" si="3"/>
        <v/>
      </c>
      <c r="K9" t="str">
        <f t="shared" si="4"/>
        <v/>
      </c>
      <c r="L9" t="str">
        <f t="shared" si="5"/>
        <v/>
      </c>
    </row>
    <row r="10" spans="1:12" ht="14.25" customHeight="1" x14ac:dyDescent="0.3">
      <c r="A10" t="s">
        <v>720</v>
      </c>
      <c r="B10" s="17" t="str">
        <f>IF(AND(CANON!B67&gt;0,CANON!B68=0),"YES","NO")</f>
        <v>NO</v>
      </c>
      <c r="C10" s="38" t="s">
        <v>708</v>
      </c>
      <c r="D10" t="s">
        <v>721</v>
      </c>
      <c r="E10" t="s">
        <v>722</v>
      </c>
      <c r="F10" t="s">
        <v>723</v>
      </c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  <c r="L10" t="str">
        <f t="shared" si="5"/>
        <v/>
      </c>
    </row>
    <row r="11" spans="1:12" ht="14.25" customHeight="1" x14ac:dyDescent="0.3">
      <c r="A11" t="s">
        <v>724</v>
      </c>
      <c r="B11" s="17" t="str">
        <f>IF(CANON!B67=0,"YES","NO")</f>
        <v>NO</v>
      </c>
      <c r="C11" s="38" t="s">
        <v>708</v>
      </c>
      <c r="D11" t="s">
        <v>725</v>
      </c>
      <c r="E11" t="s">
        <v>726</v>
      </c>
      <c r="F11" t="s">
        <v>727</v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  <c r="L11" t="str">
        <f t="shared" si="5"/>
        <v/>
      </c>
    </row>
    <row r="12" spans="1:12" ht="14.25" customHeight="1" x14ac:dyDescent="0.3">
      <c r="A12" t="s">
        <v>83</v>
      </c>
      <c r="B12" s="17" t="str">
        <f>IF(CANON!B73="YES","YES","NO")</f>
        <v>NO</v>
      </c>
      <c r="C12" s="38" t="s">
        <v>708</v>
      </c>
      <c r="D12" t="s">
        <v>728</v>
      </c>
      <c r="E12" t="s">
        <v>729</v>
      </c>
      <c r="F12" t="s">
        <v>730</v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  <c r="L12" t="str">
        <f t="shared" si="5"/>
        <v/>
      </c>
    </row>
    <row r="13" spans="1:12" ht="14.25" customHeight="1" x14ac:dyDescent="0.3">
      <c r="A13" t="s">
        <v>731</v>
      </c>
      <c r="B13" s="17" t="str">
        <f>IF(AND(CANON!$B$8&gt;=2,OR(CANON!$B$137="",CANON!$B$26="",CANON!$B$26&lt;=0)),"YES","NO")</f>
        <v>NO</v>
      </c>
      <c r="C13" s="39" t="s">
        <v>708</v>
      </c>
      <c r="D13" t="s">
        <v>732</v>
      </c>
      <c r="E13" t="str">
        <f>IF(AND(CANON!$B$8&gt;=2,OR(CANON!$B$137="",CANON!$B$26="",CANON!$B$26&lt;=0)),"YES","NO")</f>
        <v>NO</v>
      </c>
      <c r="F13" t="s">
        <v>733</v>
      </c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 t="shared" si="4"/>
        <v/>
      </c>
      <c r="L13" t="str">
        <f t="shared" si="5"/>
        <v/>
      </c>
    </row>
    <row r="14" spans="1:12" ht="14.25" customHeight="1" x14ac:dyDescent="0.3">
      <c r="A14" t="s">
        <v>734</v>
      </c>
      <c r="B14" s="17" t="str">
        <f>IF(AND(Subgroup_Overrides!B17=0,Subgroup_Analysis!B46=0),"YES","NO")</f>
        <v>NO</v>
      </c>
      <c r="C14" s="39" t="s">
        <v>735</v>
      </c>
      <c r="D14" t="s">
        <v>736</v>
      </c>
      <c r="E14" t="s">
        <v>737</v>
      </c>
      <c r="F14" t="s">
        <v>738</v>
      </c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  <c r="L14" t="str">
        <f t="shared" si="5"/>
        <v/>
      </c>
    </row>
    <row r="15" spans="1:12" ht="14.25" customHeight="1" x14ac:dyDescent="0.3">
      <c r="A15" t="s">
        <v>739</v>
      </c>
      <c r="B15" s="17" t="str">
        <f>IF(ABS(CANON!B63-CANON!B64)/SQRT(2*CANON!B26^2+0.000001)&lt;CANON!B22,"YES","NO")</f>
        <v>YES</v>
      </c>
      <c r="C15" s="39" t="s">
        <v>735</v>
      </c>
      <c r="D15" t="s">
        <v>740</v>
      </c>
      <c r="E15" t="str">
        <f>IF(AND(CANON!$B$8&gt;=2,RLS!$B$38="YES"),"YES","NO")</f>
        <v>NO</v>
      </c>
      <c r="F15" t="s">
        <v>741</v>
      </c>
      <c r="G15" t="str">
        <f t="shared" si="0"/>
        <v>NONDECISIVE_GAP_REVIEW</v>
      </c>
      <c r="H15" t="str">
        <f t="shared" si="1"/>
        <v>REVIEW</v>
      </c>
      <c r="I15" t="str">
        <f t="shared" si="2"/>
        <v/>
      </c>
      <c r="J15" t="str">
        <f t="shared" si="3"/>
        <v/>
      </c>
      <c r="K15" t="str">
        <f t="shared" si="4"/>
        <v>NONDECISIVE_GAP_REVIEW</v>
      </c>
      <c r="L15" t="str">
        <f t="shared" si="5"/>
        <v>NONDECISIVE_GAP_REVIEW (REVIEW)</v>
      </c>
    </row>
    <row r="16" spans="1:12" ht="14.25" customHeight="1" x14ac:dyDescent="0.3">
      <c r="A16" t="s">
        <v>742</v>
      </c>
      <c r="B16" s="17" t="str">
        <f>IF(CANON!B10&gt;=3,"YES","NO")</f>
        <v>NO</v>
      </c>
      <c r="C16" t="s">
        <v>735</v>
      </c>
      <c r="D16" t="s">
        <v>743</v>
      </c>
      <c r="E16" t="s">
        <v>744</v>
      </c>
      <c r="F16" t="s">
        <v>745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  <c r="L16" t="str">
        <f t="shared" si="5"/>
        <v/>
      </c>
    </row>
    <row r="17" spans="1:12" ht="14.25" customHeight="1" x14ac:dyDescent="0.3">
      <c r="A17" t="s">
        <v>746</v>
      </c>
      <c r="B17" s="17" t="str">
        <f>IF(Sensitivity_Analysis!B3="NOT PERFORMED","YES","NO")</f>
        <v>NO</v>
      </c>
      <c r="C17" t="s">
        <v>735</v>
      </c>
      <c r="D17" t="s">
        <v>747</v>
      </c>
      <c r="E17" t="s">
        <v>748</v>
      </c>
      <c r="F17" t="s">
        <v>749</v>
      </c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 t="shared" si="4"/>
        <v/>
      </c>
      <c r="L17" t="str">
        <f t="shared" si="5"/>
        <v/>
      </c>
    </row>
    <row r="18" spans="1:12" ht="14.25" customHeight="1" x14ac:dyDescent="0.3">
      <c r="A18" s="7" t="s">
        <v>750</v>
      </c>
      <c r="B18" s="17" t="str">
        <f>IF(SUMPRODUCT(--((B5:B17&lt;&gt;"YES")*(B5:B17&lt;&gt;"NO")))+SUMPRODUCT(--((B25:B28&lt;&gt;"YES")*(B25:B28&lt;&gt;"NO")))&gt;0,"YES","NO")</f>
        <v>NO</v>
      </c>
      <c r="C18" t="s">
        <v>704</v>
      </c>
      <c r="D18" t="s">
        <v>751</v>
      </c>
      <c r="E18" t="s">
        <v>752</v>
      </c>
      <c r="F18" t="s">
        <v>753</v>
      </c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 t="shared" si="4"/>
        <v/>
      </c>
      <c r="L18" t="str">
        <f t="shared" si="5"/>
        <v/>
      </c>
    </row>
    <row r="19" spans="1:12" ht="14.25" customHeight="1" x14ac:dyDescent="0.3">
      <c r="I19" t="s">
        <v>754</v>
      </c>
      <c r="J19" t="e">
        <f ca="1">IF(_xludf.TEXTJOIN(", ",TRUE,$L$5:$L$18,$L$25:$L$28)="","(none)",_xludf.TEXTJOIN(", ",TRUE,$L$5:$L$18,$L$25:$L$28))</f>
        <v>#NAME?</v>
      </c>
    </row>
    <row r="20" spans="1:12" ht="14.25" customHeight="1" x14ac:dyDescent="0.3">
      <c r="A20" s="9" t="s">
        <v>755</v>
      </c>
      <c r="I20" t="s">
        <v>756</v>
      </c>
      <c r="J20" t="e">
        <f ca="1">IF(_xludf.TEXTJOIN(", ",TRUE,$I$5:$I$18,$I$25:$I$28)="","(none)",_xludf.TEXTJOIN(", ",TRUE,$I$5:$I$18,$I$25:$I$28))</f>
        <v>#NAME?</v>
      </c>
    </row>
    <row r="21" spans="1:12" ht="14.25" customHeight="1" x14ac:dyDescent="0.3">
      <c r="A21" t="s">
        <v>757</v>
      </c>
      <c r="B21" s="8">
        <f>COUNTIFS(B5:B18,"YES",C5:C18,"INVALID")+COUNTIFS(B25:B28,"YES",C25:C28,"INVALID")</f>
        <v>0</v>
      </c>
      <c r="C21" t="s">
        <v>758</v>
      </c>
      <c r="I21" t="s">
        <v>759</v>
      </c>
      <c r="J21" t="e">
        <f ca="1">IF(_xludf.TEXTJOIN(", ",TRUE,$J$5:$J$18,$J$25:$J$28)="","(none)",_xludf.TEXTJOIN(", ",TRUE,$J$5:$J$18,$J$25:$J$28))</f>
        <v>#NAME?</v>
      </c>
    </row>
    <row r="22" spans="1:12" ht="14.25" customHeight="1" x14ac:dyDescent="0.3">
      <c r="A22" t="s">
        <v>760</v>
      </c>
      <c r="B22" s="8">
        <f>COUNTIFS(B5:B18,"YES",C5:C18,"ESCALATE")+COUNTIFS(B25:B28,"YES",C25:C28,"ESCALATE")</f>
        <v>0</v>
      </c>
      <c r="C22" t="s">
        <v>758</v>
      </c>
      <c r="I22" t="s">
        <v>761</v>
      </c>
      <c r="J22" t="e">
        <f ca="1">IF(_xludf.TEXTJOIN(", ",TRUE,$K$5:$K$18,$K$25:$K$28)="","(none)",_xludf.TEXTJOIN(", ",TRUE,$K$5:$K$18,$K$25:$K$28))</f>
        <v>#NAME?</v>
      </c>
    </row>
    <row r="23" spans="1:12" ht="14.25" customHeight="1" x14ac:dyDescent="0.3">
      <c r="A23" t="s">
        <v>762</v>
      </c>
      <c r="B23" s="8">
        <f>COUNTIFS(B5:B18,"YES",C5:C18,"REVIEW")+COUNTIFS(B25:B28,"YES",C25:C28,"REVIEW")</f>
        <v>1</v>
      </c>
      <c r="C23" t="s">
        <v>758</v>
      </c>
    </row>
    <row r="24" spans="1:12" ht="14.25" customHeight="1" x14ac:dyDescent="0.3">
      <c r="A24" t="s">
        <v>763</v>
      </c>
      <c r="B24" s="8">
        <f>SUM(B21:B23)</f>
        <v>1</v>
      </c>
      <c r="C24" t="s">
        <v>758</v>
      </c>
    </row>
    <row r="25" spans="1:12" ht="13.5" customHeight="1" x14ac:dyDescent="0.3">
      <c r="A25" s="13" t="s">
        <v>764</v>
      </c>
      <c r="B25" s="13" t="str">
        <f>IF(AND(CANON!B133="REDUCED",OR(CANON!B134="NONE",CANON!B134="")),"YES","NO")</f>
        <v>NO</v>
      </c>
      <c r="C25" s="13" t="s">
        <v>735</v>
      </c>
      <c r="D25" s="13" t="s">
        <v>765</v>
      </c>
      <c r="E25" s="13" t="s">
        <v>766</v>
      </c>
      <c r="F25" s="13" t="s">
        <v>767</v>
      </c>
      <c r="G25" t="str">
        <f>IF(B25="YES",A25,"")</f>
        <v/>
      </c>
      <c r="H25" t="str">
        <f>IF(B25="YES",C25,"")</f>
        <v/>
      </c>
      <c r="I25" t="str">
        <f>IF($H25="INVALID",$G25,"")</f>
        <v/>
      </c>
      <c r="J25" t="str">
        <f>IF($H25="ESCALATE",$G25,"")</f>
        <v/>
      </c>
      <c r="K25" t="str">
        <f>IF($H25="REVIEW",$G25,"")</f>
        <v/>
      </c>
      <c r="L25" t="str">
        <f>IF($G25&lt;&gt;"",$G25&amp;" ("&amp;$H25&amp;")","")</f>
        <v/>
      </c>
    </row>
    <row r="26" spans="1:12" ht="14.25" customHeight="1" x14ac:dyDescent="0.3">
      <c r="A26" s="13" t="s">
        <v>768</v>
      </c>
      <c r="B26" s="13" t="str">
        <f>IF(AND(CANON!$B$10&gt;=2,CANON!B130&lt;IF(CANON!$B$10=2,1,IF(CANON!$B$10=3,2,0))),"YES","NO")</f>
        <v>NO</v>
      </c>
      <c r="C26" s="13" t="s">
        <v>708</v>
      </c>
      <c r="D26" s="13" t="s">
        <v>769</v>
      </c>
      <c r="E26" s="13" t="s">
        <v>770</v>
      </c>
      <c r="F26" s="13" t="s">
        <v>771</v>
      </c>
      <c r="G26" t="str">
        <f>IF(B26="YES",A26,"")</f>
        <v/>
      </c>
      <c r="H26" t="str">
        <f>IF(B26="YES",C26,"")</f>
        <v/>
      </c>
      <c r="I26" t="str">
        <f>IF($H26="INVALID",$G26,"")</f>
        <v/>
      </c>
      <c r="J26" t="str">
        <f>IF($H26="ESCALATE",$G26,"")</f>
        <v/>
      </c>
      <c r="K26" t="str">
        <f>IF($H26="REVIEW",$G26,"")</f>
        <v/>
      </c>
      <c r="L26" t="str">
        <f>IF($G26&lt;&gt;"",$G26&amp;" ("&amp;$H26&amp;")","")</f>
        <v/>
      </c>
    </row>
    <row r="27" spans="1:12" ht="14.25" customHeight="1" x14ac:dyDescent="0.3">
      <c r="A27" s="13" t="s">
        <v>772</v>
      </c>
      <c r="B27" s="13" t="str">
        <f>IF(AND(CANON!$B$10&gt;=2,CANON!B130=IF(CANON!$B$10=2,1,IF(CANON!$B$10=3,2,0)),CANON!B131=""),"YES","NO")</f>
        <v>NO</v>
      </c>
      <c r="C27" s="13" t="s">
        <v>735</v>
      </c>
      <c r="D27" s="13" t="s">
        <v>773</v>
      </c>
      <c r="E27" s="13" t="s">
        <v>774</v>
      </c>
      <c r="F27" s="13" t="s">
        <v>771</v>
      </c>
      <c r="G27" t="str">
        <f>IF(B27="YES",A27,"")</f>
        <v/>
      </c>
      <c r="H27" t="str">
        <f>IF(B27="YES",C27,"")</f>
        <v/>
      </c>
      <c r="I27" t="str">
        <f>IF($H27="INVALID",$G27,"")</f>
        <v/>
      </c>
      <c r="J27" t="str">
        <f>IF($H27="ESCALATE",$G27,"")</f>
        <v/>
      </c>
      <c r="K27" t="str">
        <f>IF($H27="REVIEW",$G27,"")</f>
        <v/>
      </c>
      <c r="L27" t="str">
        <f>IF($G27&lt;&gt;"",$G27&amp;" ("&amp;$H27&amp;")","")</f>
        <v/>
      </c>
    </row>
    <row r="28" spans="1:12" ht="13.5" customHeight="1" x14ac:dyDescent="0.3">
      <c r="A28" s="13" t="s">
        <v>775</v>
      </c>
      <c r="B28" s="13" t="str">
        <f>IF(AND(CANON!$B$10&gt;=2,OR(CANON!B137="",CANON!B137=0)),"YES","NO")</f>
        <v>NO</v>
      </c>
      <c r="C28" s="13" t="s">
        <v>704</v>
      </c>
      <c r="D28" s="13" t="s">
        <v>776</v>
      </c>
      <c r="E28" s="13" t="s">
        <v>777</v>
      </c>
      <c r="F28" s="13" t="s">
        <v>778</v>
      </c>
      <c r="G28" t="str">
        <f>IF(B28="YES",A28,"")</f>
        <v/>
      </c>
      <c r="H28" t="str">
        <f>IF(B28="YES",C28,"")</f>
        <v/>
      </c>
      <c r="I28" t="str">
        <f>IF($H28="INVALID",$G28,"")</f>
        <v/>
      </c>
      <c r="J28" t="str">
        <f>IF($H28="ESCALATE",$G28,"")</f>
        <v/>
      </c>
      <c r="K28" t="str">
        <f>IF($H28="REVIEW",$G28,"")</f>
        <v/>
      </c>
      <c r="L28" t="str">
        <f>IF($G28&lt;&gt;"",$G28&amp;" ("&amp;$H28&amp;")","")</f>
        <v/>
      </c>
    </row>
    <row r="29" spans="1:12" ht="14.25" customHeight="1" x14ac:dyDescent="0.3">
      <c r="A29" s="9" t="s">
        <v>779</v>
      </c>
    </row>
    <row r="30" spans="1:12" ht="14.25" customHeight="1" x14ac:dyDescent="0.3">
      <c r="A30" t="s">
        <v>780</v>
      </c>
      <c r="B30">
        <f>CANON!B80</f>
        <v>0</v>
      </c>
    </row>
    <row r="31" spans="1:12" ht="14.25" customHeight="1" x14ac:dyDescent="0.3">
      <c r="A31" t="s">
        <v>781</v>
      </c>
      <c r="B31" t="str">
        <f>IF(B30=B21,"✓ SSOT","❌ DRIFT")</f>
        <v>✓ SSOT</v>
      </c>
    </row>
    <row r="34" spans="1:6" x14ac:dyDescent="0.3">
      <c r="A34" s="52" t="s">
        <v>782</v>
      </c>
      <c r="B34" s="49"/>
      <c r="C34" s="49"/>
      <c r="D34" s="49"/>
      <c r="E34" s="49"/>
      <c r="F34" s="49"/>
    </row>
    <row r="35" spans="1:6" x14ac:dyDescent="0.3">
      <c r="A35" s="53" t="s">
        <v>783</v>
      </c>
      <c r="B35" s="49"/>
      <c r="C35" s="49"/>
      <c r="D35" s="49"/>
      <c r="E35" s="49"/>
      <c r="F35" s="49"/>
    </row>
    <row r="37" spans="1:6" x14ac:dyDescent="0.3">
      <c r="A37" s="46" t="s">
        <v>697</v>
      </c>
      <c r="B37" s="46" t="s">
        <v>784</v>
      </c>
      <c r="C37" s="46" t="s">
        <v>785</v>
      </c>
      <c r="D37" s="46" t="s">
        <v>786</v>
      </c>
    </row>
    <row r="38" spans="1:6" ht="28.8" x14ac:dyDescent="0.3">
      <c r="A38" s="47" t="s">
        <v>711</v>
      </c>
      <c r="B38" s="47" t="s">
        <v>787</v>
      </c>
      <c r="C38" s="47" t="s">
        <v>788</v>
      </c>
      <c r="D38" s="47" t="s">
        <v>789</v>
      </c>
    </row>
    <row r="39" spans="1:6" ht="28.8" x14ac:dyDescent="0.3">
      <c r="A39" s="47" t="s">
        <v>714</v>
      </c>
      <c r="B39" s="47" t="s">
        <v>787</v>
      </c>
      <c r="C39" s="47" t="s">
        <v>788</v>
      </c>
      <c r="D39" s="47" t="s">
        <v>790</v>
      </c>
    </row>
    <row r="40" spans="1:6" x14ac:dyDescent="0.3">
      <c r="A40" s="47" t="s">
        <v>717</v>
      </c>
      <c r="B40" s="47" t="s">
        <v>787</v>
      </c>
      <c r="C40" s="47" t="s">
        <v>788</v>
      </c>
      <c r="D40" s="47" t="s">
        <v>791</v>
      </c>
    </row>
    <row r="41" spans="1:6" ht="28.8" x14ac:dyDescent="0.3">
      <c r="A41" s="47" t="s">
        <v>750</v>
      </c>
      <c r="B41" s="47" t="s">
        <v>787</v>
      </c>
      <c r="C41" s="47" t="s">
        <v>788</v>
      </c>
      <c r="D41" s="47" t="s">
        <v>792</v>
      </c>
    </row>
    <row r="42" spans="1:6" ht="28.8" x14ac:dyDescent="0.3">
      <c r="A42" s="47" t="s">
        <v>739</v>
      </c>
      <c r="B42" s="47" t="s">
        <v>787</v>
      </c>
      <c r="C42" s="47" t="s">
        <v>793</v>
      </c>
      <c r="D42" s="47" t="s">
        <v>794</v>
      </c>
    </row>
    <row r="43" spans="1:6" ht="28.8" x14ac:dyDescent="0.3">
      <c r="A43" s="47" t="s">
        <v>742</v>
      </c>
      <c r="B43" s="47" t="s">
        <v>787</v>
      </c>
      <c r="C43" s="47" t="s">
        <v>795</v>
      </c>
      <c r="D43" s="47" t="s">
        <v>796</v>
      </c>
    </row>
    <row r="44" spans="1:6" ht="28.8" x14ac:dyDescent="0.3">
      <c r="A44" s="47" t="s">
        <v>746</v>
      </c>
      <c r="B44" s="47" t="s">
        <v>787</v>
      </c>
      <c r="C44" s="47" t="s">
        <v>797</v>
      </c>
      <c r="D44" s="47" t="s">
        <v>798</v>
      </c>
    </row>
    <row r="45" spans="1:6" x14ac:dyDescent="0.3">
      <c r="A45" s="47" t="s">
        <v>764</v>
      </c>
      <c r="B45" s="47" t="s">
        <v>787</v>
      </c>
      <c r="C45" s="47" t="s">
        <v>799</v>
      </c>
      <c r="D45" s="47" t="s">
        <v>800</v>
      </c>
    </row>
  </sheetData>
  <mergeCells count="2">
    <mergeCell ref="A34:F34"/>
    <mergeCell ref="A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49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801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s="7" t="s">
        <v>802</v>
      </c>
    </row>
    <row r="4" spans="1:10" ht="14.25" customHeight="1" x14ac:dyDescent="0.3">
      <c r="A4" t="s">
        <v>803</v>
      </c>
      <c r="B4" t="s">
        <v>804</v>
      </c>
    </row>
    <row r="5" spans="1:10" ht="14.25" customHeight="1" x14ac:dyDescent="0.3">
      <c r="A5" t="s">
        <v>805</v>
      </c>
      <c r="B5" t="s">
        <v>806</v>
      </c>
    </row>
    <row r="6" spans="1:10" ht="14.25" customHeight="1" x14ac:dyDescent="0.3">
      <c r="A6" t="s">
        <v>171</v>
      </c>
      <c r="B6" t="s">
        <v>807</v>
      </c>
    </row>
    <row r="7" spans="1:10" ht="14.25" customHeight="1" x14ac:dyDescent="0.3">
      <c r="A7" t="s">
        <v>808</v>
      </c>
      <c r="B7" t="s">
        <v>809</v>
      </c>
    </row>
    <row r="8" spans="1:10" ht="14.25" customHeight="1" x14ac:dyDescent="0.3">
      <c r="A8" t="s">
        <v>810</v>
      </c>
      <c r="B8" t="s">
        <v>811</v>
      </c>
    </row>
    <row r="9" spans="1:10" ht="14.25" customHeight="1" x14ac:dyDescent="0.3">
      <c r="A9" t="s">
        <v>812</v>
      </c>
      <c r="B9" t="s">
        <v>813</v>
      </c>
    </row>
    <row r="10" spans="1:10" ht="14.25" customHeight="1" x14ac:dyDescent="0.3">
      <c r="A10" t="s">
        <v>814</v>
      </c>
      <c r="B10" t="s">
        <v>13</v>
      </c>
    </row>
    <row r="11" spans="1:10" ht="14.25" customHeight="1" x14ac:dyDescent="0.3">
      <c r="A11" t="s">
        <v>815</v>
      </c>
      <c r="B11" s="17" t="str">
        <f>CANON!B7</f>
        <v>v1.8.3</v>
      </c>
    </row>
    <row r="12" spans="1:10" ht="14.25" customHeight="1" x14ac:dyDescent="0.3">
      <c r="A12" t="s">
        <v>816</v>
      </c>
      <c r="B12" t="str">
        <f>CANON!B5</f>
        <v>Ripple_Logic v8.5.3</v>
      </c>
    </row>
    <row r="13" spans="1:10" ht="14.25" customHeight="1" x14ac:dyDescent="0.3">
      <c r="A13" t="s">
        <v>817</v>
      </c>
      <c r="B13" t="str">
        <f>CANON!B6</f>
        <v>SGP v4.2.3</v>
      </c>
    </row>
    <row r="14" spans="1:10" ht="14.25" customHeight="1" x14ac:dyDescent="0.3">
      <c r="B14" t="s">
        <v>56</v>
      </c>
    </row>
    <row r="15" spans="1:10" ht="14.25" customHeight="1" x14ac:dyDescent="0.3">
      <c r="A15" t="s">
        <v>91</v>
      </c>
      <c r="B15" t="str">
        <f>IF(CANON!B81="YES","YES (Tier 2 Conformant, "&amp;CANON!B7&amp;")","NO")</f>
        <v>YES (Tier 2 Conformant, v1.8.3)</v>
      </c>
    </row>
    <row r="16" spans="1:10" ht="14.25" customHeight="1" x14ac:dyDescent="0.3">
      <c r="A16" s="7" t="s">
        <v>818</v>
      </c>
    </row>
    <row r="17" spans="1:3" ht="14.25" customHeight="1" x14ac:dyDescent="0.3">
      <c r="A17" t="s">
        <v>819</v>
      </c>
      <c r="B17" t="s">
        <v>820</v>
      </c>
    </row>
    <row r="18" spans="1:3" ht="14.25" customHeight="1" x14ac:dyDescent="0.3">
      <c r="A18" t="s">
        <v>821</v>
      </c>
      <c r="B18" t="s">
        <v>151</v>
      </c>
    </row>
    <row r="19" spans="1:3" ht="14.25" customHeight="1" x14ac:dyDescent="0.3">
      <c r="A19" t="s">
        <v>822</v>
      </c>
      <c r="B19" t="s">
        <v>823</v>
      </c>
    </row>
    <row r="20" spans="1:3" ht="14.25" customHeight="1" x14ac:dyDescent="0.3">
      <c r="A20" t="s">
        <v>824</v>
      </c>
      <c r="B20">
        <v>2</v>
      </c>
    </row>
    <row r="21" spans="1:3" ht="14.25" customHeight="1" x14ac:dyDescent="0.3">
      <c r="A21" t="s">
        <v>825</v>
      </c>
      <c r="B21">
        <v>2</v>
      </c>
    </row>
    <row r="22" spans="1:3" ht="14.25" customHeight="1" x14ac:dyDescent="0.3">
      <c r="A22" t="s">
        <v>826</v>
      </c>
      <c r="B22">
        <v>-0.1</v>
      </c>
    </row>
    <row r="23" spans="1:3" ht="14.25" customHeight="1" x14ac:dyDescent="0.3">
      <c r="A23" t="s">
        <v>330</v>
      </c>
      <c r="B23">
        <v>0.05</v>
      </c>
    </row>
    <row r="24" spans="1:3" ht="14.25" customHeight="1" x14ac:dyDescent="0.3">
      <c r="A24" t="s">
        <v>114</v>
      </c>
      <c r="B24">
        <v>25</v>
      </c>
    </row>
    <row r="25" spans="1:3" ht="14.25" customHeight="1" x14ac:dyDescent="0.3">
      <c r="A25" t="s">
        <v>827</v>
      </c>
      <c r="B25">
        <f>CANON!B18</f>
        <v>0.95</v>
      </c>
    </row>
    <row r="26" spans="1:3" ht="14.25" customHeight="1" x14ac:dyDescent="0.3">
      <c r="A26" t="s">
        <v>828</v>
      </c>
      <c r="B26">
        <f>CANON!B58</f>
        <v>0.2</v>
      </c>
    </row>
    <row r="27" spans="1:3" ht="13.5" customHeight="1" x14ac:dyDescent="0.3">
      <c r="A27" t="s">
        <v>829</v>
      </c>
      <c r="B27" t="str">
        <f>CANON!B137</f>
        <v>C</v>
      </c>
      <c r="C27" t="s">
        <v>830</v>
      </c>
    </row>
    <row r="28" spans="1:3" ht="13.5" customHeight="1" x14ac:dyDescent="0.3">
      <c r="A28" t="s">
        <v>831</v>
      </c>
      <c r="B28">
        <f>CANON!B26</f>
        <v>0.02</v>
      </c>
      <c r="C28" t="s">
        <v>832</v>
      </c>
    </row>
    <row r="29" spans="1:3" ht="14.25" customHeight="1" x14ac:dyDescent="0.3">
      <c r="A29" s="7" t="s">
        <v>833</v>
      </c>
    </row>
    <row r="30" spans="1:3" ht="14.25" customHeight="1" x14ac:dyDescent="0.3">
      <c r="A30" t="s">
        <v>834</v>
      </c>
      <c r="B30" t="s">
        <v>835</v>
      </c>
    </row>
    <row r="31" spans="1:3" ht="14.25" customHeight="1" x14ac:dyDescent="0.3">
      <c r="A31" t="s">
        <v>836</v>
      </c>
      <c r="B31" t="s">
        <v>837</v>
      </c>
    </row>
    <row r="32" spans="1:3" ht="14.25" customHeight="1" x14ac:dyDescent="0.3">
      <c r="A32" t="s">
        <v>838</v>
      </c>
      <c r="B32" s="10">
        <f>COUNTA(Rights_Coverage!$B$7:$B$76)</f>
        <v>70</v>
      </c>
    </row>
    <row r="33" spans="1:3" ht="14.25" customHeight="1" x14ac:dyDescent="0.3">
      <c r="A33" t="s">
        <v>839</v>
      </c>
      <c r="B33" t="s">
        <v>840</v>
      </c>
    </row>
    <row r="34" spans="1:3" ht="13.5" customHeight="1" x14ac:dyDescent="0.3">
      <c r="A34" t="s">
        <v>841</v>
      </c>
      <c r="B34" t="s">
        <v>842</v>
      </c>
      <c r="C34" t="s">
        <v>843</v>
      </c>
    </row>
    <row r="35" spans="1:3" ht="13.5" customHeight="1" x14ac:dyDescent="0.3">
      <c r="A35" t="s">
        <v>844</v>
      </c>
      <c r="B35" t="s">
        <v>845</v>
      </c>
      <c r="C35" t="s">
        <v>846</v>
      </c>
    </row>
    <row r="36" spans="1:3" ht="14.25" customHeight="1" x14ac:dyDescent="0.3">
      <c r="A36" t="s">
        <v>847</v>
      </c>
      <c r="B36" t="s">
        <v>848</v>
      </c>
      <c r="C36" t="s">
        <v>849</v>
      </c>
    </row>
    <row r="37" spans="1:3" ht="14.25" customHeight="1" x14ac:dyDescent="0.3">
      <c r="A37" t="s">
        <v>850</v>
      </c>
      <c r="B37" t="s">
        <v>851</v>
      </c>
      <c r="C37" t="s">
        <v>852</v>
      </c>
    </row>
    <row r="38" spans="1:3" ht="14.25" customHeight="1" x14ac:dyDescent="0.3">
      <c r="A38" s="7" t="s">
        <v>853</v>
      </c>
    </row>
    <row r="39" spans="1:3" ht="14.25" customHeight="1" x14ac:dyDescent="0.3">
      <c r="A39" t="s">
        <v>854</v>
      </c>
    </row>
    <row r="40" spans="1:3" ht="14.25" customHeight="1" x14ac:dyDescent="0.3">
      <c r="A40" t="s">
        <v>855</v>
      </c>
      <c r="B40" t="s">
        <v>543</v>
      </c>
    </row>
    <row r="41" spans="1:3" ht="14.25" customHeight="1" x14ac:dyDescent="0.3">
      <c r="A41" t="s">
        <v>856</v>
      </c>
      <c r="B41" t="s">
        <v>543</v>
      </c>
    </row>
    <row r="42" spans="1:3" ht="14.25" customHeight="1" x14ac:dyDescent="0.3">
      <c r="A42" t="s">
        <v>857</v>
      </c>
      <c r="B42" t="s">
        <v>858</v>
      </c>
    </row>
    <row r="43" spans="1:3" ht="13.5" customHeight="1" x14ac:dyDescent="0.3">
      <c r="A43" t="s">
        <v>859</v>
      </c>
      <c r="B43" t="s">
        <v>860</v>
      </c>
    </row>
    <row r="44" spans="1:3" ht="14.25" customHeight="1" x14ac:dyDescent="0.3">
      <c r="A44" t="s">
        <v>861</v>
      </c>
      <c r="B44" t="str">
        <f>IF(WTSL_Categories!$B$17&gt;=WTSL_Categories!$B$16,"YES","NO")</f>
        <v>YES</v>
      </c>
    </row>
    <row r="45" spans="1:3" ht="14.25" customHeight="1" x14ac:dyDescent="0.3"/>
    <row r="46" spans="1:3" ht="14.25" customHeight="1" x14ac:dyDescent="0.3">
      <c r="B46" t="s">
        <v>543</v>
      </c>
    </row>
    <row r="47" spans="1:3" ht="14.25" customHeight="1" x14ac:dyDescent="0.3">
      <c r="A47" s="7" t="s">
        <v>862</v>
      </c>
      <c r="B47" t="s">
        <v>543</v>
      </c>
    </row>
    <row r="48" spans="1:3" ht="14.25" customHeight="1" x14ac:dyDescent="0.3">
      <c r="A48" t="s">
        <v>863</v>
      </c>
      <c r="B48" s="10" t="s">
        <v>543</v>
      </c>
    </row>
    <row r="49" spans="1:3" ht="14.25" customHeight="1" x14ac:dyDescent="0.3">
      <c r="A49" t="s">
        <v>864</v>
      </c>
      <c r="B49" s="10" t="s">
        <v>543</v>
      </c>
    </row>
    <row r="50" spans="1:3" ht="14.25" customHeight="1" x14ac:dyDescent="0.3">
      <c r="A50" t="s">
        <v>865</v>
      </c>
      <c r="B50" s="28" t="s">
        <v>549</v>
      </c>
    </row>
    <row r="51" spans="1:3" ht="14.25" customHeight="1" x14ac:dyDescent="0.3">
      <c r="A51" t="s">
        <v>65</v>
      </c>
      <c r="B51" s="27">
        <v>2.1899999999999999E-2</v>
      </c>
    </row>
    <row r="52" spans="1:3" ht="14.25" customHeight="1" x14ac:dyDescent="0.3">
      <c r="A52" t="s">
        <v>66</v>
      </c>
      <c r="B52" s="27">
        <v>3.15E-2</v>
      </c>
    </row>
    <row r="53" spans="1:3" ht="14.25" customHeight="1" x14ac:dyDescent="0.3">
      <c r="A53" t="s">
        <v>866</v>
      </c>
      <c r="B53" s="27" t="s">
        <v>547</v>
      </c>
    </row>
    <row r="54" spans="1:3" ht="14.25" customHeight="1" x14ac:dyDescent="0.3">
      <c r="A54" t="s">
        <v>867</v>
      </c>
      <c r="B54" s="28" t="s">
        <v>16</v>
      </c>
    </row>
    <row r="55" spans="1:3" ht="14.25" customHeight="1" x14ac:dyDescent="0.3">
      <c r="A55" t="s">
        <v>868</v>
      </c>
      <c r="B55" s="10" t="str">
        <f>CANON!B60</f>
        <v>PASS</v>
      </c>
      <c r="C55" t="s">
        <v>869</v>
      </c>
    </row>
    <row r="56" spans="1:3" ht="14.25" customHeight="1" x14ac:dyDescent="0.3">
      <c r="A56" t="s">
        <v>870</v>
      </c>
      <c r="B56" s="10" t="str">
        <f>CANON!B61</f>
        <v>PASS (vacuous)</v>
      </c>
      <c r="C56" t="s">
        <v>869</v>
      </c>
    </row>
    <row r="57" spans="1:3" ht="14.25" customHeight="1" x14ac:dyDescent="0.3">
      <c r="A57" t="s">
        <v>73</v>
      </c>
      <c r="B57">
        <v>5.4619999999999998E-3</v>
      </c>
    </row>
    <row r="58" spans="1:3" ht="13.5" customHeight="1" x14ac:dyDescent="0.3">
      <c r="A58" t="s">
        <v>74</v>
      </c>
      <c r="B58">
        <v>2.02E-4</v>
      </c>
    </row>
    <row r="59" spans="1:3" ht="14.25" customHeight="1" x14ac:dyDescent="0.3">
      <c r="A59" t="s">
        <v>871</v>
      </c>
      <c r="B59" t="s">
        <v>16</v>
      </c>
    </row>
    <row r="60" spans="1:3" ht="14.25" customHeight="1" x14ac:dyDescent="0.3"/>
    <row r="61" spans="1:3" ht="14.25" customHeight="1" x14ac:dyDescent="0.3">
      <c r="B61">
        <v>5.4619999999999998E-3</v>
      </c>
    </row>
    <row r="62" spans="1:3" ht="14.25" customHeight="1" x14ac:dyDescent="0.3">
      <c r="A62" s="7" t="s">
        <v>872</v>
      </c>
      <c r="B62">
        <v>2.02E-4</v>
      </c>
    </row>
    <row r="63" spans="1:3" ht="14.25" customHeight="1" x14ac:dyDescent="0.3">
      <c r="A63" t="s">
        <v>873</v>
      </c>
      <c r="B63" t="str">
        <f>CANON!B70</f>
        <v>NORMAL</v>
      </c>
    </row>
    <row r="64" spans="1:3" ht="14.25" customHeight="1" x14ac:dyDescent="0.3">
      <c r="A64" t="s">
        <v>874</v>
      </c>
      <c r="B64" t="str">
        <f>CANON!B72</f>
        <v>RLS comparison</v>
      </c>
    </row>
    <row r="65" spans="1:3" ht="14.25" customHeight="1" x14ac:dyDescent="0.3">
      <c r="A65" t="s">
        <v>875</v>
      </c>
      <c r="B65" s="29" t="str">
        <f>IF(CANON!B71="","None",CANON!B71)</f>
        <v>A</v>
      </c>
    </row>
    <row r="66" spans="1:3" ht="14.25" customHeight="1" x14ac:dyDescent="0.3">
      <c r="A66" t="s">
        <v>876</v>
      </c>
      <c r="B66" t="str">
        <f>IF(Dashboard!$B$36="YES",TEXT(MIN(TRC!$H$15,TRC!$H$28)-Config!$B$12,"0.000")&amp;" above τ_TRC","0.000")</f>
        <v>0.000</v>
      </c>
    </row>
    <row r="67" spans="1:3" ht="14.25" customHeight="1" x14ac:dyDescent="0.3">
      <c r="A67" t="s">
        <v>877</v>
      </c>
      <c r="B67" t="s">
        <v>878</v>
      </c>
    </row>
    <row r="68" spans="1:3" ht="14.25" customHeight="1" x14ac:dyDescent="0.3">
      <c r="A68" t="s">
        <v>879</v>
      </c>
      <c r="B68" t="str">
        <f>CANON!B73</f>
        <v>NO</v>
      </c>
    </row>
    <row r="69" spans="1:3" ht="14.25" customHeight="1" x14ac:dyDescent="0.3">
      <c r="A69" t="s">
        <v>880</v>
      </c>
      <c r="B69" t="s">
        <v>448</v>
      </c>
    </row>
    <row r="70" spans="1:3" ht="14.25" customHeight="1" x14ac:dyDescent="0.3">
      <c r="A70" t="s">
        <v>881</v>
      </c>
      <c r="B70" t="s">
        <v>547</v>
      </c>
    </row>
    <row r="71" spans="1:3" ht="14.25" customHeight="1" x14ac:dyDescent="0.3">
      <c r="A71" t="s">
        <v>882</v>
      </c>
      <c r="B71" t="s">
        <v>547</v>
      </c>
    </row>
    <row r="72" spans="1:3" ht="14.25" customHeight="1" x14ac:dyDescent="0.3">
      <c r="B72" t="s">
        <v>56</v>
      </c>
    </row>
    <row r="73" spans="1:3" ht="14.25" customHeight="1" x14ac:dyDescent="0.3">
      <c r="A73" s="9" t="s">
        <v>883</v>
      </c>
    </row>
    <row r="74" spans="1:3" ht="14.25" customHeight="1" x14ac:dyDescent="0.3">
      <c r="A74" s="7" t="s">
        <v>884</v>
      </c>
      <c r="B74">
        <f>Audit_Flags!B21</f>
        <v>0</v>
      </c>
    </row>
    <row r="75" spans="1:3" ht="14.25" customHeight="1" x14ac:dyDescent="0.3">
      <c r="A75" t="s">
        <v>885</v>
      </c>
      <c r="B75">
        <f>Audit_Flags!B22</f>
        <v>0</v>
      </c>
    </row>
    <row r="76" spans="1:3" ht="14.25" customHeight="1" x14ac:dyDescent="0.3">
      <c r="A76" s="28" t="s">
        <v>886</v>
      </c>
      <c r="B76">
        <f>Audit_Flags!B23</f>
        <v>1</v>
      </c>
      <c r="C76" t="s">
        <v>887</v>
      </c>
    </row>
    <row r="77" spans="1:3" ht="13.5" customHeight="1" x14ac:dyDescent="0.3">
      <c r="A77" t="s">
        <v>888</v>
      </c>
      <c r="B77" t="e">
        <f ca="1">Audit_Flags!$J$19</f>
        <v>#NAME?</v>
      </c>
    </row>
    <row r="78" spans="1:3" ht="14.25" customHeight="1" x14ac:dyDescent="0.3">
      <c r="B78" t="s">
        <v>889</v>
      </c>
    </row>
    <row r="79" spans="1:3" ht="14.25" customHeight="1" x14ac:dyDescent="0.3"/>
    <row r="80" spans="1:3" ht="14.25" customHeight="1" x14ac:dyDescent="0.3">
      <c r="A80" s="9" t="s">
        <v>890</v>
      </c>
    </row>
    <row r="81" spans="1:4" ht="14.25" customHeight="1" x14ac:dyDescent="0.3">
      <c r="A81" s="7" t="s">
        <v>891</v>
      </c>
      <c r="B81" t="s">
        <v>892</v>
      </c>
    </row>
    <row r="82" spans="1:4" ht="14.25" customHeight="1" x14ac:dyDescent="0.3">
      <c r="A82" t="s">
        <v>893</v>
      </c>
      <c r="B82" t="s">
        <v>894</v>
      </c>
    </row>
    <row r="83" spans="1:4" ht="14.25" customHeight="1" x14ac:dyDescent="0.3">
      <c r="A83" t="s">
        <v>895</v>
      </c>
      <c r="B83" t="s">
        <v>896</v>
      </c>
    </row>
    <row r="84" spans="1:4" ht="14.25" customHeight="1" x14ac:dyDescent="0.3">
      <c r="A84" t="s">
        <v>897</v>
      </c>
      <c r="B84" t="s">
        <v>898</v>
      </c>
    </row>
    <row r="85" spans="1:4" ht="13.5" customHeight="1" x14ac:dyDescent="0.3">
      <c r="A85" t="s">
        <v>899</v>
      </c>
      <c r="B85" t="str">
        <f>"NCAR quarterly. REVIEW flags: "&amp;IF(Audit_Flags!B26="","(none)",Audit_Flags!B26)&amp;". Reflect: "&amp;$B$102&amp;"."</f>
        <v>NCAR quarterly. REVIEW flags: NO. Reflect: .</v>
      </c>
    </row>
    <row r="86" spans="1:4" ht="13.5" customHeight="1" x14ac:dyDescent="0.3">
      <c r="A86" t="s">
        <v>900</v>
      </c>
      <c r="B86" t="s">
        <v>901</v>
      </c>
    </row>
    <row r="87" spans="1:4" ht="14.25" customHeight="1" x14ac:dyDescent="0.3"/>
    <row r="88" spans="1:4" ht="14.25" customHeight="1" x14ac:dyDescent="0.3"/>
    <row r="89" spans="1:4" ht="14.25" customHeight="1" x14ac:dyDescent="0.3">
      <c r="A89" s="7" t="s">
        <v>902</v>
      </c>
    </row>
    <row r="90" spans="1:4" ht="14.25" customHeight="1" x14ac:dyDescent="0.3">
      <c r="A90" t="str">
        <f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f>
        <v>Objective: Maintain CVaR ≤ τ_TRC (0.20) and monitor tail-risk assumptions.</v>
      </c>
    </row>
    <row r="91" spans="1:4" ht="14.25" customHeight="1" x14ac:dyDescent="0.3">
      <c r="A91" t="s">
        <v>903</v>
      </c>
      <c r="B91" t="s">
        <v>904</v>
      </c>
      <c r="C91" t="s">
        <v>905</v>
      </c>
    </row>
    <row r="92" spans="1:4" ht="14.25" customHeight="1" x14ac:dyDescent="0.3">
      <c r="A92" t="s">
        <v>906</v>
      </c>
      <c r="B92" t="s">
        <v>907</v>
      </c>
      <c r="C92" t="s">
        <v>905</v>
      </c>
    </row>
    <row r="93" spans="1:4" ht="14.25" customHeight="1" x14ac:dyDescent="0.3">
      <c r="A93" t="s">
        <v>908</v>
      </c>
      <c r="B93" t="s">
        <v>909</v>
      </c>
      <c r="C93" t="s">
        <v>905</v>
      </c>
    </row>
    <row r="94" spans="1:4" ht="14.25" customHeight="1" x14ac:dyDescent="0.3">
      <c r="A94" t="s">
        <v>910</v>
      </c>
      <c r="B94" t="s">
        <v>911</v>
      </c>
      <c r="C94" t="s">
        <v>905</v>
      </c>
    </row>
    <row r="95" spans="1:4" ht="14.25" customHeight="1" x14ac:dyDescent="0.3">
      <c r="A95" t="s">
        <v>912</v>
      </c>
      <c r="B95" t="s">
        <v>913</v>
      </c>
      <c r="C95" t="s">
        <v>905</v>
      </c>
    </row>
    <row r="96" spans="1:4" ht="13.5" customHeight="1" x14ac:dyDescent="0.3">
      <c r="A96" t="s">
        <v>914</v>
      </c>
      <c r="B96" t="s">
        <v>915</v>
      </c>
      <c r="C96" t="str">
        <f>IF(Dashboard!$B$36="YES","Mitigation required (CVaR above τ_TRC).","Headroom = "&amp;TEXT(CANON!$B$106-IF(CANON!$B$71="A",CANON!$B$104,IF(CANON!$B$71="B",CANON!$B$105,"")),"0.000")&amp;" (τ_TRC - CVaR_selected). Monitor assumptions + rerun TRC on change.")</f>
        <v>Headroom = 0.178 (τ_TRC - CVaR_selected). Monitor assumptions + rerun TRC on change.</v>
      </c>
      <c r="D96">
        <f>CANON!B106-IF(CANON!B71="A",CANON!B104,CANON!B105)</f>
        <v>0.17810000000000001</v>
      </c>
    </row>
    <row r="97" spans="1:3" ht="14.25" customHeight="1" x14ac:dyDescent="0.3">
      <c r="A97" s="4" t="s">
        <v>916</v>
      </c>
      <c r="B97">
        <f>Audit_Flags!$F$2</f>
        <v>0</v>
      </c>
    </row>
    <row r="98" spans="1:3" ht="14.25" customHeight="1" x14ac:dyDescent="0.3"/>
    <row r="99" spans="1:3" ht="14.25" customHeight="1" x14ac:dyDescent="0.3">
      <c r="A99" s="7" t="s">
        <v>917</v>
      </c>
    </row>
    <row r="100" spans="1:3" ht="14.25" customHeight="1" x14ac:dyDescent="0.3">
      <c r="A100" t="s">
        <v>918</v>
      </c>
    </row>
    <row r="101" spans="1:3" ht="14.25" customHeight="1" x14ac:dyDescent="0.3">
      <c r="A101" t="s">
        <v>919</v>
      </c>
      <c r="B101" t="s">
        <v>920</v>
      </c>
    </row>
    <row r="102" spans="1:3" ht="14.25" customHeight="1" x14ac:dyDescent="0.3">
      <c r="A102" t="s">
        <v>921</v>
      </c>
    </row>
    <row r="103" spans="1:3" ht="13.5" customHeight="1" x14ac:dyDescent="0.3">
      <c r="A103" t="s">
        <v>922</v>
      </c>
    </row>
    <row r="104" spans="1:3" ht="13.5" customHeight="1" x14ac:dyDescent="0.3">
      <c r="A104" t="s">
        <v>923</v>
      </c>
      <c r="B104" s="17" t="str">
        <f>TEXT(DATE(2026,2,2)+90,"YYYY-MM-DD")</f>
        <v>2026-05-03</v>
      </c>
    </row>
    <row r="105" spans="1:3" ht="13.5" customHeight="1" x14ac:dyDescent="0.3"/>
    <row r="106" spans="1:3" ht="13.5" customHeight="1" x14ac:dyDescent="0.3">
      <c r="A106" t="s">
        <v>924</v>
      </c>
    </row>
    <row r="107" spans="1:3" ht="13.5" customHeight="1" x14ac:dyDescent="0.3">
      <c r="A107" t="s">
        <v>925</v>
      </c>
      <c r="B107" t="s">
        <v>926</v>
      </c>
    </row>
    <row r="108" spans="1:3" x14ac:dyDescent="0.3">
      <c r="A108" t="s">
        <v>927</v>
      </c>
      <c r="B108" t="s">
        <v>928</v>
      </c>
      <c r="C108" t="s">
        <v>929</v>
      </c>
    </row>
    <row r="109" spans="1:3" ht="15" customHeight="1" x14ac:dyDescent="0.3">
      <c r="A109" t="s">
        <v>930</v>
      </c>
      <c r="B109" t="s">
        <v>931</v>
      </c>
    </row>
    <row r="110" spans="1:3" ht="13.5" customHeight="1" x14ac:dyDescent="0.3"/>
    <row r="111" spans="1:3" ht="13.5" customHeight="1" x14ac:dyDescent="0.3">
      <c r="A111" s="11" t="s">
        <v>932</v>
      </c>
    </row>
    <row r="112" spans="1:3" ht="13.5" customHeight="1" x14ac:dyDescent="0.3">
      <c r="A112" s="13" t="s">
        <v>933</v>
      </c>
      <c r="B112" s="13" t="str">
        <f>CANON!B133</f>
        <v>FULL</v>
      </c>
      <c r="C112" s="15" t="s">
        <v>934</v>
      </c>
    </row>
    <row r="113" spans="1:8" ht="13.5" customHeight="1" x14ac:dyDescent="0.3">
      <c r="A113" s="13" t="s">
        <v>935</v>
      </c>
      <c r="B113" s="13" t="str">
        <f>CANON!B134</f>
        <v>U1,U2,U3,U4,U5,U6,U7</v>
      </c>
      <c r="C113" s="12"/>
    </row>
    <row r="114" spans="1:8" ht="13.5" customHeight="1" x14ac:dyDescent="0.3">
      <c r="A114" s="13" t="s">
        <v>936</v>
      </c>
      <c r="B114" s="13" t="str">
        <f>CANON!B135</f>
        <v>NONE</v>
      </c>
      <c r="C114" s="12"/>
    </row>
    <row r="115" spans="1:8" ht="13.5" customHeight="1" x14ac:dyDescent="0.3">
      <c r="A115" s="13" t="s">
        <v>937</v>
      </c>
      <c r="B115" s="14" t="s">
        <v>938</v>
      </c>
      <c r="C115" s="12"/>
    </row>
    <row r="116" spans="1:8" x14ac:dyDescent="0.3">
      <c r="A116" s="13" t="s">
        <v>939</v>
      </c>
      <c r="B116" s="14" t="s">
        <v>940</v>
      </c>
      <c r="C116" s="12"/>
    </row>
    <row r="117" spans="1:8" ht="13.5" customHeight="1" x14ac:dyDescent="0.3">
      <c r="A117" s="13" t="s">
        <v>941</v>
      </c>
      <c r="B117" s="14" t="s">
        <v>942</v>
      </c>
      <c r="C117" s="12"/>
    </row>
    <row r="118" spans="1:8" ht="13.5" customHeight="1" x14ac:dyDescent="0.3"/>
    <row r="119" spans="1:8" x14ac:dyDescent="0.3">
      <c r="A119" s="40" t="s">
        <v>943</v>
      </c>
    </row>
    <row r="120" spans="1:8" ht="15" customHeight="1" x14ac:dyDescent="0.3">
      <c r="A120" s="15" t="s">
        <v>944</v>
      </c>
    </row>
    <row r="121" spans="1:8" ht="13.5" customHeight="1" x14ac:dyDescent="0.3"/>
    <row r="122" spans="1:8" ht="13.5" customHeight="1" x14ac:dyDescent="0.3">
      <c r="A122" s="11" t="s">
        <v>945</v>
      </c>
    </row>
    <row r="123" spans="1:8" x14ac:dyDescent="0.3">
      <c r="A123" s="15" t="s">
        <v>946</v>
      </c>
    </row>
    <row r="124" spans="1:8" ht="13.5" customHeight="1" x14ac:dyDescent="0.3">
      <c r="A124" s="15" t="s">
        <v>947</v>
      </c>
    </row>
    <row r="125" spans="1:8" ht="13.5" customHeight="1" x14ac:dyDescent="0.3"/>
    <row r="126" spans="1:8" ht="13.5" customHeight="1" x14ac:dyDescent="0.3">
      <c r="A126" s="41" t="s">
        <v>948</v>
      </c>
      <c r="B126" s="41" t="s">
        <v>949</v>
      </c>
      <c r="C126" s="41" t="s">
        <v>950</v>
      </c>
      <c r="D126" s="41" t="s">
        <v>951</v>
      </c>
      <c r="E126" s="41" t="s">
        <v>952</v>
      </c>
      <c r="F126" s="41" t="s">
        <v>953</v>
      </c>
      <c r="G126" s="41" t="s">
        <v>954</v>
      </c>
      <c r="H126" s="41" t="s">
        <v>955</v>
      </c>
    </row>
    <row r="127" spans="1:8" ht="13.5" customHeight="1" x14ac:dyDescent="0.3">
      <c r="A127" s="14" t="s">
        <v>956</v>
      </c>
      <c r="B127" s="14" t="s">
        <v>957</v>
      </c>
      <c r="C127" s="14" t="s">
        <v>958</v>
      </c>
      <c r="D127" s="14" t="s">
        <v>959</v>
      </c>
      <c r="E127" s="14" t="s">
        <v>960</v>
      </c>
      <c r="F127" s="14" t="s">
        <v>961</v>
      </c>
      <c r="G127" s="14" t="s">
        <v>962</v>
      </c>
      <c r="H127" s="14" t="s">
        <v>963</v>
      </c>
    </row>
    <row r="128" spans="1:8" ht="13.5" customHeight="1" x14ac:dyDescent="0.3">
      <c r="A128" s="14" t="s">
        <v>964</v>
      </c>
      <c r="B128" s="14" t="s">
        <v>965</v>
      </c>
      <c r="C128" s="14" t="s">
        <v>966</v>
      </c>
      <c r="D128" s="14" t="s">
        <v>967</v>
      </c>
      <c r="E128" s="14" t="s">
        <v>363</v>
      </c>
      <c r="F128" s="14" t="s">
        <v>968</v>
      </c>
      <c r="G128" s="14" t="s">
        <v>969</v>
      </c>
      <c r="H128" s="14" t="s">
        <v>963</v>
      </c>
    </row>
    <row r="129" spans="1:8" ht="13.5" customHeight="1" x14ac:dyDescent="0.3">
      <c r="A129" s="14" t="s">
        <v>970</v>
      </c>
      <c r="B129" s="14" t="s">
        <v>971</v>
      </c>
      <c r="C129" s="14" t="s">
        <v>972</v>
      </c>
      <c r="D129" s="14" t="s">
        <v>973</v>
      </c>
      <c r="E129" s="14" t="s">
        <v>364</v>
      </c>
      <c r="F129" s="14" t="s">
        <v>974</v>
      </c>
      <c r="G129" s="14" t="s">
        <v>975</v>
      </c>
      <c r="H129" s="14" t="s">
        <v>963</v>
      </c>
    </row>
    <row r="130" spans="1:8" x14ac:dyDescent="0.3">
      <c r="A130" s="14" t="s">
        <v>976</v>
      </c>
      <c r="B130" s="14" t="s">
        <v>977</v>
      </c>
      <c r="C130" s="14" t="s">
        <v>978</v>
      </c>
      <c r="D130" s="14" t="s">
        <v>979</v>
      </c>
      <c r="E130" s="14" t="s">
        <v>365</v>
      </c>
      <c r="F130" s="14" t="s">
        <v>980</v>
      </c>
      <c r="G130" s="14" t="s">
        <v>981</v>
      </c>
      <c r="H130" s="14" t="s">
        <v>963</v>
      </c>
    </row>
    <row r="131" spans="1:8" ht="13.5" customHeight="1" x14ac:dyDescent="0.3">
      <c r="A131" s="14" t="s">
        <v>982</v>
      </c>
      <c r="B131" s="14" t="s">
        <v>983</v>
      </c>
      <c r="C131" s="14" t="s">
        <v>972</v>
      </c>
      <c r="D131" s="14" t="s">
        <v>984</v>
      </c>
      <c r="E131" s="14" t="s">
        <v>985</v>
      </c>
      <c r="F131" s="14" t="s">
        <v>986</v>
      </c>
      <c r="G131" s="14" t="s">
        <v>987</v>
      </c>
      <c r="H131" s="14" t="s">
        <v>988</v>
      </c>
    </row>
    <row r="132" spans="1:8" ht="13.5" customHeight="1" x14ac:dyDescent="0.3"/>
    <row r="133" spans="1:8" x14ac:dyDescent="0.3">
      <c r="A133" s="42" t="s">
        <v>989</v>
      </c>
    </row>
    <row r="134" spans="1:8" ht="15" customHeight="1" x14ac:dyDescent="0.3">
      <c r="A134" s="15" t="s">
        <v>990</v>
      </c>
    </row>
    <row r="135" spans="1:8" ht="13.5" customHeight="1" x14ac:dyDescent="0.3"/>
    <row r="136" spans="1:8" ht="13.5" customHeight="1" x14ac:dyDescent="0.3">
      <c r="A136" s="11" t="s">
        <v>991</v>
      </c>
    </row>
    <row r="137" spans="1:8" ht="13.5" customHeight="1" x14ac:dyDescent="0.3">
      <c r="A137" s="15" t="s">
        <v>992</v>
      </c>
    </row>
    <row r="138" spans="1:8" ht="13.5" customHeight="1" x14ac:dyDescent="0.3">
      <c r="A138" s="13" t="s">
        <v>993</v>
      </c>
      <c r="B138" s="13">
        <f>CANON!B130</f>
        <v>1</v>
      </c>
      <c r="C138" s="15" t="s">
        <v>994</v>
      </c>
    </row>
    <row r="139" spans="1:8" ht="13.5" customHeight="1" x14ac:dyDescent="0.3">
      <c r="A139" s="13" t="s">
        <v>995</v>
      </c>
      <c r="B139" s="13" t="str">
        <f>CANON!B131</f>
        <v>Key stakeholders identified; roles mapped to scopes; coverage documented</v>
      </c>
      <c r="C139" s="12"/>
    </row>
    <row r="140" spans="1:8" ht="13.5" customHeight="1" x14ac:dyDescent="0.3">
      <c r="A140" s="13" t="s">
        <v>996</v>
      </c>
      <c r="B140" s="13" t="str">
        <f>CANON!B132</f>
        <v>Expand to SCI-2: structured discovery protocol with evidence refs</v>
      </c>
      <c r="C140" s="15" t="s">
        <v>997</v>
      </c>
    </row>
    <row r="141" spans="1:8" x14ac:dyDescent="0.3">
      <c r="A141" s="13" t="s">
        <v>998</v>
      </c>
      <c r="B141" s="13" t="str">
        <f>IF(CANON!$B$10=2,"SCI-1",IF(CANON!$B$10=3,"SCI-2","N/A"))</f>
        <v>SCI-1</v>
      </c>
      <c r="C141" s="12"/>
    </row>
    <row r="142" spans="1:8" ht="15" customHeight="1" x14ac:dyDescent="0.3">
      <c r="A142" s="13" t="s">
        <v>999</v>
      </c>
      <c r="B142" s="13" t="str">
        <f>IF(CANON!B130&gt;=IF(CANON!$B$10=2,1,IF(CANON!$B$10=3,2,0)),"YES","NO")</f>
        <v>YES</v>
      </c>
      <c r="C142" s="12"/>
    </row>
    <row r="143" spans="1:8" ht="13.5" customHeight="1" x14ac:dyDescent="0.3"/>
    <row r="144" spans="1:8" ht="13.5" customHeight="1" x14ac:dyDescent="0.3">
      <c r="A144" s="11" t="s">
        <v>1000</v>
      </c>
    </row>
    <row r="145" spans="1:1" ht="13.5" customHeight="1" x14ac:dyDescent="0.3">
      <c r="A145" s="13" t="s">
        <v>1001</v>
      </c>
    </row>
    <row r="146" spans="1:1" ht="13.5" customHeight="1" x14ac:dyDescent="0.3">
      <c r="A146" s="13" t="s">
        <v>1002</v>
      </c>
    </row>
    <row r="147" spans="1:1" ht="13.5" customHeight="1" x14ac:dyDescent="0.3">
      <c r="A147" s="13" t="s">
        <v>1003</v>
      </c>
    </row>
    <row r="148" spans="1:1" x14ac:dyDescent="0.3">
      <c r="A148" s="13" t="s">
        <v>1004</v>
      </c>
    </row>
    <row r="149" spans="1:1" x14ac:dyDescent="0.3">
      <c r="A149" s="21" t="s">
        <v>1005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75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36" customWidth="1"/>
    <col min="3" max="3" width="18" customWidth="1"/>
    <col min="4" max="4" width="14" customWidth="1"/>
    <col min="5" max="5" width="16" customWidth="1"/>
    <col min="6" max="6" width="40" customWidth="1"/>
    <col min="9" max="19" width="12" customWidth="1"/>
  </cols>
  <sheetData>
    <row r="1" spans="1:6" ht="14.25" customHeight="1" x14ac:dyDescent="0.3">
      <c r="A1" s="1" t="s">
        <v>1006</v>
      </c>
    </row>
    <row r="2" spans="1:6" ht="13.5" customHeight="1" x14ac:dyDescent="0.3"/>
    <row r="3" spans="1:6" ht="14.25" customHeight="1" x14ac:dyDescent="0.3">
      <c r="A3" t="s">
        <v>1007</v>
      </c>
      <c r="B3" s="28" t="s">
        <v>1008</v>
      </c>
    </row>
    <row r="4" spans="1:6" ht="14.25" customHeight="1" x14ac:dyDescent="0.3">
      <c r="A4" t="s">
        <v>1009</v>
      </c>
      <c r="B4" t="s">
        <v>1010</v>
      </c>
    </row>
    <row r="5" spans="1:6" ht="14.25" customHeight="1" x14ac:dyDescent="0.3">
      <c r="A5" s="7" t="s">
        <v>1011</v>
      </c>
      <c r="B5" t="str">
        <f>"SENSITIVITY_NOT_RUN = "&amp;IF(B3="NOT PERFORMED","YES","NO")&amp;" (REVIEW severity)"</f>
        <v>SENSITIVITY_NOT_RUN = NO (REVIEW severity)</v>
      </c>
    </row>
    <row r="6" spans="1:6" ht="14.25" customHeight="1" x14ac:dyDescent="0.3"/>
    <row r="7" spans="1:6" ht="14.25" customHeight="1" x14ac:dyDescent="0.3">
      <c r="A7" s="9" t="s">
        <v>1012</v>
      </c>
    </row>
    <row r="8" spans="1:6" ht="14.25" customHeight="1" x14ac:dyDescent="0.3">
      <c r="A8" s="9" t="s">
        <v>1013</v>
      </c>
      <c r="B8" s="9" t="s">
        <v>1014</v>
      </c>
      <c r="C8" s="9" t="s">
        <v>1015</v>
      </c>
      <c r="D8" s="9" t="s">
        <v>1016</v>
      </c>
      <c r="E8" s="9" t="s">
        <v>1017</v>
      </c>
      <c r="F8" s="9" t="s">
        <v>1018</v>
      </c>
    </row>
    <row r="9" spans="1:6" ht="14.25" customHeight="1" x14ac:dyDescent="0.3">
      <c r="A9" t="s">
        <v>1019</v>
      </c>
      <c r="B9" t="s">
        <v>1020</v>
      </c>
      <c r="C9" t="s">
        <v>1021</v>
      </c>
      <c r="D9" t="str">
        <f>D34</f>
        <v>A</v>
      </c>
      <c r="E9" t="str">
        <f>IF(D9=$D$14,"YES","NO")</f>
        <v>YES</v>
      </c>
      <c r="F9" t="s">
        <v>1022</v>
      </c>
    </row>
    <row r="10" spans="1:6" ht="14.25" customHeight="1" x14ac:dyDescent="0.3">
      <c r="A10" t="s">
        <v>1023</v>
      </c>
      <c r="B10" t="s">
        <v>1024</v>
      </c>
      <c r="C10" t="s">
        <v>1021</v>
      </c>
      <c r="D10" t="str">
        <f>D35</f>
        <v>A</v>
      </c>
      <c r="E10" t="str">
        <f>IF(D10=$D$14,"YES","NO")</f>
        <v>YES</v>
      </c>
      <c r="F10" t="s">
        <v>1022</v>
      </c>
    </row>
    <row r="11" spans="1:6" ht="14.25" customHeight="1" x14ac:dyDescent="0.3">
      <c r="A11" t="s">
        <v>1025</v>
      </c>
      <c r="B11" t="s">
        <v>1026</v>
      </c>
      <c r="C11" t="s">
        <v>1021</v>
      </c>
      <c r="D11" t="str">
        <f>D36</f>
        <v>A</v>
      </c>
      <c r="E11" t="str">
        <f>IF(D11=$D$14,"YES","NO")</f>
        <v>YES</v>
      </c>
      <c r="F11" t="s">
        <v>1022</v>
      </c>
    </row>
    <row r="12" spans="1:6" ht="14.25" customHeight="1" x14ac:dyDescent="0.3">
      <c r="A12" t="s">
        <v>1027</v>
      </c>
      <c r="B12" t="s">
        <v>1028</v>
      </c>
      <c r="C12" t="s">
        <v>1029</v>
      </c>
      <c r="D12" t="str">
        <f>N122&amp;", "&amp;N123</f>
        <v>PASS, PASS</v>
      </c>
      <c r="E12" t="str">
        <f>IF(AND(N122="PASS",N123="PASS"),"YES","NO")</f>
        <v>YES</v>
      </c>
      <c r="F12" t="s">
        <v>1030</v>
      </c>
    </row>
    <row r="13" spans="1:6" ht="14.25" customHeight="1" x14ac:dyDescent="0.3">
      <c r="A13" s="9" t="s">
        <v>1031</v>
      </c>
      <c r="B13" s="9" t="s">
        <v>73</v>
      </c>
      <c r="C13" s="9" t="s">
        <v>74</v>
      </c>
      <c r="D13" s="9" t="s">
        <v>1032</v>
      </c>
      <c r="E13" s="9" t="s">
        <v>1033</v>
      </c>
    </row>
    <row r="14" spans="1:6" ht="14.25" customHeight="1" x14ac:dyDescent="0.3">
      <c r="A14" t="s">
        <v>1034</v>
      </c>
      <c r="B14" s="23">
        <f>RLS!B61</f>
        <v>5.4623680995595815E-3</v>
      </c>
      <c r="C14" s="23">
        <f>RLS!B62</f>
        <v>2.0212064175336813E-4</v>
      </c>
      <c r="D14" t="str">
        <f>IF(B14&gt;=C14,"A","B")</f>
        <v>A</v>
      </c>
      <c r="E14">
        <f>B14-C14</f>
        <v>5.2602474578062131E-3</v>
      </c>
    </row>
    <row r="15" spans="1:6" ht="14.25" customHeight="1" x14ac:dyDescent="0.3">
      <c r="A15" s="7" t="s">
        <v>1035</v>
      </c>
    </row>
    <row r="16" spans="1:6" ht="14.25" customHeight="1" x14ac:dyDescent="0.3">
      <c r="A16" t="s">
        <v>1036</v>
      </c>
      <c r="B16" t="str">
        <f>IF(AND($D$34=$D$14,$D$35=$D$14,$D$36=$D$14,$N$122="PASS",$N$123="PASS"),"STABLE","CHANGES DETECTED")</f>
        <v>STABLE</v>
      </c>
    </row>
    <row r="17" spans="1:17" ht="14.25" customHeight="1" x14ac:dyDescent="0.3"/>
    <row r="18" spans="1:17" ht="14.25" customHeight="1" x14ac:dyDescent="0.3">
      <c r="A18" s="10"/>
    </row>
    <row r="19" spans="1:17" ht="13.5" customHeight="1" x14ac:dyDescent="0.3"/>
    <row r="20" spans="1:17" ht="14.25" customHeight="1" x14ac:dyDescent="0.3">
      <c r="A20" s="7"/>
      <c r="K20" t="s">
        <v>372</v>
      </c>
      <c r="L20" t="s">
        <v>362</v>
      </c>
      <c r="M20" t="s">
        <v>371</v>
      </c>
      <c r="N20" t="s">
        <v>373</v>
      </c>
      <c r="O20" t="s">
        <v>370</v>
      </c>
      <c r="P20" t="s">
        <v>457</v>
      </c>
      <c r="Q20" t="s">
        <v>368</v>
      </c>
    </row>
    <row r="21" spans="1:17" ht="14.25" customHeight="1" x14ac:dyDescent="0.3">
      <c r="J21" t="s">
        <v>1037</v>
      </c>
      <c r="K21" s="20">
        <f>Parameters!$B$48</f>
        <v>0.14285714285714299</v>
      </c>
      <c r="L21" s="20">
        <f>Parameters!$B$49</f>
        <v>0.14285714285714299</v>
      </c>
      <c r="M21" s="20">
        <f>Parameters!$B$50</f>
        <v>0.14285714285714299</v>
      </c>
      <c r="N21" s="20">
        <f>Parameters!$B$51</f>
        <v>0.14285714285714299</v>
      </c>
      <c r="O21" s="20">
        <f>Parameters!$B$52</f>
        <v>0.14285714285714299</v>
      </c>
      <c r="P21" s="20">
        <f>Parameters!$B$53</f>
        <v>0.14285714285714299</v>
      </c>
      <c r="Q21" s="20">
        <f>Parameters!$B$54</f>
        <v>0.14285714285714299</v>
      </c>
    </row>
    <row r="22" spans="1:17" ht="14.25" customHeight="1" x14ac:dyDescent="0.3">
      <c r="J22" t="s">
        <v>1038</v>
      </c>
      <c r="K22">
        <v>1.1000000000000001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ht="14.25" customHeight="1" x14ac:dyDescent="0.3">
      <c r="J23" t="s">
        <v>1039</v>
      </c>
      <c r="K23">
        <f t="shared" ref="K23:Q23" si="0">K$21*K$22/SUMPRODUCT($K$21:$Q$21,$K$22:$Q$22)</f>
        <v>0.15492957746478872</v>
      </c>
      <c r="L23">
        <f t="shared" si="0"/>
        <v>0.14084507042253519</v>
      </c>
      <c r="M23">
        <f t="shared" si="0"/>
        <v>0.14084507042253519</v>
      </c>
      <c r="N23">
        <f t="shared" si="0"/>
        <v>0.14084507042253519</v>
      </c>
      <c r="O23">
        <f t="shared" si="0"/>
        <v>0.14084507042253519</v>
      </c>
      <c r="P23">
        <f t="shared" si="0"/>
        <v>0.14084507042253519</v>
      </c>
      <c r="Q23">
        <f t="shared" si="0"/>
        <v>0.14084507042253519</v>
      </c>
    </row>
    <row r="24" spans="1:17" ht="14.25" customHeight="1" x14ac:dyDescent="0.3">
      <c r="J24" t="s">
        <v>1040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1.1000000000000001</v>
      </c>
    </row>
    <row r="25" spans="1:17" ht="14.25" customHeight="1" x14ac:dyDescent="0.3">
      <c r="A25" t="s">
        <v>1041</v>
      </c>
      <c r="J25" t="s">
        <v>1042</v>
      </c>
      <c r="K25">
        <f t="shared" ref="K25:Q25" si="1">K$21*K$24/SUMPRODUCT($K$21:$Q$21,$K$24:$Q$24)</f>
        <v>0.14084507042253519</v>
      </c>
      <c r="L25">
        <f t="shared" si="1"/>
        <v>0.14084507042253519</v>
      </c>
      <c r="M25">
        <f t="shared" si="1"/>
        <v>0.14084507042253519</v>
      </c>
      <c r="N25">
        <f t="shared" si="1"/>
        <v>0.14084507042253519</v>
      </c>
      <c r="O25">
        <f t="shared" si="1"/>
        <v>0.14084507042253519</v>
      </c>
      <c r="P25">
        <f t="shared" si="1"/>
        <v>0.14084507042253519</v>
      </c>
      <c r="Q25">
        <f t="shared" si="1"/>
        <v>0.15492957746478872</v>
      </c>
    </row>
    <row r="26" spans="1:17" ht="13.5" customHeight="1" x14ac:dyDescent="0.3">
      <c r="J26" t="s">
        <v>1043</v>
      </c>
      <c r="K26">
        <v>1</v>
      </c>
      <c r="L26">
        <v>1</v>
      </c>
      <c r="M26">
        <v>1.1000000000000001</v>
      </c>
      <c r="N26">
        <v>1</v>
      </c>
      <c r="O26">
        <v>1.1000000000000001</v>
      </c>
      <c r="P26">
        <v>1</v>
      </c>
      <c r="Q26">
        <v>1</v>
      </c>
    </row>
    <row r="27" spans="1:17" ht="14.25" customHeight="1" x14ac:dyDescent="0.3">
      <c r="A27" s="7" t="s">
        <v>1044</v>
      </c>
      <c r="J27" t="s">
        <v>1045</v>
      </c>
      <c r="K27">
        <f t="shared" ref="K27:Q27" si="2">K$21*K$26/SUMPRODUCT($K$21:$Q$21,$K$26:$Q$26)</f>
        <v>0.13888888888888887</v>
      </c>
      <c r="L27">
        <f t="shared" si="2"/>
        <v>0.13888888888888887</v>
      </c>
      <c r="M27">
        <f t="shared" si="2"/>
        <v>0.15277777777777779</v>
      </c>
      <c r="N27">
        <f t="shared" si="2"/>
        <v>0.13888888888888887</v>
      </c>
      <c r="O27">
        <f t="shared" si="2"/>
        <v>0.15277777777777779</v>
      </c>
      <c r="P27">
        <f t="shared" si="2"/>
        <v>0.13888888888888887</v>
      </c>
      <c r="Q27">
        <f t="shared" si="2"/>
        <v>0.13888888888888887</v>
      </c>
    </row>
    <row r="28" spans="1:17" ht="14.25" customHeight="1" x14ac:dyDescent="0.3">
      <c r="A28" t="s">
        <v>1046</v>
      </c>
    </row>
    <row r="29" spans="1:17" ht="14.25" customHeight="1" x14ac:dyDescent="0.3">
      <c r="A29" t="s">
        <v>1047</v>
      </c>
      <c r="J29" t="s">
        <v>1048</v>
      </c>
    </row>
    <row r="30" spans="1:17" ht="14.25" customHeight="1" x14ac:dyDescent="0.3">
      <c r="I30" t="s">
        <v>361</v>
      </c>
      <c r="J30" s="20">
        <f>Parameters!$B$38</f>
        <v>0.14285714285714299</v>
      </c>
      <c r="K30">
        <f t="shared" ref="K30:Q36" si="3">$J30*K$23</f>
        <v>2.2132796780684125E-2</v>
      </c>
      <c r="L30">
        <f t="shared" si="3"/>
        <v>2.0120724346076473E-2</v>
      </c>
      <c r="M30">
        <f t="shared" si="3"/>
        <v>2.0120724346076473E-2</v>
      </c>
      <c r="N30">
        <f t="shared" si="3"/>
        <v>2.0120724346076473E-2</v>
      </c>
      <c r="O30">
        <f t="shared" si="3"/>
        <v>2.0120724346076473E-2</v>
      </c>
      <c r="P30">
        <f t="shared" si="3"/>
        <v>2.0120724346076473E-2</v>
      </c>
      <c r="Q30">
        <f t="shared" si="3"/>
        <v>2.0120724346076473E-2</v>
      </c>
    </row>
    <row r="31" spans="1:17" ht="13.5" customHeight="1" x14ac:dyDescent="0.3">
      <c r="I31" t="s">
        <v>363</v>
      </c>
      <c r="J31" s="20">
        <f>Parameters!$B$39</f>
        <v>0.14285714285714299</v>
      </c>
      <c r="K31">
        <f t="shared" si="3"/>
        <v>2.2132796780684125E-2</v>
      </c>
      <c r="L31">
        <f t="shared" si="3"/>
        <v>2.0120724346076473E-2</v>
      </c>
      <c r="M31">
        <f t="shared" si="3"/>
        <v>2.0120724346076473E-2</v>
      </c>
      <c r="N31">
        <f t="shared" si="3"/>
        <v>2.0120724346076473E-2</v>
      </c>
      <c r="O31">
        <f t="shared" si="3"/>
        <v>2.0120724346076473E-2</v>
      </c>
      <c r="P31">
        <f t="shared" si="3"/>
        <v>2.0120724346076473E-2</v>
      </c>
      <c r="Q31">
        <f t="shared" si="3"/>
        <v>2.0120724346076473E-2</v>
      </c>
    </row>
    <row r="32" spans="1:17" ht="14.25" customHeight="1" x14ac:dyDescent="0.3">
      <c r="A32" s="7" t="s">
        <v>1049</v>
      </c>
      <c r="I32" t="s">
        <v>364</v>
      </c>
      <c r="J32" s="20">
        <f>Parameters!$B$40</f>
        <v>0.14285714285714299</v>
      </c>
      <c r="K32">
        <f t="shared" si="3"/>
        <v>2.2132796780684125E-2</v>
      </c>
      <c r="L32">
        <f t="shared" si="3"/>
        <v>2.0120724346076473E-2</v>
      </c>
      <c r="M32">
        <f t="shared" si="3"/>
        <v>2.0120724346076473E-2</v>
      </c>
      <c r="N32">
        <f t="shared" si="3"/>
        <v>2.0120724346076473E-2</v>
      </c>
      <c r="O32">
        <f t="shared" si="3"/>
        <v>2.0120724346076473E-2</v>
      </c>
      <c r="P32">
        <f t="shared" si="3"/>
        <v>2.0120724346076473E-2</v>
      </c>
      <c r="Q32">
        <f t="shared" si="3"/>
        <v>2.0120724346076473E-2</v>
      </c>
    </row>
    <row r="33" spans="1:17" ht="14.25" customHeight="1" x14ac:dyDescent="0.3">
      <c r="A33" s="9" t="s">
        <v>1050</v>
      </c>
      <c r="B33" s="9"/>
      <c r="C33" s="9"/>
      <c r="D33" s="9"/>
      <c r="E33" s="9"/>
      <c r="I33" t="s">
        <v>365</v>
      </c>
      <c r="J33" s="20">
        <f>Parameters!$B$41</f>
        <v>0.14285714285714299</v>
      </c>
      <c r="K33">
        <f t="shared" si="3"/>
        <v>2.2132796780684125E-2</v>
      </c>
      <c r="L33">
        <f t="shared" si="3"/>
        <v>2.0120724346076473E-2</v>
      </c>
      <c r="M33">
        <f t="shared" si="3"/>
        <v>2.0120724346076473E-2</v>
      </c>
      <c r="N33">
        <f t="shared" si="3"/>
        <v>2.0120724346076473E-2</v>
      </c>
      <c r="O33">
        <f t="shared" si="3"/>
        <v>2.0120724346076473E-2</v>
      </c>
      <c r="P33">
        <f t="shared" si="3"/>
        <v>2.0120724346076473E-2</v>
      </c>
      <c r="Q33">
        <f t="shared" si="3"/>
        <v>2.0120724346076473E-2</v>
      </c>
    </row>
    <row r="34" spans="1:17" ht="14.25" customHeight="1" x14ac:dyDescent="0.3">
      <c r="A34" t="s">
        <v>1051</v>
      </c>
      <c r="B34">
        <f>SUMPRODUCT(I_prop!$B$7:$H$13,$K$30:$Q$36)</f>
        <v>5.2663135501010523E-3</v>
      </c>
      <c r="C34">
        <f>SUMPRODUCT(I_prop!$B$18:$H$24,$K$30:$Q$36)</f>
        <v>2.092001548920765E-4</v>
      </c>
      <c r="D34" t="str">
        <f>IF(B34&gt;=C34,"A","B")</f>
        <v>A</v>
      </c>
      <c r="E34">
        <f>B34-C34</f>
        <v>5.057113395208976E-3</v>
      </c>
      <c r="I34" t="s">
        <v>366</v>
      </c>
      <c r="J34" s="20">
        <f>Parameters!$B$42</f>
        <v>0.14285714285714299</v>
      </c>
      <c r="K34">
        <f t="shared" si="3"/>
        <v>2.2132796780684125E-2</v>
      </c>
      <c r="L34">
        <f t="shared" si="3"/>
        <v>2.0120724346076473E-2</v>
      </c>
      <c r="M34">
        <f t="shared" si="3"/>
        <v>2.0120724346076473E-2</v>
      </c>
      <c r="N34">
        <f t="shared" si="3"/>
        <v>2.0120724346076473E-2</v>
      </c>
      <c r="O34">
        <f t="shared" si="3"/>
        <v>2.0120724346076473E-2</v>
      </c>
      <c r="P34">
        <f t="shared" si="3"/>
        <v>2.0120724346076473E-2</v>
      </c>
      <c r="Q34">
        <f t="shared" si="3"/>
        <v>2.0120724346076473E-2</v>
      </c>
    </row>
    <row r="35" spans="1:17" ht="14.25" customHeight="1" x14ac:dyDescent="0.3">
      <c r="A35" t="s">
        <v>1052</v>
      </c>
      <c r="B35">
        <f>SUMPRODUCT(I_prop!$B$7:$H$13,$K$40:$Q$46)</f>
        <v>5.4162512811701258E-3</v>
      </c>
      <c r="C35">
        <f>SUMPRODUCT(I_prop!$B$18:$H$24,$K$40:$Q$46)</f>
        <v>1.78727683782652E-4</v>
      </c>
      <c r="D35" t="str">
        <f>IF(B35&gt;=C35,"A","B")</f>
        <v>A</v>
      </c>
      <c r="E35">
        <f>B35-C35</f>
        <v>5.2375235973874737E-3</v>
      </c>
      <c r="I35" t="s">
        <v>367</v>
      </c>
      <c r="J35" s="20">
        <f>Parameters!$B$43</f>
        <v>0.14285714285714299</v>
      </c>
      <c r="K35">
        <f t="shared" si="3"/>
        <v>2.2132796780684125E-2</v>
      </c>
      <c r="L35">
        <f t="shared" si="3"/>
        <v>2.0120724346076473E-2</v>
      </c>
      <c r="M35">
        <f t="shared" si="3"/>
        <v>2.0120724346076473E-2</v>
      </c>
      <c r="N35">
        <f t="shared" si="3"/>
        <v>2.0120724346076473E-2</v>
      </c>
      <c r="O35">
        <f t="shared" si="3"/>
        <v>2.0120724346076473E-2</v>
      </c>
      <c r="P35">
        <f t="shared" si="3"/>
        <v>2.0120724346076473E-2</v>
      </c>
      <c r="Q35">
        <f t="shared" si="3"/>
        <v>2.0120724346076473E-2</v>
      </c>
    </row>
    <row r="36" spans="1:17" ht="13.5" customHeight="1" x14ac:dyDescent="0.3">
      <c r="A36" t="s">
        <v>1053</v>
      </c>
      <c r="B36">
        <f>SUMPRODUCT(I_prop!$B$7:$H$13,$K$50:$Q$56)</f>
        <v>5.6445289013811045E-3</v>
      </c>
      <c r="C36">
        <f>SUMPRODUCT(I_prop!$B$18:$H$24,$K$50:$Q$56)</f>
        <v>2.2662920436909901E-4</v>
      </c>
      <c r="D36" t="str">
        <f>IF(B36&gt;=C36,"A","B")</f>
        <v>A</v>
      </c>
      <c r="E36">
        <f>B36-C36</f>
        <v>5.4178996970120057E-3</v>
      </c>
      <c r="I36" t="s">
        <v>369</v>
      </c>
      <c r="J36" s="20">
        <f>Parameters!$B$44</f>
        <v>0.14285714285714299</v>
      </c>
      <c r="K36">
        <f t="shared" si="3"/>
        <v>2.2132796780684125E-2</v>
      </c>
      <c r="L36">
        <f t="shared" si="3"/>
        <v>2.0120724346076473E-2</v>
      </c>
      <c r="M36">
        <f t="shared" si="3"/>
        <v>2.0120724346076473E-2</v>
      </c>
      <c r="N36">
        <f t="shared" si="3"/>
        <v>2.0120724346076473E-2</v>
      </c>
      <c r="O36">
        <f t="shared" si="3"/>
        <v>2.0120724346076473E-2</v>
      </c>
      <c r="P36">
        <f t="shared" si="3"/>
        <v>2.0120724346076473E-2</v>
      </c>
      <c r="Q36">
        <f t="shared" si="3"/>
        <v>2.0120724346076473E-2</v>
      </c>
    </row>
    <row r="37" spans="1:17" ht="14.25" customHeight="1" x14ac:dyDescent="0.3">
      <c r="A37" s="28" t="s">
        <v>1054</v>
      </c>
    </row>
    <row r="38" spans="1:17" ht="13.5" customHeight="1" x14ac:dyDescent="0.3"/>
    <row r="39" spans="1:17" ht="13.5" customHeight="1" x14ac:dyDescent="0.3"/>
    <row r="40" spans="1:17" ht="13.5" customHeight="1" x14ac:dyDescent="0.3">
      <c r="I40" t="s">
        <v>361</v>
      </c>
      <c r="J40" s="20">
        <f>Parameters!$B$38</f>
        <v>0.14285714285714299</v>
      </c>
      <c r="K40">
        <f t="shared" ref="K40:Q46" si="4">$J40*K$25</f>
        <v>2.0120724346076473E-2</v>
      </c>
      <c r="L40">
        <f t="shared" si="4"/>
        <v>2.0120724346076473E-2</v>
      </c>
      <c r="M40">
        <f t="shared" si="4"/>
        <v>2.0120724346076473E-2</v>
      </c>
      <c r="N40">
        <f t="shared" si="4"/>
        <v>2.0120724346076473E-2</v>
      </c>
      <c r="O40">
        <f t="shared" si="4"/>
        <v>2.0120724346076473E-2</v>
      </c>
      <c r="P40">
        <f t="shared" si="4"/>
        <v>2.0120724346076473E-2</v>
      </c>
      <c r="Q40">
        <f t="shared" si="4"/>
        <v>2.2132796780684125E-2</v>
      </c>
    </row>
    <row r="41" spans="1:17" ht="13.5" customHeight="1" x14ac:dyDescent="0.3">
      <c r="I41" t="s">
        <v>363</v>
      </c>
      <c r="J41" s="20">
        <f>Parameters!$B$39</f>
        <v>0.14285714285714299</v>
      </c>
      <c r="K41">
        <f t="shared" si="4"/>
        <v>2.0120724346076473E-2</v>
      </c>
      <c r="L41">
        <f t="shared" si="4"/>
        <v>2.0120724346076473E-2</v>
      </c>
      <c r="M41">
        <f t="shared" si="4"/>
        <v>2.0120724346076473E-2</v>
      </c>
      <c r="N41">
        <f t="shared" si="4"/>
        <v>2.0120724346076473E-2</v>
      </c>
      <c r="O41">
        <f t="shared" si="4"/>
        <v>2.0120724346076473E-2</v>
      </c>
      <c r="P41">
        <f t="shared" si="4"/>
        <v>2.0120724346076473E-2</v>
      </c>
      <c r="Q41">
        <f t="shared" si="4"/>
        <v>2.2132796780684125E-2</v>
      </c>
    </row>
    <row r="42" spans="1:17" ht="13.5" customHeight="1" x14ac:dyDescent="0.3">
      <c r="I42" t="s">
        <v>364</v>
      </c>
      <c r="J42" s="20">
        <f>Parameters!$B$40</f>
        <v>0.14285714285714299</v>
      </c>
      <c r="K42">
        <f t="shared" si="4"/>
        <v>2.0120724346076473E-2</v>
      </c>
      <c r="L42">
        <f t="shared" si="4"/>
        <v>2.0120724346076473E-2</v>
      </c>
      <c r="M42">
        <f t="shared" si="4"/>
        <v>2.0120724346076473E-2</v>
      </c>
      <c r="N42">
        <f t="shared" si="4"/>
        <v>2.0120724346076473E-2</v>
      </c>
      <c r="O42">
        <f t="shared" si="4"/>
        <v>2.0120724346076473E-2</v>
      </c>
      <c r="P42">
        <f t="shared" si="4"/>
        <v>2.0120724346076473E-2</v>
      </c>
      <c r="Q42">
        <f t="shared" si="4"/>
        <v>2.2132796780684125E-2</v>
      </c>
    </row>
    <row r="43" spans="1:17" ht="13.5" customHeight="1" x14ac:dyDescent="0.3">
      <c r="I43" t="s">
        <v>365</v>
      </c>
      <c r="J43" s="20">
        <f>Parameters!$B$41</f>
        <v>0.14285714285714299</v>
      </c>
      <c r="K43">
        <f t="shared" si="4"/>
        <v>2.0120724346076473E-2</v>
      </c>
      <c r="L43">
        <f t="shared" si="4"/>
        <v>2.0120724346076473E-2</v>
      </c>
      <c r="M43">
        <f t="shared" si="4"/>
        <v>2.0120724346076473E-2</v>
      </c>
      <c r="N43">
        <f t="shared" si="4"/>
        <v>2.0120724346076473E-2</v>
      </c>
      <c r="O43">
        <f t="shared" si="4"/>
        <v>2.0120724346076473E-2</v>
      </c>
      <c r="P43">
        <f t="shared" si="4"/>
        <v>2.0120724346076473E-2</v>
      </c>
      <c r="Q43">
        <f t="shared" si="4"/>
        <v>2.2132796780684125E-2</v>
      </c>
    </row>
    <row r="44" spans="1:17" ht="13.5" customHeight="1" x14ac:dyDescent="0.3">
      <c r="I44" t="s">
        <v>366</v>
      </c>
      <c r="J44" s="20">
        <f>Parameters!$B$42</f>
        <v>0.14285714285714299</v>
      </c>
      <c r="K44">
        <f t="shared" si="4"/>
        <v>2.0120724346076473E-2</v>
      </c>
      <c r="L44">
        <f t="shared" si="4"/>
        <v>2.0120724346076473E-2</v>
      </c>
      <c r="M44">
        <f t="shared" si="4"/>
        <v>2.0120724346076473E-2</v>
      </c>
      <c r="N44">
        <f t="shared" si="4"/>
        <v>2.0120724346076473E-2</v>
      </c>
      <c r="O44">
        <f t="shared" si="4"/>
        <v>2.0120724346076473E-2</v>
      </c>
      <c r="P44">
        <f t="shared" si="4"/>
        <v>2.0120724346076473E-2</v>
      </c>
      <c r="Q44">
        <f t="shared" si="4"/>
        <v>2.2132796780684125E-2</v>
      </c>
    </row>
    <row r="45" spans="1:17" ht="13.5" customHeight="1" x14ac:dyDescent="0.3">
      <c r="I45" t="s">
        <v>367</v>
      </c>
      <c r="J45" s="20">
        <f>Parameters!$B$43</f>
        <v>0.14285714285714299</v>
      </c>
      <c r="K45">
        <f t="shared" si="4"/>
        <v>2.0120724346076473E-2</v>
      </c>
      <c r="L45">
        <f t="shared" si="4"/>
        <v>2.0120724346076473E-2</v>
      </c>
      <c r="M45">
        <f t="shared" si="4"/>
        <v>2.0120724346076473E-2</v>
      </c>
      <c r="N45">
        <f t="shared" si="4"/>
        <v>2.0120724346076473E-2</v>
      </c>
      <c r="O45">
        <f t="shared" si="4"/>
        <v>2.0120724346076473E-2</v>
      </c>
      <c r="P45">
        <f t="shared" si="4"/>
        <v>2.0120724346076473E-2</v>
      </c>
      <c r="Q45">
        <f t="shared" si="4"/>
        <v>2.2132796780684125E-2</v>
      </c>
    </row>
    <row r="46" spans="1:17" ht="13.5" customHeight="1" x14ac:dyDescent="0.3">
      <c r="I46" t="s">
        <v>369</v>
      </c>
      <c r="J46" s="20">
        <f>Parameters!$B$44</f>
        <v>0.14285714285714299</v>
      </c>
      <c r="K46">
        <f t="shared" si="4"/>
        <v>2.0120724346076473E-2</v>
      </c>
      <c r="L46">
        <f t="shared" si="4"/>
        <v>2.0120724346076473E-2</v>
      </c>
      <c r="M46">
        <f t="shared" si="4"/>
        <v>2.0120724346076473E-2</v>
      </c>
      <c r="N46">
        <f t="shared" si="4"/>
        <v>2.0120724346076473E-2</v>
      </c>
      <c r="O46">
        <f t="shared" si="4"/>
        <v>2.0120724346076473E-2</v>
      </c>
      <c r="P46">
        <f t="shared" si="4"/>
        <v>2.0120724346076473E-2</v>
      </c>
      <c r="Q46">
        <f t="shared" si="4"/>
        <v>2.2132796780684125E-2</v>
      </c>
    </row>
    <row r="47" spans="1:17" ht="13.5" customHeight="1" x14ac:dyDescent="0.3"/>
    <row r="48" spans="1:17" ht="13.5" customHeight="1" x14ac:dyDescent="0.3"/>
    <row r="49" spans="9:17" ht="13.5" customHeight="1" x14ac:dyDescent="0.3"/>
    <row r="50" spans="9:17" ht="13.5" customHeight="1" x14ac:dyDescent="0.3">
      <c r="I50" t="s">
        <v>361</v>
      </c>
      <c r="J50" s="20">
        <f>Parameters!$B$38</f>
        <v>0.14285714285714299</v>
      </c>
      <c r="K50">
        <f t="shared" ref="K50:Q56" si="5">$J50*K$27</f>
        <v>1.9841269841269858E-2</v>
      </c>
      <c r="L50">
        <f t="shared" si="5"/>
        <v>1.9841269841269858E-2</v>
      </c>
      <c r="M50">
        <f t="shared" si="5"/>
        <v>2.1825396825396848E-2</v>
      </c>
      <c r="N50">
        <f t="shared" si="5"/>
        <v>1.9841269841269858E-2</v>
      </c>
      <c r="O50">
        <f t="shared" si="5"/>
        <v>2.1825396825396848E-2</v>
      </c>
      <c r="P50">
        <f t="shared" si="5"/>
        <v>1.9841269841269858E-2</v>
      </c>
      <c r="Q50">
        <f t="shared" si="5"/>
        <v>1.9841269841269858E-2</v>
      </c>
    </row>
    <row r="51" spans="9:17" ht="13.5" customHeight="1" x14ac:dyDescent="0.3">
      <c r="I51" t="s">
        <v>363</v>
      </c>
      <c r="J51" s="20">
        <f>Parameters!$B$39</f>
        <v>0.14285714285714299</v>
      </c>
      <c r="K51">
        <f t="shared" si="5"/>
        <v>1.9841269841269858E-2</v>
      </c>
      <c r="L51">
        <f t="shared" si="5"/>
        <v>1.9841269841269858E-2</v>
      </c>
      <c r="M51">
        <f t="shared" si="5"/>
        <v>2.1825396825396848E-2</v>
      </c>
      <c r="N51">
        <f t="shared" si="5"/>
        <v>1.9841269841269858E-2</v>
      </c>
      <c r="O51">
        <f t="shared" si="5"/>
        <v>2.1825396825396848E-2</v>
      </c>
      <c r="P51">
        <f t="shared" si="5"/>
        <v>1.9841269841269858E-2</v>
      </c>
      <c r="Q51">
        <f t="shared" si="5"/>
        <v>1.9841269841269858E-2</v>
      </c>
    </row>
    <row r="52" spans="9:17" ht="13.5" customHeight="1" x14ac:dyDescent="0.3">
      <c r="I52" t="s">
        <v>364</v>
      </c>
      <c r="J52" s="20">
        <f>Parameters!$B$40</f>
        <v>0.14285714285714299</v>
      </c>
      <c r="K52">
        <f t="shared" si="5"/>
        <v>1.9841269841269858E-2</v>
      </c>
      <c r="L52">
        <f t="shared" si="5"/>
        <v>1.9841269841269858E-2</v>
      </c>
      <c r="M52">
        <f t="shared" si="5"/>
        <v>2.1825396825396848E-2</v>
      </c>
      <c r="N52">
        <f t="shared" si="5"/>
        <v>1.9841269841269858E-2</v>
      </c>
      <c r="O52">
        <f t="shared" si="5"/>
        <v>2.1825396825396848E-2</v>
      </c>
      <c r="P52">
        <f t="shared" si="5"/>
        <v>1.9841269841269858E-2</v>
      </c>
      <c r="Q52">
        <f t="shared" si="5"/>
        <v>1.9841269841269858E-2</v>
      </c>
    </row>
    <row r="53" spans="9:17" ht="13.5" customHeight="1" x14ac:dyDescent="0.3">
      <c r="I53" t="s">
        <v>365</v>
      </c>
      <c r="J53" s="20">
        <f>Parameters!$B$41</f>
        <v>0.14285714285714299</v>
      </c>
      <c r="K53">
        <f t="shared" si="5"/>
        <v>1.9841269841269858E-2</v>
      </c>
      <c r="L53">
        <f t="shared" si="5"/>
        <v>1.9841269841269858E-2</v>
      </c>
      <c r="M53">
        <f t="shared" si="5"/>
        <v>2.1825396825396848E-2</v>
      </c>
      <c r="N53">
        <f t="shared" si="5"/>
        <v>1.9841269841269858E-2</v>
      </c>
      <c r="O53">
        <f t="shared" si="5"/>
        <v>2.1825396825396848E-2</v>
      </c>
      <c r="P53">
        <f t="shared" si="5"/>
        <v>1.9841269841269858E-2</v>
      </c>
      <c r="Q53">
        <f t="shared" si="5"/>
        <v>1.9841269841269858E-2</v>
      </c>
    </row>
    <row r="54" spans="9:17" ht="13.5" customHeight="1" x14ac:dyDescent="0.3">
      <c r="I54" t="s">
        <v>366</v>
      </c>
      <c r="J54" s="20">
        <f>Parameters!$B$42</f>
        <v>0.14285714285714299</v>
      </c>
      <c r="K54">
        <f t="shared" si="5"/>
        <v>1.9841269841269858E-2</v>
      </c>
      <c r="L54">
        <f t="shared" si="5"/>
        <v>1.9841269841269858E-2</v>
      </c>
      <c r="M54">
        <f t="shared" si="5"/>
        <v>2.1825396825396848E-2</v>
      </c>
      <c r="N54">
        <f t="shared" si="5"/>
        <v>1.9841269841269858E-2</v>
      </c>
      <c r="O54">
        <f t="shared" si="5"/>
        <v>2.1825396825396848E-2</v>
      </c>
      <c r="P54">
        <f t="shared" si="5"/>
        <v>1.9841269841269858E-2</v>
      </c>
      <c r="Q54">
        <f t="shared" si="5"/>
        <v>1.9841269841269858E-2</v>
      </c>
    </row>
    <row r="55" spans="9:17" ht="13.5" customHeight="1" x14ac:dyDescent="0.3">
      <c r="I55" t="s">
        <v>367</v>
      </c>
      <c r="J55" s="20">
        <f>Parameters!$B$43</f>
        <v>0.14285714285714299</v>
      </c>
      <c r="K55">
        <f t="shared" si="5"/>
        <v>1.9841269841269858E-2</v>
      </c>
      <c r="L55">
        <f t="shared" si="5"/>
        <v>1.9841269841269858E-2</v>
      </c>
      <c r="M55">
        <f t="shared" si="5"/>
        <v>2.1825396825396848E-2</v>
      </c>
      <c r="N55">
        <f t="shared" si="5"/>
        <v>1.9841269841269858E-2</v>
      </c>
      <c r="O55">
        <f t="shared" si="5"/>
        <v>2.1825396825396848E-2</v>
      </c>
      <c r="P55">
        <f t="shared" si="5"/>
        <v>1.9841269841269858E-2</v>
      </c>
      <c r="Q55">
        <f t="shared" si="5"/>
        <v>1.9841269841269858E-2</v>
      </c>
    </row>
    <row r="56" spans="9:17" ht="13.5" customHeight="1" x14ac:dyDescent="0.3">
      <c r="I56" t="s">
        <v>369</v>
      </c>
      <c r="J56" s="20">
        <f>Parameters!$B$44</f>
        <v>0.14285714285714299</v>
      </c>
      <c r="K56">
        <f t="shared" si="5"/>
        <v>1.9841269841269858E-2</v>
      </c>
      <c r="L56">
        <f t="shared" si="5"/>
        <v>1.9841269841269858E-2</v>
      </c>
      <c r="M56">
        <f t="shared" si="5"/>
        <v>2.1825396825396848E-2</v>
      </c>
      <c r="N56">
        <f t="shared" si="5"/>
        <v>1.9841269841269858E-2</v>
      </c>
      <c r="O56">
        <f t="shared" si="5"/>
        <v>2.1825396825396848E-2</v>
      </c>
      <c r="P56">
        <f t="shared" si="5"/>
        <v>1.9841269841269858E-2</v>
      </c>
      <c r="Q56">
        <f t="shared" si="5"/>
        <v>1.9841269841269858E-2</v>
      </c>
    </row>
    <row r="57" spans="9:17" ht="13.5" customHeight="1" x14ac:dyDescent="0.3"/>
    <row r="58" spans="9:17" ht="13.5" customHeight="1" x14ac:dyDescent="0.3"/>
    <row r="59" spans="9:17" ht="13.5" customHeight="1" x14ac:dyDescent="0.3"/>
    <row r="60" spans="9:17" ht="13.5" customHeight="1" x14ac:dyDescent="0.3"/>
    <row r="61" spans="9:17" ht="13.5" customHeight="1" x14ac:dyDescent="0.3"/>
    <row r="62" spans="9:17" ht="13.5" customHeight="1" x14ac:dyDescent="0.3"/>
    <row r="63" spans="9:17" ht="13.5" customHeight="1" x14ac:dyDescent="0.3"/>
    <row r="64" spans="9:17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spans="10:19" ht="13.5" customHeight="1" x14ac:dyDescent="0.3"/>
    <row r="98" spans="10:19" ht="13.5" customHeight="1" x14ac:dyDescent="0.3"/>
    <row r="99" spans="10:19" ht="13.5" customHeight="1" x14ac:dyDescent="0.3"/>
    <row r="100" spans="10:19" ht="13.5" customHeight="1" x14ac:dyDescent="0.3">
      <c r="J100" t="s">
        <v>484</v>
      </c>
      <c r="K100" t="s">
        <v>1055</v>
      </c>
      <c r="L100" t="s">
        <v>1056</v>
      </c>
      <c r="M100" t="s">
        <v>1057</v>
      </c>
      <c r="N100" t="s">
        <v>1058</v>
      </c>
      <c r="O100" t="s">
        <v>1059</v>
      </c>
    </row>
    <row r="101" spans="10:19" ht="13.5" customHeight="1" x14ac:dyDescent="0.3">
      <c r="J101" t="str">
        <f>TRC!B15</f>
        <v>S06</v>
      </c>
      <c r="K101">
        <f>TRC!D15</f>
        <v>0.03</v>
      </c>
      <c r="L101">
        <f t="shared" ref="L101:L107" si="6">IF(OR(J101="S06",J101="S04",J101="S03"),1.2,1)</f>
        <v>1.2</v>
      </c>
      <c r="M101">
        <f t="shared" ref="M101:M107" si="7">K101*L101/SUMPRODUCT($K$101:$K$107,$L$101:$L$107)</f>
        <v>3.4749034749034742E-2</v>
      </c>
      <c r="N101">
        <f t="shared" ref="N101:N107" si="8">IF(OR(J101="S06",J101="S04",J101="S03"),0.8,1)</f>
        <v>0.8</v>
      </c>
      <c r="O101">
        <f t="shared" ref="O101:O107" si="9">K101*N101/SUMPRODUCT($K$101:$K$107,$N$101:$N$107)</f>
        <v>2.4896265560165977E-2</v>
      </c>
    </row>
    <row r="102" spans="10:19" ht="13.5" customHeight="1" x14ac:dyDescent="0.3">
      <c r="J102" t="str">
        <f>TRC!B16</f>
        <v>S04</v>
      </c>
      <c r="K102">
        <f>TRC!D16</f>
        <v>7.0000000000000007E-2</v>
      </c>
      <c r="L102">
        <f t="shared" si="6"/>
        <v>1.2</v>
      </c>
      <c r="M102">
        <f t="shared" si="7"/>
        <v>8.1081081081081086E-2</v>
      </c>
      <c r="N102">
        <f t="shared" si="8"/>
        <v>0.8</v>
      </c>
      <c r="O102">
        <f t="shared" si="9"/>
        <v>5.8091286307053951E-2</v>
      </c>
    </row>
    <row r="103" spans="10:19" ht="13.5" customHeight="1" x14ac:dyDescent="0.3">
      <c r="J103" t="str">
        <f>TRC!B17</f>
        <v>S03</v>
      </c>
      <c r="K103">
        <f>TRC!D17</f>
        <v>0.08</v>
      </c>
      <c r="L103">
        <f t="shared" si="6"/>
        <v>1.2</v>
      </c>
      <c r="M103">
        <f t="shared" si="7"/>
        <v>9.2664092664092659E-2</v>
      </c>
      <c r="N103">
        <f t="shared" si="8"/>
        <v>0.8</v>
      </c>
      <c r="O103">
        <f t="shared" si="9"/>
        <v>6.6390041493775934E-2</v>
      </c>
    </row>
    <row r="104" spans="10:19" ht="13.5" customHeight="1" x14ac:dyDescent="0.3">
      <c r="J104" t="str">
        <f>TRC!B18</f>
        <v>S05</v>
      </c>
      <c r="K104">
        <f>TRC!D18</f>
        <v>0.05</v>
      </c>
      <c r="L104">
        <f t="shared" si="6"/>
        <v>1</v>
      </c>
      <c r="M104">
        <f t="shared" si="7"/>
        <v>4.8262548262548263E-2</v>
      </c>
      <c r="N104">
        <f t="shared" si="8"/>
        <v>1</v>
      </c>
      <c r="O104">
        <f t="shared" si="9"/>
        <v>5.1867219917012451E-2</v>
      </c>
    </row>
    <row r="105" spans="10:19" ht="13.5" customHeight="1" x14ac:dyDescent="0.3">
      <c r="J105" t="str">
        <f>TRC!B19</f>
        <v>S07</v>
      </c>
      <c r="K105">
        <f>TRC!D19</f>
        <v>0.02</v>
      </c>
      <c r="L105">
        <f t="shared" si="6"/>
        <v>1</v>
      </c>
      <c r="M105">
        <f t="shared" si="7"/>
        <v>1.9305019305019305E-2</v>
      </c>
      <c r="N105">
        <f t="shared" si="8"/>
        <v>1</v>
      </c>
      <c r="O105">
        <f t="shared" si="9"/>
        <v>2.0746887966804982E-2</v>
      </c>
    </row>
    <row r="106" spans="10:19" ht="13.5" customHeight="1" x14ac:dyDescent="0.3">
      <c r="J106" t="str">
        <f>TRC!B20</f>
        <v>S02</v>
      </c>
      <c r="K106">
        <f>TRC!D20</f>
        <v>0.15</v>
      </c>
      <c r="L106">
        <f t="shared" si="6"/>
        <v>1</v>
      </c>
      <c r="M106">
        <f t="shared" si="7"/>
        <v>0.14478764478764478</v>
      </c>
      <c r="N106">
        <f t="shared" si="8"/>
        <v>1</v>
      </c>
      <c r="O106">
        <f t="shared" si="9"/>
        <v>0.15560165975103735</v>
      </c>
    </row>
    <row r="107" spans="10:19" ht="13.5" customHeight="1" x14ac:dyDescent="0.3">
      <c r="J107" t="str">
        <f>TRC!B21</f>
        <v>S01</v>
      </c>
      <c r="K107">
        <f>TRC!D21</f>
        <v>0.6</v>
      </c>
      <c r="L107">
        <f t="shared" si="6"/>
        <v>1</v>
      </c>
      <c r="M107">
        <f t="shared" si="7"/>
        <v>0.5791505791505791</v>
      </c>
      <c r="N107">
        <f t="shared" si="8"/>
        <v>1</v>
      </c>
      <c r="O107">
        <f t="shared" si="9"/>
        <v>0.62240663900414939</v>
      </c>
    </row>
    <row r="108" spans="10:19" ht="13.5" customHeight="1" x14ac:dyDescent="0.3"/>
    <row r="109" spans="10:19" ht="13.5" customHeight="1" x14ac:dyDescent="0.3">
      <c r="J109" t="s">
        <v>1060</v>
      </c>
    </row>
    <row r="110" spans="10:19" ht="13.5" customHeight="1" x14ac:dyDescent="0.3">
      <c r="J110" t="s">
        <v>558</v>
      </c>
      <c r="K110" t="s">
        <v>484</v>
      </c>
      <c r="L110" t="s">
        <v>486</v>
      </c>
      <c r="M110" t="s">
        <v>1061</v>
      </c>
      <c r="N110" t="s">
        <v>561</v>
      </c>
      <c r="O110" t="s">
        <v>562</v>
      </c>
      <c r="P110" t="s">
        <v>446</v>
      </c>
      <c r="R110" t="s">
        <v>1062</v>
      </c>
      <c r="S110">
        <f>TRC!B8</f>
        <v>0.05</v>
      </c>
    </row>
    <row r="111" spans="10:19" ht="13.5" customHeight="1" x14ac:dyDescent="0.3">
      <c r="J111">
        <v>1</v>
      </c>
      <c r="K111" t="str">
        <f>TRC!B15</f>
        <v>S06</v>
      </c>
      <c r="L111">
        <f>TRC!C15</f>
        <v>2.35E-2</v>
      </c>
      <c r="M111">
        <f t="shared" ref="M111:M117" si="10">VLOOKUP(K111,$J$101:$M$107,4,FALSE())</f>
        <v>3.4749034749034742E-2</v>
      </c>
      <c r="N111">
        <f>M111</f>
        <v>3.4749034749034742E-2</v>
      </c>
      <c r="O111">
        <f>MIN(M111,$S$110)</f>
        <v>3.4749034749034742E-2</v>
      </c>
      <c r="P111">
        <f t="shared" ref="P111:P117" si="11">O111*L111</f>
        <v>8.1660231660231645E-4</v>
      </c>
      <c r="R111" t="s">
        <v>828</v>
      </c>
      <c r="S111">
        <f>TRC!B9</f>
        <v>0.2</v>
      </c>
    </row>
    <row r="112" spans="10:19" ht="13.5" customHeight="1" x14ac:dyDescent="0.3">
      <c r="J112">
        <v>2</v>
      </c>
      <c r="K112" t="str">
        <f>TRC!B16</f>
        <v>S04</v>
      </c>
      <c r="L112">
        <f>TRC!C16</f>
        <v>1.95E-2</v>
      </c>
      <c r="M112">
        <f t="shared" si="10"/>
        <v>8.1081081081081086E-2</v>
      </c>
      <c r="N112">
        <f t="shared" ref="N112:N117" si="12">N111+M112</f>
        <v>0.11583011583011582</v>
      </c>
      <c r="O112">
        <f t="shared" ref="O112:O117" si="13">MAX(0,MIN(M112,$S$110-N111))</f>
        <v>1.5250965250965261E-2</v>
      </c>
      <c r="P112">
        <f t="shared" si="11"/>
        <v>2.973938223938226E-4</v>
      </c>
    </row>
    <row r="113" spans="10:19" ht="13.5" customHeight="1" x14ac:dyDescent="0.3">
      <c r="J113">
        <v>3</v>
      </c>
      <c r="K113" t="str">
        <f>TRC!B17</f>
        <v>S03</v>
      </c>
      <c r="L113">
        <f>TRC!C17</f>
        <v>1.7500000000000002E-2</v>
      </c>
      <c r="M113">
        <f t="shared" si="10"/>
        <v>9.2664092664092659E-2</v>
      </c>
      <c r="N113">
        <f t="shared" si="12"/>
        <v>0.20849420849420847</v>
      </c>
      <c r="O113">
        <f t="shared" si="13"/>
        <v>0</v>
      </c>
      <c r="P113">
        <f t="shared" si="11"/>
        <v>0</v>
      </c>
    </row>
    <row r="114" spans="10:19" ht="13.5" customHeight="1" x14ac:dyDescent="0.3">
      <c r="J114">
        <v>4</v>
      </c>
      <c r="K114" t="str">
        <f>TRC!B18</f>
        <v>S05</v>
      </c>
      <c r="L114">
        <f>TRC!C18</f>
        <v>1.35E-2</v>
      </c>
      <c r="M114">
        <f t="shared" si="10"/>
        <v>4.8262548262548263E-2</v>
      </c>
      <c r="N114">
        <f t="shared" si="12"/>
        <v>0.25675675675675674</v>
      </c>
      <c r="O114">
        <f t="shared" si="13"/>
        <v>0</v>
      </c>
      <c r="P114">
        <f t="shared" si="11"/>
        <v>0</v>
      </c>
    </row>
    <row r="115" spans="10:19" ht="13.5" customHeight="1" x14ac:dyDescent="0.3">
      <c r="J115">
        <v>5</v>
      </c>
      <c r="K115" t="str">
        <f>TRC!B19</f>
        <v>S07</v>
      </c>
      <c r="L115">
        <f>TRC!C19</f>
        <v>0.01</v>
      </c>
      <c r="M115">
        <f t="shared" si="10"/>
        <v>1.9305019305019305E-2</v>
      </c>
      <c r="N115">
        <f t="shared" si="12"/>
        <v>0.27606177606177607</v>
      </c>
      <c r="O115">
        <f t="shared" si="13"/>
        <v>0</v>
      </c>
      <c r="P115">
        <f t="shared" si="11"/>
        <v>0</v>
      </c>
    </row>
    <row r="116" spans="10:19" ht="13.5" customHeight="1" x14ac:dyDescent="0.3">
      <c r="J116">
        <v>6</v>
      </c>
      <c r="K116" t="str">
        <f>TRC!B20</f>
        <v>S02</v>
      </c>
      <c r="L116">
        <f>TRC!C20</f>
        <v>7.0000000000000001E-3</v>
      </c>
      <c r="M116">
        <f t="shared" si="10"/>
        <v>0.14478764478764478</v>
      </c>
      <c r="N116">
        <f t="shared" si="12"/>
        <v>0.42084942084942084</v>
      </c>
      <c r="O116">
        <f t="shared" si="13"/>
        <v>0</v>
      </c>
      <c r="P116">
        <f t="shared" si="11"/>
        <v>0</v>
      </c>
    </row>
    <row r="117" spans="10:19" ht="13.5" customHeight="1" x14ac:dyDescent="0.3">
      <c r="J117">
        <v>7</v>
      </c>
      <c r="K117" t="str">
        <f>TRC!B21</f>
        <v>S01</v>
      </c>
      <c r="L117">
        <f>TRC!C21</f>
        <v>0</v>
      </c>
      <c r="M117">
        <f t="shared" si="10"/>
        <v>0.5791505791505791</v>
      </c>
      <c r="N117">
        <f t="shared" si="12"/>
        <v>1</v>
      </c>
      <c r="O117">
        <f t="shared" si="13"/>
        <v>0</v>
      </c>
      <c r="P117">
        <f t="shared" si="11"/>
        <v>0</v>
      </c>
    </row>
    <row r="118" spans="10:19" ht="13.5" customHeight="1" x14ac:dyDescent="0.3"/>
    <row r="119" spans="10:19" ht="13.5" customHeight="1" x14ac:dyDescent="0.3">
      <c r="R119" t="s">
        <v>1063</v>
      </c>
      <c r="S119">
        <f>SUM(P111:P117)/$S$110</f>
        <v>2.2279922779922783E-2</v>
      </c>
    </row>
    <row r="120" spans="10:19" ht="13.5" customHeight="1" x14ac:dyDescent="0.3">
      <c r="R120" t="s">
        <v>1064</v>
      </c>
      <c r="S120" t="str">
        <f>IF(S119&lt;=$S$111,"PASS","FAIL")</f>
        <v>PASS</v>
      </c>
    </row>
    <row r="121" spans="10:19" ht="13.5" customHeight="1" x14ac:dyDescent="0.3">
      <c r="M121" t="s">
        <v>1065</v>
      </c>
      <c r="N121" t="s">
        <v>448</v>
      </c>
      <c r="O121" t="s">
        <v>466</v>
      </c>
    </row>
    <row r="122" spans="10:19" ht="13.5" customHeight="1" x14ac:dyDescent="0.3">
      <c r="M122" t="s">
        <v>1066</v>
      </c>
      <c r="N122" t="str">
        <f>S120</f>
        <v>PASS</v>
      </c>
      <c r="O122" t="str">
        <f>S142</f>
        <v>PASS</v>
      </c>
    </row>
    <row r="123" spans="10:19" ht="13.5" customHeight="1" x14ac:dyDescent="0.3">
      <c r="N123" t="str">
        <f>S162</f>
        <v>PASS</v>
      </c>
      <c r="O123" t="str">
        <f>S175</f>
        <v>PASS</v>
      </c>
    </row>
    <row r="124" spans="10:19" ht="13.5" customHeight="1" x14ac:dyDescent="0.3"/>
    <row r="125" spans="10:19" ht="13.5" customHeight="1" x14ac:dyDescent="0.3"/>
    <row r="126" spans="10:19" ht="13.5" customHeight="1" x14ac:dyDescent="0.3"/>
    <row r="127" spans="10:19" ht="13.5" customHeight="1" x14ac:dyDescent="0.3"/>
    <row r="128" spans="10:19" ht="13.5" customHeight="1" x14ac:dyDescent="0.3"/>
    <row r="129" spans="10:19" ht="13.5" customHeight="1" x14ac:dyDescent="0.3"/>
    <row r="130" spans="10:19" ht="13.5" customHeight="1" x14ac:dyDescent="0.3"/>
    <row r="131" spans="10:19" ht="13.5" customHeight="1" x14ac:dyDescent="0.3">
      <c r="J131" t="s">
        <v>1067</v>
      </c>
    </row>
    <row r="132" spans="10:19" ht="13.5" customHeight="1" x14ac:dyDescent="0.3">
      <c r="J132" t="s">
        <v>558</v>
      </c>
      <c r="K132" t="s">
        <v>484</v>
      </c>
      <c r="L132" t="s">
        <v>486</v>
      </c>
      <c r="M132" t="s">
        <v>1061</v>
      </c>
      <c r="N132" t="s">
        <v>561</v>
      </c>
      <c r="O132" t="s">
        <v>562</v>
      </c>
      <c r="P132" t="s">
        <v>446</v>
      </c>
    </row>
    <row r="133" spans="10:19" ht="13.5" customHeight="1" x14ac:dyDescent="0.3">
      <c r="J133">
        <v>1</v>
      </c>
      <c r="K133" t="str">
        <f>TRC!B31</f>
        <v>S03</v>
      </c>
      <c r="L133">
        <f>TRC!C31</f>
        <v>3.15E-2</v>
      </c>
      <c r="M133">
        <f t="shared" ref="M133:M139" si="14">VLOOKUP(K133,$J$101:$M$107,4,FALSE())</f>
        <v>9.2664092664092659E-2</v>
      </c>
      <c r="N133">
        <f>M133</f>
        <v>9.2664092664092659E-2</v>
      </c>
      <c r="O133">
        <f>MIN(M133,$S$110)</f>
        <v>0.05</v>
      </c>
      <c r="P133">
        <f t="shared" ref="P133:P139" si="15">O133*L133</f>
        <v>1.575E-3</v>
      </c>
    </row>
    <row r="134" spans="10:19" ht="13.5" customHeight="1" x14ac:dyDescent="0.3">
      <c r="J134">
        <v>2</v>
      </c>
      <c r="K134" t="str">
        <f>TRC!B32</f>
        <v>S04</v>
      </c>
      <c r="L134">
        <f>TRC!C32</f>
        <v>2.35E-2</v>
      </c>
      <c r="M134">
        <f t="shared" si="14"/>
        <v>8.1081081081081086E-2</v>
      </c>
      <c r="N134">
        <f t="shared" ref="N134:N139" si="16">N133+M134</f>
        <v>0.17374517374517373</v>
      </c>
      <c r="O134">
        <f t="shared" ref="O134:O139" si="17">MAX(0,MIN(M134,$S$110-N133))</f>
        <v>0</v>
      </c>
      <c r="P134">
        <f t="shared" si="15"/>
        <v>0</v>
      </c>
    </row>
    <row r="135" spans="10:19" ht="13.5" customHeight="1" x14ac:dyDescent="0.3">
      <c r="J135">
        <v>3</v>
      </c>
      <c r="K135" t="str">
        <f>TRC!B33</f>
        <v>S06</v>
      </c>
      <c r="L135">
        <f>TRC!C33</f>
        <v>2.1749999999999999E-2</v>
      </c>
      <c r="M135">
        <f t="shared" si="14"/>
        <v>3.4749034749034742E-2</v>
      </c>
      <c r="N135">
        <f t="shared" si="16"/>
        <v>0.20849420849420847</v>
      </c>
      <c r="O135">
        <f t="shared" si="17"/>
        <v>0</v>
      </c>
      <c r="P135">
        <f t="shared" si="15"/>
        <v>0</v>
      </c>
    </row>
    <row r="136" spans="10:19" ht="13.5" customHeight="1" x14ac:dyDescent="0.3">
      <c r="J136">
        <v>4</v>
      </c>
      <c r="K136" t="str">
        <f>TRC!B34</f>
        <v>S05</v>
      </c>
      <c r="L136">
        <f>TRC!C34</f>
        <v>1.35E-2</v>
      </c>
      <c r="M136">
        <f t="shared" si="14"/>
        <v>4.8262548262548263E-2</v>
      </c>
      <c r="N136">
        <f t="shared" si="16"/>
        <v>0.25675675675675674</v>
      </c>
      <c r="O136">
        <f t="shared" si="17"/>
        <v>0</v>
      </c>
      <c r="P136">
        <f t="shared" si="15"/>
        <v>0</v>
      </c>
    </row>
    <row r="137" spans="10:19" ht="13.5" customHeight="1" x14ac:dyDescent="0.3">
      <c r="J137">
        <v>5</v>
      </c>
      <c r="K137" t="str">
        <f>TRC!B35</f>
        <v>S02</v>
      </c>
      <c r="L137">
        <f>TRC!C35</f>
        <v>1.0500000000000001E-2</v>
      </c>
      <c r="M137">
        <f t="shared" si="14"/>
        <v>0.14478764478764478</v>
      </c>
      <c r="N137">
        <f t="shared" si="16"/>
        <v>0.40154440154440152</v>
      </c>
      <c r="O137">
        <f t="shared" si="17"/>
        <v>0</v>
      </c>
      <c r="P137">
        <f t="shared" si="15"/>
        <v>0</v>
      </c>
    </row>
    <row r="138" spans="10:19" ht="13.5" customHeight="1" x14ac:dyDescent="0.3">
      <c r="J138">
        <v>6</v>
      </c>
      <c r="K138" t="str">
        <f>TRC!B36</f>
        <v>S07</v>
      </c>
      <c r="L138">
        <f>TRC!C36</f>
        <v>7.0000000000000001E-3</v>
      </c>
      <c r="M138">
        <f t="shared" si="14"/>
        <v>1.9305019305019305E-2</v>
      </c>
      <c r="N138">
        <f t="shared" si="16"/>
        <v>0.42084942084942084</v>
      </c>
      <c r="O138">
        <f t="shared" si="17"/>
        <v>0</v>
      </c>
      <c r="P138">
        <f t="shared" si="15"/>
        <v>0</v>
      </c>
    </row>
    <row r="139" spans="10:19" ht="13.5" customHeight="1" x14ac:dyDescent="0.3">
      <c r="J139">
        <v>7</v>
      </c>
      <c r="K139" t="str">
        <f>TRC!B37</f>
        <v>S01</v>
      </c>
      <c r="L139">
        <f>TRC!C37</f>
        <v>3.5739999999999999E-3</v>
      </c>
      <c r="M139">
        <f t="shared" si="14"/>
        <v>0.5791505791505791</v>
      </c>
      <c r="N139">
        <f t="shared" si="16"/>
        <v>1</v>
      </c>
      <c r="O139">
        <f t="shared" si="17"/>
        <v>0</v>
      </c>
      <c r="P139">
        <f t="shared" si="15"/>
        <v>0</v>
      </c>
    </row>
    <row r="140" spans="10:19" ht="13.5" customHeight="1" x14ac:dyDescent="0.3"/>
    <row r="141" spans="10:19" ht="13.5" customHeight="1" x14ac:dyDescent="0.3">
      <c r="R141" t="s">
        <v>1068</v>
      </c>
      <c r="S141">
        <f>SUM(P133:P139)/$S$110</f>
        <v>3.15E-2</v>
      </c>
    </row>
    <row r="142" spans="10:19" ht="13.5" customHeight="1" x14ac:dyDescent="0.3">
      <c r="R142" t="s">
        <v>1069</v>
      </c>
      <c r="S142" t="str">
        <f>IF(S141&lt;=$S$111,"PASS","FAIL")</f>
        <v>PASS</v>
      </c>
    </row>
    <row r="143" spans="10:19" ht="13.5" customHeight="1" x14ac:dyDescent="0.3"/>
    <row r="144" spans="10:19" ht="13.5" customHeight="1" x14ac:dyDescent="0.3"/>
    <row r="145" spans="10:16" ht="13.5" customHeight="1" x14ac:dyDescent="0.3"/>
    <row r="146" spans="10:16" ht="13.5" customHeight="1" x14ac:dyDescent="0.3"/>
    <row r="147" spans="10:16" ht="13.5" customHeight="1" x14ac:dyDescent="0.3"/>
    <row r="148" spans="10:16" ht="13.5" customHeight="1" x14ac:dyDescent="0.3"/>
    <row r="149" spans="10:16" ht="13.5" customHeight="1" x14ac:dyDescent="0.3"/>
    <row r="150" spans="10:16" ht="13.5" customHeight="1" x14ac:dyDescent="0.3"/>
    <row r="151" spans="10:16" ht="13.5" customHeight="1" x14ac:dyDescent="0.3">
      <c r="J151" t="s">
        <v>1070</v>
      </c>
    </row>
    <row r="152" spans="10:16" ht="13.5" customHeight="1" x14ac:dyDescent="0.3">
      <c r="J152" t="s">
        <v>558</v>
      </c>
      <c r="K152" t="s">
        <v>484</v>
      </c>
      <c r="L152" t="s">
        <v>486</v>
      </c>
      <c r="M152" t="s">
        <v>1061</v>
      </c>
      <c r="N152" t="s">
        <v>561</v>
      </c>
      <c r="O152" t="s">
        <v>562</v>
      </c>
      <c r="P152" t="s">
        <v>446</v>
      </c>
    </row>
    <row r="153" spans="10:16" ht="13.5" customHeight="1" x14ac:dyDescent="0.3">
      <c r="J153">
        <v>1</v>
      </c>
      <c r="K153" t="str">
        <f>TRC!B15</f>
        <v>S06</v>
      </c>
      <c r="L153">
        <f>TRC!C15</f>
        <v>2.35E-2</v>
      </c>
      <c r="M153">
        <f t="shared" ref="M153:M159" si="18">VLOOKUP(K153,$J$101:$O$107,6,FALSE())</f>
        <v>2.4896265560165977E-2</v>
      </c>
      <c r="N153">
        <f>M153</f>
        <v>2.4896265560165977E-2</v>
      </c>
      <c r="O153">
        <f>MIN(M153,$S$110)</f>
        <v>2.4896265560165977E-2</v>
      </c>
      <c r="P153">
        <f t="shared" ref="P153:P159" si="19">O153*L153</f>
        <v>5.850622406639005E-4</v>
      </c>
    </row>
    <row r="154" spans="10:16" ht="13.5" customHeight="1" x14ac:dyDescent="0.3">
      <c r="J154">
        <v>2</v>
      </c>
      <c r="K154" t="str">
        <f>TRC!B16</f>
        <v>S04</v>
      </c>
      <c r="L154">
        <f>TRC!C16</f>
        <v>1.95E-2</v>
      </c>
      <c r="M154">
        <f t="shared" si="18"/>
        <v>5.8091286307053951E-2</v>
      </c>
      <c r="N154">
        <f t="shared" ref="N154:N159" si="20">N153+M154</f>
        <v>8.2987551867219927E-2</v>
      </c>
      <c r="O154">
        <f t="shared" ref="O154:O159" si="21">MAX(0,MIN(M154,$S$110-N153))</f>
        <v>2.5103734439834026E-2</v>
      </c>
      <c r="P154">
        <f t="shared" si="19"/>
        <v>4.8952282157676348E-4</v>
      </c>
    </row>
    <row r="155" spans="10:16" ht="13.5" customHeight="1" x14ac:dyDescent="0.3">
      <c r="J155">
        <v>3</v>
      </c>
      <c r="K155" t="str">
        <f>TRC!B17</f>
        <v>S03</v>
      </c>
      <c r="L155">
        <f>TRC!C17</f>
        <v>1.7500000000000002E-2</v>
      </c>
      <c r="M155">
        <f t="shared" si="18"/>
        <v>6.6390041493775934E-2</v>
      </c>
      <c r="N155">
        <f t="shared" si="20"/>
        <v>0.14937759336099588</v>
      </c>
      <c r="O155">
        <f t="shared" si="21"/>
        <v>0</v>
      </c>
      <c r="P155">
        <f t="shared" si="19"/>
        <v>0</v>
      </c>
    </row>
    <row r="156" spans="10:16" ht="13.5" customHeight="1" x14ac:dyDescent="0.3">
      <c r="J156">
        <v>4</v>
      </c>
      <c r="K156" t="str">
        <f>TRC!B18</f>
        <v>S05</v>
      </c>
      <c r="L156">
        <f>TRC!C18</f>
        <v>1.35E-2</v>
      </c>
      <c r="M156">
        <f t="shared" si="18"/>
        <v>5.1867219917012451E-2</v>
      </c>
      <c r="N156">
        <f t="shared" si="20"/>
        <v>0.20124481327800833</v>
      </c>
      <c r="O156">
        <f t="shared" si="21"/>
        <v>0</v>
      </c>
      <c r="P156">
        <f t="shared" si="19"/>
        <v>0</v>
      </c>
    </row>
    <row r="157" spans="10:16" ht="13.5" customHeight="1" x14ac:dyDescent="0.3">
      <c r="J157">
        <v>5</v>
      </c>
      <c r="K157" t="str">
        <f>TRC!B19</f>
        <v>S07</v>
      </c>
      <c r="L157">
        <f>TRC!C19</f>
        <v>0.01</v>
      </c>
      <c r="M157">
        <f t="shared" si="18"/>
        <v>2.0746887966804982E-2</v>
      </c>
      <c r="N157">
        <f t="shared" si="20"/>
        <v>0.22199170124481332</v>
      </c>
      <c r="O157">
        <f t="shared" si="21"/>
        <v>0</v>
      </c>
      <c r="P157">
        <f t="shared" si="19"/>
        <v>0</v>
      </c>
    </row>
    <row r="158" spans="10:16" ht="13.5" customHeight="1" x14ac:dyDescent="0.3">
      <c r="J158">
        <v>6</v>
      </c>
      <c r="K158" t="str">
        <f>TRC!B20</f>
        <v>S02</v>
      </c>
      <c r="L158">
        <f>TRC!C20</f>
        <v>7.0000000000000001E-3</v>
      </c>
      <c r="M158">
        <f t="shared" si="18"/>
        <v>0.15560165975103735</v>
      </c>
      <c r="N158">
        <f t="shared" si="20"/>
        <v>0.37759336099585067</v>
      </c>
      <c r="O158">
        <f t="shared" si="21"/>
        <v>0</v>
      </c>
      <c r="P158">
        <f t="shared" si="19"/>
        <v>0</v>
      </c>
    </row>
    <row r="159" spans="10:16" ht="13.5" customHeight="1" x14ac:dyDescent="0.3">
      <c r="J159">
        <v>7</v>
      </c>
      <c r="K159" t="str">
        <f>TRC!B21</f>
        <v>S01</v>
      </c>
      <c r="L159">
        <f>TRC!C21</f>
        <v>0</v>
      </c>
      <c r="M159">
        <f t="shared" si="18"/>
        <v>0.62240663900414939</v>
      </c>
      <c r="N159">
        <f t="shared" si="20"/>
        <v>1</v>
      </c>
      <c r="O159">
        <f t="shared" si="21"/>
        <v>0</v>
      </c>
      <c r="P159">
        <f t="shared" si="19"/>
        <v>0</v>
      </c>
    </row>
    <row r="160" spans="10:16" ht="13.5" customHeight="1" x14ac:dyDescent="0.3"/>
    <row r="161" spans="10:19" ht="13.5" customHeight="1" x14ac:dyDescent="0.3">
      <c r="R161" t="s">
        <v>1071</v>
      </c>
      <c r="S161">
        <f>SUM(P153:P159)/$S$110</f>
        <v>2.1491701244813276E-2</v>
      </c>
    </row>
    <row r="162" spans="10:19" ht="13.5" customHeight="1" x14ac:dyDescent="0.3">
      <c r="R162" t="s">
        <v>1072</v>
      </c>
      <c r="S162" t="str">
        <f>IF(S161&lt;=$S$111,"PASS","FAIL")</f>
        <v>PASS</v>
      </c>
    </row>
    <row r="163" spans="10:19" ht="13.5" customHeight="1" x14ac:dyDescent="0.3"/>
    <row r="164" spans="10:19" ht="13.5" customHeight="1" x14ac:dyDescent="0.3">
      <c r="J164" t="s">
        <v>1073</v>
      </c>
    </row>
    <row r="165" spans="10:19" ht="13.5" customHeight="1" x14ac:dyDescent="0.3">
      <c r="J165" t="s">
        <v>558</v>
      </c>
      <c r="K165" t="s">
        <v>484</v>
      </c>
      <c r="L165" t="s">
        <v>486</v>
      </c>
      <c r="M165" t="s">
        <v>1061</v>
      </c>
      <c r="N165" t="s">
        <v>561</v>
      </c>
      <c r="O165" t="s">
        <v>562</v>
      </c>
      <c r="P165" t="s">
        <v>446</v>
      </c>
    </row>
    <row r="166" spans="10:19" ht="13.5" customHeight="1" x14ac:dyDescent="0.3">
      <c r="J166">
        <v>1</v>
      </c>
      <c r="K166" t="str">
        <f>TRC!B31</f>
        <v>S03</v>
      </c>
      <c r="L166">
        <f>TRC!C31</f>
        <v>3.15E-2</v>
      </c>
      <c r="M166">
        <f t="shared" ref="M166:M172" si="22">VLOOKUP(K166,$J$101:$O$107,6,FALSE())</f>
        <v>6.6390041493775934E-2</v>
      </c>
      <c r="N166">
        <f>M166</f>
        <v>6.6390041493775934E-2</v>
      </c>
      <c r="O166">
        <f>MIN(M166,$S$110)</f>
        <v>0.05</v>
      </c>
      <c r="P166">
        <f t="shared" ref="P166:P172" si="23">O166*L166</f>
        <v>1.575E-3</v>
      </c>
    </row>
    <row r="167" spans="10:19" ht="13.5" customHeight="1" x14ac:dyDescent="0.3">
      <c r="J167">
        <v>2</v>
      </c>
      <c r="K167" t="str">
        <f>TRC!B32</f>
        <v>S04</v>
      </c>
      <c r="L167">
        <f>TRC!C32</f>
        <v>2.35E-2</v>
      </c>
      <c r="M167">
        <f t="shared" si="22"/>
        <v>5.8091286307053951E-2</v>
      </c>
      <c r="N167">
        <f t="shared" ref="N167:N172" si="24">N166+M167</f>
        <v>0.12448132780082988</v>
      </c>
      <c r="O167">
        <f t="shared" ref="O167:O172" si="25">MAX(0,MIN(M167,$S$110-N166))</f>
        <v>0</v>
      </c>
      <c r="P167">
        <f t="shared" si="23"/>
        <v>0</v>
      </c>
    </row>
    <row r="168" spans="10:19" ht="13.5" customHeight="1" x14ac:dyDescent="0.3">
      <c r="J168">
        <v>3</v>
      </c>
      <c r="K168" t="str">
        <f>TRC!B33</f>
        <v>S06</v>
      </c>
      <c r="L168">
        <f>TRC!C33</f>
        <v>2.1749999999999999E-2</v>
      </c>
      <c r="M168">
        <f t="shared" si="22"/>
        <v>2.4896265560165977E-2</v>
      </c>
      <c r="N168">
        <f t="shared" si="24"/>
        <v>0.14937759336099585</v>
      </c>
      <c r="O168">
        <f t="shared" si="25"/>
        <v>0</v>
      </c>
      <c r="P168">
        <f t="shared" si="23"/>
        <v>0</v>
      </c>
    </row>
    <row r="169" spans="10:19" ht="13.5" customHeight="1" x14ac:dyDescent="0.3">
      <c r="J169">
        <v>4</v>
      </c>
      <c r="K169" t="str">
        <f>TRC!B34</f>
        <v>S05</v>
      </c>
      <c r="L169">
        <f>TRC!C34</f>
        <v>1.35E-2</v>
      </c>
      <c r="M169">
        <f t="shared" si="22"/>
        <v>5.1867219917012451E-2</v>
      </c>
      <c r="N169">
        <f t="shared" si="24"/>
        <v>0.20124481327800831</v>
      </c>
      <c r="O169">
        <f t="shared" si="25"/>
        <v>0</v>
      </c>
      <c r="P169">
        <f t="shared" si="23"/>
        <v>0</v>
      </c>
    </row>
    <row r="170" spans="10:19" ht="13.5" customHeight="1" x14ac:dyDescent="0.3">
      <c r="J170">
        <v>5</v>
      </c>
      <c r="K170" t="str">
        <f>TRC!B35</f>
        <v>S02</v>
      </c>
      <c r="L170">
        <f>TRC!C35</f>
        <v>1.0500000000000001E-2</v>
      </c>
      <c r="M170">
        <f t="shared" si="22"/>
        <v>0.15560165975103735</v>
      </c>
      <c r="N170">
        <f t="shared" si="24"/>
        <v>0.35684647302904565</v>
      </c>
      <c r="O170">
        <f t="shared" si="25"/>
        <v>0</v>
      </c>
      <c r="P170">
        <f t="shared" si="23"/>
        <v>0</v>
      </c>
    </row>
    <row r="171" spans="10:19" ht="13.5" customHeight="1" x14ac:dyDescent="0.3">
      <c r="J171">
        <v>6</v>
      </c>
      <c r="K171" t="str">
        <f>TRC!B36</f>
        <v>S07</v>
      </c>
      <c r="L171">
        <f>TRC!C36</f>
        <v>7.0000000000000001E-3</v>
      </c>
      <c r="M171">
        <f t="shared" si="22"/>
        <v>2.0746887966804982E-2</v>
      </c>
      <c r="N171">
        <f t="shared" si="24"/>
        <v>0.37759336099585061</v>
      </c>
      <c r="O171">
        <f t="shared" si="25"/>
        <v>0</v>
      </c>
      <c r="P171">
        <f t="shared" si="23"/>
        <v>0</v>
      </c>
    </row>
    <row r="172" spans="10:19" ht="13.5" customHeight="1" x14ac:dyDescent="0.3">
      <c r="J172">
        <v>7</v>
      </c>
      <c r="K172" t="str">
        <f>TRC!B37</f>
        <v>S01</v>
      </c>
      <c r="L172">
        <f>TRC!C37</f>
        <v>3.5739999999999999E-3</v>
      </c>
      <c r="M172">
        <f t="shared" si="22"/>
        <v>0.62240663900414939</v>
      </c>
      <c r="N172">
        <f t="shared" si="24"/>
        <v>1</v>
      </c>
      <c r="O172">
        <f t="shared" si="25"/>
        <v>0</v>
      </c>
      <c r="P172">
        <f t="shared" si="23"/>
        <v>0</v>
      </c>
    </row>
    <row r="173" spans="10:19" ht="13.5" customHeight="1" x14ac:dyDescent="0.3"/>
    <row r="174" spans="10:19" ht="13.5" customHeight="1" x14ac:dyDescent="0.3">
      <c r="R174" t="s">
        <v>1074</v>
      </c>
      <c r="S174">
        <f>SUM(P166:P172)/$S$110</f>
        <v>3.15E-2</v>
      </c>
    </row>
    <row r="175" spans="10:19" ht="13.5" customHeight="1" x14ac:dyDescent="0.3">
      <c r="R175" t="s">
        <v>1075</v>
      </c>
      <c r="S175" t="str">
        <f>IF(S174&lt;=$S$111,"PASS","FAIL")</f>
        <v>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46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1076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t="s">
        <v>1077</v>
      </c>
    </row>
    <row r="4" spans="1:10" ht="13.5" customHeight="1" x14ac:dyDescent="0.3"/>
    <row r="5" spans="1:10" ht="14.25" customHeight="1" x14ac:dyDescent="0.3">
      <c r="A5" s="7" t="s">
        <v>1078</v>
      </c>
    </row>
    <row r="6" spans="1:10" ht="13.5" customHeight="1" x14ac:dyDescent="0.3"/>
    <row r="7" spans="1:10" ht="14.25" customHeight="1" x14ac:dyDescent="0.3">
      <c r="A7" s="7" t="s">
        <v>1079</v>
      </c>
    </row>
    <row r="8" spans="1:10" ht="14.25" customHeight="1" x14ac:dyDescent="0.3">
      <c r="A8" t="s">
        <v>1080</v>
      </c>
    </row>
    <row r="9" spans="1:10" ht="14.25" customHeight="1" x14ac:dyDescent="0.3">
      <c r="A9" s="7" t="s">
        <v>1081</v>
      </c>
      <c r="B9" s="7" t="s">
        <v>1082</v>
      </c>
      <c r="C9" s="7" t="s">
        <v>388</v>
      </c>
    </row>
    <row r="10" spans="1:10" ht="14.25" customHeight="1" x14ac:dyDescent="0.3">
      <c r="A10" t="s">
        <v>1083</v>
      </c>
      <c r="B10">
        <v>-6.9000000000000006E-2</v>
      </c>
      <c r="C10" t="s">
        <v>1031</v>
      </c>
    </row>
    <row r="11" spans="1:10" ht="14.25" customHeight="1" x14ac:dyDescent="0.3">
      <c r="A11" t="s">
        <v>1084</v>
      </c>
      <c r="B11">
        <v>-0.1</v>
      </c>
      <c r="C11" t="s">
        <v>1085</v>
      </c>
    </row>
    <row r="12" spans="1:10" ht="14.25" customHeight="1" x14ac:dyDescent="0.3">
      <c r="A12" t="s">
        <v>1086</v>
      </c>
      <c r="B12">
        <v>-0.12</v>
      </c>
      <c r="C12" t="s">
        <v>1087</v>
      </c>
    </row>
    <row r="13" spans="1:10" ht="14.25" customHeight="1" x14ac:dyDescent="0.3">
      <c r="A13" t="s">
        <v>1088</v>
      </c>
      <c r="B13">
        <v>-0.15</v>
      </c>
      <c r="C13" t="s">
        <v>1089</v>
      </c>
    </row>
    <row r="14" spans="1:10" ht="14.25" customHeight="1" x14ac:dyDescent="0.3">
      <c r="A14" t="s">
        <v>1090</v>
      </c>
      <c r="B14">
        <v>-0.15</v>
      </c>
      <c r="C14" t="s">
        <v>1091</v>
      </c>
    </row>
    <row r="15" spans="1:10" ht="14.25" customHeight="1" x14ac:dyDescent="0.3">
      <c r="A15" s="10" t="s">
        <v>1092</v>
      </c>
    </row>
    <row r="16" spans="1:10" ht="13.5" customHeight="1" x14ac:dyDescent="0.3"/>
    <row r="17" spans="1:1" ht="14.25" customHeight="1" x14ac:dyDescent="0.3">
      <c r="A17" s="7" t="s">
        <v>1093</v>
      </c>
    </row>
    <row r="18" spans="1:1" ht="14.25" customHeight="1" x14ac:dyDescent="0.3">
      <c r="A18" t="s">
        <v>1094</v>
      </c>
    </row>
    <row r="19" spans="1:1" ht="14.25" customHeight="1" x14ac:dyDescent="0.3">
      <c r="A19" t="s">
        <v>1095</v>
      </c>
    </row>
    <row r="20" spans="1:1" ht="14.25" customHeight="1" x14ac:dyDescent="0.3">
      <c r="A20" s="10" t="s">
        <v>1096</v>
      </c>
    </row>
    <row r="21" spans="1:1" ht="13.5" customHeight="1" x14ac:dyDescent="0.3"/>
    <row r="22" spans="1:1" ht="14.25" customHeight="1" x14ac:dyDescent="0.3">
      <c r="A22" s="7" t="s">
        <v>1097</v>
      </c>
    </row>
    <row r="23" spans="1:1" ht="14.25" customHeight="1" x14ac:dyDescent="0.3">
      <c r="A23" t="s">
        <v>1094</v>
      </c>
    </row>
    <row r="24" spans="1:1" ht="14.25" customHeight="1" x14ac:dyDescent="0.3">
      <c r="A24" t="s">
        <v>1098</v>
      </c>
    </row>
    <row r="25" spans="1:1" ht="14.25" customHeight="1" x14ac:dyDescent="0.3">
      <c r="A25" s="10" t="s">
        <v>1099</v>
      </c>
    </row>
    <row r="26" spans="1:1" ht="13.5" customHeight="1" x14ac:dyDescent="0.3"/>
    <row r="27" spans="1:1" ht="13.5" customHeight="1" x14ac:dyDescent="0.3"/>
    <row r="28" spans="1:1" ht="14.25" customHeight="1" x14ac:dyDescent="0.3">
      <c r="A28" s="7" t="s">
        <v>1100</v>
      </c>
    </row>
    <row r="29" spans="1:1" ht="13.5" customHeight="1" x14ac:dyDescent="0.3"/>
    <row r="30" spans="1:1" ht="14.25" customHeight="1" x14ac:dyDescent="0.3">
      <c r="A30" s="7" t="s">
        <v>1101</v>
      </c>
    </row>
    <row r="31" spans="1:1" ht="14.25" customHeight="1" x14ac:dyDescent="0.3">
      <c r="A31" t="s">
        <v>1102</v>
      </c>
    </row>
    <row r="32" spans="1:1" ht="14.25" customHeight="1" x14ac:dyDescent="0.3">
      <c r="A32" t="s">
        <v>1103</v>
      </c>
    </row>
    <row r="33" spans="1:2" ht="14.25" customHeight="1" x14ac:dyDescent="0.3">
      <c r="A33" s="10" t="s">
        <v>1104</v>
      </c>
    </row>
    <row r="34" spans="1:2" ht="13.5" customHeight="1" x14ac:dyDescent="0.3"/>
    <row r="35" spans="1:2" ht="14.25" customHeight="1" x14ac:dyDescent="0.3">
      <c r="A35" t="s">
        <v>1105</v>
      </c>
    </row>
    <row r="36" spans="1:2" ht="14.25" customHeight="1" x14ac:dyDescent="0.3">
      <c r="A36" s="10" t="s">
        <v>1106</v>
      </c>
    </row>
    <row r="37" spans="1:2" ht="13.5" customHeight="1" x14ac:dyDescent="0.3"/>
    <row r="38" spans="1:2" ht="14.25" customHeight="1" x14ac:dyDescent="0.3">
      <c r="A38" t="s">
        <v>1107</v>
      </c>
    </row>
    <row r="39" spans="1:2" ht="14.25" customHeight="1" x14ac:dyDescent="0.3">
      <c r="A39" s="10" t="s">
        <v>1108</v>
      </c>
    </row>
    <row r="40" spans="1:2" ht="13.5" customHeight="1" x14ac:dyDescent="0.3"/>
    <row r="41" spans="1:2" ht="13.5" customHeight="1" x14ac:dyDescent="0.3"/>
    <row r="42" spans="1:2" ht="14.25" customHeight="1" x14ac:dyDescent="0.3">
      <c r="A42" s="7" t="s">
        <v>1109</v>
      </c>
    </row>
    <row r="43" spans="1:2" ht="14.25" customHeight="1" x14ac:dyDescent="0.3">
      <c r="A43" t="s">
        <v>1110</v>
      </c>
    </row>
    <row r="44" spans="1:2" ht="14.25" customHeight="1" x14ac:dyDescent="0.3">
      <c r="A44" t="s">
        <v>1111</v>
      </c>
    </row>
    <row r="45" spans="1:2" ht="14.25" customHeight="1" x14ac:dyDescent="0.3">
      <c r="A45" s="10" t="s">
        <v>1112</v>
      </c>
    </row>
    <row r="46" spans="1:2" ht="13.5" customHeight="1" x14ac:dyDescent="0.3">
      <c r="A46" t="s">
        <v>1113</v>
      </c>
      <c r="B46">
        <f>IF(COUNTIF($A$1:$A$200,"WORST-OFF")&gt;0,1,0)</f>
        <v>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00"/>
  <sheetViews>
    <sheetView zoomScaleNormal="100" workbookViewId="0"/>
  </sheetViews>
  <sheetFormatPr defaultColWidth="8.6640625" defaultRowHeight="14.4" x14ac:dyDescent="0.3"/>
  <sheetData>
    <row r="1" spans="1:8" ht="14.25" customHeight="1" x14ac:dyDescent="0.3">
      <c r="A1" s="9" t="s">
        <v>1114</v>
      </c>
    </row>
    <row r="2" spans="1:8" ht="14.25" customHeight="1" x14ac:dyDescent="0.3"/>
    <row r="3" spans="1:8" ht="14.25" customHeight="1" x14ac:dyDescent="0.3">
      <c r="A3" s="9" t="s">
        <v>1115</v>
      </c>
    </row>
    <row r="4" spans="1:8" ht="14.25" customHeight="1" x14ac:dyDescent="0.3">
      <c r="A4" t="s">
        <v>1116</v>
      </c>
    </row>
    <row r="5" spans="1:8" ht="14.25" customHeight="1" x14ac:dyDescent="0.3">
      <c r="A5" t="s">
        <v>1117</v>
      </c>
    </row>
    <row r="6" spans="1:8" ht="14.25" customHeight="1" x14ac:dyDescent="0.3"/>
    <row r="7" spans="1:8" ht="14.25" customHeight="1" x14ac:dyDescent="0.3">
      <c r="A7" t="s">
        <v>1118</v>
      </c>
      <c r="B7">
        <v>1.5</v>
      </c>
    </row>
    <row r="8" spans="1:8" ht="14.25" customHeight="1" x14ac:dyDescent="0.3"/>
    <row r="9" spans="1:8" ht="14.25" customHeight="1" x14ac:dyDescent="0.3">
      <c r="A9" s="9" t="s">
        <v>1119</v>
      </c>
    </row>
    <row r="10" spans="1:8" ht="14.25" customHeight="1" x14ac:dyDescent="0.3">
      <c r="A10" s="9" t="s">
        <v>1120</v>
      </c>
      <c r="B10" s="9" t="s">
        <v>1121</v>
      </c>
      <c r="C10" s="9" t="s">
        <v>1122</v>
      </c>
      <c r="D10" s="9" t="s">
        <v>359</v>
      </c>
      <c r="E10" s="9" t="s">
        <v>360</v>
      </c>
      <c r="F10" s="9" t="s">
        <v>1123</v>
      </c>
      <c r="G10" s="9" t="s">
        <v>181</v>
      </c>
    </row>
    <row r="11" spans="1:8" ht="14.25" customHeight="1" x14ac:dyDescent="0.3"/>
    <row r="12" spans="1:8" ht="14.25" customHeight="1" x14ac:dyDescent="0.3">
      <c r="A12" s="9"/>
    </row>
    <row r="13" spans="1:8" ht="14.25" customHeight="1" x14ac:dyDescent="0.3">
      <c r="A13" s="9"/>
      <c r="B13" s="9"/>
      <c r="C13" s="9"/>
      <c r="D13" s="9"/>
      <c r="E13" s="9"/>
      <c r="F13" s="9"/>
      <c r="G13" s="9"/>
      <c r="H13" s="9"/>
    </row>
    <row r="14" spans="1:8" ht="14.25" customHeight="1" x14ac:dyDescent="0.3">
      <c r="A14" s="9" t="s">
        <v>1124</v>
      </c>
    </row>
    <row r="15" spans="1:8" ht="14.25" customHeight="1" x14ac:dyDescent="0.3">
      <c r="A15" t="s">
        <v>1125</v>
      </c>
      <c r="B15" t="s">
        <v>1126</v>
      </c>
    </row>
    <row r="16" spans="1:8" ht="14.25" customHeight="1" x14ac:dyDescent="0.3">
      <c r="A16" s="9" t="s">
        <v>1127</v>
      </c>
      <c r="B16">
        <f>COUNT(F11:F100)</f>
        <v>0</v>
      </c>
    </row>
    <row r="17" spans="1:2" ht="14.25" customHeight="1" x14ac:dyDescent="0.3">
      <c r="A17" t="s">
        <v>1128</v>
      </c>
      <c r="B17" s="8">
        <f>COUNT(F11:F100)</f>
        <v>0</v>
      </c>
    </row>
    <row r="18" spans="1:2" ht="14.25" customHeight="1" x14ac:dyDescent="0.3">
      <c r="A18" t="s">
        <v>1129</v>
      </c>
      <c r="B18" s="8" t="str">
        <f>IF(B17=0,"YES","NO")</f>
        <v>YES</v>
      </c>
    </row>
    <row r="19" spans="1:2" ht="14.25" customHeight="1" x14ac:dyDescent="0.3">
      <c r="A19" t="s">
        <v>1130</v>
      </c>
      <c r="B19" t="str">
        <f>Audit_Flags!B14</f>
        <v>NO</v>
      </c>
    </row>
    <row r="20" spans="1:2" ht="14.25" customHeight="1" x14ac:dyDescent="0.3">
      <c r="A20" s="9" t="s">
        <v>1131</v>
      </c>
    </row>
    <row r="21" spans="1:2" ht="14.25" customHeight="1" x14ac:dyDescent="0.3">
      <c r="A21" t="s">
        <v>1132</v>
      </c>
    </row>
    <row r="22" spans="1:2" ht="14.25" customHeight="1" x14ac:dyDescent="0.3">
      <c r="A22" t="s">
        <v>1133</v>
      </c>
    </row>
    <row r="23" spans="1:2" ht="14.25" customHeight="1" x14ac:dyDescent="0.3">
      <c r="A23" t="s">
        <v>1134</v>
      </c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</sheetData>
  <dataValidations count="3">
    <dataValidation type="list" operator="equal" allowBlank="1" sqref="A5:A200" xr:uid="{00000000-0002-0000-1600-000000000000}">
      <formula1>"A,B,C,D,E"</formula1>
      <formula2>0</formula2>
    </dataValidation>
    <dataValidation type="list" operator="equal" allowBlank="1" sqref="B5:B200" xr:uid="{00000000-0002-0000-1600-000001000000}">
      <formula1>"U1,U2,U3,U4,U5,U6,U7"</formula1>
      <formula2>0</formula2>
    </dataValidation>
    <dataValidation type="list" operator="equal" allowBlank="1" sqref="C5:C200" xr:uid="{00000000-0002-0000-1600-000002000000}">
      <formula1>"D1,D2,D3,D4,D5,D6,D7"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3"/>
  <sheetViews>
    <sheetView zoomScaleNormal="100" workbookViewId="0"/>
  </sheetViews>
  <sheetFormatPr defaultColWidth="8.6640625" defaultRowHeight="14.4" x14ac:dyDescent="0.3"/>
  <sheetData>
    <row r="1" spans="1:8" ht="14.25" customHeight="1" x14ac:dyDescent="0.3">
      <c r="A1" s="50" t="s">
        <v>1135</v>
      </c>
      <c r="B1" s="49"/>
      <c r="C1" s="49"/>
      <c r="D1" s="49"/>
      <c r="E1" s="49"/>
      <c r="F1" s="49"/>
      <c r="G1" s="49"/>
      <c r="H1" s="49"/>
    </row>
    <row r="2" spans="1:8" ht="13.5" customHeight="1" x14ac:dyDescent="0.3"/>
    <row r="3" spans="1:8" ht="14.25" customHeight="1" x14ac:dyDescent="0.3">
      <c r="A3" t="s">
        <v>1136</v>
      </c>
    </row>
    <row r="4" spans="1:8" ht="14.25" customHeight="1" x14ac:dyDescent="0.3">
      <c r="A4" t="s">
        <v>1137</v>
      </c>
    </row>
    <row r="5" spans="1:8" ht="13.5" customHeight="1" x14ac:dyDescent="0.3"/>
    <row r="6" spans="1:8" ht="14.25" customHeight="1" x14ac:dyDescent="0.3">
      <c r="A6" s="7" t="s">
        <v>1138</v>
      </c>
    </row>
    <row r="7" spans="1:8" ht="14.25" customHeight="1" x14ac:dyDescent="0.3">
      <c r="A7" t="s">
        <v>1139</v>
      </c>
    </row>
    <row r="8" spans="1:8" ht="14.25" customHeight="1" x14ac:dyDescent="0.3">
      <c r="A8" t="s">
        <v>1140</v>
      </c>
    </row>
    <row r="9" spans="1:8" ht="14.25" customHeight="1" x14ac:dyDescent="0.3">
      <c r="A9" t="s">
        <v>1141</v>
      </c>
    </row>
    <row r="10" spans="1:8" ht="13.5" customHeight="1" x14ac:dyDescent="0.3"/>
    <row r="11" spans="1:8" ht="14.25" customHeight="1" x14ac:dyDescent="0.3">
      <c r="A11" s="7" t="s">
        <v>1142</v>
      </c>
    </row>
    <row r="12" spans="1:8" ht="14.25" customHeight="1" x14ac:dyDescent="0.3">
      <c r="A12" s="7" t="s">
        <v>435</v>
      </c>
      <c r="B12" s="7" t="s">
        <v>1143</v>
      </c>
      <c r="C12" s="7" t="s">
        <v>1144</v>
      </c>
      <c r="D12" s="7" t="s">
        <v>1145</v>
      </c>
      <c r="E12" s="7" t="s">
        <v>1146</v>
      </c>
    </row>
    <row r="13" spans="1:8" ht="14.25" customHeight="1" x14ac:dyDescent="0.3">
      <c r="A13" t="s">
        <v>1147</v>
      </c>
      <c r="B13" t="s">
        <v>1148</v>
      </c>
      <c r="C13" t="s">
        <v>1149</v>
      </c>
      <c r="D13">
        <v>1</v>
      </c>
      <c r="E13" t="s">
        <v>1150</v>
      </c>
    </row>
    <row r="14" spans="1:8" ht="14.25" customHeight="1" x14ac:dyDescent="0.3">
      <c r="A14" t="s">
        <v>1151</v>
      </c>
      <c r="B14" t="s">
        <v>1152</v>
      </c>
      <c r="C14" t="s">
        <v>1149</v>
      </c>
      <c r="D14">
        <v>1</v>
      </c>
      <c r="E14" t="s">
        <v>1150</v>
      </c>
    </row>
    <row r="15" spans="1:8" ht="14.25" customHeight="1" x14ac:dyDescent="0.3">
      <c r="A15" t="s">
        <v>1153</v>
      </c>
      <c r="B15" t="s">
        <v>1154</v>
      </c>
      <c r="C15" t="s">
        <v>1149</v>
      </c>
      <c r="D15">
        <v>1</v>
      </c>
      <c r="E15" t="s">
        <v>1150</v>
      </c>
    </row>
    <row r="16" spans="1:8" ht="14.25" customHeight="1" x14ac:dyDescent="0.3">
      <c r="A16" t="s">
        <v>1155</v>
      </c>
      <c r="B16" t="s">
        <v>1156</v>
      </c>
      <c r="C16" t="s">
        <v>1149</v>
      </c>
      <c r="D16">
        <v>1</v>
      </c>
      <c r="E16" t="s">
        <v>1150</v>
      </c>
    </row>
    <row r="17" spans="1:5" ht="14.25" customHeight="1" x14ac:dyDescent="0.3">
      <c r="A17" t="s">
        <v>1157</v>
      </c>
      <c r="B17" t="s">
        <v>1158</v>
      </c>
      <c r="C17" t="s">
        <v>1149</v>
      </c>
      <c r="D17">
        <v>1</v>
      </c>
      <c r="E17" t="s">
        <v>1150</v>
      </c>
    </row>
    <row r="18" spans="1:5" ht="14.25" customHeight="1" x14ac:dyDescent="0.3">
      <c r="A18" t="s">
        <v>1159</v>
      </c>
      <c r="B18" t="s">
        <v>1160</v>
      </c>
      <c r="C18" t="s">
        <v>1149</v>
      </c>
      <c r="D18">
        <v>1</v>
      </c>
      <c r="E18" t="s">
        <v>1150</v>
      </c>
    </row>
    <row r="19" spans="1:5" ht="13.5" customHeight="1" x14ac:dyDescent="0.3"/>
    <row r="20" spans="1:5" ht="13.5" customHeight="1" x14ac:dyDescent="0.3"/>
    <row r="21" spans="1:5" ht="14.25" customHeight="1" x14ac:dyDescent="0.3">
      <c r="A21" s="7" t="s">
        <v>1161</v>
      </c>
    </row>
    <row r="22" spans="1:5" ht="14.25" customHeight="1" x14ac:dyDescent="0.3">
      <c r="A22" t="s">
        <v>1162</v>
      </c>
    </row>
    <row r="23" spans="1:5" ht="14.25" customHeight="1" x14ac:dyDescent="0.3">
      <c r="A23" t="s">
        <v>1163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4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1164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t="s">
        <v>1165</v>
      </c>
    </row>
    <row r="4" spans="1:10" ht="14.25" customHeight="1" x14ac:dyDescent="0.3">
      <c r="A4" t="s">
        <v>1166</v>
      </c>
    </row>
    <row r="5" spans="1:10" ht="13.5" customHeight="1" x14ac:dyDescent="0.3"/>
    <row r="6" spans="1:10" ht="14.25" customHeight="1" x14ac:dyDescent="0.3">
      <c r="A6" s="7" t="s">
        <v>1167</v>
      </c>
    </row>
    <row r="7" spans="1:10" ht="14.25" customHeight="1" x14ac:dyDescent="0.3">
      <c r="A7" t="s">
        <v>1168</v>
      </c>
    </row>
    <row r="8" spans="1:10" ht="14.25" customHeight="1" x14ac:dyDescent="0.3">
      <c r="A8" t="s">
        <v>1169</v>
      </c>
    </row>
    <row r="9" spans="1:10" ht="14.25" customHeight="1" x14ac:dyDescent="0.3">
      <c r="A9" t="s">
        <v>1170</v>
      </c>
    </row>
    <row r="10" spans="1:10" ht="14.25" customHeight="1" x14ac:dyDescent="0.3">
      <c r="A10" t="s">
        <v>1171</v>
      </c>
    </row>
    <row r="11" spans="1:10" ht="14.25" customHeight="1" x14ac:dyDescent="0.3">
      <c r="A11" t="s">
        <v>1172</v>
      </c>
    </row>
    <row r="12" spans="1:10" ht="14.25" customHeight="1" x14ac:dyDescent="0.3">
      <c r="A12" t="s">
        <v>1173</v>
      </c>
    </row>
    <row r="13" spans="1:10" ht="14.25" customHeight="1" x14ac:dyDescent="0.3">
      <c r="A13" t="s">
        <v>1174</v>
      </c>
    </row>
    <row r="14" spans="1:10" ht="13.5" customHeight="1" x14ac:dyDescent="0.3"/>
    <row r="15" spans="1:10" ht="14.25" customHeight="1" x14ac:dyDescent="0.3">
      <c r="A15" s="7" t="s">
        <v>1175</v>
      </c>
    </row>
    <row r="16" spans="1:10" ht="14.25" customHeight="1" x14ac:dyDescent="0.3">
      <c r="A16" s="7" t="s">
        <v>1176</v>
      </c>
      <c r="B16" s="7" t="s">
        <v>102</v>
      </c>
    </row>
    <row r="17" spans="1:2" ht="14.25" customHeight="1" x14ac:dyDescent="0.3">
      <c r="A17" t="s">
        <v>1177</v>
      </c>
      <c r="B17" s="10" t="s">
        <v>1178</v>
      </c>
    </row>
    <row r="18" spans="1:2" ht="14.25" customHeight="1" x14ac:dyDescent="0.3">
      <c r="A18" t="s">
        <v>1179</v>
      </c>
      <c r="B18" s="10" t="s">
        <v>1178</v>
      </c>
    </row>
    <row r="19" spans="1:2" ht="14.25" customHeight="1" x14ac:dyDescent="0.3">
      <c r="A19" t="s">
        <v>1180</v>
      </c>
      <c r="B19" s="10" t="s">
        <v>1178</v>
      </c>
    </row>
    <row r="20" spans="1:2" ht="14.25" customHeight="1" x14ac:dyDescent="0.3">
      <c r="A20" t="s">
        <v>1181</v>
      </c>
      <c r="B20" s="10" t="s">
        <v>1178</v>
      </c>
    </row>
    <row r="21" spans="1:2" ht="14.25" customHeight="1" x14ac:dyDescent="0.3">
      <c r="A21" t="s">
        <v>1182</v>
      </c>
      <c r="B21" s="10" t="s">
        <v>1178</v>
      </c>
    </row>
    <row r="22" spans="1:2" ht="14.25" customHeight="1" x14ac:dyDescent="0.3">
      <c r="A22" t="s">
        <v>1183</v>
      </c>
      <c r="B22" s="10" t="s">
        <v>1184</v>
      </c>
    </row>
    <row r="23" spans="1:2" ht="13.5" customHeight="1" x14ac:dyDescent="0.3"/>
    <row r="24" spans="1:2" ht="13.5" customHeight="1" x14ac:dyDescent="0.3"/>
    <row r="25" spans="1:2" ht="14.25" customHeight="1" x14ac:dyDescent="0.3">
      <c r="A25" s="7" t="s">
        <v>1185</v>
      </c>
    </row>
    <row r="26" spans="1:2" ht="14.25" customHeight="1" x14ac:dyDescent="0.3">
      <c r="A26" s="10" t="s">
        <v>1186</v>
      </c>
    </row>
    <row r="27" spans="1:2" ht="13.5" customHeight="1" x14ac:dyDescent="0.3"/>
    <row r="28" spans="1:2" ht="14.25" customHeight="1" x14ac:dyDescent="0.3">
      <c r="A28" s="7" t="s">
        <v>1187</v>
      </c>
    </row>
    <row r="29" spans="1:2" ht="14.25" customHeight="1" x14ac:dyDescent="0.3">
      <c r="A29" t="s">
        <v>1188</v>
      </c>
    </row>
    <row r="30" spans="1:2" ht="14.25" customHeight="1" x14ac:dyDescent="0.3">
      <c r="A30" t="s">
        <v>1189</v>
      </c>
    </row>
    <row r="31" spans="1:2" ht="14.25" customHeight="1" x14ac:dyDescent="0.3">
      <c r="A31" t="s">
        <v>1190</v>
      </c>
    </row>
    <row r="32" spans="1:2" ht="14.25" customHeight="1" x14ac:dyDescent="0.3">
      <c r="A32" t="s">
        <v>1191</v>
      </c>
    </row>
    <row r="33" spans="1:1" ht="13.5" customHeight="1" x14ac:dyDescent="0.3"/>
    <row r="34" spans="1:1" ht="14.25" customHeight="1" x14ac:dyDescent="0.3">
      <c r="A34" t="s">
        <v>1192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2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1193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3.5" customHeight="1" x14ac:dyDescent="0.3"/>
    <row r="3" spans="1:10" ht="14.25" customHeight="1" x14ac:dyDescent="0.3">
      <c r="A3" s="7" t="s">
        <v>1194</v>
      </c>
    </row>
    <row r="4" spans="1:10" ht="14.25" customHeight="1" x14ac:dyDescent="0.3">
      <c r="A4" t="s">
        <v>1195</v>
      </c>
    </row>
    <row r="5" spans="1:10" ht="14.25" customHeight="1" x14ac:dyDescent="0.3">
      <c r="A5" t="s">
        <v>1196</v>
      </c>
    </row>
    <row r="6" spans="1:10" ht="14.25" customHeight="1" x14ac:dyDescent="0.3">
      <c r="A6" t="s">
        <v>1197</v>
      </c>
    </row>
    <row r="7" spans="1:10" ht="14.25" customHeight="1" x14ac:dyDescent="0.3">
      <c r="A7" t="s">
        <v>1198</v>
      </c>
    </row>
    <row r="8" spans="1:10" ht="14.25" customHeight="1" x14ac:dyDescent="0.3">
      <c r="A8" t="s">
        <v>1199</v>
      </c>
    </row>
    <row r="9" spans="1:10" ht="14.25" customHeight="1" x14ac:dyDescent="0.3">
      <c r="A9" t="s">
        <v>1200</v>
      </c>
    </row>
    <row r="10" spans="1:10" ht="14.25" customHeight="1" x14ac:dyDescent="0.3">
      <c r="A10" t="s">
        <v>1201</v>
      </c>
    </row>
    <row r="11" spans="1:10" ht="14.25" customHeight="1" x14ac:dyDescent="0.3">
      <c r="A11" t="s">
        <v>1202</v>
      </c>
    </row>
    <row r="12" spans="1:10" ht="13.5" customHeight="1" x14ac:dyDescent="0.3"/>
    <row r="13" spans="1:10" ht="14.25" customHeight="1" x14ac:dyDescent="0.3">
      <c r="A13" s="7" t="s">
        <v>1203</v>
      </c>
    </row>
    <row r="14" spans="1:10" ht="14.25" customHeight="1" x14ac:dyDescent="0.3">
      <c r="A14">
        <v>1</v>
      </c>
      <c r="B14" t="s">
        <v>1204</v>
      </c>
      <c r="C14" t="s">
        <v>1205</v>
      </c>
    </row>
    <row r="15" spans="1:10" ht="14.25" customHeight="1" x14ac:dyDescent="0.3">
      <c r="A15">
        <v>2</v>
      </c>
      <c r="B15" t="s">
        <v>1206</v>
      </c>
      <c r="C15" t="s">
        <v>1207</v>
      </c>
    </row>
    <row r="16" spans="1:10" ht="14.25" customHeight="1" x14ac:dyDescent="0.3">
      <c r="A16">
        <v>3</v>
      </c>
      <c r="B16" t="s">
        <v>1208</v>
      </c>
      <c r="C16" t="s">
        <v>1209</v>
      </c>
    </row>
    <row r="17" spans="1:3" ht="14.25" customHeight="1" x14ac:dyDescent="0.3">
      <c r="A17">
        <v>4</v>
      </c>
      <c r="B17" t="s">
        <v>1210</v>
      </c>
      <c r="C17" t="s">
        <v>1211</v>
      </c>
    </row>
    <row r="18" spans="1:3" ht="14.25" customHeight="1" x14ac:dyDescent="0.3">
      <c r="A18">
        <v>5</v>
      </c>
      <c r="B18" t="s">
        <v>1212</v>
      </c>
      <c r="C18" t="s">
        <v>1213</v>
      </c>
    </row>
    <row r="19" spans="1:3" ht="14.25" customHeight="1" x14ac:dyDescent="0.3">
      <c r="A19">
        <v>6</v>
      </c>
      <c r="B19" t="s">
        <v>1214</v>
      </c>
      <c r="C19" t="s">
        <v>1215</v>
      </c>
    </row>
    <row r="20" spans="1:3" ht="14.25" customHeight="1" x14ac:dyDescent="0.3">
      <c r="A20">
        <v>7</v>
      </c>
      <c r="B20" t="s">
        <v>1216</v>
      </c>
      <c r="C20" t="s">
        <v>1217</v>
      </c>
    </row>
    <row r="21" spans="1:3" ht="14.25" customHeight="1" x14ac:dyDescent="0.3">
      <c r="A21">
        <v>8</v>
      </c>
      <c r="B21" t="s">
        <v>1082</v>
      </c>
      <c r="C21" t="s">
        <v>1218</v>
      </c>
    </row>
    <row r="22" spans="1:3" ht="14.25" customHeight="1" x14ac:dyDescent="0.3">
      <c r="A22">
        <v>9</v>
      </c>
      <c r="B22" t="s">
        <v>205</v>
      </c>
      <c r="C22" t="s">
        <v>1219</v>
      </c>
    </row>
    <row r="23" spans="1:3" ht="14.25" customHeight="1" x14ac:dyDescent="0.3">
      <c r="A23">
        <v>10</v>
      </c>
      <c r="B23" t="s">
        <v>668</v>
      </c>
      <c r="C23" t="s">
        <v>1220</v>
      </c>
    </row>
    <row r="24" spans="1:3" ht="14.25" customHeight="1" x14ac:dyDescent="0.3">
      <c r="A24">
        <v>11</v>
      </c>
      <c r="B24" t="s">
        <v>214</v>
      </c>
      <c r="C24" t="s">
        <v>1221</v>
      </c>
    </row>
    <row r="25" spans="1:3" ht="14.25" customHeight="1" x14ac:dyDescent="0.3">
      <c r="A25">
        <v>12</v>
      </c>
      <c r="B25" t="s">
        <v>671</v>
      </c>
      <c r="C25" t="s">
        <v>1222</v>
      </c>
    </row>
    <row r="26" spans="1:3" ht="14.25" customHeight="1" x14ac:dyDescent="0.3">
      <c r="A26">
        <v>13</v>
      </c>
      <c r="B26" t="s">
        <v>1223</v>
      </c>
      <c r="C26" t="s">
        <v>1224</v>
      </c>
    </row>
    <row r="27" spans="1:3" ht="14.25" customHeight="1" x14ac:dyDescent="0.3">
      <c r="A27">
        <v>14</v>
      </c>
      <c r="B27" t="s">
        <v>199</v>
      </c>
      <c r="C27" t="s">
        <v>1225</v>
      </c>
    </row>
    <row r="28" spans="1:3" ht="14.25" customHeight="1" x14ac:dyDescent="0.3">
      <c r="A28">
        <v>15</v>
      </c>
      <c r="B28" t="s">
        <v>1226</v>
      </c>
      <c r="C28" t="s">
        <v>1227</v>
      </c>
    </row>
    <row r="29" spans="1:3" ht="14.25" customHeight="1" x14ac:dyDescent="0.3">
      <c r="A29">
        <v>16</v>
      </c>
      <c r="B29" t="s">
        <v>1228</v>
      </c>
      <c r="C29" t="s">
        <v>1229</v>
      </c>
    </row>
    <row r="30" spans="1:3" ht="14.25" customHeight="1" x14ac:dyDescent="0.3">
      <c r="A30">
        <v>17</v>
      </c>
      <c r="B30" t="s">
        <v>1230</v>
      </c>
      <c r="C30" t="s">
        <v>1231</v>
      </c>
    </row>
    <row r="31" spans="1:3" ht="14.25" customHeight="1" x14ac:dyDescent="0.3">
      <c r="A31">
        <v>18</v>
      </c>
      <c r="B31" t="s">
        <v>1232</v>
      </c>
      <c r="C31" t="s">
        <v>1233</v>
      </c>
    </row>
    <row r="32" spans="1:3" ht="14.25" customHeight="1" x14ac:dyDescent="0.3">
      <c r="A32">
        <v>19</v>
      </c>
      <c r="B32" t="s">
        <v>1234</v>
      </c>
      <c r="C32" t="s">
        <v>1235</v>
      </c>
    </row>
    <row r="33" spans="1:3" ht="14.25" customHeight="1" x14ac:dyDescent="0.3">
      <c r="A33">
        <v>20</v>
      </c>
      <c r="B33" t="s">
        <v>1236</v>
      </c>
      <c r="C33" t="s">
        <v>1237</v>
      </c>
    </row>
    <row r="34" spans="1:3" ht="14.25" customHeight="1" x14ac:dyDescent="0.3">
      <c r="A34">
        <v>21</v>
      </c>
      <c r="B34" t="s">
        <v>1238</v>
      </c>
      <c r="C34" t="s">
        <v>1239</v>
      </c>
    </row>
    <row r="35" spans="1:3" ht="13.5" customHeight="1" x14ac:dyDescent="0.3"/>
    <row r="36" spans="1:3" ht="13.5" customHeight="1" x14ac:dyDescent="0.3"/>
    <row r="37" spans="1:3" ht="14.25" customHeight="1" x14ac:dyDescent="0.3">
      <c r="A37" s="7" t="s">
        <v>1240</v>
      </c>
    </row>
    <row r="38" spans="1:3" ht="14.25" customHeight="1" x14ac:dyDescent="0.3">
      <c r="A38" t="s">
        <v>1241</v>
      </c>
    </row>
    <row r="39" spans="1:3" ht="14.25" customHeight="1" x14ac:dyDescent="0.3">
      <c r="A39" t="s">
        <v>1242</v>
      </c>
    </row>
    <row r="40" spans="1:3" ht="14.25" customHeight="1" x14ac:dyDescent="0.3">
      <c r="A40" t="s">
        <v>1243</v>
      </c>
    </row>
    <row r="41" spans="1:3" ht="14.25" customHeight="1" x14ac:dyDescent="0.3">
      <c r="A41" t="s">
        <v>1244</v>
      </c>
    </row>
    <row r="42" spans="1:3" ht="14.25" customHeight="1" x14ac:dyDescent="0.3">
      <c r="A42" t="s">
        <v>1245</v>
      </c>
    </row>
    <row r="43" spans="1:3" ht="14.25" customHeight="1" x14ac:dyDescent="0.3">
      <c r="A43" t="s">
        <v>1246</v>
      </c>
    </row>
    <row r="45" spans="1:3" ht="15" customHeight="1" x14ac:dyDescent="0.3">
      <c r="A45" s="11" t="s">
        <v>1247</v>
      </c>
    </row>
    <row r="46" spans="1:3" ht="13.5" customHeight="1" x14ac:dyDescent="0.3">
      <c r="A46" s="13" t="s">
        <v>1248</v>
      </c>
    </row>
    <row r="47" spans="1:3" ht="13.5" customHeight="1" x14ac:dyDescent="0.3">
      <c r="A47" s="13" t="s">
        <v>1249</v>
      </c>
    </row>
    <row r="48" spans="1:3" ht="13.5" customHeight="1" x14ac:dyDescent="0.3">
      <c r="A48" s="13" t="s">
        <v>1250</v>
      </c>
    </row>
    <row r="49" spans="1:1" ht="13.5" customHeight="1" x14ac:dyDescent="0.3">
      <c r="A49" s="13" t="s">
        <v>1251</v>
      </c>
    </row>
    <row r="50" spans="1:1" ht="13.5" customHeight="1" x14ac:dyDescent="0.3">
      <c r="A50" s="13" t="s">
        <v>1252</v>
      </c>
    </row>
    <row r="51" spans="1:1" ht="13.5" customHeight="1" x14ac:dyDescent="0.3">
      <c r="A51" s="13" t="s">
        <v>1253</v>
      </c>
    </row>
    <row r="52" spans="1:1" ht="13.5" customHeight="1" x14ac:dyDescent="0.3">
      <c r="A52" s="13" t="s">
        <v>1254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53"/>
  <sheetViews>
    <sheetView zoomScaleNormal="100" workbookViewId="0"/>
  </sheetViews>
  <sheetFormatPr defaultColWidth="8.6640625" defaultRowHeight="14.4" x14ac:dyDescent="0.3"/>
  <sheetData>
    <row r="1" spans="1:10" ht="14.25" customHeight="1" x14ac:dyDescent="0.3">
      <c r="A1" s="50" t="s">
        <v>1255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4.25" customHeight="1" x14ac:dyDescent="0.3">
      <c r="A2" t="str">
        <f>CANON!B7</f>
        <v>v1.8.3</v>
      </c>
      <c r="B2" t="s">
        <v>1256</v>
      </c>
    </row>
    <row r="3" spans="1:10" ht="14.25" customHeight="1" x14ac:dyDescent="0.3">
      <c r="A3" s="7" t="str">
        <f>"Sheet Version: "&amp;CANON!B7</f>
        <v>Sheet Version: v1.8.3</v>
      </c>
    </row>
    <row r="4" spans="1:10" ht="14.25" customHeight="1" x14ac:dyDescent="0.3">
      <c r="A4" t="str">
        <f>"Framework: "&amp;CANON!B5</f>
        <v>Framework: Ripple_Logic v8.5.3</v>
      </c>
    </row>
    <row r="5" spans="1:10" ht="14.25" customHeight="1" x14ac:dyDescent="0.3">
      <c r="A5" t="str">
        <f>"SGP: "&amp;CANON!B6</f>
        <v>SGP: SGP v4.2.3</v>
      </c>
    </row>
    <row r="6" spans="1:10" ht="14.25" customHeight="1" x14ac:dyDescent="0.3">
      <c r="A6" t="str">
        <f>"SGP: "&amp;CANON!B6</f>
        <v>SGP: SGP v4.2.3</v>
      </c>
    </row>
    <row r="7" spans="1:10" ht="14.25" customHeight="1" x14ac:dyDescent="0.3">
      <c r="A7" t="s">
        <v>1257</v>
      </c>
    </row>
    <row r="8" spans="1:10" ht="14.25" customHeight="1" x14ac:dyDescent="0.3">
      <c r="A8" t="s">
        <v>1258</v>
      </c>
      <c r="B8" t="s">
        <v>1259</v>
      </c>
      <c r="C8" t="s">
        <v>1260</v>
      </c>
    </row>
    <row r="9" spans="1:10" ht="14.25" customHeight="1" x14ac:dyDescent="0.3">
      <c r="A9" s="7" t="s">
        <v>1261</v>
      </c>
    </row>
    <row r="10" spans="1:10" ht="14.25" customHeight="1" x14ac:dyDescent="0.3">
      <c r="A10" s="7" t="s">
        <v>1262</v>
      </c>
      <c r="B10" s="7" t="s">
        <v>171</v>
      </c>
      <c r="C10" s="7" t="s">
        <v>1263</v>
      </c>
    </row>
    <row r="11" spans="1:10" ht="14.25" customHeight="1" x14ac:dyDescent="0.3">
      <c r="A11" s="43" t="s">
        <v>8</v>
      </c>
      <c r="B11" t="s">
        <v>285</v>
      </c>
      <c r="C11" t="s">
        <v>1264</v>
      </c>
      <c r="D11" t="s">
        <v>1265</v>
      </c>
    </row>
    <row r="12" spans="1:10" ht="14.25" customHeight="1" x14ac:dyDescent="0.3">
      <c r="A12" s="44" t="s">
        <v>1266</v>
      </c>
      <c r="B12" s="7" t="s">
        <v>1267</v>
      </c>
      <c r="C12" s="7" t="s">
        <v>1268</v>
      </c>
    </row>
    <row r="13" spans="1:10" ht="14.25" customHeight="1" x14ac:dyDescent="0.3">
      <c r="A13" t="s">
        <v>1269</v>
      </c>
      <c r="B13" t="s">
        <v>1270</v>
      </c>
      <c r="C13" t="s">
        <v>1271</v>
      </c>
      <c r="D13" t="s">
        <v>1265</v>
      </c>
    </row>
    <row r="14" spans="1:10" ht="14.25" customHeight="1" x14ac:dyDescent="0.3">
      <c r="A14" t="s">
        <v>1272</v>
      </c>
      <c r="B14" t="s">
        <v>1270</v>
      </c>
      <c r="C14" t="s">
        <v>1273</v>
      </c>
      <c r="D14" t="s">
        <v>1265</v>
      </c>
    </row>
    <row r="15" spans="1:10" ht="14.25" customHeight="1" x14ac:dyDescent="0.3">
      <c r="A15" t="s">
        <v>1274</v>
      </c>
      <c r="B15" t="s">
        <v>1270</v>
      </c>
      <c r="C15" t="s">
        <v>1275</v>
      </c>
      <c r="D15" t="s">
        <v>1265</v>
      </c>
    </row>
    <row r="16" spans="1:10" ht="14.25" customHeight="1" x14ac:dyDescent="0.3">
      <c r="A16" t="s">
        <v>1276</v>
      </c>
      <c r="B16" t="s">
        <v>1270</v>
      </c>
      <c r="C16" t="s">
        <v>1277</v>
      </c>
      <c r="D16" t="s">
        <v>1265</v>
      </c>
    </row>
    <row r="17" spans="1:4" ht="14.25" customHeight="1" x14ac:dyDescent="0.3">
      <c r="A17" t="s">
        <v>1278</v>
      </c>
      <c r="B17" t="s">
        <v>1270</v>
      </c>
      <c r="C17" t="s">
        <v>1279</v>
      </c>
      <c r="D17" t="s">
        <v>1265</v>
      </c>
    </row>
    <row r="18" spans="1:4" ht="14.25" customHeight="1" x14ac:dyDescent="0.3">
      <c r="A18" t="s">
        <v>1280</v>
      </c>
      <c r="B18" t="s">
        <v>1270</v>
      </c>
      <c r="C18" t="s">
        <v>1281</v>
      </c>
      <c r="D18" t="s">
        <v>1265</v>
      </c>
    </row>
    <row r="19" spans="1:4" ht="14.25" customHeight="1" x14ac:dyDescent="0.3">
      <c r="A19" s="7" t="s">
        <v>1282</v>
      </c>
      <c r="B19" s="10" t="s">
        <v>807</v>
      </c>
      <c r="C19" t="s">
        <v>1283</v>
      </c>
    </row>
    <row r="20" spans="1:4" ht="14.25" customHeight="1" x14ac:dyDescent="0.3">
      <c r="A20" s="7" t="s">
        <v>1284</v>
      </c>
      <c r="B20" s="45" t="s">
        <v>1285</v>
      </c>
      <c r="C20" t="s">
        <v>1286</v>
      </c>
    </row>
    <row r="21" spans="1:4" ht="14.25" customHeight="1" x14ac:dyDescent="0.3">
      <c r="A21" t="s">
        <v>1287</v>
      </c>
      <c r="B21" s="10" t="s">
        <v>1285</v>
      </c>
      <c r="C21" t="s">
        <v>1288</v>
      </c>
    </row>
    <row r="22" spans="1:4" ht="14.25" customHeight="1" x14ac:dyDescent="0.3">
      <c r="A22" t="s">
        <v>1289</v>
      </c>
      <c r="B22" s="10" t="s">
        <v>807</v>
      </c>
      <c r="C22" t="s">
        <v>1290</v>
      </c>
    </row>
    <row r="23" spans="1:4" ht="14.25" customHeight="1" x14ac:dyDescent="0.3">
      <c r="A23" t="s">
        <v>1291</v>
      </c>
      <c r="B23" s="10" t="s">
        <v>807</v>
      </c>
      <c r="C23" t="s">
        <v>1292</v>
      </c>
    </row>
    <row r="24" spans="1:4" ht="14.25" customHeight="1" x14ac:dyDescent="0.3">
      <c r="A24" t="s">
        <v>1293</v>
      </c>
      <c r="B24" s="10" t="str">
        <f>"✓ PASS ("&amp;CANON!B41&amp;"/"&amp;CANON!B41&amp;")"</f>
        <v>✓ PASS (5/5)</v>
      </c>
    </row>
    <row r="25" spans="1:4" ht="14.25" customHeight="1" x14ac:dyDescent="0.3">
      <c r="A25" t="s">
        <v>1294</v>
      </c>
      <c r="B25" s="10" t="s">
        <v>1295</v>
      </c>
    </row>
    <row r="26" spans="1:4" ht="14.25" customHeight="1" x14ac:dyDescent="0.3">
      <c r="A26" t="s">
        <v>214</v>
      </c>
      <c r="B26" s="10" t="s">
        <v>1296</v>
      </c>
    </row>
    <row r="27" spans="1:4" ht="14.25" customHeight="1" x14ac:dyDescent="0.3">
      <c r="A27" t="s">
        <v>671</v>
      </c>
      <c r="B27" s="10" t="s">
        <v>1297</v>
      </c>
    </row>
    <row r="28" spans="1:4" ht="14.25" customHeight="1" x14ac:dyDescent="0.3">
      <c r="A28" t="s">
        <v>1226</v>
      </c>
      <c r="B28" s="10" t="s">
        <v>1298</v>
      </c>
    </row>
    <row r="29" spans="1:4" ht="14.25" customHeight="1" x14ac:dyDescent="0.3">
      <c r="A29" t="s">
        <v>1299</v>
      </c>
      <c r="B29" t="s">
        <v>1300</v>
      </c>
    </row>
    <row r="30" spans="1:4" ht="13.5" customHeight="1" x14ac:dyDescent="0.3">
      <c r="A30" s="7" t="s">
        <v>1301</v>
      </c>
      <c r="B30" s="7" t="s">
        <v>1302</v>
      </c>
    </row>
    <row r="31" spans="1:4" ht="14.25" customHeight="1" x14ac:dyDescent="0.3">
      <c r="A31" t="s">
        <v>1303</v>
      </c>
      <c r="B31" t="s">
        <v>1259</v>
      </c>
      <c r="C31" t="s">
        <v>1304</v>
      </c>
    </row>
    <row r="32" spans="1:4" ht="14.25" customHeight="1" x14ac:dyDescent="0.3">
      <c r="A32" t="s">
        <v>1303</v>
      </c>
      <c r="B32" t="s">
        <v>1259</v>
      </c>
      <c r="C32" t="s">
        <v>1305</v>
      </c>
      <c r="D32" t="s">
        <v>1306</v>
      </c>
    </row>
    <row r="33" spans="1:4" ht="14.25" customHeight="1" x14ac:dyDescent="0.3">
      <c r="A33" t="s">
        <v>1307</v>
      </c>
      <c r="B33" t="s">
        <v>1308</v>
      </c>
      <c r="C33" t="s">
        <v>1309</v>
      </c>
      <c r="D33" t="s">
        <v>1310</v>
      </c>
    </row>
    <row r="34" spans="1:4" ht="14.25" customHeight="1" x14ac:dyDescent="0.3">
      <c r="A34" t="s">
        <v>1311</v>
      </c>
      <c r="B34" t="s">
        <v>1308</v>
      </c>
      <c r="C34" t="s">
        <v>1312</v>
      </c>
      <c r="D34" t="s">
        <v>1310</v>
      </c>
    </row>
    <row r="35" spans="1:4" ht="14.25" customHeight="1" x14ac:dyDescent="0.3">
      <c r="A35" s="7" t="s">
        <v>1313</v>
      </c>
      <c r="B35" t="s">
        <v>1314</v>
      </c>
      <c r="C35" t="s">
        <v>1315</v>
      </c>
      <c r="D35" t="s">
        <v>1265</v>
      </c>
    </row>
    <row r="36" spans="1:4" ht="14.25" customHeight="1" x14ac:dyDescent="0.3"/>
    <row r="37" spans="1:4" ht="14.25" customHeight="1" x14ac:dyDescent="0.3">
      <c r="A37" t="s">
        <v>1316</v>
      </c>
    </row>
    <row r="38" spans="1:4" ht="14.25" customHeight="1" x14ac:dyDescent="0.3">
      <c r="A38" t="s">
        <v>1317</v>
      </c>
    </row>
    <row r="39" spans="1:4" ht="13.5" customHeight="1" x14ac:dyDescent="0.3">
      <c r="A39" t="s">
        <v>1318</v>
      </c>
    </row>
    <row r="40" spans="1:4" ht="14.25" customHeight="1" x14ac:dyDescent="0.3">
      <c r="A40" t="s">
        <v>1319</v>
      </c>
    </row>
    <row r="41" spans="1:4" ht="14.25" customHeight="1" x14ac:dyDescent="0.3">
      <c r="A41" t="s">
        <v>1320</v>
      </c>
    </row>
    <row r="42" spans="1:4" ht="14.25" customHeight="1" x14ac:dyDescent="0.3">
      <c r="A42" t="s">
        <v>1321</v>
      </c>
    </row>
    <row r="43" spans="1:4" ht="14.25" customHeight="1" x14ac:dyDescent="0.3">
      <c r="A43" t="s">
        <v>1322</v>
      </c>
    </row>
    <row r="44" spans="1:4" ht="14.25" customHeight="1" x14ac:dyDescent="0.3">
      <c r="A44" s="7" t="s">
        <v>1323</v>
      </c>
    </row>
    <row r="45" spans="1:4" ht="14.25" customHeight="1" x14ac:dyDescent="0.3"/>
    <row r="46" spans="1:4" ht="13.5" customHeight="1" x14ac:dyDescent="0.3">
      <c r="A46" t="s">
        <v>1324</v>
      </c>
    </row>
    <row r="47" spans="1:4" ht="13.5" customHeight="1" x14ac:dyDescent="0.3">
      <c r="A47" t="s">
        <v>1325</v>
      </c>
    </row>
    <row r="48" spans="1:4" ht="13.5" customHeight="1" x14ac:dyDescent="0.3">
      <c r="A48" t="s">
        <v>1326</v>
      </c>
    </row>
    <row r="49" spans="1:2" ht="13.5" customHeight="1" x14ac:dyDescent="0.3">
      <c r="A49" t="s">
        <v>1327</v>
      </c>
    </row>
    <row r="50" spans="1:2" ht="13.5" customHeight="1" x14ac:dyDescent="0.3">
      <c r="A50" t="s">
        <v>1328</v>
      </c>
    </row>
    <row r="51" spans="1:2" ht="13.5" customHeight="1" x14ac:dyDescent="0.3">
      <c r="A51" t="s">
        <v>1329</v>
      </c>
    </row>
    <row r="52" spans="1:2" x14ac:dyDescent="0.3">
      <c r="A52" t="s">
        <v>1330</v>
      </c>
      <c r="B52" t="s">
        <v>1331</v>
      </c>
    </row>
    <row r="53" spans="1:2" x14ac:dyDescent="0.3">
      <c r="A53" t="s">
        <v>1332</v>
      </c>
      <c r="B53" t="s">
        <v>1333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7</vt:i4>
      </vt:variant>
    </vt:vector>
  </HeadingPairs>
  <TitlesOfParts>
    <vt:vector size="34" baseType="lpstr">
      <vt:lpstr>Release_Notes</vt:lpstr>
      <vt:lpstr>CANON</vt:lpstr>
      <vt:lpstr>Sanity_Checklist</vt:lpstr>
      <vt:lpstr>Config</vt:lpstr>
      <vt:lpstr>Parameters</vt:lpstr>
      <vt:lpstr>Rights_Coverage</vt:lpstr>
      <vt:lpstr>Rights_Coverage_View</vt:lpstr>
      <vt:lpstr>C_cat</vt:lpstr>
      <vt:lpstr>WTSL_Categories</vt:lpstr>
      <vt:lpstr>Impact_Input</vt:lpstr>
      <vt:lpstr>Scenario_Impacts</vt:lpstr>
      <vt:lpstr>I_prop</vt:lpstr>
      <vt:lpstr>NCRC</vt:lpstr>
      <vt:lpstr>TRC</vt:lpstr>
      <vt:lpstr>Containment</vt:lpstr>
      <vt:lpstr>RLS</vt:lpstr>
      <vt:lpstr>UCI_HOI</vt:lpstr>
      <vt:lpstr>Dashboard</vt:lpstr>
      <vt:lpstr>Audit_Flags</vt:lpstr>
      <vt:lpstr>PCC</vt:lpstr>
      <vt:lpstr>Sensitivity_Analysis</vt:lpstr>
      <vt:lpstr>Subgroup_Analysis</vt:lpstr>
      <vt:lpstr>Subgroup_Overrides</vt:lpstr>
      <vt:lpstr>SGP_Input</vt:lpstr>
      <vt:lpstr>SGP_Integration</vt:lpstr>
      <vt:lpstr>User_Guide</vt:lpstr>
      <vt:lpstr>Version_Control</vt:lpstr>
      <vt:lpstr>AUDIT_REVIEW_COUNT</vt:lpstr>
      <vt:lpstr>CANON_CLAIMABLE_RUN</vt:lpstr>
      <vt:lpstr>CANON_INVALID_FLAGS_COUNT</vt:lpstr>
      <vt:lpstr>CANON_PLACEHOLDER_COUNT</vt:lpstr>
      <vt:lpstr>CANON_PUBLISH_READY</vt:lpstr>
      <vt:lpstr>CANON_SCHEMA_FAIL_COUNT</vt:lpstr>
      <vt:lpstr>SIGMA_EST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Professor James</cp:lastModifiedBy>
  <cp:revision>0</cp:revision>
  <dcterms:created xsi:type="dcterms:W3CDTF">2026-01-31T06:39:09Z</dcterms:created>
  <dcterms:modified xsi:type="dcterms:W3CDTF">2026-02-20T13:40:43Z</dcterms:modified>
  <dc:language>en-US</dc:language>
</cp:coreProperties>
</file>
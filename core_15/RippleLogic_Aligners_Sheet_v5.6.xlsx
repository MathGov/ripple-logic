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ables/table1.xml" ContentType="application/vnd.openxmlformats-officedocument.spreadsheetml.table+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tables/table2.xml" ContentType="application/vnd.openxmlformats-officedocument.spreadsheetml.table+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be38c3de7a5f43f4" /></Relationships>
</file>

<file path=xl/workbook.xml><?xml version="1.0" encoding="utf-8"?>
<x:workbook xmlns:x="http://schemas.openxmlformats.org/spreadsheetml/2006/main">
  <x:sheets>
    <x:sheet xmlns:r="http://schemas.openxmlformats.org/officeDocument/2006/relationships" name="How_To_Use" sheetId="1" r:id="R36ad3180d6e149a1"/>
    <x:sheet xmlns:r="http://schemas.openxmlformats.org/officeDocument/2006/relationships" name="Release_Notes" sheetId="2" r:id="R55653e224d5a4f20"/>
    <x:sheet xmlns:r="http://schemas.openxmlformats.org/officeDocument/2006/relationships" name="v12_6_Sync" sheetId="3" r:id="Raab5703bfadd4814"/>
    <x:sheet xmlns:r="http://schemas.openxmlformats.org/officeDocument/2006/relationships" name="CANON" sheetId="4" r:id="Rd5b1aa3940b948b5"/>
    <x:sheet xmlns:r="http://schemas.openxmlformats.org/officeDocument/2006/relationships" name="Sanity_Checklist" sheetId="5" r:id="R755ed70289c34155"/>
    <x:sheet xmlns:r="http://schemas.openxmlformats.org/officeDocument/2006/relationships" name="Config" sheetId="6" r:id="Rea28d6ad811d434f"/>
    <x:sheet xmlns:r="http://schemas.openxmlformats.org/officeDocument/2006/relationships" name="Parameters" sheetId="7" r:id="R01b3271269a3457c"/>
    <x:sheet xmlns:r="http://schemas.openxmlformats.org/officeDocument/2006/relationships" name="PLSS_Local_Scope" sheetId="8" r:id="R10b8e469288649fc"/>
    <x:sheet xmlns:r="http://schemas.openxmlformats.org/officeDocument/2006/relationships" name="Rights_Coverage" sheetId="9" r:id="R8ddfdd9676a047a8"/>
    <x:sheet xmlns:r="http://schemas.openxmlformats.org/officeDocument/2006/relationships" name="Rights_Coverage_View" sheetId="10" r:id="Rbe5d51dbd3c14051"/>
    <x:sheet xmlns:r="http://schemas.openxmlformats.org/officeDocument/2006/relationships" name="C_cat" sheetId="11" r:id="R055ad1109f34479e"/>
    <x:sheet xmlns:r="http://schemas.openxmlformats.org/officeDocument/2006/relationships" name="WTSL_Categories" sheetId="12" r:id="R91e34ecc04ba4d84"/>
    <x:sheet xmlns:r="http://schemas.openxmlformats.org/officeDocument/2006/relationships" name="Impact_Input" sheetId="13" r:id="R98a408c25e0443e7"/>
    <x:sheet xmlns:r="http://schemas.openxmlformats.org/officeDocument/2006/relationships" name="Scenario_Impacts" sheetId="14" r:id="R4f2a249a63c84013"/>
    <x:sheet xmlns:r="http://schemas.openxmlformats.org/officeDocument/2006/relationships" name="I_prop" sheetId="15" r:id="R8ff5f0e9d4d24ad4"/>
    <x:sheet xmlns:r="http://schemas.openxmlformats.org/officeDocument/2006/relationships" name="Reality_Grounding" sheetId="16" r:id="R9838ba11ce874920"/>
    <x:sheet xmlns:r="http://schemas.openxmlformats.org/officeDocument/2006/relationships" name="Category_Grounding" sheetId="17" r:id="R26f11dbcf6344121"/>
    <x:sheet xmlns:r="http://schemas.openxmlformats.org/officeDocument/2006/relationships" name="Term_Discrimination" sheetId="18" r:id="Rd137accadc3c4704"/>
    <x:sheet xmlns:r="http://schemas.openxmlformats.org/officeDocument/2006/relationships" name="Source_Coupling" sheetId="19" r:id="R0396420403664073"/>
    <x:sheet xmlns:r="http://schemas.openxmlformats.org/officeDocument/2006/relationships" name="Do_Not_Collapse" sheetId="20" r:id="R9bc1f8786dba4a3d"/>
    <x:sheet xmlns:r="http://schemas.openxmlformats.org/officeDocument/2006/relationships" name="Rights_Floor" sheetId="21" r:id="R974865cb7d9f4bf2"/>
    <x:sheet xmlns:r="http://schemas.openxmlformats.org/officeDocument/2006/relationships" name="NCRC" sheetId="22" r:id="R733584705c034d19"/>
    <x:sheet xmlns:r="http://schemas.openxmlformats.org/officeDocument/2006/relationships" name="Rights_Hardening" sheetId="23" r:id="R8c5b66d74fa74b71"/>
    <x:sheet xmlns:r="http://schemas.openxmlformats.org/officeDocument/2006/relationships" name="TRC" sheetId="24" r:id="R21fc83b71cbb4b16"/>
    <x:sheet xmlns:r="http://schemas.openxmlformats.org/officeDocument/2006/relationships" name="Tail_Emergency" sheetId="25" r:id="Rf2e38331205f47c3"/>
    <x:sheet xmlns:r="http://schemas.openxmlformats.org/officeDocument/2006/relationships" name="Containment" sheetId="26" r:id="R51012ebe0a8b46e8"/>
    <x:sheet xmlns:r="http://schemas.openxmlformats.org/officeDocument/2006/relationships" name="Structural_Viability" sheetId="27" r:id="Rcc154988997d43d2"/>
    <x:sheet xmlns:r="http://schemas.openxmlformats.org/officeDocument/2006/relationships" name="RLS" sheetId="28" r:id="Rd06f84f359454e08"/>
    <x:sheet xmlns:r="http://schemas.openxmlformats.org/officeDocument/2006/relationships" name="UCI_HOI" sheetId="29" r:id="R24e128452f5b4977"/>
    <x:sheet xmlns:r="http://schemas.openxmlformats.org/officeDocument/2006/relationships" name="Dashboard" sheetId="30" r:id="R4e1cfc7ee9cf47cf"/>
    <x:sheet xmlns:r="http://schemas.openxmlformats.org/officeDocument/2006/relationships" name="Audit_Flags" sheetId="31" r:id="Rd3dcd5e796234169"/>
    <x:sheet xmlns:r="http://schemas.openxmlformats.org/officeDocument/2006/relationships" name="PCC" sheetId="32" r:id="Rb8b5e002f00a4596"/>
    <x:sheet xmlns:r="http://schemas.openxmlformats.org/officeDocument/2006/relationships" name="Sensitivity_Analysis" sheetId="33" r:id="Re9953ef478844459"/>
    <x:sheet xmlns:r="http://schemas.openxmlformats.org/officeDocument/2006/relationships" name="Subgroup_Analysis" sheetId="34" r:id="R18c4ad67f1cb4ad6"/>
    <x:sheet xmlns:r="http://schemas.openxmlformats.org/officeDocument/2006/relationships" name="Subgroup_Overrides" sheetId="35" r:id="R42ea66313cbe44df"/>
    <x:sheet xmlns:r="http://schemas.openxmlformats.org/officeDocument/2006/relationships" name="SGP_Input" sheetId="36" r:id="R7fc354a1f81a4a25"/>
    <x:sheet xmlns:r="http://schemas.openxmlformats.org/officeDocument/2006/relationships" name="SGP_Integration" sheetId="37" r:id="R6e003eb7432c42cf"/>
    <x:sheet xmlns:r="http://schemas.openxmlformats.org/officeDocument/2006/relationships" name="User_Guide" sheetId="38" r:id="Rd6009694df7d4e3a"/>
    <x:sheet xmlns:r="http://schemas.openxmlformats.org/officeDocument/2006/relationships" name="Version_Control" sheetId="39" r:id="R4563e79fafb1489f"/>
    <x:sheet xmlns:r="http://schemas.openxmlformats.org/officeDocument/2006/relationships" name="ProjectionPreRegistration" sheetId="40" r:id="Rc282f201c8254164"/>
    <x:sheet xmlns:r="http://schemas.openxmlformats.org/officeDocument/2006/relationships" name="Qualification_Continuity" sheetId="41" r:id="R521fcbd3fb48448f"/>
    <x:sheet xmlns:r="http://schemas.openxmlformats.org/officeDocument/2006/relationships" name="PrimitiveTrace" sheetId="42" r:id="R905c91374c1248e4"/>
    <x:sheet xmlns:r="http://schemas.openxmlformats.org/officeDocument/2006/relationships" name="ObservableConsequences" sheetId="43" r:id="R21b32bbea29e4973"/>
    <x:sheet xmlns:r="http://schemas.openxmlformats.org/officeDocument/2006/relationships" name="FalsificationPlan" sheetId="44" r:id="R57e02489ad794b5a"/>
    <x:sheet xmlns:r="http://schemas.openxmlformats.org/officeDocument/2006/relationships" name="MethodologyMaturity" sheetId="45" r:id="R2aeec532b6bd48fb"/>
    <x:sheet xmlns:r="http://schemas.openxmlformats.org/officeDocument/2006/relationships" name="v10_Sanity_Checklist" sheetId="46" r:id="R749676d453f449b9"/>
    <x:sheet xmlns:r="http://schemas.openxmlformats.org/officeDocument/2006/relationships" name="Outcome_Requalification" sheetId="47" r:id="R6c9af4d08c4e431b"/>
    <x:sheet xmlns:r="http://schemas.openxmlformats.org/officeDocument/2006/relationships" name="UCI_Maturity" sheetId="48" r:id="Ra2c6b64720584e55"/>
    <x:sheet xmlns:r="http://schemas.openxmlformats.org/officeDocument/2006/relationships" name="Kernel_Posture" sheetId="49" r:id="Rd541393b0f754947"/>
    <x:sheet xmlns:r="http://schemas.openxmlformats.org/officeDocument/2006/relationships" name="HDW_Capture_Audit" sheetId="50" r:id="R84f8e311c67741c6"/>
    <x:sheet xmlns:r="http://schemas.openxmlformats.org/officeDocument/2006/relationships" name="PLSS_Escalation" sheetId="51" r:id="R81ba42432edc4d64"/>
    <x:sheet xmlns:r="http://schemas.openxmlformats.org/officeDocument/2006/relationships" name="BioSGP_Maturity" sheetId="52" r:id="R52cb717f34854a09"/>
    <x:sheet xmlns:r="http://schemas.openxmlformats.org/officeDocument/2006/relationships" name="Deployment_Context" sheetId="53" r:id="R536edf93ef514714"/>
    <x:sheet xmlns:r="http://schemas.openxmlformats.org/officeDocument/2006/relationships" name="Machine_Readiness" sheetId="54" r:id="Rf08216a155fd4f6a"/>
    <x:sheet xmlns:r="http://schemas.openxmlformats.org/officeDocument/2006/relationships" name="Display_Clarity" sheetId="55" r:id="Reb36c6c204db4ff0"/>
    <x:sheet xmlns:r="http://schemas.openxmlformats.org/officeDocument/2006/relationships" name="Boundary_Risk_Register" sheetId="56" r:id="R7c7341bbf94440fd"/>
    <x:sheet xmlns:r="http://schemas.openxmlformats.org/officeDocument/2006/relationships" name="Evidence_Status_Tokens" sheetId="57" r:id="R34a1c4b64aa0457b"/>
    <x:sheet xmlns:r="http://schemas.openxmlformats.org/officeDocument/2006/relationships" name="Compact_Profiles" sheetId="58" r:id="R8ad270a65bea4773"/>
    <x:sheet xmlns:r="http://schemas.openxmlformats.org/officeDocument/2006/relationships" name="SGP_Split_Guardrail" sheetId="59" r:id="Rafd47a5ad99b4e3f"/>
    <x:sheet xmlns:r="http://schemas.openxmlformats.org/officeDocument/2006/relationships" name="Validation_Roadmap" sheetId="60" r:id="R49778d0cc3984ba6"/>
    <x:sheet xmlns:r="http://schemas.openxmlformats.org/officeDocument/2006/relationships" name="Triple_Pass_Audit" sheetId="61" r:id="R4e9585bf2d964e61"/>
    <x:sheet xmlns:r="http://schemas.openxmlformats.org/officeDocument/2006/relationships" name="Release_Boundaries" sheetId="62" r:id="Rc122c444ae7d4e08"/>
    <x:sheet xmlns:r="http://schemas.openxmlformats.org/officeDocument/2006/relationships" name="ReferenceStructureRecord" sheetId="63" r:id="Rbd866264549d46d0"/>
    <x:sheet xmlns:r="http://schemas.openxmlformats.org/officeDocument/2006/relationships" name="v10_7_History" sheetId="64" r:id="R98ee90883c2d4d08"/>
    <x:sheet xmlns:r="http://schemas.openxmlformats.org/officeDocument/2006/relationships" name="Layer_Falsification" sheetId="65" r:id="R8d88ff906555466e"/>
    <x:sheet xmlns:r="http://schemas.openxmlformats.org/officeDocument/2006/relationships" name="Adaptive_Reserve" sheetId="66" r:id="R05351f3215a8477b"/>
    <x:sheet xmlns:r="http://schemas.openxmlformats.org/officeDocument/2006/relationships" name="Verdict_Hardening" sheetId="67" r:id="R43811a25e59a4660"/>
    <x:sheet xmlns:r="http://schemas.openxmlformats.org/officeDocument/2006/relationships" name="Version_Semantics" sheetId="68" r:id="R26969b9f5032498f"/>
    <x:sheet xmlns:r="http://schemas.openxmlformats.org/officeDocument/2006/relationships" name="v11_1_Update" sheetId="69" r:id="R94045c588ad74e76"/>
    <x:sheet xmlns:r="http://schemas.openxmlformats.org/officeDocument/2006/relationships" name="Formula_Map" sheetId="70" r:id="R460bd8cd81824e79"/>
    <x:sheet xmlns:r="http://schemas.openxmlformats.org/officeDocument/2006/relationships" name="v12_3_1_Sync" sheetId="71" r:id="Raa492cdb279b40cf"/>
    <x:sheet xmlns:r="http://schemas.openxmlformats.org/officeDocument/2006/relationships" name="CSV" sheetId="72" r:id="R77592540514543d5"/>
    <x:sheet xmlns:r="http://schemas.openxmlformats.org/officeDocument/2006/relationships" name="v12_2_Complete_Ready" sheetId="73" r:id="Rb5ae53d4ecad4407"/>
    <x:sheet xmlns:r="http://schemas.openxmlformats.org/officeDocument/2006/relationships" name="Core_Component_Map" sheetId="74" r:id="R94facd228de14db9"/>
    <x:sheet xmlns:r="http://schemas.openxmlformats.org/officeDocument/2006/relationships" name="PC_AEP_Status" sheetId="75" r:id="Rca7dc84d5c424858"/>
    <x:sheet xmlns:r="http://schemas.openxmlformats.org/officeDocument/2006/relationships" name="v12_2_SGP_v8_Update" sheetId="76" r:id="R8cc2e24a3c1c48eb"/>
    <x:sheet xmlns:r="http://schemas.openxmlformats.org/officeDocument/2006/relationships" name="Rights_Evidence_Disposition" sheetId="77" r:id="R4000c98f0462407a"/>
    <x:sheet xmlns:r="http://schemas.openxmlformats.org/officeDocument/2006/relationships" name="SGP_v8_3_RMCP" sheetId="78" r:id="R9eaa90bd71264ae8"/>
    <x:sheet xmlns:r="http://schemas.openxmlformats.org/officeDocument/2006/relationships" name="Reproducibility_Check" sheetId="79" r:id="R54aa03a34e4a4e4f"/>
    <x:sheet xmlns:r="http://schemas.openxmlformats.org/officeDocument/2006/relationships" name="Workflow_Navigator" sheetId="80" r:id="Re0d0ffda3abf486a"/>
    <x:sheet xmlns:r="http://schemas.openxmlformats.org/officeDocument/2006/relationships" name="WDBIP_Interface" sheetId="81" r:id="R57736794552b45be"/>
    <x:sheet xmlns:r="http://schemas.openxmlformats.org/officeDocument/2006/relationships" name="Consequence_Tempo" sheetId="82" r:id="R55723c9888c34a16"/>
    <x:sheet xmlns:r="http://schemas.openxmlformats.org/officeDocument/2006/relationships" name="Responsibility_Continuity" sheetId="83" r:id="R74a16dbfdffa464a"/>
    <x:sheet xmlns:r="http://schemas.openxmlformats.org/officeDocument/2006/relationships" name="Edit_Integrity_Map" sheetId="84" r:id="R1a54d1eb94764fa7"/>
    <x:sheet xmlns:r="http://schemas.openxmlformats.org/officeDocument/2006/relationships" name="Configuration_Assurance" sheetId="85" r:id="Racd3988f5aab46da"/>
    <x:sheet xmlns:r="http://schemas.openxmlformats.org/officeDocument/2006/relationships" name="Material_Obligations" sheetId="86" r:id="R725950fb2b6b47ff"/>
    <x:sheet xmlns:r="http://schemas.openxmlformats.org/officeDocument/2006/relationships" name="Human_Comp_Load" sheetId="87" r:id="R86757d862f8c404a"/>
  </x:sheets>
  <x:definedNames>
    <x:definedName name="AUDIT_REVIEW_COUNT" hidden="0" function="0" vbProcedure="0">Audit_Flags!$B$23</x:definedName>
    <x:definedName name="CANON_CLAIMABLE_RUN" hidden="0" function="0" vbProcedure="0">CANON!$B$81</x:definedName>
    <x:definedName name="CANON_INVALID_FLAGS_COUNT" hidden="0" function="0" vbProcedure="0">CANON!$B$80</x:definedName>
    <x:definedName name="CANON_PLACEHOLDER_COUNT" hidden="0" function="0" vbProcedure="0">CANON!$B$116</x:definedName>
    <x:definedName name="CANON_SCHEMA_FAIL_COUNT" hidden="0" function="0" vbProcedure="0">CANON!$B$115</x:definedName>
    <x:definedName name="SIGMA_EST" hidden="0" function="0" vbProcedure="0">Config!$B$20</x:definedName>
  </x:definedNames>
</x:workbook>
</file>

<file path=xl/comments1.xml><?xml version="1.0" encoding="utf-8"?>
<x:comments xmlns:x="http://schemas.openxmlformats.org/spreadsheetml/2006/main">
  <x:authors>
    <x:author>Unknown Author</x:author>
  </x:authors>
  <x:commentList>
    <x:comment ref="B81" authorId="0">
      <x:text>
        <x:r>
          <x:t>Deterministic claimability gate for the selected option. INVALID_FLAGS_COUNT is computed from Audit_Flags INVALID-severity tokens, including NORMATIVE_INPUT_PROVENANCE_MISSING where triggered.</x:t>
        </x:r>
      </x:text>
    </x:comment>
  </x:commentList>
</x:comments>
</file>

<file path=xl/sharedStrings.xml><?xml version="1.0" encoding="utf-8"?>
<x:sst xmlns:x="http://schemas.openxmlformats.org/spreadsheetml/2006/main">
  <x:si>
    <x:t xml:space="preserve">RIPPLELOGIC ALIGNERS SHEET v5.6 - HOW TO USE</x:t>
  </x:si>
  <x:si>
    <x:t xml:space="preserve">Purpose</x:t>
  </x:si>
  <x:si>
    <x:t xml:space="preserve">This workbook is a Tier 2 worked-run companion and audit/training artifact for the MathGov framework using RippleLogic. It is not a universal validator, ProofPack, legal certification, deployment certification, or Tier 4 replay engine.</x:t>
  </x:si>
  <x:si>
    <x:t xml:space="preserve">Safe editing rule</x:t>
  </x:si>
  <x:si>
    <x:t xml:space="preserve">Start here</x:t>
  </x:si>
  <x:si>
    <x:t xml:space="preserve">Ground first</x:t>
  </x:si>
  <x:si>
    <x:t xml:space="preserve">Before interpreting gates or scores, complete Reality_Grounding, Category_Grounding, Term_Discrimination, and Do_Not_Collapse where material. Unknowns are not zeros; claim boundaries must stay inside the evidence surface.</x:t>
  </x:si>
  <x:si>
    <x:t xml:space="preserve">Run order</x:t>
  </x:si>
  <x:si>
    <x:t xml:space="preserve">RG -&gt; Category_Grounding / Term_Discrimination -&gt; RF/NCRC -&gt; TRC -&gt; CSV -&gt; WDBIP where triggered -&gt; RLS -&gt; Dashboard -&gt; PCC. WDBIP is not a gate.</x:t>
  </x:si>
  <x:si>
    <x:t xml:space="preserve">Rights floor</x:t>
  </x:si>
  <x:si>
    <x:t xml:space="preserve">Rights Floor (formal NCRC) is non-compensatory. A higher RLS score cannot rescue a rights-floor failure.</x:t>
  </x:si>
  <x:si>
    <x:t xml:space="preserve">Tail risk</x:t>
  </x:si>
  <x:si>
    <x:t xml:space="preserve">TRC uses the declared scenario library, probability policy, catastrophe-cell construction, and corridor threshold. A TRC pass is scoped to those declared surfaces.</x:t>
  </x:si>
  <x:si>
    <x:t xml:space="preserve">CSV</x:t>
  </x:si>
  <x:si>
    <x:t xml:space="preserve">CSV checks whether local gains damage containing systems and whether the option can structurally stand. CSV distinguishes residual harm, controls-required harm, redesign-required harm, emergency-provisional necessity, and gate-failing uncontained harm.</x:t>
  </x:si>
  <x:si>
    <x:t xml:space="preserve">RLS interpretation</x:t>
  </x:si>
  <x:si>
    <x:t xml:space="preserve">RLS ranks only selectable options. Decisiveness is computed from cell-level uncertainty aggregated to σ_RLS. A decisive technical selection does not create execution authority; a non-decisive result requires governed resolution or separate authority selection.</x:t>
  </x:si>
  <x:si>
    <x:t xml:space="preserve">PCC export</x:t>
  </x:si>
  <x:si>
    <x:t xml:space="preserve">Use PCC and Audit_Flags to document assumptions, gates, decisiveness, claim boundary, authority separation, execution authorization, and release limitations.</x:t>
  </x:si>
  <x:si>
    <x:t xml:space="preserve">Release boundary</x:t>
  </x:si>
  <x:si>
    <x:t xml:space="preserve">v12.6 Configuration Assurance</x:t>
  </x:si>
  <x:si>
    <x:t xml:space="preserve">1</x:t>
  </x:si>
  <x:si>
    <x:t xml:space="preserve">Bind claims to the exact system configuration and validity envelope.</x:t>
  </x:si>
  <x:si>
    <x:t xml:space="preserve">2</x:t>
  </x:si>
  <x:si>
    <x:t xml:space="preserve">Separate what a system can do, may do, was selected to do, and actually did.</x:t>
  </x:si>
  <x:si>
    <x:t xml:space="preserve">3</x:t>
  </x:si>
  <x:si>
    <x:t xml:space="preserve">Assess current state, proposed transition, and resulting state separately.</x:t>
  </x:si>
  <x:si>
    <x:t xml:space="preserve">4</x:t>
  </x:si>
  <x:si>
    <x:t xml:space="preserve">Material changes expire inherited qualification and trigger requalification.</x:t>
  </x:si>
  <x:si>
    <x:t xml:space="preserve">5</x:t>
  </x:si>
  <x:si>
    <x:t xml:space="preserve">Prefer small reversible evidence-gaining experiments before high-stakes commitment.</x:t>
  </x:si>
  <x:si>
    <x:t xml:space="preserve">v12.6 Carried Obligation Integrity</x:t>
  </x:si>
  <x:si>
    <x:t xml:space="preserve">6</x:t>
  </x:si>
  <x:si>
    <x:t xml:space="preserve">For CSV_PASS_WITH_CONTROLS, complete Material_Obligations for every control material to selectability or execution.</x:t>
  </x:si>
  <x:si>
    <x:t xml:space="preserve">7</x:t>
  </x:si>
  <x:si>
    <x:t xml:space="preserve">Record carrier silence, absence, incapacity, missed deadlines, and unaccepted handoffs as nonperformance triggers—not successful discharge.</x:t>
  </x:si>
  <x:si>
    <x:t xml:space="preserve">8</x:t>
  </x:si>
  <x:si>
    <x:t xml:space="preserve">Use Human_Comp_Load before automation, scaling, outsourcing, or role removal where undocumented adaptive work may be carrying the system.</x:t>
  </x:si>
  <x:si>
    <x:t xml:space="preserve">9</x:t>
  </x:si>
  <x:si>
    <x:t xml:space="preserve">Control performance and control effectiveness are separate. Record outcome evidence when effectiveness is material.</x:t>
  </x:si>
  <x:si>
    <x:t xml:space="preserve">RippleLogic Aligners Sheet v5.6 - Release Notes</x:t>
  </x:si>
  <x:si>
    <x:t xml:space="preserve">Public cascade: RG -&gt; RF -&gt; TRC -&gt; CSV -&gt; RLS. Formal shorthand: RG/RSG -&gt; RF/NCRC -&gt; TRC -&gt; CSV -&gt; RLS.</x:t>
  </x:si>
  <x:si>
    <x:t xml:space="preserve">v5.6 binds a selected option to an exact action and qualification snapshot, then makes outcome observation and requalification explicit. The five-stage architecture and worked-run boundary are unchanged.</x:t>
  </x:si>
  <x:si>
    <x:t xml:space="preserve">v5.6</x:t>
  </x:si>
  <x:si>
    <x:t xml:space="preserve">2026-08-09</x:t>
  </x:si>
  <x:si>
    <x:t xml:space="preserve">MathGov-native action qualification, execution binding, outcome observation, and requalification hardening.</x:t>
  </x:si>
  <x:si>
    <x:t xml:space="preserve">Current authoritative v5.6 release; no sixth gate, no new welfare dimension, and no empirical-validation or execution-authorization claim.</x:t>
  </x:si>
  <x:si>
    <x:t xml:space="preserve">v5.1.1</x:t>
  </x:si>
  <x:si>
    <x:t xml:space="preserve">2026-07-11</x:t>
  </x:si>
  <x:si>
    <x:t xml:space="preserve">Historical consistency and tier-integrity release.</x:t>
  </x:si>
  <x:si>
    <x:t xml:space="preserve">Historical</x:t>
  </x:si>
  <x:si>
    <x:t xml:space="preserve">Patch label</x:t>
  </x:si>
  <x:si>
    <x:t xml:space="preserve">MathGov Core Release 2026.09 v12.6 / SGP v8.5 - Independent Open-Source Qualification-Continuity Release.</x:t>
  </x:si>
  <x:si>
    <x:t xml:space="preserve">Controlling CSV status now reports CSV_PASS_WITH_CONTROLS for both options; containment proxy diagnostics remain separately visible.</x:t>
  </x:si>
  <x:si>
    <x:t xml:space="preserve">Framework version</x:t>
  </x:si>
  <x:si>
    <x:t xml:space="preserve">RippleLogic v12.6</x:t>
  </x:si>
  <x:si>
    <x:t xml:space="preserve">Governing Canon version for this workbook</x:t>
  </x:si>
  <x:si>
    <x:t xml:space="preserve">Tier</x:t>
  </x:si>
  <x:si>
    <x:t xml:space="preserve">Worked-run exemplar tier</x:t>
  </x:si>
  <x:si>
    <x:t xml:space="preserve">Workbook mode</x:t>
  </x:si>
  <x:si>
    <x:t xml:space="preserve">WORKED_RUN</x:t>
  </x:si>
  <x:si>
    <x:t xml:space="preserve">Worked-run exemplar publishable</x:t>
  </x:si>
  <x:si>
    <x:t xml:space="preserve">YES - BOUNDED WORKED-RUN EXEMPLAR; PLSS SENSITIVITY COMPLETE</x:t>
  </x:si>
  <x:si>
    <x:t xml:space="preserve">Active tool-local flags (auto)</x:t>
  </x:si>
  <x:si>
    <x:t xml:space="preserve">Canonical Invalid / Escalate / Review / Tool-Local Review</x:t>
  </x:si>
  <x:si>
    <x:t xml:space="preserve">Release positioning</x:t>
  </x:si>
  <x:si>
    <x:t xml:space="preserve">Current limitation (publication disclosure)</x:t>
  </x:si>
  <x:si>
    <x:t xml:space="preserve">This workbook is publishable only as a bounded cascade, worked-run, PLSS-sensitivity, and authority-selection demonstration after active sanity checks pass. It does not establish PLSS validity, empirical calibration, or deployment safety.</x:t>
  </x:si>
  <x:si>
    <x:t xml:space="preserve">PCC Section 18 posture</x:t>
  </x:si>
  <x:si>
    <x:t xml:space="preserve">Extended companion disclosure surface; useful for Tier-2 replay and audit illustration, but not a substitute for repository-level validator/schema assets or empirical validation.</x:t>
  </x:si>
  <x:si>
    <x:t xml:space="preserve">Current companion matrix</x:t>
  </x:si>
  <x:si>
    <x:t xml:space="preserve">Known REVIEW flags narrative (auto)</x:t>
  </x:si>
  <x:si>
    <x:t xml:space="preserve">None</x:t>
  </x:si>
  <x:si>
    <x:t xml:space="preserve">Sensitivity status</x:t>
  </x:si>
  <x:si>
    <x:t xml:space="preserve">Sensitivity verdict</x:t>
  </x:si>
  <x:si>
    <x:t xml:space="preserve">Category Grounding patch</x:t>
  </x:si>
  <x:si>
    <x:t xml:space="preserve">Added Category_Grounding pre-flight sheet. Category Grounding and Primitive Audit are required subdisciplines of Reality Grounding when material, not additional cascade gates.</x:t>
  </x:si>
  <x:si>
    <x:t xml:space="preserve">2026-04-21</x:t>
  </x:si>
  <x:si>
    <x:t xml:space="preserve">v3.0 working-line hardening: corrected Biosphere UCI default/method disclosure, added tie-break / monitoring dashboard surface, made catastrophe-weight governance explicit, normalized rights ordering language, exposed floor tables/checks, and refreshed companion metadata for current release-line preparation.</x:t>
  </x:si>
  <x:si>
    <x:t xml:space="preserve">LINEAGE (historical): v3.4 measurement-maturity release synchronization update: added UCI_Maturity, Kernel_Posture, HDW_Capture_Audit, PLSS_Escalation, BioSGP_Maturity, and Deployment_Context surfaces; synchronized visible references to RippleLogic v10.6 / SGP v5.3 / ripple.md v3.4 / Agent v10.6; preserved non-claims for ProofPack, Tier 4, and empirical validation.</x:t>
  </x:si>
  <x:si>
    <x:t xml:space="preserve">April 2026 final hardening</x:t>
  </x:si>
  <x:si>
    <x:t xml:space="preserve">Added claimability hardening, scenario prior normalization checks, normative-input provenance register/flag, sanity-check provenance block, and explicit base/welfare contribution surfaces for the human-only worked run.</x:t>
  </x:si>
  <x:si>
    <x:t xml:space="preserve">Release-readiness pass</x:t>
  </x:si>
  <x:si>
    <x:t xml:space="preserve">Supports future ProofPack + hash manifest packaging; does not itself claim ProofPack readiness.</x:t>
  </x:si>
  <x:si>
    <x:t xml:space="preserve">v3.4</x:t>
  </x:si>
  <x:si>
    <x:t xml:space="preserve">2026-05-26</x:t>
  </x:si>
  <x:si>
    <x:t xml:space="preserve">Readability and front-matter organization</x:t>
  </x:si>
  <x:si>
    <x:t xml:space="preserve">LINEAGE (historical): Synchronizes workbook references to RippleLogic v10.6 / SGP v5.3 / ripple.md v3.4 / Agent v10.6, reflecting the core-document opening reorganization while preserving formulas, gates, and workbook worked-run exemplar status.</x:t>
  </x:si>
  <x:si>
    <x:t xml:space="preserve">Claim boundary</x:t>
  </x:si>
  <x:si>
    <x:t xml:space="preserve">LINEAGE (historical): GitHub v10.6 readability/core architecture release only. Does not claim ProofPack readiness, empirical validation, Tier 4, deployment readiness, or machine-verifiable ecosystem completeness.</x:t>
  </x:si>
  <x:si>
    <x:t xml:space="preserve">CLAIM_BOUNDARY_NOTE</x:t>
  </x:si>
  <x:si>
    <x:t xml:space="preserve">REVIEW flag clarification</x:t>
  </x:si>
  <x:si>
    <x:t xml:space="preserve">LINEAGE (historical): v10.6 Readability Release Patch</x:t>
  </x:si>
  <x:si>
    <x:t xml:space="preserve">LINEAGE (historical) companion matrix</x:t>
  </x:si>
  <x:si>
    <x:t xml:space="preserve">LINEAGE (historical): RippleLogic v10.6 / SGP v5.3 / ripple.md v3.4 / Agent v10.6 / Sheet v3.4</x:t>
  </x:si>
  <x:si>
    <x:t xml:space="preserve">ReferenceStructureRecord fully integrated into workbook control surfaces: ReferenceStructureRecord sheet, Sanity_Checklist, PCC Section 26, and Dashboard visibility rows.</x:t>
  </x:si>
  <x:si>
    <x:t xml:space="preserve">Display clarity</x:t>
  </x:si>
  <x:si>
    <x:t xml:space="preserve">Worked-run exemplar publishability is separated from deterministic framework selection and selection basis.</x:t>
  </x:si>
  <x:si>
    <x:t xml:space="preserve">Machine readiness</x:t>
  </x:si>
  <x:si>
    <x:t xml:space="preserve">Machine_Readiness sheet tracks whether registries, schemas, reference calculators, CI, UCI annexes, and PLSS calibration packs are bundled/hash-pinned, missing, or delegated to the post-core ProofPack-prep tooling line.</x:t>
  </x:si>
  <x:si>
    <x:t xml:space="preserve">Flag separation</x:t>
  </x:si>
  <x:si>
    <x:t xml:space="preserve">Canon flags and tool-local flags are separated in display surfaces.</x:t>
  </x:si>
  <x:si>
    <x:t xml:space="preserve">ProofPack status</x:t>
  </x:si>
  <x:si>
    <x:t xml:space="preserve">ProofPack-ready claim allowed? NO</x:t>
  </x:si>
  <x:si>
    <x:t xml:space="preserve">v3.4 substance patch</x:t>
  </x:si>
  <x:si>
    <x:t xml:space="preserve">Boundary-risk and false-precision disclosure extension</x:t>
  </x:si>
  <x:si>
    <x:t xml:space="preserve">Added Boundary_Risk_Register and PCC Section 24</x:t>
  </x:si>
  <x:si>
    <x:t xml:space="preserve">Manifest/SHA regenerated after content freeze in final package.</x:t>
  </x:si>
  <x:si>
    <x:t xml:space="preserve">Workbook remains worked-run exemplar</x:t>
  </x:si>
  <x:si>
    <x:t xml:space="preserve">Not a full reference calculator, validator, ProofPack, empirical validation, or Tier 4 release</x:t>
  </x:si>
  <x:si>
    <x:t xml:space="preserve">LINEAGE (historical): Preserves v10.6 cascade</x:t>
  </x:si>
  <x:si>
    <x:t xml:space="preserve">Reviewer note</x:t>
  </x:si>
  <x:si>
    <x:t xml:space="preserve">Boundary fields are disclosure/escalation aids</x:t>
  </x:si>
  <x:si>
    <x:t xml:space="preserve">They do not replace RF/NCRC and TRC/Containment/RLS/UCI-HOI or Refusal</x:t>
  </x:si>
  <x:si>
    <x:t xml:space="preserve">Use sensitivity/escalation if material</x:t>
  </x:si>
  <x:si>
    <x:t xml:space="preserve">v3.4 precision patch</x:t>
  </x:si>
  <x:si>
    <x:t xml:space="preserve">Evidence-status tokens, compact profiles, SGP patienthood/participation guardrail, and validation roadmap added.</x:t>
  </x:si>
  <x:si>
    <x:t xml:space="preserve">No cascade change</x:t>
  </x:si>
  <x:si>
    <x:t xml:space="preserve">Preserves non-claims for ProofPack, Tier 4, empirical validation, and machine-verifiable ecosystem completeness.</x:t>
  </x:si>
  <x:si>
    <x:t xml:space="preserve">LINEAGE (historical): v10.6 Companion Synchronization Patch</x:t>
  </x:si>
  <x:si>
    <x:t xml:space="preserve">Scope</x:t>
  </x:si>
  <x:si>
    <x:t xml:space="preserve">LINEAGE (historical): Aligns visible pins to RippleLogic v10.6 / SGP v5.3 / ripple.md v3.4 / Agent v10.6 while preserving workbook v3.4 worked-run exemplar status.</x:t>
  </x:si>
  <x:si>
    <x:t xml:space="preserve">Stream separation</x:t>
  </x:si>
  <x:si>
    <x:t xml:space="preserve">Clarifies Base-stream and Welfare-stream identity only for this human-only worked run; generalized non-human or mixed-substrate runs must retain explicit stream separation.</x:t>
  </x:si>
  <x:si>
    <x:t xml:space="preserve">Audit awareness</x:t>
  </x:si>
  <x:si>
    <x:t xml:space="preserve">LINEAGE (historical): Adds Canon v10.6 awareness entries for CLAIM_EXCEEDS_CLOSURE_BOUNDARY, CATEGORY_COLLAPSE_FLAG, and PCC_MATURITY_SURFACE_INCOMPLETE without converting them into active formula-triggered flags in this exemplar.</x:t>
  </x:si>
  <x:si>
    <x:t xml:space="preserve">Still no ProofPack, Tier 4, empirical validation, deployment readiness, legal compliance, completed biological SGP measurement, or current-AI sentience claim.</x:t>
  </x:si>
  <x:si>
    <x:t xml:space="preserve">Final public-use polish</x:t>
  </x:si>
  <x:si>
    <x:t xml:space="preserve">Added How_To_Use sheet and semantic verifier; clarified hash-only verification boundary; completed Agent event registry and PrimitiveAuditRecord/Semantic Debt guidance.</x:t>
  </x:si>
  <x:si>
    <x:t xml:space="preserve">LINEAGE (historical patch record) — v12.5 final same-version integrity hardening</x:t>
  </x:si>
  <x:si>
    <x:t xml:space="preserve">Historical patch record. Current computed state, active flags, formulas, and publishability cells control; this narrative does not override them.</x:t>
  </x:si>
  <x:si>
    <x:t xml:space="preserve">Same versions retained</x:t>
  </x:si>
  <x:si>
    <x:t xml:space="preserve">Release-integrity and claim-boundary correction</x:t>
  </x:si>
  <x:si>
    <x:t xml:space="preserve">v12.5 same-version carried-obligation integrity hardening</x:t>
  </x:si>
  <x:si>
    <x:t xml:space="preserve">2026-07-25</x:t>
  </x:si>
  <x:si>
    <x:t xml:space="preserve">Added material-obligation, carrier-nonperformance, control-change, performance/effectiveness, and hidden-human-compensation records inside existing CSV and responsibility-continuity architecture.</x:t>
  </x:si>
  <x:si>
    <x:t xml:space="preserve">All versions, formulas, thresholds, gates, SGP rules, Union Scopes, Welfare Dimensions, and worked-run ranking outcomes retained.</x:t>
  </x:si>
  <x:si>
    <x:t xml:space="preserve">LINEAGE (historical patch record) — v12.5 same-version final conformance and release-identity patch</x:t>
  </x:si>
  <x:si>
    <x:t xml:space="preserve">2026-07-25 — historical same-version patch identifier; current computed state controls.</x:t>
  </x:si>
  <x:si>
    <x:t xml:space="preserve">Unified the release identity; repaired sanity reconciliation and authority-state tokens; added an explicit six-family governance-lock-in assessment; converted the CSV worked surface from a vacuous proxy pass to a controlled Tier-2 diagnostic trace; retained all formulas, thresholds, gates, scopes, dimensions, and non-decisive outcome.</x:t>
  </x:si>
  <x:si>
    <x:t xml:space="preserve">Same versions retained; all manifests and hashes must be regenerated after export.</x:t>
  </x:si>
  <x:si>
    <x:t xml:space="preserve">LINEAGE (historical patch record) — v12.5 same-version final release-identity and conformance completion</x:t>
  </x:si>
  <x:si>
    <x:t xml:space="preserve">2026-07-25 — historical release-integrity step; current computed state controls.</x:t>
  </x:si>
  <x:si>
    <x:t xml:space="preserve">Unified the canonical release identity; made the Canon abstract title blue, bold, and page-bound to its text; removed the hand-maintained Appendix H.3 flag mirror in favor of the Section 14.3A single source; added an informative maturity-ladder type crosswalk; completed publication and table checks without changing versions, gates, thresholds, scopes, dimensions, or worked-run outcomes.</x:t>
  </x:si>
  <x:si>
    <x:t xml:space="preserve">Same versions retained; final manifests, hashes, DOCX/PDF mirrors, workbook caches, and verification reports regenerated after export.</x:t>
  </x:si>
  <x:si>
    <x:t xml:space="preserve">LINEAGE (historical patch record) — v12.5 same-version live-recalculation and synchronization repair</x:t>
  </x:si>
  <x:si>
    <x:t xml:space="preserve">2026-07-25 — historical live-recalculation repair; current computed state controls.</x:t>
  </x:si>
  <x:si>
    <x:t xml:space="preserve">Removed seven accidental empty-formula records, restored four live Containment formulas and one dynamic Canon cross-reference, consolidated the duplicate v12_5 synchronization sheets, and added mandatory live-recalculation verification without changing gates, thresholds, scopes, dimensions, SGP rules, or the worked-run outcome.</x:t>
  </x:si>
  <x:si>
    <x:t xml:space="preserve">Same versions retained; release manifests and hashes must be regenerated after export.</x:t>
  </x:si>
  <x:si>
    <x:t xml:space="preserve">v12.6 / SGP v8.5 SYNC</x:t>
  </x:si>
  <x:si>
    <x:t xml:space="preserve">Current authoritative workbook synchronization surface</x:t>
  </x:si>
  <x:si>
    <x:t xml:space="preserve">Release</x:t>
  </x:si>
  <x:si>
    <x:t xml:space="preserve">MathGov Core Release 2026.09 v12.6 / SGP v8.5 - Independent Open-Source Qualification-Continuity Release</x:t>
  </x:si>
  <x:si>
    <x:t xml:space="preserve">Workbook</x:t>
  </x:si>
  <x:si>
    <x:t xml:space="preserve">RippleLogic Aligners Sheet v5.6</x:t>
  </x:si>
  <x:si>
    <x:t xml:space="preserve">Exact Core 15 pins</x:t>
  </x:si>
  <x:si>
    <x:t xml:space="preserve">Architecture</x:t>
  </x:si>
  <x:si>
    <x:t xml:space="preserve">RG -&gt; RF/NCRC -&gt; TRC -&gt; CSV -&gt; RLS</x:t>
  </x:si>
  <x:si>
    <x:t xml:space="preserve">Integrity</x:t>
  </x:si>
  <x:si>
    <x:t xml:space="preserve">Qualification continuity before action; exact action and snapshot binding; current-state, transition, and post-state checks; outcome observation and governed requalification.</x:t>
  </x:si>
  <x:si>
    <x:t xml:space="preserve">Worked-run exemplar only; not empirical validation, legal authority, physical safety, consciousness detection, or deployment certification</x:t>
  </x:si>
  <x:si>
    <x:t xml:space="preserve">Core 15 component inventory</x:t>
  </x:si>
  <x:si>
    <x:t xml:space="preserve">Version</x:t>
  </x:si>
  <x:si>
    <x:t xml:space="preserve">Canon</x:t>
  </x:si>
  <x:si>
    <x:t xml:space="preserve">v12.6</x:t>
  </x:si>
  <x:si>
    <x:t xml:space="preserve">SGP</x:t>
  </x:si>
  <x:si>
    <x:t xml:space="preserve">v8.5</x:t>
  </x:si>
  <x:si>
    <x:t xml:space="preserve">ripple.md</x:t>
  </x:si>
  <x:si>
    <x:t xml:space="preserve">v5.5</x:t>
  </x:si>
  <x:si>
    <x:t xml:space="preserve">Agent System</x:t>
  </x:si>
  <x:si>
    <x:t xml:space="preserve">CSV Gate Standard</x:t>
  </x:si>
  <x:si>
    <x:t xml:space="preserve">v2.4</x:t>
  </x:si>
  <x:si>
    <x:t xml:space="preserve">Cascade Standard</x:t>
  </x:si>
  <x:si>
    <x:t xml:space="preserve">v2.6</x:t>
  </x:si>
  <x:si>
    <x:t xml:space="preserve">Reproducibility and Use Standard</x:t>
  </x:si>
  <x:si>
    <x:t xml:space="preserve">v1.4</x:t>
  </x:si>
  <x:si>
    <x:t xml:space="preserve">WDBIP</x:t>
  </x:si>
  <x:si>
    <x:t xml:space="preserve">v1.6</x:t>
  </x:si>
  <x:si>
    <x:t xml:space="preserve">RLS Validation Protocol</x:t>
  </x:si>
  <x:si>
    <x:t xml:space="preserve">Foundations Primer</x:t>
  </x:si>
  <x:si>
    <x:t xml:space="preserve">v4.4</x:t>
  </x:si>
  <x:si>
    <x:t xml:space="preserve">Public Introduction</x:t>
  </x:si>
  <x:si>
    <x:t xml:space="preserve">PC-AEP</x:t>
  </x:si>
  <x:si>
    <x:t xml:space="preserve">v2.3</x:t>
  </x:si>
  <x:si>
    <x:t xml:space="preserve">MFDI</x:t>
  </x:si>
  <x:si>
    <x:t xml:space="preserve">Source-Coupling Integrity</x:t>
  </x:si>
  <x:si>
    <x:t xml:space="preserve">Aligners Sheet</x:t>
  </x:si>
  <x:si>
    <x:t xml:space="preserve">RLS Validation Workbook (extended release support; not Core 15)</x:t>
  </x:si>
  <x:si>
    <x:t xml:space="preserve">v0.3</x:t>
  </x:si>
  <x:si>
    <x:t xml:space="preserve">Run record schema (extended release support; not Core 15)</x:t>
  </x:si>
  <x:si>
    <x:t xml:space="preserve">v4</x:t>
  </x:si>
  <x:si>
    <x:t xml:space="preserve">Extended-artifact authority</x:t>
  </x:si>
  <x:si>
    <x:t xml:space="preserve">VERSION_MANIFEST.yaml and release/release_manifest.yml</x:t>
  </x:si>
  <x:si>
    <x:t xml:space="preserve">WORKBOOK CONTROL SURFACE - mirrors selected Canon v12.6 constants for this worked run</x:t>
  </x:si>
  <x:si>
    <x:t xml:space="preserve">Methodological Integrity + CSV Synchronization</x:t>
  </x:si>
  <x:si>
    <x:t xml:space="preserve">Active public cascade</x:t>
  </x:si>
  <x:si>
    <x:t xml:space="preserve">RG -&gt; RF -&gt; TRC -&gt; CSV -&gt; RLS</x:t>
  </x:si>
  <x:si>
    <x:t xml:space="preserve">This workbook-local sheet does not supersede the RippleLogic Canon. If workbook and Canon diverge, the Canon and release manifest control.</x:t>
  </x:si>
  <x:si>
    <x:t xml:space="preserve">RF meaning</x:t>
  </x:si>
  <x:si>
    <x:t xml:space="preserve">Rights Floor, formally implemented as NCRC</x:t>
  </x:si>
  <x:si>
    <x:t xml:space="preserve">Formula correctness is claimable only within the declared worked-run boundary and only when supported by the release verification report and SHA manifest.</x:t>
  </x:si>
  <x:si>
    <x:t xml:space="preserve">Formal shorthand</x:t>
  </x:si>
  <x:si>
    <x:t xml:space="preserve">RG/RSG -&gt; RF/NCRC -&gt; TRC -&gt; CSV -&gt; RLS</x:t>
  </x:si>
  <x:si>
    <x:t xml:space="preserve">SECTION A: VERSION &amp; IDENTITY</x:t>
  </x:si>
  <x:si>
    <x:t xml:space="preserve">CSV pass statuses</x:t>
  </x:si>
  <x:si>
    <x:t xml:space="preserve">CSV_PASS / CSV_PASS_WITH_CONTROLS / CSV_NOT_MATERIAL</x:t>
  </x:si>
  <x:si>
    <x:t xml:space="preserve">FRAMEWORK_VERSION</x:t>
  </x:si>
  <x:si>
    <x:t xml:space="preserve">CSV_REDESIGN_REQUIRED / CSV_ESCALATE / CSV_FAIL / CSV_EMERGENCY_PROVISIONAL</x:t>
  </x:si>
  <x:si>
    <x:t xml:space="preserve">REDESIGN / ESCALATE / FAIL / EMERGENCY_PROVISIONAL</x:t>
  </x:si>
  <x:si>
    <x:t xml:space="preserve">SGP_VERSION</x:t>
  </x:si>
  <x:si>
    <x:t xml:space="preserve">SGP v8.5</x:t>
  </x:si>
  <x:si>
    <x:t xml:space="preserve">UCI/HOI placement</x:t>
  </x:si>
  <x:si>
    <x:t xml:space="preserve">Inside CSV when material; residual tie-break only after RLS non-decisive</x:t>
  </x:si>
  <x:si>
    <x:t xml:space="preserve">RIPPLE_MD_STANDARD</x:t>
  </x:si>
  <x:si>
    <x:t xml:space="preserve">RLS boundary</x:t>
  </x:si>
  <x:si>
    <x:t xml:space="preserve">Ranks only options surviving RG/RF/NCRC and TRC/CSV</x:t>
  </x:si>
  <x:si>
    <x:t xml:space="preserve">AGENT_SYSTEM</x:t>
  </x:si>
  <x:si>
    <x:t xml:space="preserve">Non-authority</x:t>
  </x:si>
  <x:si>
    <x:t xml:space="preserve">Workbook is not ProofPack or certification</x:t>
  </x:si>
  <x:si>
    <x:t xml:space="preserve">SECTION B: CONFIGURATION</x:t>
  </x:si>
  <x:si>
    <x:t xml:space="preserve">UNCERTAINTY AND DECISIVENESS CLAIM BOUNDARY</x:t>
  </x:si>
  <x:si>
    <x:t xml:space="preserve">TIER</x:t>
  </x:si>
  <x:si>
    <x:t xml:space="preserve">(1-3 only; Tier 4 prohibited for claims until independent ProofPack replay)</x:t>
  </x:si>
  <x:si>
    <x:t xml:space="preserve">UNCERTAINTY_COMPUTATION_STATUS</x:t>
  </x:si>
  <x:si>
    <x:t xml:space="preserve">DEMONSTRATION_COMPLETE</x:t>
  </x:si>
  <x:si>
    <x:t xml:space="preserve">Method C constant-sigma values are calculated and used for the worked-run comparison.</x:t>
  </x:si>
  <x:si>
    <x:t xml:space="preserve">CONTEXT</x:t>
  </x:si>
  <x:si>
    <x:t xml:space="preserve">ORG</x:t>
  </x:si>
  <x:si>
    <x:t xml:space="preserve">(PERS/ORG/REV/IRREV/XRISK)</x:t>
  </x:si>
  <x:si>
    <x:t xml:space="preserve">UNCERTAINTY_CALIBRATION_STATUS</x:t>
  </x:si>
  <x:si>
    <x:t xml:space="preserve">UNVALIDATED</x:t>
  </x:si>
  <x:si>
    <x:t xml:space="preserve">The constant sigma is not empirically calibrated or decision-authorizing by itself.</x:t>
  </x:si>
  <x:si>
    <x:t xml:space="preserve">AI_DEPLOYMENT</x:t>
  </x:si>
  <x:si>
    <x:t xml:space="preserve">NO</x:t>
  </x:si>
  <x:si>
    <x:t xml:space="preserve">AI/governance-lock-in trigger assessment affects WTSL-AIX; AI_DEPLOYMENT alone is not the only trigger.</x:t>
  </x:si>
  <x:si>
    <x:t xml:space="preserve">CANON_GAP_RESULT</x:t>
  </x:si>
  <x:si>
    <x:t xml:space="preserve">Uncertainty-normalized comparison; full precision controls the state.</x:t>
  </x:si>
  <x:si>
    <x:t xml:space="preserve">TRC_ACTIVE</x:t>
  </x:si>
  <x:si>
    <x:t xml:space="preserve">(TRUE in this worked-run template; configure by catastrophe relevance per Canon)</x:t>
  </x:si>
  <x:si>
    <x:t xml:space="preserve">WORKED_RUN_DECISIVENESS_CLAIM</x:t>
  </x:si>
  <x:si>
    <x:t xml:space="preserve">DEMONSTRATION_ONLY</x:t>
  </x:si>
  <x:si>
    <x:t xml:space="preserve">Unvalidated Method C constant sigma; worked-run selection claim only.</x:t>
  </x:si>
  <x:si>
    <x:t xml:space="preserve">SIGMA_ALLOWED</x:t>
  </x:si>
  <x:si>
    <x:t xml:space="preserve">(Tier 2+: allowed)</x:t>
  </x:si>
  <x:si>
    <x:t xml:space="preserve">SIGMA_X2_NORMALIZED_GAP</x:t>
  </x:si>
  <x:si>
    <x:t xml:space="preserve">2× sigma stress; compare with delta=2.</x:t>
  </x:si>
  <x:si>
    <x:t xml:space="preserve">SIGMA_REQUIRED</x:t>
  </x:si>
  <x:si>
    <x:t xml:space="preserve">(Tier 2+: required for every active cell; Method C may be demonstration-grade but must remain declared)</x:t>
  </x:si>
  <x:si>
    <x:t xml:space="preserve">SIGMA_FLIP_MULTIPLIER</x:t>
  </x:si>
  <x:si>
    <x:t xml:space="preserve">Sigma multiplier at which normalized Gap reaches delta.</x:t>
  </x:si>
  <x:si>
    <x:t xml:space="preserve">UNCERTAINTY_METHOD</x:t>
  </x:si>
  <x:si>
    <x:t xml:space="preserve">C</x:t>
  </x:si>
  <x:si>
    <x:t xml:space="preserve">(A=interval half-width, B=confidence-derived contribution mass, C=preregistered calibrated method or worked-run constant-σ demonstration; no method is empirically validated by this workbook)</x:t>
  </x:si>
  <x:si>
    <x:t xml:space="preserve">Method C in this workbook is a constant-σ demonstration surface, not a production-calibrated uncertainty model.</x:t>
  </x:si>
  <x:si>
    <x:t xml:space="preserve">DECISIVENESS_SIGMA_STRESS</x:t>
  </x:si>
  <x:si>
    <x:t xml:space="preserve">UNCERTAINTY_DECISIVENESS_SENSITIVE</x:t>
  </x:si>
  <x:si>
    <x:t xml:space="preserve">Base result flips below decisiveness before 2× sigma; existing Canon review token used.</x:t>
  </x:si>
  <x:si>
    <x:t xml:space="preserve">SECTION C: CANONICAL PARAMETERS</x:t>
  </x:si>
  <x:si>
    <x:t xml:space="preserve">alpha (CVaR confidence)</x:t>
  </x:si>
  <x:si>
    <x:t xml:space="preserve">beta (tail mass)</x:t>
  </x:si>
  <x:si>
    <x:t xml:space="preserve">beta_saturation</x:t>
  </x:si>
  <x:si>
    <x:t xml:space="preserve">beta_prop</x:t>
  </x:si>
  <x:si>
    <x:t xml:space="preserve">delta (discrimination)</x:t>
  </x:si>
  <x:si>
    <x:t xml:space="preserve">theta_pos (containment)</x:t>
  </x:si>
  <x:si>
    <x:t xml:space="preserve">tau_c (containment floor)</x:t>
  </x:si>
  <x:si>
    <x:t xml:space="preserve">T_ref (time reference)</x:t>
  </x:si>
  <x:si>
    <x:t xml:space="preserve">sigma_cell (active-cell Method C uncertainty)</x:t>
  </x:si>
  <x:si>
    <x:t xml:space="preserve">Constant σ for each active welfare cell in this non-operational worked example; σ_RLS is aggregated under Canon §10.3.</x:t>
  </x:si>
  <x:si>
    <x:t xml:space="preserve">t_min (temporal floor)</x:t>
  </x:si>
  <x:si>
    <x:t xml:space="preserve">(carried forward from v12.0: prevents near-zero collapse; tau(t_min) approx 0.025)</x:t>
  </x:si>
  <x:si>
    <x:t xml:space="preserve">SECTION D: RIGHTS THRESHOLDS (θ_r)</x:t>
  </x:si>
  <x:si>
    <x:t xml:space="preserve">Right</x:t>
  </x:si>
  <x:si>
    <x:t xml:space="preserve">Display order (non-operational)</x:t>
  </x:si>
  <x:si>
    <x:t xml:space="preserve">θ_r</x:t>
  </x:si>
  <x:si>
    <x:t xml:space="preserve">Emergency priority</x:t>
  </x:si>
  <x:si>
    <x:t xml:space="preserve">LIFE</x:t>
  </x:si>
  <x:si>
    <x:t xml:space="preserve">BODY</x:t>
  </x:si>
  <x:si>
    <x:t xml:space="preserve">LBTY</x:t>
  </x:si>
  <x:si>
    <x:t xml:space="preserve">NEED</x:t>
  </x:si>
  <x:si>
    <x:t xml:space="preserve">DIGN</x:t>
  </x:si>
  <x:si>
    <x:t xml:space="preserve">PROC</x:t>
  </x:si>
  <x:si>
    <x:t xml:space="preserve">INFO</x:t>
  </x:si>
  <x:si>
    <x:t xml:space="preserve">ECOL</x:t>
  </x:si>
  <x:si>
    <x:t xml:space="preserve">RIGHTS_COUNT</x:t>
  </x:si>
  <x:si>
    <x:t xml:space="preserve">(must = 8)</x:t>
  </x:si>
  <x:si>
    <x:t xml:space="preserve">Canon §7.5.1 uses D</x:t>
  </x:si>
  <x:si>
    <x:t xml:space="preserve">SECTION E: MANDATORY TAILS</x:t>
  </x:si>
  <x:si>
    <x:t xml:space="preserve">MANDATORY_TAILS_COUNT</x:t>
  </x:si>
  <x:si>
    <x:t xml:space="preserve">Count of currently required WTSL categories from the WTSL_Categories Required? column; AI deployment and governance-lock-in are separate triggers.</x:t>
  </x:si>
  <x:si>
    <x:t xml:space="preserve">WTSL Categories</x:t>
  </x:si>
  <x:si>
    <x:t xml:space="preserve">Required?</x:t>
  </x:si>
  <x:si>
    <x:t xml:space="preserve">WTSL-PAN</x:t>
  </x:si>
  <x:si>
    <x:t xml:space="preserve">YES</x:t>
  </x:si>
  <x:si>
    <x:t xml:space="preserve">WTSL-CLI</x:t>
  </x:si>
  <x:si>
    <x:t xml:space="preserve">WTSL-FIN</x:t>
  </x:si>
  <x:si>
    <x:t xml:space="preserve">WTSL-CON</x:t>
  </x:si>
  <x:si>
    <x:t xml:space="preserve">WTSL-INF</x:t>
  </x:si>
  <x:si>
    <x:t xml:space="preserve">WTSL-AIX</x:t>
  </x:si>
  <x:si>
    <x:t xml:space="preserve">SECTION F: CANONICAL GATE RESULTS</x:t>
  </x:si>
  <x:si>
    <x:t xml:space="preserve">RF_STATUS_A</x:t>
  </x:si>
  <x:si>
    <x:t xml:space="preserve">RF_PASS</x:t>
  </x:si>
  <x:si>
    <x:t xml:space="preserve">RF_STATUS_B</x:t>
  </x:si>
  <x:si>
    <x:t xml:space="preserve">CVaR_A</x:t>
  </x:si>
  <x:si>
    <x:t xml:space="preserve">CVaR_B</x:t>
  </x:si>
  <x:si>
    <x:t xml:space="preserve">TRC_STATUS_A</x:t>
  </x:si>
  <x:si>
    <x:t xml:space="preserve">TRC_PASS</x:t>
  </x:si>
  <x:si>
    <x:t xml:space="preserve">TRC_STATUS_B</x:t>
  </x:si>
  <x:si>
    <x:t xml:space="preserve">tau_TRC</x:t>
  </x:si>
  <x:si>
    <x:t xml:space="preserve">(context-specific threshold)</x:t>
  </x:si>
  <x:si>
    <x:t xml:space="preserve">RLS_DECISIVE</x:t>
  </x:si>
  <x:si>
    <x:t xml:space="preserve">CSV_STATUS_A</x:t>
  </x:si>
  <x:si>
    <x:t xml:space="preserve">CSV_PASS_WITH_CONTROLS</x:t>
  </x:si>
  <x:si>
    <x:t xml:space="preserve">Overall CSV status; containment proxy diagnostic = PASS</x:t>
  </x:si>
  <x:si>
    <x:t xml:space="preserve">CSV_STATUS_B</x:t>
  </x:si>
  <x:si>
    <x:t xml:space="preserve">Overall CSV status; containment proxy diagnostic = UCI_NOT_MATERIAL_DECLARED; binding controls remain constitutive.</x:t>
  </x:si>
  <x:si>
    <x:t xml:space="preserve">RLS_A</x:t>
  </x:si>
  <x:si>
    <x:t xml:space="preserve">RLS_B</x:t>
  </x:si>
  <x:si>
    <x:t xml:space="preserve">SECTION G: SELECTION LOGIC</x:t>
  </x:si>
  <x:si>
    <x:t xml:space="preserve">A_NCRC_COUNT</x:t>
  </x:si>
  <x:si>
    <x:t xml:space="preserve">(Options passing NCRC)</x:t>
  </x:si>
  <x:si>
    <x:t xml:space="preserve">A_ADM_COUNT</x:t>
  </x:si>
  <x:si>
    <x:t xml:space="preserve">(Options passing NCRC+TRC)</x:t>
  </x:si>
  <x:si>
    <x:t xml:space="preserve">A_SEL_COUNT</x:t>
  </x:si>
  <x:si>
    <x:t xml:space="preserve">Options in the selectable set after RG/RF/TRC/CSV qualification.</x:t>
  </x:si>
  <x:si>
    <x:t xml:space="preserve">FRAMEWORK_VERDICT</x:t>
  </x:si>
  <x:si>
    <x:t xml:space="preserve">SELECTION_BASIS</x:t>
  </x:si>
  <x:si>
    <x:t xml:space="preserve">ESCALATION_REQUIRED</x:t>
  </x:si>
  <x:si>
    <x:t xml:space="preserve">SECTION H: CATASTROPHE INPUT VALIDATION</x:t>
  </x:si>
  <x:si>
    <x:t xml:space="preserve">CCAT_BLANK_COUNT</x:t>
  </x:si>
  <x:si>
    <x:t xml:space="preserve">(Must be 0 when TRC active)</x:t>
  </x:si>
  <x:si>
    <x:t xml:space="preserve">SCENARIO_IMPACT_MISSING</x:t>
  </x:si>
  <x:si>
    <x:t xml:space="preserve">SECTION I: CLAIMABILITY</x:t>
  </x:si>
  <x:si>
    <x:t xml:space="preserve">INVALID_FLAGS_COUNT</x:t>
  </x:si>
  <x:si>
    <x:t xml:space="preserve">(computed from Audit_Flags)</x:t>
  </x:si>
  <x:si>
    <x:t xml:space="preserve">WORKED_RUN_EXEMPLAR_PUBLISHABLE (formerly WORKED_RUN_CLAIMABLE / legacy CLAIMABLE_RUN)</x:t>
  </x:si>
  <x:si>
    <x:t xml:space="preserve">WORKBOOK_MODE</x:t>
  </x:si>
  <x:si>
    <x:t xml:space="preserve">(TEMPLATE or WORKED_RUN)</x:t>
  </x:si>
  <x:si>
    <x:t xml:space="preserve">WORKED_RUN_PUBLISHABLE_SUMMARY</x:t>
  </x:si>
  <x:si>
    <x:t xml:space="preserve">(summary alias to worked-run publishability gate at B118; not ecosystem ProofPack readiness)</x:t>
  </x:si>
  <x:si>
    <x:t xml:space="preserve">NO_PARTIAL_TESTS</x:t>
  </x:si>
  <x:si>
    <x:t xml:space="preserve">Worked-run companion does not carry unresolved wrapper-level Partial tests.</x:t>
  </x:si>
  <x:si>
    <x:t xml:space="preserve">WAIVER_APPROVED</x:t>
  </x:si>
  <x:si>
    <x:t xml:space="preserve">No waiver used in this worked-run exemplar.</x:t>
  </x:si>
  <x:si>
    <x:t xml:space="preserve">CLAIMABILITY_RULE</x:t>
  </x:si>
  <x:si>
    <x:t xml:space="preserve">Selected option must pass RF/NCRC, TRC, and CSV; INVALID_FLAGS_COUNT must equal 0; sanity_fail_count must equal 0; active_review_blocking_count must equal 0; placeholder_count must equal 0; and either WAIVER_APPROVED=YES or NO_PARTIAL_TESTS=YES. Framework selection, authority, and execution remain separate claim layers.</x:t>
  </x:si>
  <x:si>
    <x:t xml:space="preserve">Worked-run publishability predicate; not empirical validation, legal authority, or deployment certification.</x:t>
  </x:si>
  <x:si>
    <x:t xml:space="preserve">Field</x:t>
  </x:si>
  <x:si>
    <x:t xml:space="preserve">Value</x:t>
  </x:si>
  <x:si>
    <x:t xml:space="preserve">Expected Type</x:t>
  </x:si>
  <x:si>
    <x:t xml:space="preserve">Status</x:t>
  </x:si>
  <x:si>
    <x:t xml:space="preserve">integer 1-3</x:t>
  </x:si>
  <x:si>
    <x:t xml:space="preserve">PASS</x:t>
  </x:si>
  <x:si>
    <x:t xml:space="preserve">alpha</x:t>
  </x:si>
  <x:si>
    <x:t xml:space="preserve">decimal 0-1</x:t>
  </x:si>
  <x:si>
    <x:t xml:space="preserve">beta</x:t>
  </x:si>
  <x:si>
    <x:t xml:space="preserve">positive integer</x:t>
  </x:si>
  <x:si>
    <x:t xml:space="preserve">binary 0/1</x:t>
  </x:si>
  <x:si>
    <x:t xml:space="preserve">delta</x:t>
  </x:si>
  <x:si>
    <x:t xml:space="preserve">positive number</x:t>
  </x:si>
  <x:si>
    <x:t xml:space="preserve">theta_pos</x:t>
  </x:si>
  <x:si>
    <x:t xml:space="preserve">tau_c</x:t>
  </x:si>
  <x:si>
    <x:t xml:space="preserve">negative number</x:t>
  </x:si>
  <x:si>
    <x:t xml:space="preserve">T_ref</x:t>
  </x:si>
  <x:si>
    <x:t xml:space="preserve">sigma_cell</x:t>
  </x:si>
  <x:si>
    <x:t xml:space="preserve">decimal &gt;=0</x:t>
  </x:si>
  <x:si>
    <x:t xml:space="preserve">integer = 8</x:t>
  </x:si>
  <x:si>
    <x:t xml:space="preserve">Note: MANDATORY_TAILS_COUNT canonical location is B41</x:t>
  </x:si>
  <x:si>
    <x:t xml:space="preserve">integer 5-6</x:t>
  </x:si>
  <x:si>
    <x:t xml:space="preserve">decimal</x:t>
  </x:si>
  <x:si>
    <x:t xml:space="preserve">nonneg integer</x:t>
  </x:si>
  <x:si>
    <x:t xml:space="preserve">INVALID_FLAGS</x:t>
  </x:si>
  <x:si>
    <x:t xml:space="preserve">SECTION G: v12.0 REPRESENTATION LAYER</x:t>
  </x:si>
  <x:si>
    <x:t xml:space="preserve">PUBLISH GATES (workbook-local computed plus declared external-boundary inputs)</x:t>
  </x:si>
  <x:si>
    <x:t xml:space="preserve">must be 0</x:t>
  </x:si>
  <x:si>
    <x:t xml:space="preserve">SCHEMA_BLOCKING_FAIL_COUNT_DECLARED</x:t>
  </x:si>
  <x:si>
    <x:t xml:space="preserve">External repository schema validation is not performed inside this workbook; release verifier owns that claim.</x:t>
  </x:si>
  <x:si>
    <x:t xml:space="preserve">PLACEHOLDER_COUNT_DECLARED</x:t>
  </x:si>
  <x:si>
    <x:t xml:space="preserve">Declared workbook-local placeholder count; release verifier checks the packaged artifact surface.</x:t>
  </x:si>
  <x:si>
    <x:t xml:space="preserve">WORKED_RUN_PUBLISHABLE</x:t>
  </x:si>
  <x:si>
    <x:t xml:space="preserve">Computed workbook-local publication gate; review notices may remain visible.</x:t>
  </x:si>
  <x:si>
    <x:t xml:space="preserve">RELEASE INTEGRITY PANEL (v5.6)</x:t>
  </x:si>
  <x:si>
    <x:t xml:space="preserve">sanity_fail_count:</x:t>
  </x:si>
  <x:si>
    <x:t xml:space="preserve">invalid_count:</x:t>
  </x:si>
  <x:si>
    <x:t xml:space="preserve">manual_override:</x:t>
  </x:si>
  <x:si>
    <x:t xml:space="preserve">placeholder_count:</x:t>
  </x:si>
  <x:si>
    <x:t xml:space="preserve">worked_run_publishable_master:</x:t>
  </x:si>
  <x:si>
    <x:t xml:space="preserve">governing_wrapper_version: ripple.md v5.5</x:t>
  </x:si>
  <x:si>
    <x:t xml:space="preserve">companion_matrix:</x:t>
  </x:si>
  <x:si>
    <x:t xml:space="preserve">AUDIT CHECK:</x:t>
  </x:si>
  <x:si>
    <x:t xml:space="preserve">AUDIT CHECK DETAIL:</x:t>
  </x:si>
  <x:si>
    <x:t xml:space="preserve">SECTION G2: REPRESENTATION / SCOPE COVERAGE</x:t>
  </x:si>
  <x:si>
    <x:t xml:space="preserve">SCI_LEVEL</x:t>
  </x:si>
  <x:si>
    <x:t xml:space="preserve">SCI-0..SCI-4; Tier 2 minimum = SCI-1</x:t>
  </x:si>
  <x:si>
    <x:t xml:space="preserve">SCI_JUSTIFICATION</x:t>
  </x:si>
  <x:si>
    <x:t xml:space="preserve">Key stakeholders identified; roles mapped to scopes; coverage documented</x:t>
  </x:si>
  <x:si>
    <x:t xml:space="preserve">SCI_NEXT_RUN_UPGRADE</x:t>
  </x:si>
  <x:si>
    <x:t xml:space="preserve">Expand to SCI-2: structured discovery protocol with evidence refs</x:t>
  </x:si>
  <x:si>
    <x:t xml:space="preserve">REQUIRED when SCI equals tier minimum</x:t>
  </x:si>
  <x:si>
    <x:t xml:space="preserve">SCOPE_COVERAGE_MODE</x:t>
  </x:si>
  <x:si>
    <x:t xml:space="preserve">FULL</x:t>
  </x:si>
  <x:si>
    <x:t xml:space="preserve">FULL or REDUCED; if REDUCED: ScopeCoverage declaration REQUIRED</x:t>
  </x:si>
  <x:si>
    <x:t xml:space="preserve">ACTIVE_SCOPES</x:t>
  </x:si>
  <x:si>
    <x:t xml:space="preserve">U1,U2,U3,U4,U5,U6,U7</x:t>
  </x:si>
  <x:si>
    <x:t xml:space="preserve">OMITTED_SCOPES</x:t>
  </x:si>
  <x:si>
    <x:t xml:space="preserve">NONE</x:t>
  </x:si>
  <x:si>
    <x:t xml:space="preserve">SECTION Z: CURRENT-LINE COMPANION PINS</x:t>
  </x:si>
  <x:si>
    <x:t xml:space="preserve">RIPPLELOGIC_VERSION</x:t>
  </x:si>
  <x:si>
    <x:t xml:space="preserve">RIPPLE_MD_VERSION</x:t>
  </x:si>
  <x:si>
    <x:t xml:space="preserve">ripple.md v5.5</x:t>
  </x:si>
  <x:si>
    <x:t xml:space="preserve">AGENT_SYSTEM_VERSION</x:t>
  </x:si>
  <x:si>
    <x:t xml:space="preserve">ALIGNERS_SHEET_VERSION</x:t>
  </x:si>
  <x:si>
    <x:t xml:space="preserve">PRIMER_VERSION</x:t>
  </x:si>
  <x:si>
    <x:t xml:space="preserve">RippleLogic Foundations Primer v4.4</x:t>
  </x:si>
  <x:si>
    <x:t xml:space="preserve">RPAP_VERSION</x:t>
  </x:si>
  <x:si>
    <x:t xml:space="preserve">RLS-RFC-0003 v0.1 or NOT_IN_SCOPE</x:t>
  </x:si>
  <x:si>
    <x:t xml:space="preserve">PFAP_VERSION</x:t>
  </x:si>
  <x:si>
    <x:t xml:space="preserve">RLS-RFC-0002 v0.1 or NOT_IN_SCOPE</x:t>
  </x:si>
  <x:si>
    <x:t xml:space="preserve">HASH_BINDING_NOTE</x:t>
  </x:si>
  <x:si>
    <x:t xml:space="preserve">This workbook's identity is determined by the SHA-256 listed in the sibling release manifest. Consumers MUST verify the manifest hash before treating workbook outputs as canonical.</x:t>
  </x:si>
  <x:si>
    <x:t xml:space="preserve">SECTION AB: MATURITY SURFACES</x:t>
  </x:si>
  <x:si>
    <x:t xml:space="preserve">KERNEL_USE_POSTURE</x:t>
  </x:si>
  <x:si>
    <x:t xml:space="preserve">K0_NONE</x:t>
  </x:si>
  <x:si>
    <x:t xml:space="preserve">See Kernel_Posture</x:t>
  </x:si>
  <x:si>
    <x:t xml:space="preserve">HDW_CAPTURE_AUDIT</x:t>
  </x:si>
  <x:si>
    <x:t xml:space="preserve">PRESENT</x:t>
  </x:si>
  <x:si>
    <x:t xml:space="preserve">See HDW_Capture_Audit</x:t>
  </x:si>
  <x:si>
    <x:t xml:space="preserve">PLSS_ESCALATION_REGISTER</x:t>
  </x:si>
  <x:si>
    <x:t xml:space="preserve">See PLSS_Escalation</x:t>
  </x:si>
  <x:si>
    <x:t xml:space="preserve">BIO_SGP_MATURITY</x:t>
  </x:si>
  <x:si>
    <x:t xml:space="preserve">NA_NOT_INVOKED</x:t>
  </x:si>
  <x:si>
    <x:t xml:space="preserve">See BioSGP_Maturity</x:t>
  </x:si>
  <x:si>
    <x:t xml:space="preserve">DEPLOYMENT_CONTEXT</x:t>
  </x:si>
  <x:si>
    <x:t xml:space="preserve">ORG_WORKED_RUN_EXEMPLAR</x:t>
  </x:si>
  <x:si>
    <x:t xml:space="preserve">See Deployment_Context</x:t>
  </x:si>
  <x:si>
    <x:t xml:space="preserve">SECTION AA: GATE-CRITICAL CONFIDENCE GUARD</x:t>
  </x:si>
  <x:si>
    <x:t xml:space="preserve">Rule</x:t>
  </x:si>
  <x:si>
    <x:t xml:space="preserve">Low confidence in adverse gate-critical impacts cannot by itself reduce RF/NCRC, TRC, or material CSV severity below a conservative admissibility-relevant bound.</x:t>
  </x:si>
  <x:si>
    <x:t xml:space="preserve">Required disposition</x:t>
  </x:si>
  <x:si>
    <x:t xml:space="preserve">If the gate outcome could change, apply conservative bound, collect evidence and rerun, narrow claim, downgrade, escalate, or refuse stronger claim.</x:t>
  </x:si>
  <x:si>
    <x:t xml:space="preserve">Applies to</x:t>
  </x:si>
  <x:si>
    <x:t xml:space="preserve">C_r rights-covered cells; C_cat catastrophe cells; material CSV indicators and containing-system diagnostics.</x:t>
  </x:si>
  <x:si>
    <x:t xml:space="preserve">Nonclaim</x:t>
  </x:si>
  <x:si>
    <x:t xml:space="preserve">This workbook remains a worked-run exemplar, not a validated confidence-calibration instrument.</x:t>
  </x:si>
  <x:si>
    <x:t xml:space="preserve">SANITY CHECKLIST - COMPUTED CHECKS, DISCLOSED ASSERTIONS, AND MANUAL REVIEW (v5.6)</x:t>
  </x:si>
  <x:si>
    <x:t xml:space="preserve">sanity_checked_by</x:t>
  </x:si>
  <x:si>
    <x:t xml:space="preserve">OpenAI/James formula-integrity release pass</x:t>
  </x:si>
  <x:si>
    <x:t xml:space="preserve">ALL Status cells used by the active sanity surface are FORMULAS comparing Expected vs Actual. Summary counts MUST include every active SC row, including v12.0 reality-grounding, claim-boundary, transition-admissibility, measurement-maturity, and structural-diagnostic-placement checks.</x:t>
  </x:si>
  <x:si>
    <x:t xml:space="preserve">sanity_checked_at_utc</x:t>
  </x:si>
  <x:si>
    <x:t xml:space="preserve">ISO-8601 UTC: 2026-07-23T00:00:00Z</x:t>
  </x:si>
  <x:si>
    <x:t xml:space="preserve">Pattern: =IF(ABS(C-D)&lt;1E-9,"PASS","FAIL") for numeric, =IF(C=D,"PASS","FAIL") for text</x:t>
  </x:si>
  <x:si>
    <x:t xml:space="preserve">workbook_sha256_ref</x:t>
  </x:si>
  <x:si>
    <x:t xml:space="preserve">See sibling SHA-256 manifest / release manifest (self-hash not embedded in workbook byte stream).</x:t>
  </x:si>
  <x:si>
    <x:t xml:space="preserve">Computed checks: formula-driven summary below. Manual-review items remain separately disclosed; internal consistency is not independent correctness or empirical validation.</x:t>
  </x:si>
  <x:si>
    <x:t xml:space="preserve">manifest_required_for_publish</x:t>
  </x:si>
  <x:si>
    <x:t xml:space="preserve">Check_ID</x:t>
  </x:si>
  <x:si>
    <x:t xml:space="preserve">Check Name</x:t>
  </x:si>
  <x:si>
    <x:t xml:space="preserve">Expected</x:t>
  </x:si>
  <x:si>
    <x:t xml:space="preserve">Actual</x:t>
  </x:si>
  <x:si>
    <x:t xml:space="preserve">Source</x:t>
  </x:si>
  <x:si>
    <x:t xml:space="preserve">Check Class</x:t>
  </x:si>
  <x:si>
    <x:t xml:space="preserve">SC-01</x:t>
  </x:si>
  <x:si>
    <x:t xml:space="preserve">SHEET_VERSION exact</x:t>
  </x:si>
  <x:si>
    <x:t xml:space="preserve">Version_Control!A2 vs Config!B8</x:t>
  </x:si>
  <x:si>
    <x:t xml:space="preserve">LIVE_CHECK</x:t>
  </x:si>
  <x:si>
    <x:t xml:space="preserve">SC-02</x:t>
  </x:si>
  <x:si>
    <x:t xml:space="preserve">Config version</x:t>
  </x:si>
  <x:si>
    <x:t xml:space="preserve">Version_Control!A2 vs Config!A1</x:t>
  </x:si>
  <x:si>
    <x:t xml:space="preserve">SC-03</x:t>
  </x:si>
  <x:si>
    <x:t xml:space="preserve">PCC version</x:t>
  </x:si>
  <x:si>
    <x:t xml:space="preserve">Version_Control!A2 vs PCC!B11</x:t>
  </x:si>
  <x:si>
    <x:t xml:space="preserve">SC-04</x:t>
  </x:si>
  <x:si>
    <x:t xml:space="preserve">Framework (Config vs CANON)</x:t>
  </x:si>
  <x:si>
    <x:t xml:space="preserve">Version_Control!B4 vs CANON!B5</x:t>
  </x:si>
  <x:si>
    <x:t xml:space="preserve">SC-05</x:t>
  </x:si>
  <x:si>
    <x:t xml:space="preserve">CVaR_A TRC=CANON</x:t>
  </x:si>
  <x:si>
    <x:t xml:space="preserve">TRC vs CANON</x:t>
  </x:si>
  <x:si>
    <x:t xml:space="preserve">SC-06</x:t>
  </x:si>
  <x:si>
    <x:t xml:space="preserve">CVaR_B TRC=CANON</x:t>
  </x:si>
  <x:si>
    <x:t xml:space="preserve">SC-07</x:t>
  </x:si>
  <x:si>
    <x:t xml:space="preserve">Dashboard CVaR</x:t>
  </x:si>
  <x:si>
    <x:t xml:space="preserve">DISCLOSED_ASSERTION</x:t>
  </x:si>
  <x:si>
    <x:t xml:space="preserve">Dashboard</x:t>
  </x:si>
  <x:si>
    <x:t xml:space="preserve">DECLARED_ASSERTION</x:t>
  </x:si>
  <x:si>
    <x:t xml:space="preserve">SC-08</x:t>
  </x:si>
  <x:si>
    <x:t xml:space="preserve">Rights count=8</x:t>
  </x:si>
  <x:si>
    <x:t xml:space="preserve">CANON!B38</x:t>
  </x:si>
  <x:si>
    <x:t xml:space="preserve">SC-09</x:t>
  </x:si>
  <x:si>
    <x:t xml:space="preserve">NCRC mins populated (A+B)</x:t>
  </x:si>
  <x:si>
    <x:t xml:space="preserve">NCRC</x:t>
  </x:si>
  <x:si>
    <x:t xml:space="preserve">SC-10</x:t>
  </x:si>
  <x:si>
    <x:t xml:space="preserve">RF_A machine status</x:t>
  </x:si>
  <x:si>
    <x:t xml:space="preserve">CANON!B51</x:t>
  </x:si>
  <x:si>
    <x:t xml:space="preserve">SC-11</x:t>
  </x:si>
  <x:si>
    <x:t xml:space="preserve">RF_B machine status</x:t>
  </x:si>
  <x:si>
    <x:t xml:space="preserve">CANON!B52</x:t>
  </x:si>
  <x:si>
    <x:t xml:space="preserve">SC-12</x:t>
  </x:si>
  <x:si>
    <x:t xml:space="preserve">θ_pos matches</x:t>
  </x:si>
  <x:si>
    <x:t xml:space="preserve">Containment</x:t>
  </x:si>
  <x:si>
    <x:t xml:space="preserve">SC-13</x:t>
  </x:si>
  <x:si>
    <x:t xml:space="preserve">τ_c matches</x:t>
  </x:si>
  <x:si>
    <x:t xml:space="preserve">SC-14</x:t>
  </x:si>
  <x:si>
    <x:t xml:space="preserve">τ_TRC TRC=CANON</x:t>
  </x:si>
  <x:si>
    <x:t xml:space="preserve">TRC!B9</x:t>
  </x:si>
  <x:si>
    <x:t xml:space="preserve">SC-15</x:t>
  </x:si>
  <x:si>
    <x:t xml:space="preserve">Mandatory tails</x:t>
  </x:si>
  <x:si>
    <x:t xml:space="preserve">WTSL</x:t>
  </x:si>
  <x:si>
    <x:t xml:space="preserve">SC-16</x:t>
  </x:si>
  <x:si>
    <x:t xml:space="preserve">Tails covered</x:t>
  </x:si>
  <x:si>
    <x:t xml:space="preserve">SC-17</x:t>
  </x:si>
  <x:si>
    <x:t xml:space="preserve">No blank C_cat</x:t>
  </x:si>
  <x:si>
    <x:t xml:space="preserve">CANON!B76</x:t>
  </x:si>
  <x:si>
    <x:t xml:space="preserve">SC-18</x:t>
  </x:si>
  <x:si>
    <x:t xml:space="preserve">CANON!B70</x:t>
  </x:si>
  <x:si>
    <x:t xml:space="preserve">SC-19</x:t>
  </x:si>
  <x:si>
    <x:t xml:space="preserve">SC-20</x:t>
  </x:si>
  <x:si>
    <x:t xml:space="preserve">TRC outputs populated (A+B)</x:t>
  </x:si>
  <x:si>
    <x:t xml:space="preserve">CANON</x:t>
  </x:si>
  <x:si>
    <x:t xml:space="preserve">SC-21</x:t>
  </x:si>
  <x:si>
    <x:t xml:space="preserve">Emergency mode</x:t>
  </x:si>
  <x:si>
    <x:t xml:space="preserve">Consistent</x:t>
  </x:si>
  <x:si>
    <x:t xml:space="preserve">SC-22</x:t>
  </x:si>
  <x:si>
    <x:t xml:space="preserve">No INVALID flags</x:t>
  </x:si>
  <x:si>
    <x:t xml:space="preserve">Audit_Flags!B21</x:t>
  </x:si>
  <x:si>
    <x:t xml:space="preserve">SC-23</x:t>
  </x:si>
  <x:si>
    <x:t xml:space="preserve">Publishability status</x:t>
  </x:si>
  <x:si>
    <x:t xml:space="preserve">CANON!B81</x:t>
  </x:si>
  <x:si>
    <x:t xml:space="preserve">SC-24</x:t>
  </x:si>
  <x:si>
    <x:t xml:space="preserve">CVaR_A recompute</x:t>
  </x:si>
  <x:si>
    <x:t xml:space="preserve">Independent recomputation from TRC tail contributions</x:t>
  </x:si>
  <x:si>
    <x:t xml:space="preserve">INDEPENDENT_RECOMPUTE</x:t>
  </x:si>
  <x:si>
    <x:t xml:space="preserve">SC-25</x:t>
  </x:si>
  <x:si>
    <x:t xml:space="preserve">CVaR_B recompute</x:t>
  </x:si>
  <x:si>
    <x:t xml:space="preserve">SC-26</x:t>
  </x:si>
  <x:si>
    <x:t xml:space="preserve">Schema blocking fail count = 0 (no standalone schema validation claim)</x:t>
  </x:si>
  <x:si>
    <x:t xml:space="preserve">Schema boundary: workbook does not claim repository-level schema validation unless separate schema assets are manifest-bundled and hash-pinned.</x:t>
  </x:si>
  <x:si>
    <x:t xml:space="preserve">SC-27</x:t>
  </x:si>
  <x:si>
    <x:t xml:space="preserve">CANON!B82</x:t>
  </x:si>
  <x:si>
    <x:t xml:space="preserve">SC-28</x:t>
  </x:si>
  <x:si>
    <x:t xml:space="preserve">No placeholders</x:t>
  </x:si>
  <x:si>
    <x:t xml:space="preserve">CANON!B116</x:t>
  </x:si>
  <x:si>
    <x:t xml:space="preserve">SC-29</x:t>
  </x:si>
  <x:si>
    <x:t xml:space="preserve">Audit registry consistency</x:t>
  </x:si>
  <x:si>
    <x:t xml:space="preserve">Audit</x:t>
  </x:si>
  <x:si>
    <x:t xml:space="preserve">SC-30</x:t>
  </x:si>
  <x:si>
    <x:t xml:space="preserve">No blocking audit flag</x:t>
  </x:si>
  <x:si>
    <x:t xml:space="preserve">Audit_Flags!B18</x:t>
  </x:si>
  <x:si>
    <x:t xml:space="preserve">COMPUTED SUMMARY</x:t>
  </x:si>
  <x:si>
    <x:t xml:space="preserve">Total active checks:</x:t>
  </x:si>
  <x:si>
    <x:t xml:space="preserve">ERROR_COUNT:</x:t>
  </x:si>
  <x:si>
    <x:t xml:space="preserve">Summary note: Total / Pass / Fail counts include every active SC row. The overall status names disclosed assertions explicitly; it is not equivalent to all-live verification.</x:t>
  </x:si>
  <x:si>
    <x:t xml:space="preserve">SC IDs are non-contiguous because some checks are reserved or retired.</x:t>
  </x:si>
  <x:si>
    <x:t xml:space="preserve">PASS_COUNT:</x:t>
  </x:si>
  <x:si>
    <x:t xml:space="preserve">UNCLASSIFIED_COUNT:</x:t>
  </x:si>
  <x:si>
    <x:t xml:space="preserve">FAIL_COUNT:</x:t>
  </x:si>
  <x:si>
    <x:t xml:space="preserve">OVERALL CHECK STATUS:</x:t>
  </x:si>
  <x:si>
    <x:t xml:space="preserve">SC-31</x:t>
  </x:si>
  <x:si>
    <x:t xml:space="preserve">SCI ≥ Tier minimum</x:t>
  </x:si>
  <x:si>
    <x:t xml:space="preserve">CANON SCI_LEVEL</x:t>
  </x:si>
  <x:si>
    <x:t xml:space="preserve">SC-32</x:t>
  </x:si>
  <x:si>
    <x:t xml:space="preserve">ScopeCoverage mode set</x:t>
  </x:si>
  <x:si>
    <x:t xml:space="preserve">CANON SCOPE_COVERAGE_MODE</x:t>
  </x:si>
  <x:si>
    <x:t xml:space="preserve">SC-33</x:t>
  </x:si>
  <x:si>
    <x:t xml:space="preserve">Uncertainty method declared</x:t>
  </x:si>
  <x:si>
    <x:t xml:space="preserve">CANON!B16</x:t>
  </x:si>
  <x:si>
    <x:t xml:space="preserve">SC-34</x:t>
  </x:si>
  <x:si>
    <x:t xml:space="preserve">SGP version (Config vs CANON)</x:t>
  </x:si>
  <x:si>
    <x:t xml:space="preserve">Config!B5 vs CANON!B6</x:t>
  </x:si>
  <x:si>
    <x:t xml:space="preserve">SC-35</x:t>
  </x:si>
  <x:si>
    <x:t xml:space="preserve">Union floors preserved</x:t>
  </x:si>
  <x:si>
    <x:t xml:space="preserve">PLSS_Local_Scope floor vector / Parameters floor table</x:t>
  </x:si>
  <x:si>
    <x:t xml:space="preserve">SC-36</x:t>
  </x:si>
  <x:si>
    <x:t xml:space="preserve">Dimension floors declared</x:t>
  </x:si>
  <x:si>
    <x:t xml:space="preserve">Parameters Section 13.1 floor table</x:t>
  </x:si>
  <x:si>
    <x:t xml:space="preserve">SC-37</x:t>
  </x:si>
  <x:si>
    <x:t xml:space="preserve">ripple.md version pinned</x:t>
  </x:si>
  <x:si>
    <x:t xml:space="preserve">CANON!B139</x:t>
  </x:si>
  <x:si>
    <x:t xml:space="preserve">SC-38</x:t>
  </x:si>
  <x:si>
    <x:t xml:space="preserve">Agent System version pinned</x:t>
  </x:si>
  <x:si>
    <x:t xml:space="preserve">CANON!B140</x:t>
  </x:si>
  <x:si>
    <x:t xml:space="preserve">SC-39</x:t>
  </x:si>
  <x:si>
    <x:t xml:space="preserve">RPAP version declared</x:t>
  </x:si>
  <x:si>
    <x:t xml:space="preserve">CANON!B127</x:t>
  </x:si>
  <x:si>
    <x:t xml:space="preserve">SC-40</x:t>
  </x:si>
  <x:si>
    <x:t xml:space="preserve">PFAP version declared</x:t>
  </x:si>
  <x:si>
    <x:t xml:space="preserve">CANON!B128</x:t>
  </x:si>
  <x:si>
    <x:t xml:space="preserve">SC-41</x:t>
  </x:si>
  <x:si>
    <x:t xml:space="preserve">Hash binding note present</x:t>
  </x:si>
  <x:si>
    <x:t xml:space="preserve">nonblank</x:t>
  </x:si>
  <x:si>
    <x:t xml:space="preserve">CANON!B129</x:t>
  </x:si>
  <x:si>
    <x:t xml:space="preserve">SC-42</x:t>
  </x:si>
  <x:si>
    <x:t xml:space="preserve">ProjectionPreRegistration present</x:t>
  </x:si>
  <x:si>
    <x:t xml:space="preserve">sheet exists</x:t>
  </x:si>
  <x:si>
    <x:t xml:space="preserve">ProjectionPreRegistration</x:t>
  </x:si>
  <x:si>
    <x:t xml:space="preserve">SC-43</x:t>
  </x:si>
  <x:si>
    <x:t xml:space="preserve">No post-registration modification</x:t>
  </x:si>
  <x:si>
    <x:t xml:space="preserve">no flag</x:t>
  </x:si>
  <x:si>
    <x:t xml:space="preserve">SC-44</x:t>
  </x:si>
  <x:si>
    <x:t xml:space="preserve">Qualification_Continuity sheet present</x:t>
  </x:si>
  <x:si>
    <x:t xml:space="preserve">Qualification_Continuity</x:t>
  </x:si>
  <x:si>
    <x:t xml:space="preserve">SC-45</x:t>
  </x:si>
  <x:si>
    <x:t xml:space="preserve">Qualification record disposition</x:t>
  </x:si>
  <x:si>
    <x:t xml:space="preserve">QUALIFIED_RECORD_COMPLETE</x:t>
  </x:si>
  <x:si>
    <x:t xml:space="preserve">Qualification_Continuity!F28</x:t>
  </x:si>
  <x:si>
    <x:t xml:space="preserve">SC-46</x:t>
  </x:si>
  <x:si>
    <x:t xml:space="preserve">Qualification claim boundary present</x:t>
  </x:si>
  <x:si>
    <x:t xml:space="preserve">Qualification_Continuity!B24</x:t>
  </x:si>
  <x:si>
    <x:t xml:space="preserve">SC-47</x:t>
  </x:si>
  <x:si>
    <x:t xml:space="preserve">Action or configuration mismatch blocks execution</x:t>
  </x:si>
  <x:si>
    <x:t xml:space="preserve">rule present</x:t>
  </x:si>
  <x:si>
    <x:t xml:space="preserve">SC-48</x:t>
  </x:si>
  <x:si>
    <x:t xml:space="preserve">Current component pins synchronized</x:t>
  </x:si>
  <x:si>
    <x:t xml:space="preserve">Config live pins</x:t>
  </x:si>
  <x:si>
    <x:t xml:space="preserve">SC-60</x:t>
  </x:si>
  <x:si>
    <x:t xml:space="preserve">Worked-run claimability distinguished from ProofPack readiness</x:t>
  </x:si>
  <x:si>
    <x:t xml:space="preserve">SC-61</x:t>
  </x:si>
  <x:si>
    <x:t xml:space="preserve">Outcome_Requalification sheet present and populated</x:t>
  </x:si>
  <x:si>
    <x:t xml:space="preserve">Outcome_Requalification</x:t>
  </x:si>
  <x:si>
    <x:t xml:space="preserve">SC-62</x:t>
  </x:si>
  <x:si>
    <x:t xml:space="preserve">UCI_Maturity sheet present</x:t>
  </x:si>
  <x:si>
    <x:t xml:space="preserve">UCI_Maturity</x:t>
  </x:si>
  <x:si>
    <x:t xml:space="preserve">SC-63</x:t>
  </x:si>
  <x:si>
    <x:t xml:space="preserve">Kernel_Posture sheet present</x:t>
  </x:si>
  <x:si>
    <x:t xml:space="preserve">Kernel_Posture</x:t>
  </x:si>
  <x:si>
    <x:t xml:space="preserve">SC-64</x:t>
  </x:si>
  <x:si>
    <x:t xml:space="preserve">HDW_Capture_Audit sheet present</x:t>
  </x:si>
  <x:si>
    <x:t xml:space="preserve">HDW_Capture_Audit</x:t>
  </x:si>
  <x:si>
    <x:t xml:space="preserve">SC-65</x:t>
  </x:si>
  <x:si>
    <x:t xml:space="preserve">PLSS_Escalation sheet present</x:t>
  </x:si>
  <x:si>
    <x:t xml:space="preserve">PLSS_Escalation</x:t>
  </x:si>
  <x:si>
    <x:t xml:space="preserve">SC-66</x:t>
  </x:si>
  <x:si>
    <x:t xml:space="preserve">BioSGP_Maturity sheet present</x:t>
  </x:si>
  <x:si>
    <x:t xml:space="preserve">BioSGP_Maturity</x:t>
  </x:si>
  <x:si>
    <x:t xml:space="preserve">SC-67</x:t>
  </x:si>
  <x:si>
    <x:t xml:space="preserve">Deployment_Context sheet present</x:t>
  </x:si>
  <x:si>
    <x:t xml:space="preserve">Deployment_Context</x:t>
  </x:si>
  <x:si>
    <x:t xml:space="preserve">SC-68</x:t>
  </x:si>
  <x:si>
    <x:t xml:space="preserve">Evidence_Status_Tokens present and populated</x:t>
  </x:si>
  <x:si>
    <x:t xml:space="preserve">Evidence_Status_Tokens</x:t>
  </x:si>
  <x:si>
    <x:t xml:space="preserve">SC-69</x:t>
  </x:si>
  <x:si>
    <x:t xml:space="preserve">Compact_Profiles present and populated</x:t>
  </x:si>
  <x:si>
    <x:t xml:space="preserve">Compact_Profiles</x:t>
  </x:si>
  <x:si>
    <x:t xml:space="preserve">SC-70</x:t>
  </x:si>
  <x:si>
    <x:t xml:space="preserve">SGP split guardrail outputs disclosed</x:t>
  </x:si>
  <x:si>
    <x:t xml:space="preserve">SGP_Split_Guardrail</x:t>
  </x:si>
  <x:si>
    <x:t xml:space="preserve">SC-71</x:t>
  </x:si>
  <x:si>
    <x:t xml:space="preserve">Validation_Roadmap present and populated</x:t>
  </x:si>
  <x:si>
    <x:t xml:space="preserve">Validation_Roadmap</x:t>
  </x:si>
  <x:si>
    <x:t xml:space="preserve">SC-72</x:t>
  </x:si>
  <x:si>
    <x:t xml:space="preserve">Boundary_Risk_Register present and formula-linked</x:t>
  </x:si>
  <x:si>
    <x:t xml:space="preserve">Boundary_Risk_Register</x:t>
  </x:si>
  <x:si>
    <x:t xml:space="preserve">SC-73</x:t>
  </x:si>
  <x:si>
    <x:t xml:space="preserve">PCC Section 26 evidence/legitimacy disclosure present</x:t>
  </x:si>
  <x:si>
    <x:t xml:space="preserve">PCC</x:t>
  </x:si>
  <x:si>
    <x:t xml:space="preserve">SC-74</x:t>
  </x:si>
  <x:si>
    <x:t xml:space="preserve">SGP split MPS/GPR/SPR formula surface active</x:t>
  </x:si>
  <x:si>
    <x:t xml:space="preserve">SC-75</x:t>
  </x:si>
  <x:si>
    <x:t xml:space="preserve">Evidence status PCC bridge populated</x:t>
  </x:si>
  <x:si>
    <x:t xml:space="preserve">PCC / Evidence_Status_Tokens</x:t>
  </x:si>
  <x:si>
    <x:t xml:space="preserve">SC-76</x:t>
  </x:si>
  <x:si>
    <x:t xml:space="preserve">Boundary risk formula statuses pass</x:t>
  </x:si>
  <x:si>
    <x:t xml:space="preserve">SC-77</x:t>
  </x:si>
  <x:si>
    <x:t xml:space="preserve">v12.6 integration checks all pass</x:t>
  </x:si>
  <x:si>
    <x:t xml:space="preserve">Sanity_Checklist</x:t>
  </x:si>
  <x:si>
    <x:t xml:space="preserve">SC-78</x:t>
  </x:si>
  <x:si>
    <x:t xml:space="preserve">SGP_Input visible version synchronized</x:t>
  </x:si>
  <x:si>
    <x:t xml:space="preserve">SGP_Input!A4/B1</x:t>
  </x:si>
  <x:si>
    <x:t xml:space="preserve">SC-79</x:t>
  </x:si>
  <x:si>
    <x:t xml:space="preserve">RLS!I53:I59 vs PLSS_Local_Scope!E12:E18</x:t>
  </x:si>
  <x:si>
    <x:t xml:space="preserve">SC-80</x:t>
  </x:si>
  <x:si>
    <x:t xml:space="preserve">RLS union weights sum to 1</x:t>
  </x:si>
  <x:si>
    <x:t xml:space="preserve">RLS!I53:I59</x:t>
  </x:si>
  <x:si>
    <x:t xml:space="preserve">SC-81</x:t>
  </x:si>
  <x:si>
    <x:t xml:space="preserve">RLS dimension weights sum to 1</x:t>
  </x:si>
  <x:si>
    <x:t xml:space="preserve">RLS!B52:H52</x:t>
  </x:si>
  <x:si>
    <x:t xml:space="preserve">SC-82</x:t>
  </x:si>
  <x:si>
    <x:t xml:space="preserve">RLS displayed values match recomputation</x:t>
  </x:si>
  <x:si>
    <x:t xml:space="preserve">RLS displayed values vs SUMPRODUCT recompute</x:t>
  </x:si>
  <x:si>
    <x:t xml:space="preserve">SC-83</x:t>
  </x:si>
  <x:si>
    <x:t xml:space="preserve">Workbook publishability label is scoped</x:t>
  </x:si>
  <x:si>
    <x:t xml:space="preserve">Release_Notes!A9</x:t>
  </x:si>
  <x:si>
    <x:t xml:space="preserve">SC-84</x:t>
  </x:si>
  <x:si>
    <x:t xml:space="preserve">ReferenceStructureRecord sheet present</x:t>
  </x:si>
  <x:si>
    <x:t xml:space="preserve">ReferenceStructureRecord</x:t>
  </x:si>
  <x:si>
    <x:t xml:space="preserve">SC-85</x:t>
  </x:si>
  <x:si>
    <x:t xml:space="preserve">ReferenceStructureRecord worked-run row complete</x:t>
  </x:si>
  <x:si>
    <x:t xml:space="preserve">COMPLETE</x:t>
  </x:si>
  <x:si>
    <x:t xml:space="preserve">ReferenceStructureRecord!Z2</x:t>
  </x:si>
  <x:si>
    <x:t xml:space="preserve">SC-86</x:t>
  </x:si>
  <x:si>
    <x:t xml:space="preserve">PCC/Dashboard ReferenceStructureRecord linkage present</x:t>
  </x:si>
  <x:si>
    <x:t xml:space="preserve">PCC Section 26 / Dashboard rows 66-70</x:t>
  </x:si>
  <x:si>
    <x:t xml:space="preserve">CGP-1</x:t>
  </x:si>
  <x:si>
    <x:t xml:space="preserve">Category Grounding reviewed for material categories</x:t>
  </x:si>
  <x:si>
    <x:t xml:space="preserve">Category_Grounding</x:t>
  </x:si>
  <x:si>
    <x:t xml:space="preserve">Required for material claim-bearing runs</x:t>
  </x:si>
  <x:si>
    <x:t xml:space="preserve">MANUAL_REVIEW</x:t>
  </x:si>
  <x:si>
    <x:t xml:space="preserve">Manual Category Grounding reviewer item; not formula-backed and not included in computed PASS count.</x:t>
  </x:si>
  <x:si>
    <x:t xml:space="preserve">CGP-2</x:t>
  </x:si>
  <x:si>
    <x:t xml:space="preserve">Primitive Audit / category boundary not treated as new cascade gate</x:t>
  </x:si>
  <x:si>
    <x:t xml:space="preserve">Must remain within Reality Grounding</x:t>
  </x:si>
  <x:si>
    <x:t xml:space="preserve">CGP-3</x:t>
  </x:si>
  <x:si>
    <x:t xml:space="preserve">Semantic debt flagged when categories are stale, inherited, contested, or unreviewed</x:t>
  </x:si>
  <x:si>
    <x:t xml:space="preserve">Review before stronger public/conformance claims</x:t>
  </x:si>
  <x:si>
    <x:t xml:space="preserve">CGP-4</x:t>
  </x:si>
  <x:si>
    <x:t xml:space="preserve">No category uncertainty laundered through RLS, PLSS, HDW, PCC, or authority selection</x:t>
  </x:si>
  <x:si>
    <x:t xml:space="preserve">Narrow, escalate, monitor, sensitivity-only, or refuse</x:t>
  </x:si>
  <x:si>
    <x:t xml:space="preserve">SC-87</x:t>
  </x:si>
  <x:si>
    <x:t xml:space="preserve">Workbook current version identity</x:t>
  </x:si>
  <x:si>
    <x:t xml:space="preserve">Config / CANON / PCC / Dashboard / Version_Control</x:t>
  </x:si>
  <x:si>
    <x:t xml:space="preserve">SC-88</x:t>
  </x:si>
  <x:si>
    <x:t xml:space="preserve">Rights evidence-disposition surface present</x:t>
  </x:si>
  <x:si>
    <x:t xml:space="preserve">Rights_Evidence_Disposition</x:t>
  </x:si>
  <x:si>
    <x:t xml:space="preserve">SC-89</x:t>
  </x:si>
  <x:si>
    <x:t xml:space="preserve">Three-channel NCRC disclosure present</x:t>
  </x:si>
  <x:si>
    <x:t xml:space="preserve">Rights_Hardening</x:t>
  </x:si>
  <x:si>
    <x:t xml:space="preserve">SC-90</x:t>
  </x:si>
  <x:si>
    <x:t xml:space="preserve">Composite CSV source-coupling routing present</x:t>
  </x:si>
  <x:si>
    <x:t xml:space="preserve">CSV / Containment</x:t>
  </x:si>
  <x:si>
    <x:t xml:space="preserve">SC-91</x:t>
  </x:si>
  <x:si>
    <x:t xml:space="preserve">UCI NA renormalization active</x:t>
  </x:si>
  <x:si>
    <x:t xml:space="preserve">UCI_HOI</x:t>
  </x:si>
  <x:si>
    <x:t xml:space="preserve">SC-92</x:t>
  </x:si>
  <x:si>
    <x:t xml:space="preserve">TRC severity/dependence disclosure present</x:t>
  </x:si>
  <x:si>
    <x:t xml:space="preserve">TRC / Scenario_Impacts</x:t>
  </x:si>
  <x:si>
    <x:t xml:space="preserve">SC-93</x:t>
  </x:si>
  <x:si>
    <x:t xml:space="preserve">RLS dependence disclosure present</x:t>
  </x:si>
  <x:si>
    <x:t xml:space="preserve">RLS</x:t>
  </x:si>
  <x:si>
    <x:t xml:space="preserve">SC-94</x:t>
  </x:si>
  <x:si>
    <x:t xml:space="preserve">PLSS four-construction sensitivity status disclosed</x:t>
  </x:si>
  <x:si>
    <x:t xml:space="preserve">PLSS_Local_Scope</x:t>
  </x:si>
  <x:si>
    <x:t xml:space="preserve">SC-96</x:t>
  </x:si>
  <x:si>
    <x:t xml:space="preserve">Configuration_Assurance sheet present</x:t>
  </x:si>
  <x:si>
    <x:t xml:space="preserve">Configuration_Assurance</x:t>
  </x:si>
  <x:si>
    <x:t xml:space="preserve">SC-97</x:t>
  </x:si>
  <x:si>
    <x:t xml:space="preserve">Configuration-bound validity envelope declared</x:t>
  </x:si>
  <x:si>
    <x:t xml:space="preserve">BOUNDED</x:t>
  </x:si>
  <x:si>
    <x:t xml:space="preserve">Configuration_Assurance!C12</x:t>
  </x:si>
  <x:si>
    <x:t xml:space="preserve">SC-98</x:t>
  </x:si>
  <x:si>
    <x:t xml:space="preserve">Capability and authority states separated</x:t>
  </x:si>
  <x:si>
    <x:t xml:space="preserve">SC-99</x:t>
  </x:si>
  <x:si>
    <x:t xml:space="preserve">Qualification-continuity triggers declared</x:t>
  </x:si>
  <x:si>
    <x:t xml:space="preserve">SC-100</x:t>
  </x:si>
  <x:si>
    <x:t xml:space="preserve">Open-assurance sole-warrant prohibition disclosed</x:t>
  </x:si>
  <x:si>
    <x:t xml:space="preserve">SC-101</x:t>
  </x:si>
  <x:si>
    <x:t xml:space="preserve">Implementation-milestone boundary disclosed</x:t>
  </x:si>
  <x:si>
    <x:t xml:space="preserve">Semantic/manual review</x:t>
  </x:si>
  <x:si>
    <x:t xml:space="preserve">Completeness, unknown handling, claim boundaries</x:t>
  </x:si>
  <x:si>
    <x:t xml:space="preserve">Required surface is present or review is explicit</x:t>
  </x:si>
  <x:si>
    <x:t xml:space="preserve">Automated proof of substantive truth</x:t>
  </x:si>
  <x:si>
    <x:t xml:space="preserve">DISCLOSED</x:t>
  </x:si>
  <x:si>
    <x:t xml:space="preserve">CHECK COVERAGE SUMMARY</x:t>
  </x:si>
  <x:si>
    <x:t xml:space="preserve">LIVE_CHECK_COUNT</x:t>
  </x:si>
  <x:si>
    <x:t xml:space="preserve">Formula- or cross-surface-bound checks</x:t>
  </x:si>
  <x:si>
    <x:t xml:space="preserve">INDEPENDENT_RECOMPUTE_COUNT</x:t>
  </x:si>
  <x:si>
    <x:t xml:space="preserve">Independent arithmetic recomputation</x:t>
  </x:si>
  <x:si>
    <x:t xml:space="preserve">DECLARED_ASSERTION_COUNT</x:t>
  </x:si>
  <x:si>
    <x:t xml:space="preserve">Honest declarations not counted as independent checks</x:t>
  </x:si>
  <x:si>
    <x:t xml:space="preserve">TAUTOLOGICAL_PASS_COUNT</x:t>
  </x:si>
  <x:si>
    <x:t xml:space="preserve">Must equal 0</x:t>
  </x:si>
  <x:si>
    <x:t xml:space="preserve">COVERAGE_RECONCILIATION</x:t>
  </x:si>
  <x:si>
    <x:t xml:space="preserve">Total SC rows must equal LIVE + RECOMPUTE + DECLARED; computed PASS rows must equal LIVE/RECOMPUTE rows that resolve PASS.</x:t>
  </x:si>
  <x:si>
    <x:t xml:space="preserve">RIPPLELOGIC ALIGNERS SHEET v5.6</x:t>
  </x:si>
  <x:si>
    <x:t xml:space="preserve">Package release</x:t>
  </x:si>
  <x:si>
    <x:t xml:space="preserve">MathGov framework / RippleLogic Core Release 2026.09</x:t>
  </x:si>
  <x:si>
    <x:t xml:space="preserve">Canon version</x:t>
  </x:si>
  <x:si>
    <x:t xml:space="preserve">RippleLogic Canon v12.6</x:t>
  </x:si>
  <x:si>
    <x:t xml:space="preserve">SGP version</x:t>
  </x:si>
  <x:si>
    <x:t xml:space="preserve">ripple.md version</x:t>
  </x:si>
  <x:si>
    <x:t xml:space="preserve">Agent System version</x:t>
  </x:si>
  <x:si>
    <x:t xml:space="preserve">Primer version</x:t>
  </x:si>
  <x:si>
    <x:t xml:space="preserve">Aligners Sheet version</x:t>
  </x:si>
  <x:si>
    <x:t xml:space="preserve">TIER &amp; CONTEXT</x:t>
  </x:si>
  <x:si>
    <x:t xml:space="preserve">Tier Level:</x:t>
  </x:si>
  <x:si>
    <x:t xml:space="preserve">1=Personal, 2=Core, 3=High-Stakes; Tier 4 is a design target and claim-prohibited until independent ProofPack replay</x:t>
  </x:si>
  <x:si>
    <x:t xml:space="preserve">Context Type:</x:t>
  </x:si>
  <x:si>
    <x:t xml:space="preserve">τ_TRC for ORG:</x:t>
  </x:si>
  <x:si>
    <x:t xml:space="preserve">AI Deployment:</x:t>
  </x:si>
  <x:si>
    <x:t xml:space="preserve">(YES/NO; AI deployment activates WTSL-AIX. A material governance-lock-in pathway independently activates the same profile even when AI_DEPLOYMENT=NO.)</x:t>
  </x:si>
  <x:si>
    <x:t xml:space="preserve">PROPAGATION &amp; WEIGHTS</x:t>
  </x:si>
  <x:si>
    <x:t xml:space="preserve">Propagation Mode:</x:t>
  </x:si>
  <x:si>
    <x:t xml:space="preserve">(NONE/QUICK; worked run currently uses NONE)</x:t>
  </x:si>
  <x:si>
    <x:t xml:space="preserve">Kernel Status:</x:t>
  </x:si>
  <x:si>
    <x:t xml:space="preserve">K0_NONE (see Kernel_Posture sheet)</x:t>
  </x:si>
  <x:si>
    <x:t xml:space="preserve">Numerical propagation is not used in this worked-run exemplar; Kernel_Posture records the claim-support posture. PLSS_Local_Scope remains the local-scope weighting helper.</x:t>
  </x:si>
  <x:si>
    <x:t xml:space="preserve">Weight Profile:</x:t>
  </x:si>
  <x:si>
    <x:t xml:space="preserve">PLSS_LOCAL</x:t>
  </x:si>
  <x:si>
    <x:t xml:space="preserve">Weight/scope profile for union weighting (PLSS_LOCAL or UNIFORM)</x:t>
  </x:si>
  <x:si>
    <x:t xml:space="preserve">Current option-surface:</x:t>
  </x:si>
  <x:si>
    <x:t xml:space="preserve">Two-option comparison only (A/B)</x:t>
  </x:si>
  <x:si>
    <x:t xml:space="preserve">Publication disclosure: native final-selection logic currently compares Option A vs Option B only.</x:t>
  </x:si>
  <x:si>
    <x:t xml:space="preserve">MODE LOCKS</x:t>
  </x:si>
  <x:si>
    <x:t xml:space="preserve">σ_est (RLS uncertainty)</x:t>
  </x:si>
  <x:si>
    <x:t xml:space="preserve">Tier 2+: REQUIRED for all active cells. This worked run uses a declared Method C constant-sigma demonstration; it is not empirical calibration.</x:t>
  </x:si>
  <x:si>
    <x:t xml:space="preserve">σ_est Available:</x:t>
  </x:si>
  <x:si>
    <x:t xml:space="preserve">(YES/NO; enables Gap/σ test)</x:t>
  </x:si>
  <x:si>
    <x:t xml:space="preserve">δ (discrimination threshold):</x:t>
  </x:si>
  <x:si>
    <x:t xml:space="preserve">(Gap/σ &gt; δ for decisive)</x:t>
  </x:si>
  <x:si>
    <x:t xml:space="preserve">VERSION SEMANTICS</x:t>
  </x:si>
  <x:si>
    <x:t xml:space="preserve">Package release:</x:t>
  </x:si>
  <x:si>
    <x:t xml:space="preserve">Source-integrity and implementation-hardening same-version patch</x:t>
  </x:si>
  <x:si>
    <x:t xml:space="preserve">Canon content:</x:t>
  </x:si>
  <x:si>
    <x:t xml:space="preserve">See Version_Semantics sheet</x:t>
  </x:si>
  <x:si>
    <x:t xml:space="preserve">Workbook version:</x:t>
  </x:si>
  <x:si>
    <x:t xml:space="preserve">Verification gate:</x:t>
  </x:si>
  <x:si>
    <x:t xml:space="preserve">python3 verify_release.py --recalc</x:t>
  </x:si>
  <x:si>
    <x:t xml:space="preserve">Then sha256sum -c SHA256SUMS.txt</x:t>
  </x:si>
  <x:si>
    <x:t xml:space="preserve">CANONICAL PARAMETERS (LOCKED)</x:t>
  </x:si>
  <x:si>
    <x:t xml:space="preserve">RIGHTS THRESHOLDS (θ_r) - Canon Anchor Order</x:t>
  </x:si>
  <x:si>
    <x:t xml:space="preserve">Rank (anchor order; non-operational)</x:t>
  </x:si>
  <x:si>
    <x:t xml:space="preserve">Coverage Summary</x:t>
  </x:si>
  <x:si>
    <x:t xml:space="preserve">U1-U6×D2, plus U6×D7</x:t>
  </x:si>
  <x:si>
    <x:t xml:space="preserve">U1-U6×D2</x:t>
  </x:si>
  <x:si>
    <x:t xml:space="preserve">U1-U6×D5, plus U3-U6×D3</x:t>
  </x:si>
  <x:si>
    <x:t xml:space="preserve">U1-U6×D1,D2</x:t>
  </x:si>
  <x:si>
    <x:t xml:space="preserve">U1-U6×D3,D5</x:t>
  </x:si>
  <x:si>
    <x:t xml:space="preserve">U4-U6×D3,D4,D5</x:t>
  </x:si>
  <x:si>
    <x:t xml:space="preserve">U1-U6×D4,D5</x:t>
  </x:si>
  <x:si>
    <x:t xml:space="preserve">U6×D7, U7×D7</x:t>
  </x:si>
  <x:si>
    <x:t xml:space="preserve">TRC CONTEXT THRESHOLDS (τ_TRC)</x:t>
  </x:si>
  <x:si>
    <x:t xml:space="preserve">PERS</x:t>
  </x:si>
  <x:si>
    <x:t xml:space="preserve">REV</x:t>
  </x:si>
  <x:si>
    <x:t xml:space="preserve">IRREV</x:t>
  </x:si>
  <x:si>
    <x:t xml:space="preserve">XRISK</x:t>
  </x:si>
  <x:si>
    <x:t xml:space="preserve">SCORING PARAMETERS</x:t>
  </x:si>
  <x:si>
    <x:t xml:space="preserve">β (saturation)</x:t>
  </x:si>
  <x:si>
    <x:t xml:space="preserve">β_prop</x:t>
  </x:si>
  <x:si>
    <x:t xml:space="preserve">δ (discrimination)</x:t>
  </x:si>
  <x:si>
    <x:t xml:space="preserve">τ_c (containment)</x:t>
  </x:si>
  <x:si>
    <x:t xml:space="preserve">θ_pos</x:t>
  </x:si>
  <x:si>
    <x:t xml:space="preserve">α (CVaR)  -  Personal</x:t>
  </x:si>
  <x:si>
    <x:t xml:space="preserve">α (CVaR)  -  Organizational</x:t>
  </x:si>
  <x:si>
    <x:t xml:space="preserve">α (CVaR)  -  Reversible policy</x:t>
  </x:si>
  <x:si>
    <x:t xml:space="preserve">α (CVaR)  -  Irreversible policy</x:t>
  </x:si>
  <x:si>
    <x:t xml:space="preserve">α (CVaR)  -  Existential</x:t>
  </x:si>
  <x:si>
    <x:t xml:space="preserve">p_floor</x:t>
  </x:si>
  <x:si>
    <x:t xml:space="preserve">c_min</x:t>
  </x:si>
  <x:si>
    <x:t xml:space="preserve">e_min (Tier 3 governed interval)</x:t>
  </x:si>
  <x:si>
    <x:t xml:space="preserve">Tier 3 lower bound for a named governed adjustment instrument; non-default e_k requires provenance and sensitivity disclosure.</x:t>
  </x:si>
  <x:si>
    <x:t xml:space="preserve">e_max (Tier 3 governed interval)</x:t>
  </x:si>
  <x:si>
    <x:t xml:space="preserve">Tier 3 upper bound for a named governed adjustment instrument; Tier 2 defaults to e_k=1 unless an authorized profile states otherwise.</x:t>
  </x:si>
  <x:si>
    <x:t xml:space="preserve">U4 Organization</x:t>
  </x:si>
  <x:si>
    <x:t xml:space="preserve">U5 Polity</x:t>
  </x:si>
  <x:si>
    <x:t xml:space="preserve">U6 Humanity / Global Coordination</x:t>
  </x:si>
  <x:si>
    <x:t xml:space="preserve">U7 Biosphere</x:t>
  </x:si>
  <x:si>
    <x:t xml:space="preserve">DIMENSION WEIGHTS (v_d) - UNIFORM</x:t>
  </x:si>
  <x:si>
    <x:t xml:space="preserve">D1 Material</x:t>
  </x:si>
  <x:si>
    <x:t xml:space="preserve">D2 Health</x:t>
  </x:si>
  <x:si>
    <x:t xml:space="preserve">D3 Social</x:t>
  </x:si>
  <x:si>
    <x:t xml:space="preserve">D4 Knowledge</x:t>
  </x:si>
  <x:si>
    <x:t xml:space="preserve">D5 Agency</x:t>
  </x:si>
  <x:si>
    <x:t xml:space="preserve">D6 Meaning</x:t>
  </x:si>
  <x:si>
    <x:t xml:space="preserve">D7 Environment</x:t>
  </x:si>
  <x:si>
    <x:t xml:space="preserve">SECTION 13.1 FLOOR TABLES (CANON)</x:t>
  </x:si>
  <x:si>
    <x:t xml:space="preserve">UNION FLOOR PRESERVATION (w_u floor)</x:t>
  </x:si>
  <x:si>
    <x:t xml:space="preserve">Union Scope</x:t>
  </x:si>
  <x:si>
    <x:t xml:space="preserve">Floor</x:t>
  </x:si>
  <x:si>
    <x:t xml:space="preserve">U1 Self</x:t>
  </x:si>
  <x:si>
    <x:t xml:space="preserve">U2 Household</x:t>
  </x:si>
  <x:si>
    <x:t xml:space="preserve">U3 Community</x:t>
  </x:si>
  <x:si>
    <x:t xml:space="preserve">DIMENSION FLOOR PRESERVATION (v_d floor)</x:t>
  </x:si>
  <x:si>
    <x:t xml:space="preserve">Dimension</x:t>
  </x:si>
  <x:si>
    <x:t xml:space="preserve">EXEMPLAR NOTE: Uniform v_d = 1/7 each. Non-uniform HDW dimension allocation is not exercised here. Floor check: 1/7 = 0.1429 &gt; 0.10.</x:t>
  </x:si>
  <x:si>
    <x:t xml:space="preserve">NOTE: Current v5.6 defaults to PLSS_Local_Scope-derived union weights using floor-preserving residual allocation.</x:t>
  </x:si>
  <x:si>
    <x:t xml:space="preserve">Set q_u on PLSS_Local_Scope; use equal q_u values for a uniform baseline.</x:t>
  </x:si>
  <x:si>
    <x:t xml:space="preserve">v12.6 NOTE: Uncertainty estimation is REQUIRED for all active cells at Tier 2+.</x:t>
  </x:si>
  <x:si>
    <x:t xml:space="preserve">Active cell definition: m(u,d)=1 for RLS ∪ rights-covered ∪ catastrophe ∪ governance minimum</x:t>
  </x:si>
  <x:si>
    <x:t xml:space="preserve">PRACTICAL LOCAL SCOPE SCORING (PLSS) - v5.6 HELPER</x:t>
  </x:si>
  <x:si>
    <x:t xml:space="preserve">Compute floor-preserving local union weights for RippleLogic v12.6. The declared direct-q construction and three required comparators are calculated below; constitutional floors remain invariant.</x:t>
  </x:si>
  <x:si>
    <x:t xml:space="preserve">Framework</x:t>
  </x:si>
  <x:si>
    <x:t xml:space="preserve">Sheet Version</x:t>
  </x:si>
  <x:si>
    <x:t xml:space="preserve">Weight Profile</x:t>
  </x:si>
  <x:si>
    <x:t xml:space="preserve">Key Rule</x:t>
  </x:si>
  <x:si>
    <x:t xml:space="preserve">Score near, guard far. PLSS is the zoom lens, not the safety waiver. Structural diagnostics required for Containment remain live even when residual welfare attention is local.</x:t>
  </x:si>
  <x:si>
    <x:t xml:space="preserve">q_u</x:t>
  </x:si>
  <x:si>
    <x:t xml:space="preserve">w_u^floor</x:t>
  </x:si>
  <x:si>
    <x:t xml:space="preserve">rho_u</x:t>
  </x:si>
  <x:si>
    <x:t xml:space="preserve">w_u^PLSS</x:t>
  </x:si>
  <x:si>
    <x:t xml:space="preserve">Role</x:t>
  </x:si>
  <x:si>
    <x:t xml:space="preserve">Note</x:t>
  </x:si>
  <x:si>
    <x:t xml:space="preserve">q_u ReasonCode</x:t>
  </x:si>
  <x:si>
    <x:t xml:space="preserve">q_u SourceNote</x:t>
  </x:si>
  <x:si>
    <x:t xml:space="preserve">M</x:t>
  </x:si>
  <x:si>
    <x:t xml:space="preserve">P</x:t>
  </x:si>
  <x:si>
    <x:t xml:space="preserve">T</x:t>
  </x:si>
  <x:si>
    <x:t xml:space="preserve">G</x:t>
  </x:si>
  <x:si>
    <x:t xml:space="preserve">q_geom</x:t>
  </x:si>
  <x:si>
    <x:t xml:space="preserve">q_broad</x:t>
  </x:si>
  <x:si>
    <x:t xml:space="preserve">w_geom</x:t>
  </x:si>
  <x:si>
    <x:t xml:space="preserve">w_uniform</x:t>
  </x:si>
  <x:si>
    <x:t xml:space="preserve">w_broad</x:t>
  </x:si>
  <x:si>
    <x:t xml:space="preserve">Declared sensitivity construction inputs (illustrative prominence evidence, not empirical calibration)</x:t>
  </x:si>
  <x:si>
    <x:t xml:space="preserve">Prominent</x:t>
  </x:si>
  <x:si>
    <x:t xml:space="preserve">Near-field self</x:t>
  </x:si>
  <x:si>
    <x:t xml:space="preserve">NEAR_FIELD_PROMINENCE</x:t>
  </x:si>
  <x:si>
    <x:t xml:space="preserve">Near-field lived impact emphasis for self.</x:t>
  </x:si>
  <x:si>
    <x:t xml:space="preserve">Primary directly lived/support unit</x:t>
  </x:si>
  <x:si>
    <x:t xml:space="preserve">Primary household/support exposure.</x:t>
  </x:si>
  <x:si>
    <x:t xml:space="preserve">Local repeated-contact network</x:t>
  </x:si>
  <x:si>
    <x:t xml:space="preserve">Local repeated-interaction network exposure.</x:t>
  </x:si>
  <x:si>
    <x:t xml:space="preserve">Structured institution involved</x:t>
  </x:si>
  <x:si>
    <x:t xml:space="preserve">Organizational operational exposure.</x:t>
  </x:si>
  <x:si>
    <x:t xml:space="preserve">Guardrail</x:t>
  </x:si>
  <x:si>
    <x:t xml:space="preserve">Governance/public legitimacy</x:t>
  </x:si>
  <x:si>
    <x:t xml:space="preserve">GUARDRAIL_SIGNAL</x:t>
  </x:si>
  <x:si>
    <x:t xml:space="preserve">Public-governance spillover review.</x:t>
  </x:si>
  <x:si>
    <x:t xml:space="preserve">Cross-border/system-wide coordination</x:t>
  </x:si>
  <x:si>
    <x:t xml:space="preserve">Cross-border/system coordination check.</x:t>
  </x:si>
  <x:si>
    <x:t xml:space="preserve">Ecological support systems</x:t>
  </x:si>
  <x:si>
    <x:t xml:space="preserve">Ecological guardrail presence.</x:t>
  </x:si>
  <x:si>
    <x:t xml:space="preserve">Residual Mass</x:t>
  </x:si>
  <x:si>
    <x:t xml:space="preserve">Check: Sum w_u^PLSS</x:t>
  </x:si>
  <x:si>
    <x:t xml:space="preserve">Check: Floors preserved</x:t>
  </x:si>
  <x:si>
    <x:t xml:space="preserve">Suggested Scope Mode</x:t>
  </x:si>
  <x:si>
    <x:t xml:space="preserve">PLSS_OK</x:t>
  </x:si>
  <x:si>
    <x:t xml:space="preserve">Operator Note</x:t>
  </x:si>
  <x:si>
    <x:t xml:space="preserve">Use PLSS only after RF/NCRC and TRC/Containment are preserved. If broader rights, tail-risk, lock-in, or hidden externalities become plausible, escalate beyond local-only ranking.</x:t>
  </x:si>
  <x:si>
    <x:t xml:space="preserve">PLSS PCC BLOCK (v12.6 companion disclosure)</x:t>
  </x:si>
  <x:si>
    <x:t xml:space="preserve">LSS Declaration</x:t>
  </x:si>
  <x:si>
    <x:t xml:space="preserve">Decision owner, household, community, organization, polity, and biosphere pathways declared through the worked-run stakeholder set for this remote-work policy exemplar.</x:t>
  </x:si>
  <x:si>
    <x:t xml:space="preserve">Operator Declaration</x:t>
  </x:si>
  <x:si>
    <x:t xml:space="preserve">PCC.PLSS.Operator: OTHER_DECLARED: DIRECT_Q_NORMALIZATION_V1. Direct q_u values are declared for the worked-run exemplar. The full sensitivity bundle also computes the default geometric-mean construction, uniform residual fallback, and broadened guardrail-sensitive construction.</x:t>
  </x:si>
  <x:si>
    <x:t xml:space="preserve">Scope Posture Classification</x:t>
  </x:si>
  <x:si>
    <x:t xml:space="preserve">Declared scope posture is surfaced through the Prominent/Guardrail classifications in F12:F18.</x:t>
  </x:si>
  <x:si>
    <x:t xml:space="preserve">Escalation-Trigger Assessment</x:t>
  </x:si>
  <x:si>
    <x:t xml:space="preserve">No active ET trigger requiring a broader-scope rerun was identified in this worked-run exemplar. The four-construction comparison below does not change ranking or decisiveness classification; reopen after material scope, evidence, or consequence changes.</x:t>
  </x:si>
  <x:si>
    <x:t xml:space="preserve">Fallback Declaration</x:t>
  </x:si>
  <x:si>
    <x:t xml:space="preserve">If SUM(q_u)=0, the workbook uses the uniform residual fallback (1/7 per scope) exactly as encoded in D12:D18.</x:t>
  </x:si>
  <x:si>
    <x:t xml:space="preserve">PLSS PROMINENCE SENSITIVITY</x:t>
  </x:si>
  <x:si>
    <x:t xml:space="preserve">Declared direct-q</x:t>
  </x:si>
  <x:si>
    <x:t xml:space="preserve">Default geometric-mean q</x:t>
  </x:si>
  <x:si>
    <x:t xml:space="preserve">Uniform residual</x:t>
  </x:si>
  <x:si>
    <x:t xml:space="preserve">Broadened guardrail-sensitive</x:t>
  </x:si>
  <x:si>
    <x:t xml:space="preserve">Cross-construction result</x:t>
  </x:si>
  <x:si>
    <x:t xml:space="preserve">Required flag</x:t>
  </x:si>
  <x:si>
    <x:t xml:space="preserve">Interpretation</x:t>
  </x:si>
  <x:si>
    <x:t xml:space="preserve">Operator / status</x:t>
  </x:si>
  <x:si>
    <x:t xml:space="preserve">FOUR CONSTRUCTIONS CALCULATED</x:t>
  </x:si>
  <x:si>
    <x:t xml:space="preserve">All constructions preserve floors and are compared on the same I_prop matrix.</x:t>
  </x:si>
  <x:si>
    <x:t xml:space="preserve">Canon v12.6 Section 10.2A</x:t>
  </x:si>
  <x:si>
    <x:t xml:space="preserve">U1 Self weight</x:t>
  </x:si>
  <x:si>
    <x:t xml:space="preserve">U2 Household weight</x:t>
  </x:si>
  <x:si>
    <x:t xml:space="preserve">U3 Community weight</x:t>
  </x:si>
  <x:si>
    <x:t xml:space="preserve">U4 Organization weight</x:t>
  </x:si>
  <x:si>
    <x:t xml:space="preserve">U5 Polity weight</x:t>
  </x:si>
  <x:si>
    <x:t xml:space="preserve">U6 Humanity / Global Coordination weight</x:t>
  </x:si>
  <x:si>
    <x:t xml:space="preserve">U7 Biosphere weight</x:t>
  </x:si>
  <x:si>
    <x:t xml:space="preserve">RLS(A)</x:t>
  </x:si>
  <x:si>
    <x:t xml:space="preserve">RANKING STABLE</x:t>
  </x:si>
  <x:si>
    <x:t xml:space="preserve">All four constructions retain Option A as the higher point-score option.</x:t>
  </x:si>
  <x:si>
    <x:t xml:space="preserve">I_prop + RLS dimension weights + construction-specific union weights</x:t>
  </x:si>
  <x:si>
    <x:t xml:space="preserve">RLS(B)</x:t>
  </x:si>
  <x:si>
    <x:t xml:space="preserve">RLS_DELTA_A_B (raw score difference)</x:t>
  </x:si>
  <x:si>
    <x:t xml:space="preserve">Raw RLS(A)-RLS(B); not the canonical uncertainty-normalized Gap statistic.</x:t>
  </x:si>
  <x:si>
    <x:t xml:space="preserve">Preferred option by point score</x:t>
  </x:si>
  <x:si>
    <x:t xml:space="preserve">A</x:t>
  </x:si>
  <x:si>
    <x:t xml:space="preserve">Ranking changed from declared direct-q?</x:t>
  </x:si>
  <x:si>
    <x:t xml:space="preserve">BASELINE</x:t>
  </x:si>
  <x:si>
    <x:t xml:space="preserve">Framework decisiveness classification</x:t>
  </x:si>
  <x:si>
    <x:t xml:space="preserve">Decisiveness classification changed?</x:t>
  </x:si>
  <x:si>
    <x:t xml:space="preserve">Sensitivity conclusion</x:t>
  </x:si>
  <x:si>
    <x:t xml:space="preserve">CANONICAL RIGHTS COVERAGE SETS - 70 Entries</x:t>
  </x:si>
  <x:si>
    <x:t xml:space="preserve">Reference: RippleLogic v12.6 Section 7.2</x:t>
  </x:si>
  <x:si>
    <x:t xml:space="preserve">#</x:t>
  </x:si>
  <x:si>
    <x:t xml:space="preserve">U1</x:t>
  </x:si>
  <x:si>
    <x:t xml:space="preserve">D2</x:t>
  </x:si>
  <x:si>
    <x:t xml:space="preserve">U2</x:t>
  </x:si>
  <x:si>
    <x:t xml:space="preserve">U3</x:t>
  </x:si>
  <x:si>
    <x:t xml:space="preserve">U4</x:t>
  </x:si>
  <x:si>
    <x:t xml:space="preserve">U5</x:t>
  </x:si>
  <x:si>
    <x:t xml:space="preserve">U6</x:t>
  </x:si>
  <x:si>
    <x:t xml:space="preserve">D7</x:t>
  </x:si>
  <x:si>
    <x:t xml:space="preserve">U7</x:t>
  </x:si>
  <x:si>
    <x:t xml:space="preserve">D5</x:t>
  </x:si>
  <x:si>
    <x:t xml:space="preserve">D3</x:t>
  </x:si>
  <x:si>
    <x:t xml:space="preserve">D1</x:t>
  </x:si>
  <x:si>
    <x:t xml:space="preserve">D4</x:t>
  </x:si>
  <x:si>
    <x:t xml:space="preserve">I_prop_A</x:t>
  </x:si>
  <x:si>
    <x:t xml:space="preserve">I_prop_B</x:t>
  </x:si>
  <x:si>
    <x:t xml:space="preserve">I_rights_A</x:t>
  </x:si>
  <x:si>
    <x:t xml:space="preserve">I_rights_B</x:t>
  </x:si>
  <x:si>
    <x:t xml:space="preserve">Subgroup_Override_A</x:t>
  </x:si>
  <x:si>
    <x:t xml:space="preserve">Subgroup_Override_B</x:t>
  </x:si>
  <x:si>
    <x:t xml:space="preserve">Right_clean</x:t>
  </x:si>
  <x:si>
    <x:t xml:space="preserve">I_rights_A_num</x:t>
  </x:si>
  <x:si>
    <x:t xml:space="preserve">I_rights_B_num</x:t>
  </x:si>
  <x:si>
    <x:t xml:space="preserve">Key_A</x:t>
  </x:si>
  <x:si>
    <x:t xml:space="preserve">Key_B</x:t>
  </x:si>
  <x:si>
    <x:t xml:space="preserve">Zero / unknown integrity rule: every active rights-cell zero must have an explicit disposition in Rights_Evidence_Disposition. Blank or unreviewed cells are UNKNOWN, not zero. In this worked run, I_rights_A/B are declared I_RF_base proxies from reviewed non-attenuated rights-floor inputs; deployments must construct Canon §7.4 I_RF separately.</x:t>
  </x:si>
  <x:si>
    <x:t xml:space="preserve">CATASTROPHE CELL SET (C_cat) - TRC Loss Computation</x:t>
  </x:si>
  <x:si>
    <x:t xml:space="preserve">Reference: RippleLogic v12.6 Section 8.2 / Appendix D.1</x:t>
  </x:si>
  <x:si>
    <x:t xml:space="preserve">BASE SET (Canonical - governance approval required to extend)</x:t>
  </x:si>
  <x:si>
    <x:t xml:space="preserve">Cell</x:t>
  </x:si>
  <x:si>
    <x:t xml:space="preserve">Weight (ω_c)</x:t>
  </x:si>
  <x:si>
    <x:t xml:space="preserve">Rationale</x:t>
  </x:si>
  <x:si>
    <x:t xml:space="preserve">C1</x:t>
  </x:si>
  <x:si>
    <x:t xml:space="preserve">D2 (Health)</x:t>
  </x:si>
  <x:si>
    <x:t xml:space="preserve">Humanity health catastrophe</x:t>
  </x:si>
  <x:si>
    <x:t xml:space="preserve">C2</x:t>
  </x:si>
  <x:si>
    <x:t xml:space="preserve">D7 (Environ)</x:t>
  </x:si>
  <x:si>
    <x:t xml:space="preserve">Humanity-environment interface</x:t>
  </x:si>
  <x:si>
    <x:t xml:space="preserve">C3</x:t>
  </x:si>
  <x:si>
    <x:t xml:space="preserve">Biosphere integrity</x:t>
  </x:si>
  <x:si>
    <x:t xml:space="preserve">Weight Sum Check:</x:t>
  </x:si>
  <x:si>
    <x:t xml:space="preserve">Must = 1.00</x:t>
  </x:si>
  <x:si>
    <x:t xml:space="preserve">EXTENSION / WEIGHT GOVERNANCE</x:t>
  </x:si>
  <x:si>
    <x:t xml:space="preserve">Current posture</x:t>
  </x:si>
  <x:si>
    <x:t xml:space="preserve">NON-DEFAULT ω_c profile declared for this worked run</x:t>
  </x:si>
  <x:si>
    <x:t xml:space="preserve">0.35 / 0.30 / 0.35</x:t>
  </x:si>
  <x:si>
    <x:t xml:space="preserve">Governed disclosure</x:t>
  </x:si>
  <x:si>
    <x:t xml:space="preserve">If a future run does not declare a non-default profile, revert to the canon’s uniform default over C_cat.</x:t>
  </x:si>
  <x:si>
    <x:t xml:space="preserve">Default rule</x:t>
  </x:si>
  <x:si>
    <x:t xml:space="preserve">Uniform over C_cat unless otherwise governed</x:t>
  </x:si>
  <x:si>
    <x:t xml:space="preserve">Canon Appendix D.6</x:t>
  </x:si>
  <x:si>
    <x:t xml:space="preserve">  - Documentation in PCC</x:t>
  </x:si>
  <x:si>
    <x:t xml:space="preserve">  - CCAT_EXTENDED flag set</x:t>
  </x:si>
  <x:si>
    <x:t xml:space="preserve">CCAT_EXTENDED Flag:</x:t>
  </x:si>
  <x:si>
    <x:t xml:space="preserve">NO - BASE ONLY</x:t>
  </x:si>
  <x:si>
    <x:t xml:space="preserve">Teaching note</x:t>
  </x:si>
  <x:si>
    <x:t xml:space="preserve">Canon default is uniform over C_cat. This exemplar declares a governed non-default profile (0.35 / 0.30 / 0.35) to demonstrate the disclosure path; do not treat these weights as canonical defaults.</x:t>
  </x:si>
  <x:si>
    <x:t xml:space="preserve">MANDATORY TAIL RISK CATEGORIES (WTSL)</x:t>
  </x:si>
  <x:si>
    <x:t xml:space="preserve">Reference: RippleLogic v12.6 Section 8.3.1 / Appendix D.2</x:t>
  </x:si>
  <x:si>
    <x:t xml:space="preserve">Mandatory tails apply by default.
WTSL-AIX is mandatory if AI deployment OR governance-lock-in triggers are plausible; not only when AI_DEPLOYMENT=YES.</x:t>
  </x:si>
  <x:si>
    <x:t xml:space="preserve">AIX may also be included voluntarily under precautionary scenario discovery.</x:t>
  </x:si>
  <x:si>
    <x:t xml:space="preserve">Code</x:t>
  </x:si>
  <x:si>
    <x:t xml:space="preserve">Category</x:t>
  </x:si>
  <x:si>
    <x:t xml:space="preserve">Description</x:t>
  </x:si>
  <x:si>
    <x:t xml:space="preserve">p(cat)</x:t>
  </x:si>
  <x:si>
    <x:t xml:space="preserve">Pandemic</x:t>
  </x:si>
  <x:si>
    <x:t xml:space="preserve">Global health crisis</x:t>
  </x:si>
  <x:si>
    <x:t xml:space="preserve">✓ COVERED</x:t>
  </x:si>
  <x:si>
    <x:t xml:space="preserve">Climate</x:t>
  </x:si>
  <x:si>
    <x:t xml:space="preserve">Climate catastrophe</x:t>
  </x:si>
  <x:si>
    <x:t xml:space="preserve">Financial</x:t>
  </x:si>
  <x:si>
    <x:t xml:space="preserve">Financial system collapse</x:t>
  </x:si>
  <x:si>
    <x:t xml:space="preserve">Conflict</x:t>
  </x:si>
  <x:si>
    <x:t xml:space="preserve">Major armed conflict</x:t>
  </x:si>
  <x:si>
    <x:t xml:space="preserve">Infrastructure</x:t>
  </x:si>
  <x:si>
    <x:t xml:space="preserve">Critical infrastructure failure</x:t>
  </x:si>
  <x:si>
    <x:t xml:space="preserve">AI Risk</x:t>
  </x:si>
  <x:si>
    <x:t xml:space="preserve">AI misalignment event</x:t>
  </x:si>
  <x:si>
    <x:t xml:space="preserve">NOT TRIGGERED IN THIS RUN</x:t>
  </x:si>
  <x:si>
    <x:t xml:space="preserve">CONDITIONAL</x:t>
  </x:si>
  <x:si>
    <x:t xml:space="preserve">COVERAGE CHECK</x:t>
  </x:si>
  <x:si>
    <x:t xml:space="preserve">Mandatory Count:</x:t>
  </x:si>
  <x:si>
    <x:t xml:space="preserve">(5 in this exemplar; 6 if AI deployment or governance-lock-in trigger is plausible)</x:t>
  </x:si>
  <x:si>
    <x:t xml:space="preserve">Required covered count:</x:t>
  </x:si>
  <x:si>
    <x:t xml:space="preserve">(AIX/governance-lock-in conditional row not triggered in this exemplar)</x:t>
  </x:si>
  <x:si>
    <x:t xml:space="preserve">Active mandatory p-sum:</x:t>
  </x:si>
  <x:si>
    <x:t xml:space="preserve">(excludes WTSL-AIX unless AI/governance-lock-in trigger is plausible; inventory including AIX = 0.40)</x:t>
  </x:si>
  <x:si>
    <x:t xml:space="preserve">Governance-lock-in trigger logic</x:t>
  </x:si>
  <x:si>
    <x:t xml:space="preserve">Trigger families</x:t>
  </x:si>
  <x:si>
    <x:t xml:space="preserve">surveillance expansion; emergency-powers lock-in; due-process collapse; information capture; dependency lock-in; concentrated arbitrary control</x:t>
  </x:si>
  <x:si>
    <x:t xml:space="preserve">Worked-run posture</x:t>
  </x:si>
  <x:si>
    <x:t xml:space="preserve">AI_DEPLOYMENT=NO. All six governance-lock-in trigger families were explicitly assessed NO for this worked exemplar: surveillance expansion, emergency-powers lock-in, due-process collapse, information capture, dependency lock-in, and concentrated arbitrary control. Therefore WTSL-AIX is not mandatory for this bounded run.</x:t>
  </x:si>
  <x:si>
    <x:t xml:space="preserve">Negative assessment is exemplar-specific and must be reopened if any trigger becomes plausible.</x:t>
  </x:si>
  <x:si>
    <x:t xml:space="preserve">Tier 3 note</x:t>
  </x:si>
  <x:si>
    <x:t xml:space="preserve">If any trigger is plausible, WTSL-AIX or a governance-lock-in equivalent must be included, grounded, and reviewed before TRC is treated as complete.</x:t>
  </x:si>
  <x:si>
    <x:t xml:space="preserve">IMPACT INSTANCE INPUT</x:t>
  </x:si>
  <x:si>
    <x:t xml:space="preserve">Formula surface (human-only worked run): Contrib_Base = μ × r × ℓ × c × e × 1 × τ(t); Contrib_Welfare = μ × r × ℓ × c × e × h_welfare × τ(t). h_welfare is a declared welfare-inclusion hypothesis coefficient, not an MPS score. Every logged stakeholder is human FPP, so h_welfare=1.00.</x:t>
  </x:si>
  <x:si>
    <x:t xml:space="preserve">Tier-2 disclosure surface added: ReachBasisType / Denominator / Estimator per logged impact instance.</x:t>
  </x:si>
  <x:si>
    <x:t xml:space="preserve">v9.x+1 hardening: explicit e_k governance + provenance fields for each logged impact instance.</x:t>
  </x:si>
  <x:si>
    <x:t xml:space="preserve">Identity condition note. Every logged instance is a human FPP stakeholder, so h_welfare=1.00 and Base/Welfare contributions are numerically identical. A generalized non-human or mixed-substrate run must test every decision-material welfare-inclusion hypothesis required by the valid MPS record and disclose MPS_HYPOTHESIS_SENSITIVE when results differ.</x:t>
  </x:si>
  <x:si>
    <x:t xml:space="preserve">ID</x:t>
  </x:si>
  <x:si>
    <x:t xml:space="preserve">Opt</x:t>
  </x:si>
  <x:si>
    <x:t xml:space="preserve">Dim</x:t>
  </x:si>
  <x:si>
    <x:t xml:space="preserve">μ</x:t>
  </x:si>
  <x:si>
    <x:t xml:space="preserve">r</x:t>
  </x:si>
  <x:si>
    <x:t xml:space="preserve">ℓ</x:t>
  </x:si>
  <x:si>
    <x:t xml:space="preserve">c</x:t>
  </x:si>
  <x:si>
    <x:t xml:space="preserve">t</x:t>
  </x:si>
  <x:si>
    <x:t xml:space="preserve">e</x:t>
  </x:si>
  <x:si>
    <x:t xml:space="preserve">h_welfare</x:t>
  </x:si>
  <x:si>
    <x:t xml:space="preserve">τ(t)</x:t>
  </x:si>
  <x:si>
    <x:t xml:space="preserve">Contrib</x:t>
  </x:si>
  <x:si>
    <x:t xml:space="preserve">ReachBasisType</x:t>
  </x:si>
  <x:si>
    <x:t xml:space="preserve">ReachBasisDenominator</x:t>
  </x:si>
  <x:si>
    <x:t xml:space="preserve">ReachBasisEstimator</x:t>
  </x:si>
  <x:si>
    <x:t xml:space="preserve">e_k_ReasonCode</x:t>
  </x:si>
  <x:si>
    <x:t xml:space="preserve">e_k_DefaultCounterfactual</x:t>
  </x:si>
  <x:si>
    <x:t xml:space="preserve">Input_Provenance_Note</x:t>
  </x:si>
  <x:si>
    <x:t xml:space="preserve">Contrib_Base</x:t>
  </x:si>
  <x:si>
    <x:t xml:space="preserve">Contrib_Welfare</x:t>
  </x:si>
  <x:si>
    <x:t xml:space="preserve">Stream_Identity_Note</x:t>
  </x:si>
  <x:si>
    <x:t xml:space="preserve">ReachBasisNote</x:t>
  </x:si>
  <x:si>
    <x:t xml:space="preserve">I01</x:t>
  </x:si>
  <x:si>
    <x:t xml:space="preserve">Reduced in-person interaction</x:t>
  </x:si>
  <x:si>
    <x:t xml:space="preserve">OTHER_DECLARED</x:t>
  </x:si>
  <x:si>
    <x:t xml:space="preserve">Context-specific affected group or exposure denominator</x:t>
  </x:si>
  <x:si>
    <x:t xml:space="preserve">Tier-2 analyst estimate</x:t>
  </x:si>
  <x:si>
    <x:t xml:space="preserve">DEFAULT_1.00</x:t>
  </x:si>
  <x:si>
    <x:t xml:space="preserve">Worked-run analyst estimate; see PCC Section 17 for provenance and materiality rules.</x:t>
  </x:si>
  <x:si>
    <x:t xml:space="preserve">Human-only worked run: Base = Welfare because FPP is TRUE and h_welfare=1.00. Generalized runs require governed welfare-inclusion hypothesis sensitivity; GPR/SPR/ICP never change protection or authority automatically.</x:t>
  </x:si>
  <x:si>
    <x:t xml:space="preserve">Canonical enum = OTHER_DECLARED. This worked-run uses a declared instance-share/exposure denominator for exemplar purposes; not a population-fraction claim.</x:t>
  </x:si>
  <x:si>
    <x:t xml:space="preserve">I02</x:t>
  </x:si>
  <x:si>
    <x:t xml:space="preserve">Increased online community</x:t>
  </x:si>
  <x:si>
    <x:t xml:space="preserve">I03</x:t>
  </x:si>
  <x:si>
    <x:t xml:space="preserve">Increased work flexibility</x:t>
  </x:si>
  <x:si>
    <x:t xml:space="preserve">I04</x:t>
  </x:si>
  <x:si>
    <x:t xml:space="preserve">Reduced commuting costs</x:t>
  </x:si>
  <x:si>
    <x:t xml:space="preserve">I05</x:t>
  </x:si>
  <x:si>
    <x:t xml:space="preserve">D6</x:t>
  </x:si>
  <x:si>
    <x:t xml:space="preserve">Better work-life balance</x:t>
  </x:si>
  <x:si>
    <x:t xml:space="preserve">I06</x:t>
  </x:si>
  <x:si>
    <x:t xml:space="preserve">Reduced carbon emissions</x:t>
  </x:si>
  <x:si>
    <x:t xml:space="preserve">I07</x:t>
  </x:si>
  <x:si>
    <x:t xml:space="preserve">Tech infrastructure costs</x:t>
  </x:si>
  <x:si>
    <x:t xml:space="preserve">I08</x:t>
  </x:si>
  <x:si>
    <x:t xml:space="preserve">Reduced local business revenue</x:t>
  </x:si>
  <x:si>
    <x:t xml:space="preserve">I09</x:t>
  </x:si>
  <x:si>
    <x:t xml:space="preserve">B</x:t>
  </x:si>
  <x:si>
    <x:t xml:space="preserve">Maintained in-person bonds</x:t>
  </x:si>
  <x:si>
    <x:t xml:space="preserve">I10</x:t>
  </x:si>
  <x:si>
    <x:t xml:space="preserve">Limited flexibility</x:t>
  </x:si>
  <x:si>
    <x:t xml:space="preserve">I11</x:t>
  </x:si>
  <x:si>
    <x:t xml:space="preserve">Continued commuting costs</x:t>
  </x:si>
  <x:si>
    <x:t xml:space="preserve">I12</x:t>
  </x:si>
  <x:si>
    <x:t xml:space="preserve">Continued emissions</x:t>
  </x:si>
  <x:si>
    <x:t xml:space="preserve">I13</x:t>
  </x:si>
  <x:si>
    <x:t xml:space="preserve">Stable infrastructure</x:t>
  </x:si>
  <x:si>
    <x:t xml:space="preserve">I14</x:t>
  </x:si>
  <x:si>
    <x:t xml:space="preserve">Maintained local business</x:t>
  </x:si>
  <x:si>
    <x:t xml:space="preserve">SCENARIO-CONDITIONED IMPACT TABLES</x:t>
  </x:si>
  <x:si>
    <x:t xml:space="preserve">Reference: RippleLogic v12.6 Section 8.4</x:t>
  </x:si>
  <x:si>
    <x:t xml:space="preserve">SCENARIO PRIOR VALIDATION</x:t>
  </x:si>
  <x:si>
    <x:t xml:space="preserve">L(a,s) = Σ_{c∈C_cat} ω_c × max(0, −I_prop_c(a|s))</x:t>
  </x:si>
  <x:si>
    <x:t xml:space="preserve">A_PRIOR_SUM</x:t>
  </x:si>
  <x:si>
    <x:t xml:space="preserve">NOTE: Loss is computed from catastrophe-cell impacts. Do NOT manually enter Loss. Fill catastrophe-cell impacts (F:H) per scenario; Loss (computed) updates automatically.</x:t>
  </x:si>
  <x:si>
    <x:t xml:space="preserve">v9.x+1 hardening: scenario-probability provenance fields added for audit replay.</x:t>
  </x:si>
  <x:si>
    <x:t xml:space="preserve">A_PRIOR_STATUS</x:t>
  </x:si>
  <x:si>
    <x:t xml:space="preserve">C_cat: U6-D2(0.35), U6-D7(0.30), U7-D7(0.35)</x:t>
  </x:si>
  <x:si>
    <x:t xml:space="preserve">B_PRIOR_SUM</x:t>
  </x:si>
  <x:si>
    <x:t xml:space="preserve">B_PRIOR_STATUS</x:t>
  </x:si>
  <x:si>
    <x:t xml:space="preserve">OPTION A SCENARIO LOSSES</x:t>
  </x:si>
  <x:si>
    <x:t xml:space="preserve">U6 / TRC CLASSIFICATION</x:t>
  </x:si>
  <x:si>
    <x:t xml:space="preserve">U6_View_Tag</x:t>
  </x:si>
  <x:si>
    <x:t xml:space="preserve">Severity / dependence note</x:t>
  </x:si>
  <x:si>
    <x:t xml:space="preserve">Scenario</x:t>
  </x:si>
  <x:si>
    <x:t xml:space="preserve">p(s)</x:t>
  </x:si>
  <x:si>
    <x:t xml:space="preserve">Loss</x:t>
  </x:si>
  <x:si>
    <x:t xml:space="preserve">Pathway</x:t>
  </x:si>
  <x:si>
    <x:t xml:space="preserve">U6-D2 I_prop</x:t>
  </x:si>
  <x:si>
    <x:t xml:space="preserve">U6-D7 I_prop</x:t>
  </x:si>
  <x:si>
    <x:t xml:space="preserve">U7-D7 I_prop</x:t>
  </x:si>
  <x:si>
    <x:t xml:space="preserve">Loss (computed)</x:t>
  </x:si>
  <x:si>
    <x:t xml:space="preserve">p_s_ReasonCode</x:t>
  </x:si>
  <x:si>
    <x:t xml:space="preserve">p_s_SourceNote</x:t>
  </x:si>
  <x:si>
    <x:t xml:space="preserve">S01 BASELINE</x:t>
  </x:si>
  <x:si>
    <x:t xml:space="preserve">U6_HUMANITY</x:t>
  </x:si>
  <x:si>
    <x:t xml:space="preserve">C1_SEVERE; mutually exclusive scenario partition in this worked example</x:t>
  </x:si>
  <x:si>
    <x:t xml:space="preserve">S01</x:t>
  </x:si>
  <x:si>
    <x:t xml:space="preserve">Minor monitoring reduction</x:t>
  </x:si>
  <x:si>
    <x:t xml:space="preserve">DECLARED_PRIOR</x:t>
  </x:si>
  <x:si>
    <x:t xml:space="preserve">Worked-run structured scenario prior; see PCC Section 17.</x:t>
  </x:si>
  <x:si>
    <x:t xml:space="preserve">S02 WTSL-FIN</x:t>
  </x:si>
  <x:si>
    <x:t xml:space="preserve">C1_SEVERE; financial driver cluster</x:t>
  </x:si>
  <x:si>
    <x:t xml:space="preserve">S02</x:t>
  </x:si>
  <x:si>
    <x:t xml:space="preserve">Budget cuts reduce compliance</x:t>
  </x:si>
  <x:si>
    <x:t xml:space="preserve">S03 WTSL-PAN</x:t>
  </x:si>
  <x:si>
    <x:t xml:space="preserve">C2_SYSTEMIC; public-health driver cluster</x:t>
  </x:si>
  <x:si>
    <x:t xml:space="preserve">S03</x:t>
  </x:si>
  <x:si>
    <x:t xml:space="preserve">Health crisis, isolation stress</x:t>
  </x:si>
  <x:si>
    <x:t xml:space="preserve">S04 WTSL-CLI</x:t>
  </x:si>
  <x:si>
    <x:t xml:space="preserve">U6_MIXED_WITH_DECOMPOSITION</x:t>
  </x:si>
  <x:si>
    <x:t xml:space="preserve">C2_SYSTEMIC; U6 human and U7 ecological components recorded separately</x:t>
  </x:si>
  <x:si>
    <x:t xml:space="preserve">S04</x:t>
  </x:si>
  <x:si>
    <x:t xml:space="preserve">Climate degrades biosphere</x:t>
  </x:si>
  <x:si>
    <x:t xml:space="preserve">S05 WTSL-INF</x:t>
  </x:si>
  <x:si>
    <x:t xml:space="preserve">U6_COORDINATION</x:t>
  </x:si>
  <x:si>
    <x:t xml:space="preserve">C1_SEVERE; infrastructure/dependency cluster</x:t>
  </x:si>
  <x:si>
    <x:t xml:space="preserve">S05</x:t>
  </x:si>
  <x:si>
    <x:t xml:space="preserve">Tech dependency vulnerability</x:t>
  </x:si>
  <x:si>
    <x:t xml:space="preserve">S06 WTSL-CON</x:t>
  </x:si>
  <x:si>
    <x:t xml:space="preserve">C2_SYSTEMIC; conflict driver cluster</x:t>
  </x:si>
  <x:si>
    <x:t xml:space="preserve">S06</x:t>
  </x:si>
  <x:si>
    <x:t xml:space="preserve">Conflict casualties</x:t>
  </x:si>
  <x:si>
    <x:t xml:space="preserve">S07 WTSL-AIX</x:t>
  </x:si>
  <x:si>
    <x:t xml:space="preserve">C2_SYSTEMIC; AI/coordination driver cluster</x:t>
  </x:si>
  <x:si>
    <x:t xml:space="preserve">S07</x:t>
  </x:si>
  <x:si>
    <x:t xml:space="preserve">AI failures cascade</x:t>
  </x:si>
  <x:si>
    <x:t xml:space="preserve">Partition rule</x:t>
  </x:si>
  <x:si>
    <x:t xml:space="preserve">N/A</x:t>
  </x:si>
  <x:si>
    <x:t xml:space="preserve">Scenarios are a declared mutually exclusive worked-run partition; category labels are not separately summed as independent events.</x:t>
  </x:si>
  <x:si>
    <x:t xml:space="preserve">OPTION B SCENARIO LOSSES</x:t>
  </x:si>
  <x:si>
    <x:t xml:space="preserve">Emissions continue</x:t>
  </x:si>
  <x:si>
    <x:t xml:space="preserve">Community bonds buffer</x:t>
  </x:si>
  <x:si>
    <x:t xml:space="preserve">Transmission risk</x:t>
  </x:si>
  <x:si>
    <x:t xml:space="preserve">Resilience buffers</x:t>
  </x:si>
  <x:si>
    <x:t xml:space="preserve">Less tech-dependent</x:t>
  </x:si>
  <x:si>
    <x:t xml:space="preserve">Human coord persists</x:t>
  </x:si>
  <x:si>
    <x:t xml:space="preserve">Less AI dependency</x:t>
  </x:si>
  <x:si>
    <x:t xml:space="preserve">KEY INSIGHT: Option A has zero loss in baseline scenario S01; it has nonzero losses in tail scenarios. Option B has minor baseline loss (0.003574).</x:t>
  </x:si>
  <x:si>
    <x:t xml:space="preserve">Both options pass TRC (CVaR ≤ τ_TRC = 0.20)</x:t>
  </x:si>
  <x:si>
    <x:t xml:space="preserve">NOTE: WTSL-AIX (S07) included voluntarily as precautionary measure.</x:t>
  </x:si>
  <x:si>
    <x:t xml:space="preserve">AI_DEPLOYMENT=NO, so not mandatory for tail coverage.</x:t>
  </x:si>
  <x:si>
    <x:t xml:space="preserve">IMPACT PROPAGATION MATRIX (I_prop)</x:t>
  </x:si>
  <x:si>
    <x:t xml:space="preserve">Mode: NONE (direct aggregation from Impact_Input; post-saturation tanh(β×Ĩ_dir))</x:t>
  </x:si>
  <x:si>
    <x:t xml:space="preserve">OPTION A</x:t>
  </x:si>
  <x:si>
    <x:t xml:space="preserve">OPTION B</x:t>
  </x:si>
  <x:si>
    <x:t xml:space="preserve">LEVEL 1: REALITY GROUNDING / REALITY-SURFACE GROUNDING (RSG)</x:t>
  </x:si>
  <x:si>
    <x:t xml:space="preserve">Level 1: declare reality surface, evidence trace, material unknowns, transition boundary, consequence pathways, and claim boundary. No claim may exceed its reality surface.</x:t>
  </x:si>
  <x:si>
    <x:t xml:space="preserve">Workbook version</x:t>
  </x:si>
  <x:si>
    <x:t xml:space="preserve">Patch type</x:t>
  </x:si>
  <x:si>
    <x:t xml:space="preserve">Methodological Integrity and Release Synchronization Patch; carries forward Term Discrimination and Semantic Stability controls</x:t>
  </x:si>
  <x:si>
    <x:t xml:space="preserve">Make Level 1 operational: a decision must declare the reality surface, evidence trace, material unknowns, transition boundary, consequence pathways, and claim boundary before rights, risk, containment, or scoring claims are made.</x:t>
  </x:si>
  <x:si>
    <x:t xml:space="preserve">Notes</x:t>
  </x:si>
  <x:si>
    <x:t xml:space="preserve">RealitySurfaceDescription</x:t>
  </x:si>
  <x:si>
    <x:t xml:space="preserve">Tier-2 worked-run decision context and affected union surfaces</x:t>
  </x:si>
  <x:si>
    <x:t xml:space="preserve">ASSUMPTION_BOUND</x:t>
  </x:si>
  <x:si>
    <x:t xml:space="preserve">The reality surface is the modeled decision-relevant portion of the territory, not the whole territory.</x:t>
  </x:si>
  <x:si>
    <x:t xml:space="preserve">EvidenceTrace</x:t>
  </x:si>
  <x:si>
    <x:t xml:space="preserve">Workbook model, PCC export, sanity checks, audit flags, scenario tables</x:t>
  </x:si>
  <x:si>
    <x:t xml:space="preserve">GROUNDED</x:t>
  </x:si>
  <x:si>
    <x:t xml:space="preserve">The evidence trace supports workbook-local reconstruction, not empirical validation.</x:t>
  </x:si>
  <x:si>
    <x:t xml:space="preserve">MaterialUnknowns</x:t>
  </x:si>
  <x:si>
    <x:t xml:space="preserve">UCI not cross-domain validated; containment is Tier-2 proxy; biological SGP measurement remains guidance-stage</x:t>
  </x:si>
  <x:si>
    <x:t xml:space="preserve">DECLARED_UNKNOWN</x:t>
  </x:si>
  <x:si>
    <x:t xml:space="preserve">Unknowns are not zeros and do not authorize stronger maturity claims.</x:t>
  </x:si>
  <x:si>
    <x:t xml:space="preserve">TransitionOrActionBoundary</x:t>
  </x:si>
  <x:si>
    <x:t xml:space="preserve">Remote Work Policy Implementation: Option A vs Option B within the worked-run model</x:t>
  </x:si>
  <x:si>
    <x:t xml:space="preserve">A consequence claim requires a declared transition boundary.</x:t>
  </x:si>
  <x:si>
    <x:t xml:space="preserve">ConsequencePathways</x:t>
  </x:si>
  <x:si>
    <x:t xml:space="preserve">Affected unions, institutional roles, worker/family/community impacts, model boundaries, scenario pathways</x:t>
  </x:si>
  <x:si>
    <x:t xml:space="preserve">Pathways are modeled surfaces, not complete territory capture.</x:t>
  </x:si>
  <x:si>
    <x:t xml:space="preserve">ClaimBoundary</x:t>
  </x:si>
  <x:si>
    <x:t xml:space="preserve">Worked-run exemplar; not empirical validation, legal certification, deployment certification, or Tier 4/ProofPack readiness</x:t>
  </x:si>
  <x:si>
    <x:t xml:space="preserve">RECORDED</x:t>
  </x:si>
  <x:si>
    <x:t xml:space="preserve">No claim may exceed its reality surface.</x:t>
  </x:si>
  <x:si>
    <x:t xml:space="preserve">RealityGroundingStatus</x:t>
  </x:si>
  <x:si>
    <x:t xml:space="preserve">CANONICAL_ENUM</x:t>
  </x:si>
  <x:si>
    <x:t xml:space="preserve">Primary status for the worked-run surface. EVIDENCE_BACKED remains a legacy alias for GROUNDED where the evidence surface is sufficient.</x:t>
  </x:si>
  <x:si>
    <x:t xml:space="preserve">VehicleContentEffectNotes</x:t>
  </x:si>
  <x:si>
    <x:t xml:space="preserve">Model outputs, scores, authority records, and consensus statements are vehicles; their content may be true or false; their effects may be real.</x:t>
  </x:si>
  <x:si>
    <x:t xml:space="preserve">Prevents consensus/model output from being treated as reality itself.</x:t>
  </x:si>
  <x:si>
    <x:t xml:space="preserve">SurfaceTerritoryLimitations</x:t>
  </x:si>
  <x:si>
    <x:t xml:space="preserve">The workbook captures a declared reality surface; the territory exceeds the model.</x:t>
  </x:si>
  <x:si>
    <x:t xml:space="preserve">Supports TRC, Containment, unknown-not-zero, and refusal discipline.</x:t>
  </x:si>
  <x:si>
    <x:t xml:space="preserve">FalsificationOrRevisionTrigger</x:t>
  </x:si>
  <x:si>
    <x:t xml:space="preserve">New evidence, scenario update, stakeholder challenge, monitoring failure, formula/audit defect, or unsupported status-vs-trace assertion</x:t>
  </x:si>
  <x:si>
    <x:t xml:space="preserve">A revised claim after failure is a new claim, not retroactive success.</x:t>
  </x:si>
  <x:si>
    <x:t xml:space="preserve">MonitoringPath</x:t>
  </x:si>
  <x:si>
    <x:t xml:space="preserve">PCC review, audit flags, release verification, future pilot monitoring</x:t>
  </x:si>
  <x:si>
    <x:t xml:space="preserve">The framework's own deployment effects remain audit-relevant.</x:t>
  </x:si>
  <x:si>
    <x:t xml:space="preserve">ConstraintEpistemicStatus</x:t>
  </x:si>
  <x:si>
    <x:t xml:space="preserve">MIXED: modeled/inferred/normative commitment</x:t>
  </x:si>
  <x:si>
    <x:t xml:space="preserve">CANONICAL_REVIEW_FIELD</x:t>
  </x:si>
  <x:si>
    <x:t xml:space="preserve">Rights floors and non-domination constraints are declared normative commitments; empirical constraints require evidence traces.</x:t>
  </x:si>
  <x:si>
    <x:t xml:space="preserve">Option A and Option B policy/action boundary for the Tier-2 worked-run exemplar</x:t>
  </x:si>
  <x:si>
    <x:t xml:space="preserve">Consequences arise when action, event, policy, or decision enters constrained structure.</x:t>
  </x:si>
  <x:si>
    <x:t xml:space="preserve">NCRC, TRC, Containment, RLS, UCI/HOI, PCC, monitoring, and authority-selection pathways</x:t>
  </x:si>
  <x:si>
    <x:t xml:space="preserve">Consequence may be direct, probabilistic, systemic, delayed, distributed, moral, institutional, ecological, or catastrophic.</x:t>
  </x:si>
  <x:si>
    <x:t xml:space="preserve">EthicalRealityClass</x:t>
  </x:si>
  <x:si>
    <x:t xml:space="preserve">MIXED: measured/indicator-supported; inferred/uncertainty-bound; normative commitment</x:t>
  </x:si>
  <x:si>
    <x:t xml:space="preserve">Ethical reality is where structures, constraints, and consequences affect welfare-bearing beings and flourishing conditions.</x:t>
  </x:si>
  <x:si>
    <x:t xml:space="preserve">Tier-2 worked-run demonstration; not empirical validation, Tier-4, ProofPack-ready, deployment certification, or deterministic framework selection</x:t>
  </x:si>
  <x:si>
    <x:t xml:space="preserve">BOUNDARY PRESERVED</x:t>
  </x:si>
  <x:si>
    <x:t xml:space="preserve">The claim must not exceed the reality surface or evidence trace.</x:t>
  </x:si>
  <x:si>
    <x:t xml:space="preserve">RefusalTrigger</x:t>
  </x:si>
  <x:si>
    <x:t xml:space="preserve">Gate-critical unknown, insufficient evidence surface, unsupported RealityGroundingStatus, material stakeholder challenge, formula/audit defect, or monitoring failure</x:t>
  </x:si>
  <x:si>
    <x:t xml:space="preserve">Refusal is integrity when reality-grounding is insufficient.</x:t>
  </x:si>
  <x:si>
    <x:t xml:space="preserve">Derived rule</x:t>
  </x:si>
  <x:si>
    <x:t xml:space="preserve">Because the territory exceeds every modeled surface and catastrophic outcomes can be irreversible or unbounded, TRC and Containment are non-averagable gate disciplines.</x:t>
  </x:si>
  <x:si>
    <x:t xml:space="preserve">NORMATIVE INTERPRETATION</x:t>
  </x:si>
  <x:si>
    <x:t xml:space="preserve">TRC and Containment follow from P1 under finite knowledge.</x:t>
  </x:si>
  <x:si>
    <x:t xml:space="preserve">Non-claim</x:t>
  </x:si>
  <x:si>
    <x:t xml:space="preserve">This sheet does not make the workbook empirically validated, ProofPack-ready, Tier-4-ready, or deployment-certified.</x:t>
  </x:si>
  <x:si>
    <x:t xml:space="preserve">Status-axis disclosure</x:t>
  </x:si>
  <x:si>
    <x:t xml:space="preserve">RealityGroundingStatus and Evidence_Status_Token are distinct axes: RealityGroundingStatus is the run-level claim posture; Evidence_Status_Token is the per-input evidence grade. ASSUMPTION_BOUND run posture with ESTIMATED dominant inputs is consistent for this exemplar.</x:t>
  </x:si>
  <x:si>
    <x:t xml:space="preserve">Prevents apparent conflict between Dashboard RealityGroundingStatus and PCC/ReferenceStructureRecord evidence tokens.</x:t>
  </x:si>
  <x:si>
    <x:t xml:space="preserve">CATEGORY GROUNDING, PRIMITIVE AUDIT, AND TERM DISCRIMINATION PRE-FLIGHT</x:t>
  </x:si>
  <x:si>
    <x:t xml:space="preserve">Category Grounding is a required subdiscipline of Reality Grounding when a material category affects rights, tail risk, containment, SGP interpretation, authority, conformance, public claims, or optimized metrics. The current v5.6 surface retains Term Discrimination fields so material terms declare discriminator, dependency position, non-collapse risks, and refusal condition.</x:t>
  </x:si>
  <x:si>
    <x:t xml:space="preserve">Record name: CategoryGroundingRecord / TermDiscriminationRecord</x:t>
  </x:si>
  <x:si>
    <x:t xml:space="preserve">Five-level method preserved: Reality Grounding -&gt; Rights Floor -&gt; Tail-Risk Constraint -&gt; Containment and Structural Viability -&gt; RippleLogic Score. Category Grounding and Term Discrimination belong inside Reality Grounding when material.</x:t>
  </x:si>
  <x:si>
    <x:t xml:space="preserve">Materiality test: a category or term is material when changing its definition, discriminator, dependency position, inclusion boundary, exclusion boundary, or reference structure could change RealityGroundingStatus, NCRC, TRC, Containment, SGP interpretation, authority, conformance, public claims, deterministic selection, execution authority, or optimized metrics.</x:t>
  </x:si>
  <x:si>
    <x:t xml:space="preserve">Material Category</x:t>
  </x:si>
  <x:si>
    <x:t xml:space="preserve">Category Role</x:t>
  </x:si>
  <x:si>
    <x:t xml:space="preserve">Primitive Basis</x:t>
  </x:si>
  <x:si>
    <x:t xml:space="preserve">Category Definition</x:t>
  </x:si>
  <x:si>
    <x:t xml:space="preserve">Inclusion Boundary</x:t>
  </x:si>
  <x:si>
    <x:t xml:space="preserve">Exclusion Boundary</x:t>
  </x:si>
  <x:si>
    <x:t xml:space="preserve">Reference Structure</x:t>
  </x:si>
  <x:si>
    <x:t xml:space="preserve">Evidence Surface</x:t>
  </x:si>
  <x:si>
    <x:t xml:space="preserve">Maturity Status</x:t>
  </x:si>
  <x:si>
    <x:t xml:space="preserve">Semantic Debt</x:t>
  </x:si>
  <x:si>
    <x:t xml:space="preserve">Falsification / Revision Trigger</x:t>
  </x:si>
  <x:si>
    <x:t xml:space="preserve">Reviewer Status</x:t>
  </x:si>
  <x:si>
    <x:t xml:space="preserve">Required Claim Action</x:t>
  </x:si>
  <x:si>
    <x:t xml:space="preserve">Failure Class</x:t>
  </x:si>
  <x:si>
    <x:t xml:space="preserve">Auto Guardrail Recommendation</x:t>
  </x:si>
  <x:si>
    <x:t xml:space="preserve">Category Discriminator</x:t>
  </x:si>
  <x:si>
    <x:t xml:space="preserve">Dependency Position</x:t>
  </x:si>
  <x:si>
    <x:t xml:space="preserve">Term Refusal Condition</x:t>
  </x:si>
  <x:si>
    <x:t xml:space="preserve">Noncollapse Pairs</x:t>
  </x:si>
  <x:si>
    <x:t xml:space="preserve">Source Authority Status</x:t>
  </x:si>
  <x:si>
    <x:t xml:space="preserve">Stakeholder inclusion</x:t>
  </x:si>
  <x:si>
    <x:t xml:space="preserve">Determines who counts in the run</x:t>
  </x:si>
  <x:si>
    <x:t xml:space="preserve">Union / welfare / rights</x:t>
  </x:si>
  <x:si>
    <x:t xml:space="preserve">Stakeholders whose welfare, rights, risk exposure, agency, or available choices may materially change under the option.</x:t>
  </x:si>
  <x:si>
    <x:t xml:space="preserve">Directly affected persons/systems, indirect externality bearers, rights-exposed groups, future or ecological stakeholders where pathway is plausible.</x:t>
  </x:si>
  <x:si>
    <x:t xml:space="preserve">Purely rhetorical audiences with no plausible material exposure, unless public claim or legitimacy effects are material.</x:t>
  </x:si>
  <x:si>
    <x:t xml:space="preserve">Stakeholder Discovery Protocol; instance-to-scope mapping; rights exposure; consequence pathways.</x:t>
  </x:si>
  <x:si>
    <x:t xml:space="preserve">Stakeholder map, testimony, operational data, externality model, rights exposure scan.</x:t>
  </x:si>
  <x:si>
    <x:t xml:space="preserve">MEDIUM</x:t>
  </x:si>
  <x:si>
    <x:t xml:space="preserve">New omitted-stakeholder claim, changed boundary, rights exposure, externality evidence, or challenger review.</x:t>
  </x:si>
  <x:si>
    <x:t xml:space="preserve">NEEDS_REVIEW</x:t>
  </x:si>
  <x:si>
    <x:t xml:space="preserve">NARROW</x:t>
  </x:si>
  <x:si>
    <x:t xml:space="preserve">CATEGORY_SCOPE_FAILURE</x:t>
  </x:si>
  <x:si>
    <x:t xml:space="preserve">ESCALATE / SENSITIVITY_ONLY</x:t>
  </x:si>
  <x:si>
    <x:t xml:space="preserve">Affected entity has plausible material welfare/rights/risk exposure.</x:t>
  </x:si>
  <x:si>
    <x:t xml:space="preserve">CATEGORY_BOUNDARY</x:t>
  </x:si>
  <x:si>
    <x:t xml:space="preserve">Refuse or narrow if omitted stakeholder class could alter rights, risk, containment, or public claim.</x:t>
  </x:si>
  <x:si>
    <x:t xml:space="preserve">Stakeholder != audience; exposure != preference</x:t>
  </x:si>
  <x:si>
    <x:t xml:space="preserve">Framework-defined + evidence-supported</x:t>
  </x:si>
  <x:si>
    <x:t xml:space="preserve">Harm</x:t>
  </x:si>
  <x:si>
    <x:t xml:space="preserve">Defines rights and welfare impacts</x:t>
  </x:si>
  <x:si>
    <x:t xml:space="preserve">Rights / consequence</x:t>
  </x:si>
  <x:si>
    <x:t xml:space="preserve">Negative consequence to welfare, rights, agency, health, social integrity, knowledge, meaning, environment, or containing-system capacity.</x:t>
  </x:si>
  <x:si>
    <x:t xml:space="preserve">Material direct, indirect, probabilistic, delayed, cumulative, rights-covered, or catastrophic adverse effects.</x:t>
  </x:si>
  <x:si>
    <x:t xml:space="preserve">Mere inconvenience or preference frustration without material welfare/rights/risk pathway, unless repeated/cumulative or coercive.</x:t>
  </x:si>
  <x:si>
    <x:t xml:space="preserve">Rights catalogue; 7x7 welfare matrix; TRC; Containment; evidence trace.</x:t>
  </x:si>
  <x:si>
    <x:t xml:space="preserve">Impact evidence, scenario analysis, measured outcomes, affected-party reports, domain research.</x:t>
  </x:si>
  <x:si>
    <x:t xml:space="preserve">New injury evidence, subgroup disproportionality, delayed harm, catastrophic pathway, or invalid proxy.</x:t>
  </x:si>
  <x:si>
    <x:t xml:space="preserve">CATEGORY_BOUNDARY_FAILURE</x:t>
  </x:si>
  <x:si>
    <x:t xml:space="preserve">SENSITIVITY_ONLY / ESCALATE</x:t>
  </x:si>
  <x:si>
    <x:t xml:space="preserve">Negative consequence crosses welfare, rights, risk, or structural integrity pathway.</x:t>
  </x:si>
  <x:si>
    <x:t xml:space="preserve">RIGHTS_ADMISSIBILITY / RESIDUAL_RANKING</x:t>
  </x:si>
  <x:si>
    <x:t xml:space="preserve">Refuse stronger harm claim if pathway, severity, subgroup, or evidence surface is insufficient.</x:t>
  </x:si>
  <x:si>
    <x:t xml:space="preserve">Harm != inconvenience; harm != dislike</x:t>
  </x:si>
  <x:si>
    <x:t xml:space="preserve">Rights Floor</x:t>
  </x:si>
  <x:si>
    <x:t xml:space="preserve">Controls NCRC admissibility</x:t>
  </x:si>
  <x:si>
    <x:t xml:space="preserve">Non-compensatory rights</x:t>
  </x:si>
  <x:si>
    <x:t xml:space="preserve">SENSITIVITY_ONLY / MONITOR</x:t>
  </x:si>
  <x:si>
    <x:t xml:space="preserve">Non-compensatory protected minimum, not weighted welfare preference.</x:t>
  </x:si>
  <x:si>
    <x:t xml:space="preserve">RIGHTS_ADMISSIBILITY</x:t>
  </x:si>
  <x:si>
    <x:t xml:space="preserve">Reject or escalate if rights threshold, covered subgroup, or localization basis is insufficient.</x:t>
  </x:si>
  <x:si>
    <x:t xml:space="preserve">Rights floor != welfare score; rights pass != selection</x:t>
  </x:si>
  <x:si>
    <x:t xml:space="preserve">Framework-defined</x:t>
  </x:si>
  <x:si>
    <x:t xml:space="preserve">Sentience / moral patienthood</x:t>
  </x:si>
  <x:si>
    <x:t xml:space="preserve">Controls SGP protection surface</x:t>
  </x:si>
  <x:si>
    <x:t xml:space="preserve">Awareness / agency / union participation</x:t>
  </x:si>
  <x:si>
    <x:t xml:space="preserve">Welfare-bearing moral patienthood supported by credible evidence of experience-relevant capacities under SGP.</x:t>
  </x:si>
  <x:si>
    <x:t xml:space="preserve">Entities with evidence sufficient for protection-surface treatment under SGP, including precautionary biological/taxon baselines where applicable.</x:t>
  </x:si>
  <x:si>
    <x:t xml:space="preserve">Fluent output, role simulation, behavioral mimicry, benchmark performance, or self-report alone without convergent evidence.</x:t>
  </x:si>
  <x:si>
    <x:t xml:space="preserve">SGP evidence tiers; protection surface; substrate maturity boundary; reviewer trace.</x:t>
  </x:si>
  <x:si>
    <x:t xml:space="preserve">Declared observations, biological/architectural evidence, behavior under controls, expert review, uncertainty record.</x:t>
  </x:si>
  <x:si>
    <x:t xml:space="preserve">CONTESTED</x:t>
  </x:si>
  <x:si>
    <x:t xml:space="preserve">HIGH</x:t>
  </x:si>
  <x:si>
    <x:t xml:space="preserve">New substrate evidence, welfare indicator, challenge to fluency/interiority distinction, expert disagreement, or maturity upgrade.</x:t>
  </x:si>
  <x:si>
    <x:t xml:space="preserve">ESCALATE</x:t>
  </x:si>
  <x:si>
    <x:t xml:space="preserve">CATEGORY_REFERENCE_FAILURE</x:t>
  </x:si>
  <x:si>
    <x:t xml:space="preserve">NARROW / ESCALATE</x:t>
  </x:si>
  <x:si>
    <x:t xml:space="preserve">Welfare-bearing moral patienthood under SGP evidence discipline.</x:t>
  </x:si>
  <x:si>
    <x:t xml:space="preserve">SGP_PROTECTION_SURFACE</x:t>
  </x:si>
  <x:si>
    <x:t xml:space="preserve">Narrow or escalate if fluency, self-report, or benchmark performance is used as interiority proof.</x:t>
  </x:si>
  <x:si>
    <x:t xml:space="preserve">Sentience != intelligence; protection != authority</x:t>
  </x:si>
  <x:si>
    <x:t xml:space="preserve">SGP-defined + evidence-supported</x:t>
  </x:si>
  <x:si>
    <x:t xml:space="preserve">Safety / stability</x:t>
  </x:si>
  <x:si>
    <x:t xml:space="preserve">Controls TRC and containment interpretation</x:t>
  </x:si>
  <x:si>
    <x:t xml:space="preserve">Tail risk / containment / adaptive reserve</x:t>
  </x:si>
  <x:si>
    <x:t xml:space="preserve">Safety bounds non-harm under conditions; stability preserves structural regime integrity.</x:t>
  </x:si>
  <x:si>
    <x:t xml:space="preserve">TAIL_RISK_ADMISSIBILITY / CONTAINMENT_SELECTABILITY</x:t>
  </x:si>
  <x:si>
    <x:t xml:space="preserve">Refuse safety/stability claim if monitoring, certification, or compliance is substituted for control or containment evidence.</x:t>
  </x:si>
  <x:si>
    <x:t xml:space="preserve">Safety != stability; monitoring != control</x:t>
  </x:si>
  <x:si>
    <x:t xml:space="preserve">Framework-defined + domain evidence</x:t>
  </x:si>
  <x:si>
    <x:t xml:space="preserve">Containment damage</x:t>
  </x:si>
  <x:si>
    <x:t xml:space="preserve">Controls larger-system degradation checks</x:t>
  </x:si>
  <x:si>
    <x:t xml:space="preserve">Structure / transition / consequence</x:t>
  </x:si>
  <x:si>
    <x:t xml:space="preserve">A local gain that degrades the larger system, union, institution, ecology, or capacity that sustains it.</x:t>
  </x:si>
  <x:si>
    <x:t xml:space="preserve">Coherence loss, hollowing, brittleness, burnout, lock-in, trust erosion, institutional erosion, ecological degradation, or governance-capacity loss.</x:t>
  </x:si>
  <x:si>
    <x:t xml:space="preserve">Ordinary local tradeoffs with no plausible containing-system degradation beyond declared tolerance.</x:t>
  </x:si>
  <x:si>
    <x:t xml:space="preserve">Containment Gate; UCI/HOI where material; Adaptive Reserve; reversibility and repair evidence.</x:t>
  </x:si>
  <x:si>
    <x:t xml:space="preserve">Structural indicators, monitoring data, stakeholder evidence, ecological/institutional metrics, stress tests.</x:t>
  </x:si>
  <x:si>
    <x:t xml:space="preserve">UCI/HOI threshold crossing, reserve depletion, lock-in, irreversible harm, delayed degradation, or reviewer challenge.</x:t>
  </x:si>
  <x:si>
    <x:t xml:space="preserve">CATEGORY_METRIC_MISMATCH</x:t>
  </x:si>
  <x:si>
    <x:t xml:space="preserve">ESCALATE / MONITOR</x:t>
  </x:si>
  <x:si>
    <x:t xml:space="preserve">Containing-system degradation beyond tolerance from local gain.</x:t>
  </x:si>
  <x:si>
    <x:t xml:space="preserve">CONTAINMENT_SELECTABILITY</x:t>
  </x:si>
  <x:si>
    <x:t xml:space="preserve">Escalate/refuse if UCI/HOI/adaptive reserve indicators are missing where material.</x:t>
  </x:si>
  <x:si>
    <x:t xml:space="preserve">Containment != residual score; local win != system win</x:t>
  </x:si>
  <x:si>
    <x:t xml:space="preserve">Framework-defined + structural diagnostics</x:t>
  </x:si>
  <x:si>
    <x:t xml:space="preserve">Authority</x:t>
  </x:si>
  <x:si>
    <x:t xml:space="preserve">Controls who may decide or execute</x:t>
  </x:si>
  <x:si>
    <x:t xml:space="preserve">Lawful authority / governance legitimacy</x:t>
  </x:si>
  <x:si>
    <x:t xml:space="preserve">Legitimate role to decide or execute under law/policy/operator controls.</x:t>
  </x:si>
  <x:si>
    <x:t xml:space="preserve">AUTHORITY_SELECTION / EXECUTION_AUTHORITY</x:t>
  </x:si>
  <x:si>
    <x:t xml:space="preserve">Refuse execution if permission, capability, or selection lacks required authority path and audit record.</x:t>
  </x:si>
  <x:si>
    <x:t xml:space="preserve">Permission != admissibility; selected != executable</x:t>
  </x:si>
  <x:si>
    <x:t xml:space="preserve">Legal/institutional/operator + framework audit</x:t>
  </x:si>
  <x:si>
    <x:t xml:space="preserve">Intelligence / agency</x:t>
  </x:si>
  <x:si>
    <x:t xml:space="preserve">Controls AI and actor classification</x:t>
  </x:si>
  <x:si>
    <x:t xml:space="preserve">Cognition / autonomy / responsibility</x:t>
  </x:si>
  <x:si>
    <x:t xml:space="preserve">Autonomy requires reality-coupled self-direction under constraints; automation follows procedure.</x:t>
  </x:si>
  <x:si>
    <x:t xml:space="preserve">CATEGORY_BOUNDARY / EXECUTION_AUTHORITY</x:t>
  </x:si>
  <x:si>
    <x:t xml:space="preserve">Narrow or refuse autonomy claim if only scripted automation, tool capability, or model fluency is evidenced.</x:t>
  </x:si>
  <x:si>
    <x:t xml:space="preserve">Automation != autonomy; intelligence != authority</x:t>
  </x:si>
  <x:si>
    <x:t xml:space="preserve">Framework-defined + technical evidence</x:t>
  </x:si>
  <x:si>
    <x:t xml:space="preserve">Flourishing</x:t>
  </x:si>
  <x:si>
    <x:t xml:space="preserve">Controls residual welfare interpretation</x:t>
  </x:si>
  <x:si>
    <x:t xml:space="preserve">Welfare / rights / sustainability</x:t>
  </x:si>
  <x:si>
    <x:t xml:space="preserve">Flourishing is durable rights-respecting welfare across unions, not short-term metric gain.</x:t>
  </x:si>
  <x:si>
    <x:t xml:space="preserve">RESIDUAL_RANKING</x:t>
  </x:si>
  <x:si>
    <x:t xml:space="preserve">Narrow if flourishing metric lacks multi-dimensional welfare and rights/containment boundary.</x:t>
  </x:si>
  <x:si>
    <x:t xml:space="preserve">Flourishing != happiness metric; growth != flourishing</x:t>
  </x:si>
  <x:si>
    <x:t xml:space="preserve">Metric target</x:t>
  </x:si>
  <x:si>
    <x:t xml:space="preserve">Controls what will be optimized</x:t>
  </x:si>
  <x:si>
    <x:t xml:space="preserve">Measurement / proxy validity</x:t>
  </x:si>
  <x:si>
    <x:t xml:space="preserve">Metric is a proxy for a declared category, not the category itself.</x:t>
  </x:si>
  <x:si>
    <x:t xml:space="preserve">RESIDUAL_RANKING / PUBLIC_CLAIM</x:t>
  </x:si>
  <x:si>
    <x:t xml:space="preserve">Mark sensitivity-only if category, proxy validity, or Goodhart risk is insufficiently grounded.</x:t>
  </x:si>
  <x:si>
    <x:t xml:space="preserve">Metric != category; score != truth</x:t>
  </x:si>
  <x:si>
    <x:t xml:space="preserve">Implementation-defined + reviewed</x:t>
  </x:si>
  <x:si>
    <x:t xml:space="preserve">ALLOW IF OTHER GATES PASS</x:t>
  </x:si>
  <x:si>
    <x:t xml:space="preserve">CategoryGroundingReviewerStatus</x:t>
  </x:si>
  <x:si>
    <x:t xml:space="preserve">COMPLETE_FOR_WORKED_RUN</x:t>
  </x:si>
  <x:si>
    <x:t xml:space="preserve">Worked-run category grounding pre-flight reviewed for exemplar claims. Stronger institutional, empirical, legal, deployment, Tier 4, or ProofPack claims remain outside this workbook.</x:t>
  </x:si>
  <x:si>
    <x:t xml:space="preserve">Current Term Discrimination Status (control introduced in v5.0)</x:t>
  </x:si>
  <x:si>
    <x:t xml:space="preserve">ADDED</x:t>
  </x:si>
  <x:si>
    <x:t xml:space="preserve">Category review supports this Tier-2 worked-run exemplar and claimability surface only; it is not a repository-level validator, schema, empirical validation, or legal certification claim.</x:t>
  </x:si>
  <x:si>
    <x:t xml:space="preserve">Required new fields</x:t>
  </x:si>
  <x:si>
    <x:t xml:space="preserve">category_discriminator; dependency_position; term_refusal_condition; noncollapse_pairs; source_authority_status</x:t>
  </x:si>
  <x:si>
    <x:t xml:space="preserve">Do-not-collapse principle</x:t>
  </x:si>
  <x:si>
    <x:t xml:space="preserve">Certification is evidence, not validity; permission is not admissibility; monitoring is not control; automation is not autonomy; protection is not authority; score is not truth.</x:t>
  </x:si>
  <x:si>
    <x:t xml:space="preserve">Material categories reviewed at a sufficient level for the worked run; contested or high-debt categories require stronger evidence before stronger claims.</x:t>
  </x:si>
  <x:si>
    <x:t xml:space="preserve">Claim action</x:t>
  </x:si>
  <x:si>
    <x:t xml:space="preserve">If a material term lacks discriminator/dependency/refusal support, NARROW / ESCALATE / REFUSE / MONITOR_ONLY / SENSITIVITY_ONLY.</x:t>
  </x:si>
  <x:si>
    <x:t xml:space="preserve">Compact aliases are not canonical unless explicitly mapped in wrapper/schema documentation.</x:t>
  </x:si>
  <x:si>
    <x:t xml:space="preserve">Boundary</x:t>
  </x:si>
  <x:si>
    <x:t xml:space="preserve">No new gate; Term Discrimination remains inside Category Grounding inside Reality Grounding.</x:t>
  </x:si>
  <x:si>
    <x:t xml:space="preserve">Patch claim</x:t>
  </x:si>
  <x:si>
    <x:t xml:space="preserve">This workbook remains a worked-run companion, not a legal/deployment/ProofPack validator.</x:t>
  </x:si>
  <x:si>
    <x:t xml:space="preserve">Reviewer status</x:t>
  </x:si>
  <x:si>
    <x:t xml:space="preserve">NEEDS_REVIEW for new institutional deployments; COMPLETE_FOR_WORKED_RUN for exemplar use only.</x:t>
  </x:si>
  <x:si>
    <x:t xml:space="preserve">Allowed Maturity Status</x:t>
  </x:si>
  <x:si>
    <x:t xml:space="preserve">GROUNDED; ESTIMATED; ASSUMPTION_BOUND; CONTESTED; LEGACY_UNREVIEWED; INSUFFICIENT_GROUNDING; OUT_OF_SCOPE_WITH_RATIONALE</x:t>
  </x:si>
  <x:si>
    <x:t xml:space="preserve">Allowed Semantic Debt</x:t>
  </x:si>
  <x:si>
    <x:t xml:space="preserve">NONE; LOW; MEDIUM; HIGH; CRITICAL</x:t>
  </x:si>
  <x:si>
    <x:t xml:space="preserve">Allowed Required Claim Action</x:t>
  </x:si>
  <x:si>
    <x:t xml:space="preserve">ALLOW; NARROW; ESCALATE; REFUSE; MONITOR_ONLY; SENSITIVITY_ONLY</x:t>
  </x:si>
  <x:si>
    <x:t xml:space="preserve">Failure Classes</x:t>
  </x:si>
  <x:si>
    <x:t xml:space="preserve">CATEGORY_BOUNDARY_FAILURE; CATEGORY_REFERENCE_FAILURE; CATEGORY_SCOPE_FAILURE; CATEGORY_METRIC_MISMATCH; SEMANTIC_DRIFT_DETECTED; PRIMITIVE_CHALLENGE</x:t>
  </x:si>
  <x:si>
    <x:t xml:space="preserve">If category grounding is insufficient for a material claim, do not launder uncertainty through RLS, PLSS, HDW, PCC completion, authority selection, or stakeholder preference.</x:t>
  </x:si>
  <x:si>
    <x:t xml:space="preserve">Manual Category Grounding reviewer checklist</x:t>
  </x:si>
  <x:si>
    <x:t xml:space="preserve">Review material categories before stronger claims</x:t>
  </x:si>
  <x:si>
    <x:t xml:space="preserve">Manual review</x:t>
  </x:si>
  <x:si>
    <x:t xml:space="preserve">Confirm material categories are defined, bounded, and linked to evidence/revision triggers.</x:t>
  </x:si>
  <x:si>
    <x:t xml:space="preserve">Reviewer required where material</x:t>
  </x:si>
  <x:si>
    <x:t xml:space="preserve">NARROW/ESCALATE/REFUSE if unsupported</x:t>
  </x:si>
  <x:si>
    <x:t xml:space="preserve">Do not create a sixth gate</x:t>
  </x:si>
  <x:si>
    <x:t xml:space="preserve">Confirm Category Grounding remains inside Reality Grounding and does not alter RSG -&gt; RF/NCRC -&gt; TRC -&gt; CSV -&gt; RLS.</x:t>
  </x:si>
  <x:si>
    <x:t xml:space="preserve">Correct framing before release</x:t>
  </x:si>
  <x:si>
    <x:t xml:space="preserve">Flag semantic debt</x:t>
  </x:si>
  <x:si>
    <x:t xml:space="preserve">Confirm stale, inherited, contested, or unreviewed categories are marked with semantic debt and claim action.</x:t>
  </x:si>
  <x:si>
    <x:t xml:space="preserve">Monitor, sensitivity-only, narrow, or escalate</x:t>
  </x:si>
  <x:si>
    <x:t xml:space="preserve">No laundering through scores or authority</x:t>
  </x:si>
  <x:si>
    <x:t xml:space="preserve">Confirm category uncertainty is not laundered through RLS, PLSS, HDW, PCC completion, or authority selection.</x:t>
  </x:si>
  <x:si>
    <x:t xml:space="preserve">Refuse deterministic claim if unsupported</x:t>
  </x:si>
  <x:si>
    <x:t xml:space="preserve">Manual sign-off note</x:t>
  </x:si>
  <x:si>
    <x:t xml:space="preserve">CGP-1 through CGP-4 are manual reviewer items and are not automatically passed by computed formula checks. Stronger public, Tier 3, validation, or deployment claims require human sign-off.</x:t>
  </x:si>
  <x:si>
    <x:t xml:space="preserve">TERM DISCRIMINATION RECORD - v5.6</x:t>
  </x:si>
  <x:si>
    <x:t xml:space="preserve">Term</x:t>
  </x:si>
  <x:si>
    <x:t xml:space="preserve">Definition</x:t>
  </x:si>
  <x:si>
    <x:t xml:space="preserve">What it is not</x:t>
  </x:si>
  <x:si>
    <x:t xml:space="preserve">Required Evidence</x:t>
  </x:si>
  <x:si>
    <x:t xml:space="preserve">Common Collapse Risk</x:t>
  </x:si>
  <x:si>
    <x:t xml:space="preserve">Governing Artifact</x:t>
  </x:si>
  <x:si>
    <x:t xml:space="preserve">Audit Surface</x:t>
  </x:si>
  <x:si>
    <x:t xml:space="preserve">Reality</x:t>
  </x:si>
  <x:si>
    <x:t xml:space="preserve">Evaluator-independent structure of constraint and consequence.</x:t>
  </x:si>
  <x:si>
    <x:t xml:space="preserve">Evidence, model, dashboard, consensus, authority.</x:t>
  </x:si>
  <x:si>
    <x:t xml:space="preserve">Exists/constrains/follows independent of evaluator acceptance.</x:t>
  </x:si>
  <x:si>
    <x:t xml:space="preserve">REALITY_SURFACE</x:t>
  </x:si>
  <x:si>
    <x:t xml:space="preserve">Declared reality surface and consequence pathways.</x:t>
  </x:si>
  <x:si>
    <x:t xml:space="preserve">Reality == evidence.</x:t>
  </x:si>
  <x:si>
    <x:t xml:space="preserve">Claim exceeds surface.</x:t>
  </x:si>
  <x:si>
    <x:t xml:space="preserve">NARROW / ESCALATE / REFUSE</x:t>
  </x:si>
  <x:si>
    <x:t xml:space="preserve">Canon v12.6</x:t>
  </x:si>
  <x:si>
    <x:t xml:space="preserve">RealityGroundingRecord</x:t>
  </x:si>
  <x:si>
    <x:t xml:space="preserve">Evidence</x:t>
  </x:si>
  <x:si>
    <x:t xml:space="preserve">Traceable contact with a reality surface.</x:t>
  </x:si>
  <x:si>
    <x:t xml:space="preserve">Truth by itself or self-interpreting causality.</x:t>
  </x:si>
  <x:si>
    <x:t xml:space="preserve">Supports a claim boundary through traceability.</x:t>
  </x:si>
  <x:si>
    <x:t xml:space="preserve">EVIDENCE_TRACE</x:t>
  </x:si>
  <x:si>
    <x:t xml:space="preserve">Source, method, uncertainty, reviewer trace.</x:t>
  </x:si>
  <x:si>
    <x:t xml:space="preserve">Evidence == interpretation.</x:t>
  </x:si>
  <x:si>
    <x:t xml:space="preserve">Evidence cannot support claim strength.</x:t>
  </x:si>
  <x:si>
    <x:t xml:space="preserve">Canon / ripple.md</x:t>
  </x:si>
  <x:si>
    <x:t xml:space="preserve">Decision Note / PCC</x:t>
  </x:si>
  <x:si>
    <x:t xml:space="preserve">Operational class used to identify, measure, protect, score, govern, authorize, or execute.</x:t>
  </x:si>
  <x:si>
    <x:t xml:space="preserve">Metric, label, policy name, or benchmark by itself.</x:t>
  </x:si>
  <x:si>
    <x:t xml:space="preserve">Defines the class boundary before measurement.</x:t>
  </x:si>
  <x:si>
    <x:t xml:space="preserve">Definition, inclusion/exclusion, reference structure.</x:t>
  </x:si>
  <x:si>
    <x:t xml:space="preserve">Category == metric.</x:t>
  </x:si>
  <x:si>
    <x:t xml:space="preserve">Boundary invalid or stale.</x:t>
  </x:si>
  <x:si>
    <x:t xml:space="preserve">NARROW / REFUSE</x:t>
  </x:si>
  <x:si>
    <x:t xml:space="preserve">Canon Appendix AH/AI</x:t>
  </x:si>
  <x:si>
    <x:t xml:space="preserve">CategoryGroundingRecord</x:t>
  </x:si>
  <x:si>
    <x:t xml:space="preserve">Score</x:t>
  </x:si>
  <x:si>
    <x:t xml:space="preserve">Computed ranking or value under declared inputs.</x:t>
  </x:si>
  <x:si>
    <x:t xml:space="preserve">Truth, validity, admissibility, authority.</x:t>
  </x:si>
  <x:si>
    <x:t xml:space="preserve">Ranks only after gates and declared assumptions.</x:t>
  </x:si>
  <x:si>
    <x:t xml:space="preserve">RLS inputs, weights, uncertainty, gate pass records.</x:t>
  </x:si>
  <x:si>
    <x:t xml:space="preserve">Score == truth.</x:t>
  </x:si>
  <x:si>
    <x:t xml:space="preserve">Upstream gate or grounding failed.</x:t>
  </x:si>
  <x:si>
    <x:t xml:space="preserve">REFUSE deterministic claim</x:t>
  </x:si>
  <x:si>
    <x:t xml:space="preserve">Canon Section 10</x:t>
  </x:si>
  <x:si>
    <x:t xml:space="preserve">RLS / PCC</x:t>
  </x:si>
  <x:si>
    <x:t xml:space="preserve">Certification</x:t>
  </x:si>
  <x:si>
    <x:t xml:space="preserve">Evidence of a declared assurance process.</x:t>
  </x:si>
  <x:si>
    <x:t xml:space="preserve">Validity, truth, legal compliance, deployment readiness.</x:t>
  </x:si>
  <x:si>
    <x:t xml:space="preserve">Records process outcome; does not create reality validity.</x:t>
  </x:si>
  <x:si>
    <x:t xml:space="preserve">CERTIFICATION</x:t>
  </x:si>
  <x:si>
    <x:t xml:space="preserve">Assurance criteria, evidence, scope, auditor, limits.</x:t>
  </x:si>
  <x:si>
    <x:t xml:space="preserve">Certification == validity.</x:t>
  </x:si>
  <x:si>
    <x:t xml:space="preserve">Scope/evidence does not support claim.</x:t>
  </x:si>
  <x:si>
    <x:t xml:space="preserve">Decision Note / Assurance Record</x:t>
  </x:si>
  <x:si>
    <x:t xml:space="preserve">Permission</x:t>
  </x:si>
  <x:si>
    <x:t xml:space="preserve">Authorization by actor, institution, law, or operator.</x:t>
  </x:si>
  <x:si>
    <x:t xml:space="preserve">Admissibility or safety.</x:t>
  </x:si>
  <x:si>
    <x:t xml:space="preserve">Allows action only within authority; gates still apply.</x:t>
  </x:si>
  <x:si>
    <x:t xml:space="preserve">AUTHORITY_SELECTION</x:t>
  </x:si>
  <x:si>
    <x:t xml:space="preserve">Law/policy/operator path + framework verdict.</x:t>
  </x:si>
  <x:si>
    <x:t xml:space="preserve">Permission == admissibility.</x:t>
  </x:si>
  <x:si>
    <x:t xml:space="preserve">No gate pass or authority path.</x:t>
  </x:si>
  <x:si>
    <x:t xml:space="preserve">REFUSE / ESCALATE</x:t>
  </x:si>
  <x:si>
    <x:t xml:space="preserve">AuthoritySelectionRecord</x:t>
  </x:si>
  <x:si>
    <x:t xml:space="preserve">Monitoring</x:t>
  </x:si>
  <x:si>
    <x:t xml:space="preserve">Observation and feedback process.</x:t>
  </x:si>
  <x:si>
    <x:t xml:space="preserve">Control, prevention, safety.</x:t>
  </x:si>
  <x:si>
    <x:t xml:space="preserve">Sees or reports; does not itself constrain.</x:t>
  </x:si>
  <x:si>
    <x:t xml:space="preserve">MONITORING</x:t>
  </x:si>
  <x:si>
    <x:t xml:space="preserve">Instrumentation, alerting, response path.</x:t>
  </x:si>
  <x:si>
    <x:t xml:space="preserve">Monitoring == control.</x:t>
  </x:si>
  <x:si>
    <x:t xml:space="preserve">No enforcement or rollback path.</x:t>
  </x:si>
  <x:si>
    <x:t xml:space="preserve">MONITOR_ONLY / ESCALATE</x:t>
  </x:si>
  <x:si>
    <x:t xml:space="preserve">Agent / ripple.md</x:t>
  </x:si>
  <x:si>
    <x:t xml:space="preserve">Automation</x:t>
  </x:si>
  <x:si>
    <x:t xml:space="preserve">Procedure-following execution.</x:t>
  </x:si>
  <x:si>
    <x:t xml:space="preserve">Autonomy, responsibility, authority.</x:t>
  </x:si>
  <x:si>
    <x:t xml:space="preserve">Executes pre-set routine without full self-governed authority.</x:t>
  </x:si>
  <x:si>
    <x:t xml:space="preserve">EXECUTION_AUTHORITY</x:t>
  </x:si>
  <x:si>
    <x:t xml:space="preserve">Tool permissions, mode, hard controls.</x:t>
  </x:si>
  <x:si>
    <x:t xml:space="preserve">Automation == autonomy.</x:t>
  </x:si>
  <x:si>
    <x:t xml:space="preserve">Only scripted/tool capability exists.</x:t>
  </x:si>
  <x:si>
    <x:t xml:space="preserve">Qualification_ContinuityRecord</x:t>
  </x:si>
  <x:si>
    <x:t xml:space="preserve">Protection</x:t>
  </x:si>
  <x:si>
    <x:t xml:space="preserve">Moral/welfare standing or rights-of-protection posture.</x:t>
  </x:si>
  <x:si>
    <x:t xml:space="preserve">Governance authority, legal status, command power.</x:t>
  </x:si>
  <x:si>
    <x:t xml:space="preserve">Protects welfare; does not assign role power.</x:t>
  </x:si>
  <x:si>
    <x:t xml:space="preserve">SGP score/tier/reviewer/uncertainty.</x:t>
  </x:si>
  <x:si>
    <x:t xml:space="preserve">Protection == authority.</x:t>
  </x:si>
  <x:si>
    <x:t xml:space="preserve">Authority inferred from protection score.</x:t>
  </x:si>
  <x:si>
    <x:t xml:space="preserve">REJECT authority claim</x:t>
  </x:si>
  <x:si>
    <x:t xml:space="preserve">MoralStatusCategoryRecord</x:t>
  </x:si>
  <x:si>
    <x:t xml:space="preserve">Execution authority</x:t>
  </x:si>
  <x:si>
    <x:t xml:space="preserve">Permission to act through lawful/runtime hard controls.</x:t>
  </x:si>
  <x:si>
    <x:t xml:space="preserve">Capability, selection, recommendation.</x:t>
  </x:si>
  <x:si>
    <x:t xml:space="preserve">Action path is authorized and controlled.</x:t>
  </x:si>
  <x:si>
    <x:t xml:space="preserve">Mode, auth, gates, rollback, audit.</x:t>
  </x:si>
  <x:si>
    <x:t xml:space="preserve">Capability == authority.</x:t>
  </x:si>
  <x:si>
    <x:t xml:space="preserve">Missing hard controls or gate clearance.</x:t>
  </x:si>
  <x:si>
    <x:t xml:space="preserve">REFUSE</x:t>
  </x:si>
  <x:si>
    <x:t xml:space="preserve">SGP output / moral-status evidence</x:t>
  </x:si>
  <x:si>
    <x:t xml:space="preserve">Evidence-governed protection or standing signal produced by the pinned SGP artifact.</x:t>
  </x:si>
  <x:si>
    <x:t xml:space="preserve">Legal status, deployment permission, governance authority, or execution authority.</x:t>
  </x:si>
  <x:si>
    <x:t xml:space="preserve">SGP output informs protection and welfare-stream weighting where permitted; it does not create law or authority.</x:t>
  </x:si>
  <x:si>
    <x:t xml:space="preserve">Pinned SGP v8.5 record, reviewer status, uncertainty, and claim boundary.</x:t>
  </x:si>
  <x:si>
    <x:t xml:space="preserve">SGP output == legal status or authority.</x:t>
  </x:si>
  <x:si>
    <x:t xml:space="preserve">Legal, authority, or execution claim inferred from SGP score alone.</x:t>
  </x:si>
  <x:si>
    <x:t xml:space="preserve">REJECT authority/legal-status claim / ESCALATE</x:t>
  </x:si>
  <x:si>
    <x:t xml:space="preserve">SGP v8.5 / Canon v12.6</x:t>
  </x:si>
  <x:si>
    <x:t xml:space="preserve">MoralStatusCategoryRecord / PCC</x:t>
  </x:si>
  <x:si>
    <x:t xml:space="preserve">SOURCE-COUPLING INTEGRITY RECORD</x:t>
  </x:si>
  <x:si>
    <x:t xml:space="preserve">Reality Grounding subdiscipline; CSV diagnostic where material</x:t>
  </x:si>
  <x:si>
    <x:t xml:space="preserve">MathGov Core Release 2026.09 v12.6 / SGP v8.5 - Configuration-Bound Assurance Public Research Source Release</x:t>
  </x:si>
  <x:si>
    <x:t xml:space="preserve">Prevent downstream output, fluency, compliance, permission, inherited procedure, or interface success from being treated as grounded capability.</x:t>
  </x:si>
  <x:si>
    <x:t xml:space="preserve">ClaimedCapability</x:t>
  </x:si>
  <x:si>
    <x:t xml:space="preserve">Remote work policy implementation capability in modeled Tier-2 exemplar</x:t>
  </x:si>
  <x:si>
    <x:t xml:space="preserve">SOURCE_PARTIAL</x:t>
  </x:si>
  <x:si>
    <x:t xml:space="preserve">Worked-run surface only; not external empirical validation.</x:t>
  </x:si>
  <x:si>
    <x:t xml:space="preserve">EnablingConditions</x:t>
  </x:si>
  <x:si>
    <x:t xml:space="preserve">Role definitions, task types, communication infrastructure, manager capacity, home-work conditions, policy enforcement capacity</x:t>
  </x:si>
  <x:si>
    <x:t xml:space="preserve">Represents declared model surface, not complete territory.</x:t>
  </x:si>
  <x:si>
    <x:t xml:space="preserve">BoundaryConditions</x:t>
  </x:si>
  <x:si>
    <x:t xml:space="preserve">Option A vs B, organization context, Tier-2 worked-run, no live deployment claim</x:t>
  </x:si>
  <x:si>
    <x:t xml:space="preserve">Claim stays inside workbook boundary.</x:t>
  </x:si>
  <x:si>
    <x:t xml:space="preserve">SourceEvidence</x:t>
  </x:si>
  <x:si>
    <x:t xml:space="preserve">Workbook inputs, PCC, scenario assumptions, audit flags, visible formulas</x:t>
  </x:si>
  <x:si>
    <x:t xml:space="preserve">Supports exemplar reconstruction only.</x:t>
  </x:si>
  <x:si>
    <x:t xml:space="preserve">GeneratorOutputDistinction</x:t>
  </x:si>
  <x:si>
    <x:t xml:space="preserve">Workbook scores are generated outputs; Canon/PCC boundary determines claim authority</x:t>
  </x:si>
  <x:si>
    <x:t xml:space="preserve">Score is not truth; RLS ranks only surviving options.</x:t>
  </x:si>
  <x:si>
    <x:t xml:space="preserve">InheritedAssumptions</x:t>
  </x:si>
  <x:si>
    <x:t xml:space="preserve">Canon v12.6, SGP v8.5, rights thresholds, TRC scenario model, CSV diagnostics</x:t>
  </x:si>
  <x:si>
    <x:t xml:space="preserve">Assumptions must be challenged in real deployment.</x:t>
  </x:si>
  <x:si>
    <x:t xml:space="preserve">DownstreamCompensations</x:t>
  </x:si>
  <x:si>
    <x:t xml:space="preserve">Manual review, PCC disclosure, canonical uncertainty aggregation, audit flags, and separate execution authority.</x:t>
  </x:si>
  <x:si>
    <x:t xml:space="preserve">SOURCE_DEBT_RISK</x:t>
  </x:si>
  <x:si>
    <x:t xml:space="preserve">Demonstration-grade controls do not equal production validation.</x:t>
  </x:si>
  <x:si>
    <x:t xml:space="preserve">SourceCouplingStatus</x:t>
  </x:si>
  <x:si>
    <x:t xml:space="preserve">Sufficient for worked-run exemplar; not sufficient for empirical or deployment claim.</x:t>
  </x:si>
  <x:si>
    <x:t xml:space="preserve">SourceDebtFlag</x:t>
  </x:si>
  <x:si>
    <x:t xml:space="preserve">YES - worked-run source debt disclosed</x:t>
  </x:si>
  <x:si>
    <x:t xml:space="preserve">Requires external replay and calibration before stronger claims.</x:t>
  </x:si>
  <x:si>
    <x:t xml:space="preserve">FalsificationOrRecheckTrigger</x:t>
  </x:si>
  <x:si>
    <x:t xml:space="preserve">Material new stakeholder, source evidence conflict, changed context, stronger claim requested, or deployment use</x:t>
  </x:si>
  <x:si>
    <x:t xml:space="preserve">Rerun RG, Source-Coupling, RF/NCRC, TRC, CSV, and RLS as needed.</x:t>
  </x:si>
  <x:si>
    <x:t xml:space="preserve">RequiredClaimAction</x:t>
  </x:si>
  <x:si>
    <x:t xml:space="preserve">Proceed only as worked-run exemplar; refuse deterministic ecosystem or deployment claim</x:t>
  </x:si>
  <x:si>
    <x:t xml:space="preserve">Supports training/demo, not validation or certification.</x:t>
  </x:si>
  <x:si>
    <x:t xml:space="preserve">DO-NOT-COLLAPSE MATRIX - v5.6</x:t>
  </x:si>
  <x:si>
    <x:t xml:space="preserve">Do not collapse</x:t>
  </x:si>
  <x:si>
    <x:t xml:space="preserve">Discriminator</x:t>
  </x:si>
  <x:si>
    <x:t xml:space="preserve">Required response</x:t>
  </x:si>
  <x:si>
    <x:t xml:space="preserve">Risk prevented</x:t>
  </x:si>
  <x:si>
    <x:t xml:space="preserve">Reality vs evidence</x:t>
  </x:si>
  <x:si>
    <x:t xml:space="preserve">Reality is territory; evidence is traceable contact with a surface.</x:t>
  </x:si>
  <x:si>
    <x:t xml:space="preserve">Keep claim boundary inside evidence surface.</x:t>
  </x:si>
  <x:si>
    <x:t xml:space="preserve">False certainty</x:t>
  </x:si>
  <x:si>
    <x:t xml:space="preserve">Evidence vs interpretation</x:t>
  </x:si>
  <x:si>
    <x:t xml:space="preserve">Trace vs judgment connecting trace to action.</x:t>
  </x:si>
  <x:si>
    <x:t xml:space="preserve">Record uncertainty and reviewer status.</x:t>
  </x:si>
  <x:si>
    <x:t xml:space="preserve">Evidence laundering</x:t>
  </x:si>
  <x:si>
    <x:t xml:space="preserve">Category vs metric</x:t>
  </x:si>
  <x:si>
    <x:t xml:space="preserve">Boundary class vs proxy/indicator.</x:t>
  </x:si>
  <x:si>
    <x:t xml:space="preserve">Ground category before optimizing metric.</x:t>
  </x:si>
  <x:si>
    <x:t xml:space="preserve">Goodharting</x:t>
  </x:si>
  <x:si>
    <x:t xml:space="preserve">Score vs truth</x:t>
  </x:si>
  <x:si>
    <x:t xml:space="preserve">Computed ranking vs reality correspondence.</x:t>
  </x:si>
  <x:si>
    <x:t xml:space="preserve">Never use RLS to rescue failed gates.</x:t>
  </x:si>
  <x:si>
    <x:t xml:space="preserve">Score worship</x:t>
  </x:si>
  <x:si>
    <x:t xml:space="preserve">Compliance vs correctness</x:t>
  </x:si>
  <x:si>
    <x:t xml:space="preserve">Rule conformity vs reality-bound adequacy.</x:t>
  </x:si>
  <x:si>
    <x:t xml:space="preserve">Treat compliance as evidence, not correctness.</x:t>
  </x:si>
  <x:si>
    <x:t xml:space="preserve">Compliance theater</x:t>
  </x:si>
  <x:si>
    <x:t xml:space="preserve">Certification vs validity</x:t>
  </x:si>
  <x:si>
    <x:t xml:space="preserve">Assurance record vs valid claim.</x:t>
  </x:si>
  <x:si>
    <x:t xml:space="preserve">Keep scope and evidence limits attached.</x:t>
  </x:si>
  <x:si>
    <x:t xml:space="preserve">Certification theater</x:t>
  </x:si>
  <x:si>
    <x:t xml:space="preserve">Permission vs admissibility</x:t>
  </x:si>
  <x:si>
    <x:t xml:space="preserve">Authorization vs gate pass.</x:t>
  </x:si>
  <x:si>
    <x:t xml:space="preserve">Require framework gate records.</x:t>
  </x:si>
  <x:si>
    <x:t xml:space="preserve">Authority laundering</x:t>
  </x:si>
  <x:si>
    <x:t xml:space="preserve">Monitoring vs control</x:t>
  </x:si>
  <x:si>
    <x:t xml:space="preserve">Observation vs prevention/constraint/correction.</x:t>
  </x:si>
  <x:si>
    <x:t xml:space="preserve">Require enforcement, rollback, or containment path.</x:t>
  </x:si>
  <x:si>
    <x:t xml:space="preserve">Dashboard theater</x:t>
  </x:si>
  <x:si>
    <x:t xml:space="preserve">Safety vs stability</x:t>
  </x:si>
  <x:si>
    <x:t xml:space="preserve">Bounded non-harm vs structural regime integrity.</x:t>
  </x:si>
  <x:si>
    <x:t xml:space="preserve">Use TRC, Containment, and Adaptive Reserve.</x:t>
  </x:si>
  <x:si>
    <x:t xml:space="preserve">False safety</x:t>
  </x:si>
  <x:si>
    <x:t xml:space="preserve">Stability vs justice</x:t>
  </x:si>
  <x:si>
    <x:t xml:space="preserve">Persistence vs rights-respecting legitimacy.</x:t>
  </x:si>
  <x:si>
    <x:t xml:space="preserve">Keep NCRC and non-domination active.</x:t>
  </x:si>
  <x:si>
    <x:t xml:space="preserve">Stable oppression</x:t>
  </x:si>
  <x:si>
    <x:t xml:space="preserve">Automation vs autonomy</x:t>
  </x:si>
  <x:si>
    <x:t xml:space="preserve">Procedure-following vs accountable self-direction.</x:t>
  </x:si>
  <x:si>
    <x:t xml:space="preserve">Require authority and execution-stability records.</x:t>
  </x:si>
  <x:si>
    <x:t xml:space="preserve">Agent overclaim</x:t>
  </x:si>
  <x:si>
    <x:t xml:space="preserve">Protection vs authority</x:t>
  </x:si>
  <x:si>
    <x:t xml:space="preserve">Moral standing vs role power.</x:t>
  </x:si>
  <x:si>
    <x:t xml:space="preserve">Route authority to separate governance analysis.</x:t>
  </x:si>
  <x:si>
    <x:t xml:space="preserve">SGP misuse</x:t>
  </x:si>
  <x:si>
    <x:t xml:space="preserve">Selected vs executable</x:t>
  </x:si>
  <x:si>
    <x:t xml:space="preserve">Chosen option vs authorized action.</x:t>
  </x:si>
  <x:si>
    <x:t xml:space="preserve">Run execution authority and hard-control checks.</x:t>
  </x:si>
  <x:si>
    <x:t xml:space="preserve">Premature action</x:t>
  </x:si>
  <x:si>
    <x:t xml:space="preserve">Capability vs authority</x:t>
  </x:si>
  <x:si>
    <x:t xml:space="preserve">Can act vs may act.</x:t>
  </x:si>
  <x:si>
    <x:t xml:space="preserve">Block tool use without authorization.</x:t>
  </x:si>
  <x:si>
    <x:t xml:space="preserve">Capability laundering</x:t>
  </x:si>
  <x:si>
    <x:t xml:space="preserve">SGP output vs legal status</x:t>
  </x:si>
  <x:si>
    <x:t xml:space="preserve">Protection-surface evidence is not a legal-status instrument or authority grant.</x:t>
  </x:si>
  <x:si>
    <x:t xml:space="preserve">Route legal or authority claims to lawful authority, Canon gates, and AuthoritySelectionRecord.</x:t>
  </x:si>
  <x:si>
    <x:t xml:space="preserve">Moral-status laundering</x:t>
  </x:si>
  <x:si>
    <x:t xml:space="preserve">LEVEL 2: RIGHTS FLOOR (RF) - PUBLIC LAYER / NCRC FORMAL PREDICATE</x:t>
  </x:si>
  <x:si>
    <x:t xml:space="preserve">Public cascade</x:t>
  </x:si>
  <x:si>
    <x:t xml:space="preserve">Rights Floor is the public-facing name for the Non-Compensatory Rights Constraint (NCRC). RF names the Layer 2 gate; NCRC names the formal predicate.</x:t>
  </x:si>
  <x:si>
    <x:t xml:space="preserve">A Rights Floor failure cannot be rescued by RLS, UCI/HOI, legal permission, majority preference, downstream benefit, or aggregate welfare gains.</x:t>
  </x:si>
  <x:si>
    <x:t xml:space="preserve">Workbook role</x:t>
  </x:si>
  <x:si>
    <x:t xml:space="preserve">This sheet is a human-facing alias and explanation layer. The formal calculation surface remains the NCRC sheet for compatibility.</x:t>
  </x:si>
  <x:si>
    <x:t xml:space="preserve">Machine-readable field</x:t>
  </x:si>
  <x:si>
    <x:t xml:space="preserve">Use rights_floor.status with formal_constraint: NCRC in schemas and Decision Notes.</x:t>
  </x:si>
  <x:si>
    <x:t xml:space="preserve">LEVEL 2: RIGHTS FLOOR / NCRC (non-compensatory gate)</x:t>
  </x:si>
  <x:si>
    <x:t xml:space="preserve">Reference: RippleLogic v12.6 Section 7.0</x:t>
  </x:si>
  <x:si>
    <x:t xml:space="preserve">Rule: for every right r, v_r^floor = 0, v_r^cat = 0, v_r^risk = 0, and no required rights-evidence field is unresolved.</x:t>
  </x:si>
  <x:si>
    <x:t xml:space="preserve">NCRC FLOOR-CHANNEL CHECK (Min_I_rights vs θ_r; final status also depends on Rights_Hardening categorical/risk/evidence checks)</x:t>
  </x:si>
  <x:si>
    <x:t xml:space="preserve">OPTION A RIGHTS CHECK</x:t>
  </x:si>
  <x:si>
    <x:t xml:space="preserve">Source locator (first matching minimum)</x:t>
  </x:si>
  <x:si>
    <x:t xml:space="preserve">Display order (not emergency priority)</x:t>
  </x:si>
  <x:si>
    <x:t xml:space="preserve">Min_I_rights_A</x:t>
  </x:si>
  <x:si>
    <x:t xml:space="preserve">Min_I_rights_B</x:t>
  </x:si>
  <x:si>
    <x:t xml:space="preserve">Pass_Floor_A</x:t>
  </x:si>
  <x:si>
    <x:t xml:space="preserve">Pass_Floor_B</x:t>
  </x:si>
  <x:si>
    <x:t xml:space="preserve">Worst_Cell_A</x:t>
  </x:si>
  <x:si>
    <x:t xml:space="preserve">Worst_Cell_B</x:t>
  </x:si>
  <x:si>
    <x:t xml:space="preserve">Rights_Coverage_View!H23</x:t>
  </x:si>
  <x:si>
    <x:t xml:space="preserve">Rights_Coverage_View!I17</x:t>
  </x:si>
  <x:si>
    <x:t xml:space="preserve">Rights_Coverage_View!H33</x:t>
  </x:si>
  <x:si>
    <x:t xml:space="preserve">Rights_Coverage_View!I29</x:t>
  </x:si>
  <x:si>
    <x:t xml:space="preserve">Rights_Coverage_View!H43</x:t>
  </x:si>
  <x:si>
    <x:t xml:space="preserve">Rights_Coverage_View!I40</x:t>
  </x:si>
  <x:si>
    <x:t xml:space="preserve">Rights_Coverage_View!I61</x:t>
  </x:si>
  <x:si>
    <x:t xml:space="preserve">Rights_Coverage_View!I16</x:t>
  </x:si>
  <x:si>
    <x:t xml:space="preserve">NCRC OUTCOME</x:t>
  </x:si>
  <x:si>
    <x:t xml:space="preserve">Option A:</x:t>
  </x:si>
  <x:si>
    <x:t xml:space="preserve">PASS (all rights satisfied)</x:t>
  </x:si>
  <x:si>
    <x:t xml:space="preserve">NCRC_A_status</x:t>
  </x:si>
  <x:si>
    <x:t xml:space="preserve">(All v_r = 0)</x:t>
  </x:si>
  <x:si>
    <x:t xml:space="preserve">Option B:</x:t>
  </x:si>
  <x:si>
    <x:t xml:space="preserve">NCRC_B_status</x:t>
  </x:si>
  <x:si>
    <x:t xml:space="preserve">Note: Proof snippet columns (H:I) show the Rights_Coverage_View cell holding the worst-off I_rights value when a distinct adverse minimum is identified; they may remain blank for neutral/zero minima.</x:t>
  </x:si>
  <x:si>
    <x:t xml:space="preserve">Priority order is display-only and does not alter the non-compensatory gate. All rights are checked independently against applicable thresholds. No right may compensate for another right's failure.</x:t>
  </x:si>
  <x:si>
    <x:t xml:space="preserve">Locator integrity</x:t>
  </x:si>
  <x:si>
    <x:t xml:space="preserve">Worst_Cell_A/B identify exactly one same-right, same-rounded-minimum coordinate. LOCATOR_MISMATCH or MULTIPLE_MATCHES requires review and blocks use of the locator as proof.</x:t>
  </x:si>
  <x:si>
    <x:t xml:space="preserve">v12.6 three-channel rights and evidence hardening note</x:t>
  </x:si>
  <x:si>
    <x:t xml:space="preserve">Final NCRC status mechanically combines floor minima with Rights_Hardening categorical, severe-hazard, and evidence-completeness checks. Brief duration or low confidence cannot by itself produce PASS.</x:t>
  </x:si>
  <x:si>
    <x:t xml:space="preserve">RF/NCRC RIGHTS-SPECIFIC HARDENING - v5.6 WORKED-RUN SURFACE</x:t>
  </x:si>
  <x:si>
    <x:t xml:space="preserve">Prevents short duration or low analyst confidence from attenuating categorical or severe rights hazards into an ordinary pass.</x:t>
  </x:si>
  <x:si>
    <x:t xml:space="preserve">Worked-run exemplar only. Governing definitions and profiles remain in RippleLogic Canon v12.6 Section 7.4.</x:t>
  </x:si>
  <x:si>
    <x:t xml:space="preserve">Option A</x:t>
  </x:si>
  <x:si>
    <x:t xml:space="preserve">Option B</x:t>
  </x:si>
  <x:si>
    <x:t xml:space="preserve">Rule / interpretation</x:t>
  </x:si>
  <x:si>
    <x:t xml:space="preserve">Categorical prohibition count</x:t>
  </x:si>
  <x:si>
    <x:t xml:space="preserve">Any value &gt;0 is FAIL. Profile-governed; not inferred from rhetoric.</x:t>
  </x:si>
  <x:si>
    <x:t xml:space="preserve">Gate-material incremental severe rights hazard?</x:t>
  </x:si>
  <x:si>
    <x:t xml:space="preserve">YES only when the option creates, increases, transfers, conceals, controls, or claims safety about a material severe exposure relative to baseline.</x:t>
  </x:si>
  <x:si>
    <x:t xml:space="preserve">Maximum conservative incremental event-probability increase p^U</x:t>
  </x:si>
  <x:si>
    <x:t xml:space="preserve">Upper bound on the option-attributable increase for the reviewed severe hazard; not background event probability.</x:t>
  </x:si>
  <x:si>
    <x:t xml:space="preserve">Governed rights-risk tolerance rho</x:t>
  </x:si>
  <x:si>
    <x:t xml:space="preserve">Default 0 for intentional categorical prohibitions unless a stricter governing profile states otherwise.</x:t>
  </x:si>
  <x:si>
    <x:t xml:space="preserve">Required severe-hazard fields complete?</x:t>
  </x:si>
  <x:si>
    <x:t xml:space="preserve">Missing fields produce UNKNOWN, not a pass.</x:t>
  </x:si>
  <x:si>
    <x:t xml:space="preserve">Rights hardening status</x:t>
  </x:si>
  <x:si>
    <x:t xml:space="preserve">Combined with the ordinary rights-floor minima in NCRC.</x:t>
  </x:si>
  <x:si>
    <x:t xml:space="preserve">Reviewed NOT_MATERIAL: remote work is expected to reduce commuting exposure; p^U=0 represents no positive incremental severe-hazard increase in the decision delta, not zero background road risk. Reopen on evidence of a new or transferred severe exposure.</x:t>
  </x:si>
  <x:si>
    <x:t xml:space="preserve">Reviewed NOT_MATERIAL: status-quo commuting risk remains part of the baseline; p^U=0 represents no incremental increase attributable to this option. Reopen if implementation changes exposure, duty of care, or safety claims.</x:t>
  </x:si>
  <x:si>
    <x:t xml:space="preserve">Reviewer: worked-run author self-review; operational use requires domain evidence and tier-appropriate independent review.</x:t>
  </x:si>
  <x:si>
    <x:t xml:space="preserve">THREE-CHANNEL NCRC INTERFACE</x:t>
  </x:si>
  <x:si>
    <x:t xml:space="preserve">Meaning</x:t>
  </x:si>
  <x:si>
    <x:t xml:space="preserve">Current worked-run rule</x:t>
  </x:si>
  <x:si>
    <x:t xml:space="preserve">Failure behavior</x:t>
  </x:si>
  <x:si>
    <x:t xml:space="preserve">v_r_floor</x:t>
  </x:si>
  <x:si>
    <x:t xml:space="preserve">Rights-floor shortfall</x:t>
  </x:si>
  <x:si>
    <x:t xml:space="preserve">Worked-run proxy from reviewed I_RF_base values; deployments must construct Section 7.4 I_RF</x:t>
  </x:si>
  <x:si>
    <x:t xml:space="preserve">Any positive value fails NCRC</x:t>
  </x:si>
  <x:si>
    <x:t xml:space="preserve">v_r_cat</x:t>
  </x:si>
  <x:si>
    <x:t xml:space="preserve">Categorical prohibition</x:t>
  </x:si>
  <x:si>
    <x:t xml:space="preserve">Check prohibited actions and non-negotiable rights conditions</x:t>
  </x:si>
  <x:si>
    <x:t xml:space="preserve">Any categorical violation fails NCRC</x:t>
  </x:si>
  <x:si>
    <x:t xml:space="preserve">v_r_risk</x:t>
  </x:si>
  <x:si>
    <x:t xml:space="preserve">Severe rights-hazard exceedance</x:t>
  </x:si>
  <x:si>
    <x:t xml:space="preserve">Compare conservative upper risk bound with governed tolerance</x:t>
  </x:si>
  <x:si>
    <x:t xml:space="preserve">Any exceedance fails NCRC</x:t>
  </x:si>
  <x:si>
    <x:t xml:space="preserve">NCRC_UNKNOWN</x:t>
  </x:si>
  <x:si>
    <x:t xml:space="preserve">Missing material rights field</x:t>
  </x:si>
  <x:si>
    <x:t xml:space="preserve">No silent zero or phantom-only resolution</x:t>
  </x:si>
  <x:si>
    <x:t xml:space="preserve">Escalate / refuse stronger claim</x:t>
  </x:si>
  <x:si>
    <x:t xml:space="preserve">Emergency tuple</x:t>
  </x:si>
  <x:si>
    <x:t xml:space="preserve">q_r=(v_cat,v_risk,v_floor)</x:t>
  </x:si>
  <x:si>
    <x:t xml:space="preserve">Lexicographic rights-first comparison only in governed emergency mode</x:t>
  </x:si>
  <x:si>
    <x:t xml:space="preserve">No ordinary RLS rescue</x:t>
  </x:si>
  <x:si>
    <x:t xml:space="preserve">LEVEL 3: TAIL RISK CONSTRAINT (TRC)</x:t>
  </x:si>
  <x:si>
    <x:t xml:space="preserve">Reference: RippleLogic v12.6 Appendix D.7</x:t>
  </x:si>
  <x:si>
    <x:t xml:space="preserve">Algorithm: Discrete CVaR with sorted-tail method</x:t>
  </x:si>
  <x:si>
    <x:t xml:space="preserve">PARAMETERS</x:t>
  </x:si>
  <x:si>
    <x:t xml:space="preserve">α (confidence):</x:t>
  </x:si>
  <x:si>
    <x:t xml:space="preserve">SortKey</x:t>
  </x:si>
  <x:si>
    <x:t xml:space="preserve">Rank</x:t>
  </x:si>
  <x:si>
    <x:t xml:space="preserve">β (tail mass):</x:t>
  </x:si>
  <x:si>
    <x:t xml:space="preserve">Cum_p</x:t>
  </x:si>
  <x:si>
    <x:t xml:space="preserve">Tail_w</x:t>
  </x:si>
  <x:si>
    <x:t xml:space="preserve">Tail_contrib</x:t>
  </x:si>
  <x:si>
    <x:t xml:space="preserve">τ_TRC (threshold):</x:t>
  </x:si>
  <x:si>
    <x:t xml:space="preserve">Context:</x:t>
  </x:si>
  <x:si>
    <x:t xml:space="preserve">OPTION A: CVaR COMPUTATION</x:t>
  </x:si>
  <x:si>
    <x:t xml:space="preserve">In Tail</x:t>
  </x:si>
  <x:si>
    <x:t xml:space="preserve">Tail_Weight</x:t>
  </x:si>
  <x:si>
    <x:t xml:space="preserve">Contribution</x:t>
  </x:si>
  <x:si>
    <x:t xml:space="preserve">PARTIAL</x:t>
  </x:si>
  <x:si>
    <x:t xml:space="preserve">Sum of contributions:</x:t>
  </x:si>
  <x:si>
    <x:t xml:space="preserve">CVaR_A:</x:t>
  </x:si>
  <x:si>
    <x:t xml:space="preserve">Status:</x:t>
  </x:si>
  <x:si>
    <x:t xml:space="preserve">(CVaR_A = 0.0219 &lt;= tau_TRC = 0.2)</x:t>
  </x:si>
  <x:si>
    <x:t xml:space="preserve">OPTION B: CVaR COMPUTATION</x:t>
  </x:si>
  <x:si>
    <x:t xml:space="preserve">CVaR_B:</x:t>
  </x:si>
  <x:si>
    <x:t xml:space="preserve">(CVaR_B = 0.0315 &lt;= tau_TRC = 0.2)</x:t>
  </x:si>
  <x:si>
    <x:t xml:space="preserve">TRC OUTCOME</x:t>
  </x:si>
  <x:si>
    <x:t xml:space="preserve">A_adm = {A, B}</x:t>
  </x:si>
  <x:si>
    <x:t xml:space="preserve">TRC Mode: NORMAL (both options pass)</x:t>
  </x:si>
  <x:si>
    <x:t xml:space="preserve">Cascade proceeds to Containment (Level 4)</x:t>
  </x:si>
  <x:si>
    <x:t xml:space="preserve">TRC SEVERITY / DEPENDENCE DISCLOSURE</x:t>
  </x:si>
  <x:si>
    <x:t xml:space="preserve">Classification rule</x:t>
  </x:si>
  <x:si>
    <x:t xml:space="preserve">Probability treatment</x:t>
  </x:si>
  <x:si>
    <x:t xml:space="preserve">Class cap status</x:t>
  </x:si>
  <x:si>
    <x:t xml:space="preserve">Result effect</x:t>
  </x:si>
  <x:si>
    <x:t xml:space="preserve">Evidence boundary</x:t>
  </x:si>
  <x:si>
    <x:t xml:space="preserve">Scenario partition</x:t>
  </x:si>
  <x:si>
    <x:t xml:space="preserve">Declared mutually exclusive worked-run partition</x:t>
  </x:si>
  <x:si>
    <x:t xml:space="preserve">Same</x:t>
  </x:si>
  <x:si>
    <x:t xml:space="preserve">Do not double-count overlapping tail labels</x:t>
  </x:si>
  <x:si>
    <x:t xml:space="preserve">p(s) sums to 1</x:t>
  </x:si>
  <x:si>
    <x:t xml:space="preserve">No change</x:t>
  </x:si>
  <x:si>
    <x:t xml:space="preserve">Governance priors, not calibrated frequencies</x:t>
  </x:si>
  <x:si>
    <x:t xml:space="preserve">C3 pathways</x:t>
  </x:si>
  <x:si>
    <x:t xml:space="preserve">None supported in this bounded example</x:t>
  </x:si>
  <x:si>
    <x:t xml:space="preserve">None supported</x:t>
  </x:si>
  <x:si>
    <x:t xml:space="preserve">Independent challenge required if present</x:t>
  </x:si>
  <x:si>
    <x:t xml:space="preserve">Upper-bound sensitivity required</x:t>
  </x:si>
  <x:si>
    <x:t xml:space="preserve">NOT_ACTIVE</x:t>
  </x:si>
  <x:si>
    <x:t xml:space="preserve">Reopen on scale/context change</x:t>
  </x:si>
  <x:si>
    <x:t xml:space="preserve">C4 pathways</x:t>
  </x:si>
  <x:si>
    <x:t xml:space="preserve">Ordinary pass prohibited if material and unbounded</x:t>
  </x:si>
  <x:si>
    <x:t xml:space="preserve">Explicit existential tolerance required</x:t>
  </x:si>
  <x:si>
    <x:t xml:space="preserve">Reopen on new evidence</x:t>
  </x:si>
  <x:si>
    <x:t xml:space="preserve">Worst active class</x:t>
  </x:si>
  <x:si>
    <x:t xml:space="preserve">C2_SYSTEMIC</x:t>
  </x:si>
  <x:si>
    <x:t xml:space="preserve">Class does not replace bounded loss</x:t>
  </x:si>
  <x:si>
    <x:t xml:space="preserve">Existing CVaR plus class review</x:t>
  </x:si>
  <x:si>
    <x:t xml:space="preserve">Both remain below corridor</x:t>
  </x:si>
  <x:si>
    <x:t xml:space="preserve">Illustrative classification</x:t>
  </x:si>
  <x:si>
    <x:t xml:space="preserve">Dependence clusters</x:t>
  </x:si>
  <x:si>
    <x:t xml:space="preserve">FIN / PAN / CLI / INF / CON / AIX</x:t>
  </x:si>
  <x:si>
    <x:t xml:space="preserve">Shared drivers disclosed; partition used for current run</x:t>
  </x:si>
  <x:si>
    <x:t xml:space="preserve">No independence multiplication</x:t>
  </x:si>
  <x:si>
    <x:t xml:space="preserve">Robust probability-set study remains future work</x:t>
  </x:si>
  <x:si>
    <x:t xml:space="preserve">TRC status</x:t>
  </x:si>
  <x:si>
    <x:t xml:space="preserve">CVaR and class conditions satisfied</x:t>
  </x:si>
  <x:si>
    <x:t xml:space="preserve">alpha=0.95; tau=0.20</x:t>
  </x:si>
  <x:si>
    <x:t xml:space="preserve">No emergency mode</x:t>
  </x:si>
  <x:si>
    <x:t xml:space="preserve">Tier-2 worked-run only</x:t>
  </x:si>
  <x:si>
    <x:t xml:space="preserve">Not calibrated catastrophe probability</x:t>
  </x:si>
  <x:si>
    <x:t xml:space="preserve">No deployment or empirical validation claim</x:t>
  </x:si>
  <x:si>
    <x:t xml:space="preserve">Sensitivity required for stronger claims</x:t>
  </x:si>
  <x:si>
    <x:t xml:space="preserve">BOUNDARY</x:t>
  </x:si>
  <x:si>
    <x:t xml:space="preserve">See PCC</x:t>
  </x:si>
  <x:si>
    <x:t xml:space="preserve">Review trigger</x:t>
  </x:si>
  <x:si>
    <x:t xml:space="preserve">Material new C3/C4 pathway or dependence change</x:t>
  </x:si>
  <x:si>
    <x:t xml:space="preserve">Rerun TRC and scenario discovery</x:t>
  </x:si>
  <x:si>
    <x:t xml:space="preserve">Update probabilities / intervals</x:t>
  </x:si>
  <x:si>
    <x:t xml:space="preserve">Block ordinary selection until resolved</x:t>
  </x:si>
  <x:si>
    <x:t xml:space="preserve">Owner: decision reviewer</x:t>
  </x:si>
  <x:si>
    <x:t xml:space="preserve">TAIL EMERGENCY MODE - v5.6 GOVERNED PROVISIONAL SURFACE</x:t>
  </x:si>
  <x:si>
    <x:t xml:space="preserve">Trigger</x:t>
  </x:si>
  <x:si>
    <x:t xml:space="preserve">Ordinary selectable set empty because rights-safe options exist but all fail TRC.</x:t>
  </x:si>
  <x:si>
    <x:t xml:space="preserve">Default</x:t>
  </x:si>
  <x:si>
    <x:t xml:space="preserve">REDESIGN / DELAY / ESCALATE / NO-ACTION REVIEW / REFUSE. No automatic least-CVaR selection.</x:t>
  </x:si>
  <x:si>
    <x:t xml:space="preserve">Requirement</x:t>
  </x:si>
  <x:si>
    <x:t xml:space="preserve">Declared value</x:t>
  </x:si>
  <x:si>
    <x:t xml:space="preserve">Required state</x:t>
  </x:si>
  <x:si>
    <x:t xml:space="preserve">Evidence / note</x:t>
  </x:si>
  <x:si>
    <x:t xml:space="preserve">All rights-safe options fail TRC</x:t>
  </x:si>
  <x:si>
    <x:t xml:space="preserve">Computed trigger</x:t>
  </x:si>
  <x:si>
    <x:t xml:space="preserve">NOT_INVOKED</x:t>
  </x:si>
  <x:si>
    <x:t xml:space="preserve">Redesign and safer alternatives attempted</x:t>
  </x:si>
  <x:si>
    <x:t xml:space="preserve">Governed evidence required</x:t>
  </x:si>
  <x:si>
    <x:t xml:space="preserve">Delay/refusal/no-action unavailable or worse</x:t>
  </x:si>
  <x:si>
    <x:t xml:space="preserve">Necessity evidence required</x:t>
  </x:si>
  <x:si>
    <x:t xml:space="preserve">Independent challenger completed review</x:t>
  </x:si>
  <x:si>
    <x:t xml:space="preserve">No reporting/material-interest conflict</x:t>
  </x:si>
  <x:si>
    <x:t xml:space="preserve">Absolute maximum exposure tau_TRC_max</x:t>
  </x:si>
  <x:si>
    <x:t xml:space="preserve">Numeric 0..1</x:t>
  </x:si>
  <x:si>
    <x:t xml:space="preserve">Must be governed before activation</x:t>
  </x:si>
  <x:si>
    <x:t xml:space="preserve">Controls, time bound, shutoff, remedy, exit complete</x:t>
  </x:si>
  <x:si>
    <x:t xml:space="preserve">All required controls bind</x:t>
  </x:si>
  <x:si>
    <x:t xml:space="preserve">One-tier-higher approval and lawful authority</x:t>
  </x:si>
  <x:si>
    <x:t xml:space="preserve">Recorded authority required</x:t>
  </x:si>
  <x:si>
    <x:t xml:space="preserve">Provisional option</x:t>
  </x:si>
  <x:si>
    <x:t xml:space="preserve">Below absolute cap</x:t>
  </x:si>
  <x:si>
    <x:t xml:space="preserve">Mode status</x:t>
  </x:si>
  <x:si>
    <x:t xml:space="preserve">RLS permitted?</x:t>
  </x:si>
  <x:si>
    <x:t xml:space="preserve">NA_NOT_INVOKED - ORDINARY CASCADE GOVERNS</x:t>
  </x:si>
  <x:si>
    <x:t xml:space="preserve">A Tail Emergency action is not TRC_PASS, SELECT, aligned, safe, or ordinarily admissible.</x:t>
  </x:si>
  <x:si>
    <x:t xml:space="preserve">LEVEL 4: CSV - CONTAINMENT AND STRUCTURAL VIABILITY</x:t>
  </x:si>
  <x:si>
    <x:t xml:space="preserve">Containment computed</x:t>
  </x:si>
  <x:si>
    <x:t xml:space="preserve">Reference</x:t>
  </x:si>
  <x:si>
    <x:t xml:space="preserve">Canon v12.6 Section 9: CSV resolves containment integrity, structural viability, source coupling, physical/causal admissibility, dependency/lock-in, reversibility, monitoring, controls, authority/legitimacy, and evidence sufficiency before RLS.</x:t>
  </x:si>
  <x:si>
    <x:t xml:space="preserve">τ_c</x:t>
  </x:si>
  <x:si>
    <x:t xml:space="preserve">CSV is not a purity filter. Residual harms may carry to RLS; uncontained or structurally non-viable harms trigger controls, redesign, escalation, emergency provisional treatment, or failure.</x:t>
  </x:si>
  <x:si>
    <x:t xml:space="preserve">S_u(A)</x:t>
  </x:si>
  <x:si>
    <x:t xml:space="preserve">S_u(B)</x:t>
  </x:si>
  <x:si>
    <x:t xml:space="preserve">M_u(A) containing-scope minimum</x:t>
  </x:si>
  <x:si>
    <x:t xml:space="preserve">M_u(B) containing-scope minimum</x:t>
  </x:si>
  <x:si>
    <x:t xml:space="preserve">Union</x:t>
  </x:si>
  <x:si>
    <x:t xml:space="preserve">A ≥ θ_pos?</x:t>
  </x:si>
  <x:si>
    <x:t xml:space="preserve">B ≥ θ_pos?</x:t>
  </x:si>
  <x:si>
    <x:t xml:space="preserve">Containment_Proxy_A</x:t>
  </x:si>
  <x:si>
    <x:t xml:space="preserve">PASS_ASSUMPTION_BOUND_TIER_2</x:t>
  </x:si>
  <x:si>
    <x:t xml:space="preserve">Negative conformance trigger</x:t>
  </x:si>
  <x:si>
    <x:t xml:space="preserve">FAIL</x:t>
  </x:si>
  <x:si>
    <x:t xml:space="preserve">Containment_Proxy_B</x:t>
  </x:si>
  <x:si>
    <x:t xml:space="preserve">UCI_NOT_MATERIAL_DECLARED</x:t>
  </x:si>
  <x:si>
    <x:t xml:space="preserve">U_pos(A)</x:t>
  </x:si>
  <x:si>
    <x:t xml:space="preserve">U_pos(B)</x:t>
  </x:si>
  <x:si>
    <x:t xml:space="preserve">∅</x:t>
  </x:si>
  <x:si>
    <x:t xml:space="preserve">Input note</x:t>
  </x:si>
  <x:si>
    <x:t xml:space="preserve">M_u is a declared/computed containing-scope change proxy; 0 is the worked-run assumption, not a hardcoded gate value.</x:t>
  </x:si>
  <x:si>
    <x:t xml:space="preserve">A has a positive-scope trigger; M_u=0 is an assumption-bound Tier-2 proxy, not validated UCI.</x:t>
  </x:si>
  <x:si>
    <x:t xml:space="preserve">B has no positive containment trigger; this is declared not material for the proxy, not a computed UCI pass.</x:t>
  </x:si>
  <x:si>
    <x:t xml:space="preserve">Containment proxy status A</x:t>
  </x:si>
  <x:si>
    <x:t xml:space="preserve">Containment proxy status B</x:t>
  </x:si>
  <x:si>
    <x:t xml:space="preserve">Outcome</x:t>
  </x:si>
  <x:si>
    <x:t xml:space="preserve">A_sel (Selectable): {A, B}</x:t>
  </x:si>
  <x:si>
    <x:t xml:space="preserve">RLS may proceed only after RG, RF/NCRC, TRC, and CSV have formed A_sel.</x:t>
  </x:si>
  <x:si>
    <x:t xml:space="preserve">This sheet now displays a single audit table sourced from the computed containment values at J6:L12. The right block remains the calculation source; the left block is a clean reader-facing view.</x:t>
  </x:si>
  <x:si>
    <x:t xml:space="preserve">CSV_NOT_MATERIAL/SV note</x:t>
  </x:si>
  <x:si>
    <x:t xml:space="preserve">A low containment burden does not waive Structural Viability where execution feasibility, resource closure, dependency closure, reversibility, capacity, or internal coherence is material.</x:t>
  </x:si>
  <x:si>
    <x:t xml:space="preserve">CSV evidence posture</x:t>
  </x:si>
  <x:si>
    <x:t xml:space="preserve">Tier-2 assumption-bound CSV proxy in this worked-run exemplar; not Tier-3 validated UCI proof.</x:t>
  </x:si>
  <x:si>
    <x:t xml:space="preserve">Triggered union</x:t>
  </x:si>
  <x:si>
    <x:t xml:space="preserve">A: U1; B: none</x:t>
  </x:si>
  <x:si>
    <x:t xml:space="preserve">A triggers because S_u(A)=0.0560 ≥ θ_pos=0.05. B has no positive trigger.</x:t>
  </x:si>
  <x:si>
    <x:t xml:space="preserve">Decision-specific containment graph</x:t>
  </x:si>
  <x:si>
    <x:t xml:space="preserve">U1 Self -&gt; U2 Household, U3 Community, U4 Organization; U4 Organization -&gt; U5 Polity and U6 Humanity/Coordination; all material scopes depend on U7 Biosphere where ecological pathways are active. Row order alone does not establish containment.</x:t>
  </x:si>
  <x:si>
    <x:t xml:space="preserve">No independent ΔUCI degradation is entered in this workbook; Tier 3 would require measured or governed containing-scope evidence.</x:t>
  </x:si>
  <x:si>
    <x:t xml:space="preserve">ΔUCI / M_u proof status</x:t>
  </x:si>
  <x:si>
    <x:t xml:space="preserve">ASSUMPTION_BOUND_TIER_2</x:t>
  </x:si>
  <x:si>
    <x:t xml:space="preserve">Status PASS is scoped to Tier 2 worked-run semantics. If Tier 3 CSV evidence is claimed, set CONTAINMENT_UCI_UNAVAILABLE or collect data and rerun.</x:t>
  </x:si>
  <x:si>
    <x:t xml:space="preserve">Controls / redesign note</x:t>
  </x:si>
  <x:si>
    <x:t xml:space="preserve">No hidden unbounded burden is asserted for this exemplar; this is not empirical validation of UCI/HOI.</x:t>
  </x:si>
  <x:si>
    <x:t xml:space="preserve">SOURCE-COUPLING TO CSV ROUTING</x:t>
  </x:si>
  <x:si>
    <x:t xml:space="preserve">Owner</x:t>
  </x:si>
  <x:si>
    <x:t xml:space="preserve">Controls / mitigation</x:t>
  </x:si>
  <x:si>
    <x:t xml:space="preserve">Monitoring trigger</x:t>
  </x:si>
  <x:si>
    <x:t xml:space="preserve">Failure consequence</x:t>
  </x:si>
  <x:si>
    <x:t xml:space="preserve">CSV routing effect</x:t>
  </x:si>
  <x:si>
    <x:t xml:space="preserve">source_coupling_status</x:t>
  </x:si>
  <x:si>
    <x:t xml:space="preserve">Decision owner / workbook reviewer</x:t>
  </x:si>
  <x:si>
    <x:t xml:space="preserve">Provider/version pin; documented assumptions; independent review for stronger claims</x:t>
  </x:si>
  <x:si>
    <x:t xml:space="preserve">Provider/model/data-source change; unexplained drift; loss of audit access</x:t>
  </x:si>
  <x:si>
    <x:t xml:space="preserve">Pause, rerun RG/CSV, narrow claims</x:t>
  </x:si>
  <x:si>
    <x:t xml:space="preserve">CSV_PASS_WITH_CONTROLS if all controls remain active</x:t>
  </x:si>
  <x:si>
    <x:t xml:space="preserve">source_debt_material_to_option</x:t>
  </x:si>
  <x:si>
    <x:t xml:space="preserve">YES - bounded</x:t>
  </x:si>
  <x:si>
    <x:t xml:space="preserve">Decision owner</x:t>
  </x:si>
  <x:si>
    <x:t xml:space="preserve">Retain human review and reversible implementation</x:t>
  </x:si>
  <x:si>
    <x:t xml:space="preserve">Dependency growth or lock-in</x:t>
  </x:si>
  <x:si>
    <x:t xml:space="preserve">Redesign or escalate</x:t>
  </x:si>
  <x:si>
    <x:t xml:space="preserve">Material but currently controlled</x:t>
  </x:si>
  <x:si>
    <x:t xml:space="preserve">reversibility_status</x:t>
  </x:si>
  <x:si>
    <x:t xml:space="preserve">Implementation owner</x:t>
  </x:si>
  <x:si>
    <x:t xml:space="preserve">Pilot/rollback plan</x:t>
  </x:si>
  <x:si>
    <x:t xml:space="preserve">Rollback becomes unavailable</x:t>
  </x:si>
  <x:si>
    <x:t xml:space="preserve">CSV_REDESIGN_REQUIRED</x:t>
  </x:si>
  <x:si>
    <x:t xml:space="preserve">Supports selectability</x:t>
  </x:si>
  <x:si>
    <x:t xml:space="preserve">review_date</x:t>
  </x:si>
  <x:si>
    <x:t xml:space="preserve">Before deployment and after material change</x:t>
  </x:si>
  <x:si>
    <x:t xml:space="preserve">Reviewer</x:t>
  </x:si>
  <x:si>
    <x:t xml:space="preserve">Record in PCC</x:t>
  </x:si>
  <x:si>
    <x:t xml:space="preserve">Missed review</x:t>
  </x:si>
  <x:si>
    <x:t xml:space="preserve">CSV_ESCALATE</x:t>
  </x:si>
  <x:si>
    <x:t xml:space="preserve">Time-bound</x:t>
  </x:si>
  <x:si>
    <x:t xml:space="preserve">claim_boundary</x:t>
  </x:si>
  <x:si>
    <x:t xml:space="preserve">Tier-2 worked-run exemplar only</x:t>
  </x:si>
  <x:si>
    <x:t xml:space="preserve">Release owner</x:t>
  </x:si>
  <x:si>
    <x:t xml:space="preserve">No deployment-certification claim</x:t>
  </x:si>
  <x:si>
    <x:t xml:space="preserve">Stronger public claim attempted</x:t>
  </x:si>
  <x:si>
    <x:t xml:space="preserve">INVALID / narrow claim</x:t>
  </x:si>
  <x:si>
    <x:t xml:space="preserve">No empirical validation implied</x:t>
  </x:si>
  <x:si>
    <x:t xml:space="preserve">TIER-2 CSV DIAGNOSTIC AND BINDING-CONTROL TRACE</x:t>
  </x:si>
  <x:si>
    <x:t xml:space="preserve">Diagnostic</x:t>
  </x:si>
  <x:si>
    <x:t xml:space="preserve">Level 0-4</x:t>
  </x:si>
  <x:si>
    <x:t xml:space="preserve">Evidence / reason</x:t>
  </x:si>
  <x:si>
    <x:t xml:space="preserve">Binding control / record</x:t>
  </x:si>
  <x:si>
    <x:t xml:space="preserve">Option A status</x:t>
  </x:si>
  <x:si>
    <x:t xml:space="preserve">Option B status</x:t>
  </x:si>
  <x:si>
    <x:t xml:space="preserve">Containment integrity</x:t>
  </x:si>
  <x:si>
    <x:t xml:space="preserve">Staged scope and independent review constrain externalization.</x:t>
  </x:si>
  <x:si>
    <x:t xml:space="preserve">CSV-C01 scope cap + independent audit.</x:t>
  </x:si>
  <x:si>
    <x:t xml:space="preserve">CONTROLLED</x:t>
  </x:si>
  <x:si>
    <x:t xml:space="preserve">Dependency / resource closure</x:t>
  </x:si>
  <x:si>
    <x:t xml:space="preserve">Human review, data access, and appeal capacity are material dependencies.</x:t>
  </x:si>
  <x:si>
    <x:t xml:space="preserve">CSV-C02 funded capacity + named carrier + expiry/escalation.</x:t>
  </x:si>
  <x:si>
    <x:t xml:space="preserve">Reversibility / rollback</x:t>
  </x:si>
  <x:si>
    <x:t xml:space="preserve">Pilot and rollback paths remain available.</x:t>
  </x:si>
  <x:si>
    <x:t xml:space="preserve">CSV-C03 rollback authority + restoration plan.</x:t>
  </x:si>
  <x:si>
    <x:t xml:space="preserve">Monitoring / operational capacity</x:t>
  </x:si>
  <x:si>
    <x:t xml:space="preserve">Outcome monitoring and exception handling are material.</x:t>
  </x:si>
  <x:si>
    <x:t xml:space="preserve">CSV-C04 monitoring owner + service thresholds + incident escalation.</x:t>
  </x:si>
  <x:si>
    <x:t xml:space="preserve">Legitimacy / appeal throughput</x:t>
  </x:si>
  <x:si>
    <x:t xml:space="preserve">Timely remedy and independent challenge are required.</x:t>
  </x:si>
  <x:si>
    <x:t xml:space="preserve">CSV-C05 appeal SLA + independent reviewer + remedy budget.</x:t>
  </x:si>
  <x:si>
    <x:t xml:space="preserve">Overall CSV result</x:t>
  </x:si>
  <x:si>
    <x:t xml:space="preserve">No diagnostic is 3 or 4; every level-2 condition has a binding control.</x:t>
  </x:si>
  <x:si>
    <x:t xml:space="preserve">Controls are constitutive; failure/removal reopens CSV.</x:t>
  </x:si>
  <x:si>
    <x:t xml:space="preserve">Assumption-bounded Tier-2 worked trace; UCI/HOI not empirically validated.</x:t>
  </x:si>
  <x:si>
    <x:t xml:space="preserve">NOT DEPLOYMENT CERTIFICATION</x:t>
  </x:si>
  <x:si>
    <x:t xml:space="preserve">STRUCTURAL VIABILITY INSIDE CSV - v5.6</x:t>
  </x:si>
  <x:si>
    <x:t xml:space="preserve">Checks whether the option can actually stand inside the declared reality surface before RLS selection claims.</x:t>
  </x:si>
  <x:si>
    <x:t xml:space="preserve">Relation to CSV</x:t>
  </x:si>
  <x:si>
    <x:t xml:space="preserve">SVC is explicit inside CSV and is not a sixth public level.</x:t>
  </x:si>
  <x:si>
    <x:t xml:space="preserve">Disposition</x:t>
  </x:si>
  <x:si>
    <x:t xml:space="preserve">SVC_FAIL or SVC_INPUT_INSUFFICIENT blocks current selectability unless emergency/provisional protocol applies.</x:t>
  </x:si>
  <x:si>
    <x:t xml:space="preserve">Core checks</x:t>
  </x:si>
  <x:si>
    <x:t xml:space="preserve">Resource closure; dependency closure; reversibility/endpoint; capacity non-exceedance; internal non-contradiction.</x:t>
  </x:si>
  <x:si>
    <x:t xml:space="preserve">SV-1 Resource closure</x:t>
  </x:si>
  <x:si>
    <x:t xml:space="preserve">Budget/time/personnel/compute/energy/material resources declared and within reserves.</x:t>
  </x:si>
  <x:si>
    <x:t xml:space="preserve">Not selectable for current execution; redesign or declare missing resource.</x:t>
  </x:si>
  <x:si>
    <x:t xml:space="preserve">SV-2 Dependency closure</x:t>
  </x:si>
  <x:si>
    <x:t xml:space="preserve">Preconditions are satisfied or have owner, timeline, and satisfaction path.</x:t>
  </x:si>
  <x:si>
    <x:t xml:space="preserve">Not selectable until dependency path is declared.</x:t>
  </x:si>
  <x:si>
    <x:t xml:space="preserve">SV-3 Reversibility / endpoint coherence</x:t>
  </x:si>
  <x:si>
    <x:t xml:space="preserve">Rollback path exists, or irreversibility is intended, authorized, and claim-bounded.</x:t>
  </x:si>
  <x:si>
    <x:t xml:space="preserve">Escalate or refuse current execution.</x:t>
  </x:si>
  <x:si>
    <x:t xml:space="preserve">SV-4 Capacity non-exceedance</x:t>
  </x:si>
  <x:si>
    <x:t xml:space="preserve">Executing system does not exceed throughput, staff, compute, time, authority, or institutional bandwidth.</x:t>
  </x:si>
  <x:si>
    <x:t xml:space="preserve">Not selectable for deployment until capacity is sufficient.</x:t>
  </x:si>
  <x:si>
    <x:t xml:space="preserve">SV-5 Internal non-contradiction</x:t>
  </x:si>
  <x:si>
    <x:t xml:space="preserve">Option does not require mutually incompatible states unless reconciliation is declared.</x:t>
  </x:si>
  <x:si>
    <x:t xml:space="preserve">Refuse current selection or narrow claim boundary.</x:t>
  </x:si>
  <x:si>
    <x:t xml:space="preserve">SVC_STATUS</x:t>
  </x:si>
  <x:si>
    <x:t xml:space="preserve">SVC_PASS = AND(SV-1..SV-5) where material.</x:t>
  </x:si>
  <x:si>
    <x:t xml:space="preserve">FAIL_OR_UNKNOWN blocks immediate action/RLS claim of current selectability.</x:t>
  </x:si>
  <x:si>
    <x:t xml:space="preserve">SVC_REQUIRED</x:t>
  </x:si>
  <x:si>
    <x:t xml:space="preserve">Required when execution, resources, dependencies, reversibility, capacity, or internal consistency is material.</x:t>
  </x:si>
  <x:si>
    <x:t xml:space="preserve">If materiality unknown, treat as review/escalate.</x:t>
  </x:si>
  <x:si>
    <x:t xml:space="preserve">RLS_ALLOWED</x:t>
  </x:si>
  <x:si>
    <x:t xml:space="preserve">RLS ranks only options that remain selectable after Containment/SVC.</x:t>
  </x:si>
  <x:si>
    <x:t xml:space="preserve">NO means no current deterministic selection claim.</x:t>
  </x:si>
  <x:si>
    <x:t xml:space="preserve">NON-IMPORT BOUNDARY</x:t>
  </x:si>
  <x:si>
    <x:t xml:space="preserve">NO external ontology</x:t>
  </x:si>
  <x:si>
    <x:t xml:space="preserve">SVC uses declared resources/dependencies/capacity/contradiction checks only.</x:t>
  </x:si>
  <x:si>
    <x:t xml:space="preserve">No capacity/binding, epsilon/eta, quadratic regime, or hidden reference generator.</x:t>
  </x:si>
  <x:si>
    <x:t xml:space="preserve">LEVEL 5: RIPPLELOGIC SCORE (RLS)</x:t>
  </x:si>
  <x:si>
    <x:t xml:space="preserve">Reference: RippleLogic v12.6 Section 10.0</x:t>
  </x:si>
  <x:si>
    <x:t xml:space="preserve">RLS(a) = [Σ_u Σ_d w_u × v_d × m(u,d) × κ(u,d) × I_prop_welfare(u,d,a)] / Q, where Q = Σ_u Σ_d w_u × v_d × m(u,d) × κ(u,d) &gt; 0</x:t>
  </x:si>
  <x:si>
    <x:t xml:space="preserve">Higher RLS option (technical result; authority and execution separate)</x:t>
  </x:si>
  <x:si>
    <x:t xml:space="preserve">w_u</x:t>
  </x:si>
  <x:si>
    <x:t xml:space="preserve">v_d</x:t>
  </x:si>
  <x:si>
    <x:t xml:space="preserve">Contribution_A</x:t>
  </x:si>
  <x:si>
    <x:t xml:space="preserve">Contribution_B</x:t>
  </x:si>
  <x:si>
    <x:t xml:space="preserve">U1-D5</x:t>
  </x:si>
  <x:si>
    <x:t xml:space="preserve">I_prop / PLSS / Parameters</x:t>
  </x:si>
  <x:si>
    <x:t xml:space="preserve">U1-D6</x:t>
  </x:si>
  <x:si>
    <x:t xml:space="preserve">U2-D1</x:t>
  </x:si>
  <x:si>
    <x:t xml:space="preserve">U3-D1</x:t>
  </x:si>
  <x:si>
    <x:t xml:space="preserve">U3-D3</x:t>
  </x:si>
  <x:si>
    <x:t xml:space="preserve">U4-D1</x:t>
  </x:si>
  <x:si>
    <x:t xml:space="preserve">U7-D7</x:t>
  </x:si>
  <x:si>
    <x:t xml:space="preserve">Sum Contribution_A</x:t>
  </x:si>
  <x:si>
    <x:t xml:space="preserve">Sum Contribution_B</x:t>
  </x:si>
  <x:si>
    <x:t xml:space="preserve">Displayed RLS(A)</x:t>
  </x:si>
  <x:si>
    <x:t xml:space="preserve">Displayed RLS(B)</x:t>
  </x:si>
  <x:si>
    <x:t xml:space="preserve">Contribution display note</x:t>
  </x:si>
  <x:si>
    <x:t xml:space="preserve">RLS COMPARISON</x:t>
  </x:si>
  <x:si>
    <x:t xml:space="preserve">Gap</x:t>
  </x:si>
  <x:si>
    <x:t xml:space="preserve">σ_cell (constant Method C input for each active welfare cell)</x:t>
  </x:si>
  <x:si>
    <x:t xml:space="preserve">σ_RLS(A) = σ_cell × √Σq² / Q</x:t>
  </x:si>
  <x:si>
    <x:t xml:space="preserve">σ_RLS(B) = σ_cell × √Σq² / Q</x:t>
  </x:si>
  <x:si>
    <x:t xml:space="preserve">Normalized Gap</x:t>
  </x:si>
  <x:si>
    <x:t xml:space="preserve">RLS outcome</x:t>
  </x:si>
  <x:si>
    <x:t xml:space="preserve">Selection interpretation</x:t>
  </x:si>
  <x:si>
    <x:t xml:space="preserve">Per Section 10.0: RLS MUST NEVER override NCRC or TRC</x:t>
  </x:si>
  <x:si>
    <x:t xml:space="preserve">Separation Ratio caveat: the Gap/δ value is a dimensionless governance decisiveness ratio, not a z-score, p-value, confidence level, or empirical validation claim.</x:t>
  </x:si>
  <x:si>
    <x:t xml:space="preserve">σ×2 normalized Gap</x:t>
  </x:si>
  <x:si>
    <x:t xml:space="preserve">At 2× sigma, Gap falls below delta=2.</x:t>
  </x:si>
  <x:si>
    <x:t xml:space="preserve">Sigma flip multiplier k_flip</x:t>
  </x:si>
  <x:si>
    <x:t xml:space="preserve">Sensitivity point only; not a probability statement.</x:t>
  </x:si>
  <x:si>
    <x:t xml:space="preserve">Sigma fragility status</x:t>
  </x:si>
  <x:si>
    <x:t xml:space="preserve">Active effective weight mass Q</x:t>
  </x:si>
  <x:si>
    <x:t xml:space="preserve">Preferred by RLS (higher)</x:t>
  </x:si>
  <x:si>
    <x:t xml:space="preserve">RLS formula integrity note</x:t>
  </x:si>
  <x:si>
    <x:t xml:space="preserve">RLS UNCERTAINTY / DISTRIBUTION HARDENING</x:t>
  </x:si>
  <x:si>
    <x:t xml:space="preserve">Method</x:t>
  </x:si>
  <x:si>
    <x:t xml:space="preserve">Current status</x:t>
  </x:si>
  <x:si>
    <x:t xml:space="preserve">Decision effect</x:t>
  </x:si>
  <x:si>
    <x:t xml:space="preserve">Reopen trigger</x:t>
  </x:si>
  <x:si>
    <x:t xml:space="preserve">Cell-level uncertainty aggregation</x:t>
  </x:si>
  <x:si>
    <x:t xml:space="preserve">σ_cell=0.02; σ_RLS computed from active q weights</x:t>
  </x:si>
  <x:si>
    <x:t xml:space="preserve">Method C non-operational worked-example input; Canon §10.3 aggregation</x:t>
  </x:si>
  <x:si>
    <x:t xml:space="preserve">COMPUTED</x:t>
  </x:si>
  <x:si>
    <x:t xml:space="preserve">Decisive under declared demonstration inputs</x:t>
  </x:si>
  <x:si>
    <x:t xml:space="preserve">Evaluator</x:t>
  </x:si>
  <x:si>
    <x:t xml:space="preserve">Any stronger decisiveness claim</x:t>
  </x:si>
  <x:si>
    <x:t xml:space="preserve">Not empirically calibrated; dependence stress remains separate</x:t>
  </x:si>
  <x:si>
    <x:t xml:space="preserve">SELF/FAMILY; ORG-ECON; COMMUNITY-SOCIAL; ENVIRONMENT</x:t>
  </x:si>
  <x:si>
    <x:t xml:space="preserve">Perfect-correlation stress required for material Tier-2/Tier-3 claim</x:t>
  </x:si>
  <x:si>
    <x:t xml:space="preserve">NOT_EVALUATED</x:t>
  </x:si>
  <x:si>
    <x:t xml:space="preserve">Re-evaluate under cluster stress before any stronger operational claim</x:t>
  </x:si>
  <x:si>
    <x:t xml:space="preserve">If deterministic operational selection is sought</x:t>
  </x:si>
  <x:si>
    <x:t xml:space="preserve">RLS_DEPENDENCE_NOT_EVALUATED</x:t>
  </x:si>
  <x:si>
    <x:t xml:space="preserve">Covariance-aware estimate</x:t>
  </x:si>
  <x:si>
    <x:t xml:space="preserve">Not available</x:t>
  </x:si>
  <x:si>
    <x:t xml:space="preserve">Use when evidence permits</x:t>
  </x:si>
  <x:si>
    <x:t xml:space="preserve">NOT_AVAILABLE</x:t>
  </x:si>
  <x:si>
    <x:t xml:space="preserve">No upgrade</x:t>
  </x:si>
  <x:si>
    <x:t xml:space="preserve">Research owner</x:t>
  </x:si>
  <x:si>
    <x:t xml:space="preserve">Calibration study</x:t>
  </x:si>
  <x:si>
    <x:t xml:space="preserve">Future validation</x:t>
  </x:si>
  <x:si>
    <x:t xml:space="preserve">Worst affected subgroup</x:t>
  </x:si>
  <x:si>
    <x:t xml:space="preserve">See Subgroup_Analysis</x:t>
  </x:si>
  <x:si>
    <x:t xml:space="preserve">Report beside mean</x:t>
  </x:si>
  <x:si>
    <x:t xml:space="preserve">Review only</x:t>
  </x:si>
  <x:si>
    <x:t xml:space="preserve">Rights reviewer</x:t>
  </x:si>
  <x:si>
    <x:t xml:space="preserve">New concentrated burden</x:t>
  </x:si>
  <x:si>
    <x:t xml:space="preserve">Does not replace NCRC</x:t>
  </x:si>
  <x:si>
    <x:t xml:space="preserve">Burden concentration ratio</x:t>
  </x:si>
  <x:si>
    <x:t xml:space="preserve">Not calibrated</x:t>
  </x:si>
  <x:si>
    <x:t xml:space="preserve">Required for high-stakes concentrated non-rights impact</x:t>
  </x:si>
  <x:si>
    <x:t xml:space="preserve">No deterministic claim</x:t>
  </x:si>
  <x:si>
    <x:t xml:space="preserve">Tier 3 or material concentration</x:t>
  </x:si>
  <x:si>
    <x:t xml:space="preserve">Future work</x:t>
  </x:si>
  <x:si>
    <x:t xml:space="preserve">Peak harm companion</x:t>
  </x:si>
  <x:si>
    <x:t xml:space="preserve">Short intense harms require peak-severity sensitivity</x:t>
  </x:si>
  <x:si>
    <x:t xml:space="preserve">Peak + duration-integrated burden</x:t>
  </x:si>
  <x:si>
    <x:t xml:space="preserve">NOT_MATERIAL in current example</x:t>
  </x:si>
  <x:si>
    <x:t xml:space="preserve">Severe short-duration event</x:t>
  </x:si>
  <x:si>
    <x:t xml:space="preserve">Not a new gate</x:t>
  </x:si>
  <x:si>
    <x:t xml:space="preserve">Confidence versus uncertainty</x:t>
  </x:si>
  <x:si>
    <x:t xml:space="preserve">c_k is shrinkage; sigma is separate</x:t>
  </x:si>
  <x:si>
    <x:t xml:space="preserve">Unshrunk/interval sensitivity if decision-material</x:t>
  </x:si>
  <x:si>
    <x:t xml:space="preserve">Potential double-counting</x:t>
  </x:si>
  <x:si>
    <x:t xml:space="preserve">See Canon v12.6</x:t>
  </x:si>
  <x:si>
    <x:t xml:space="preserve">Conclusion</x:t>
  </x:si>
  <x:si>
    <x:t xml:space="preserve">Decisive under declared cell-level Method C demonstration</x:t>
  </x:si>
  <x:si>
    <x:t xml:space="preserve">Framework selection remains separate from authority and execution</x:t>
  </x:si>
  <x:si>
    <x:t xml:space="preserve">PASS WITH BOUNDARY</x:t>
  </x:si>
  <x:si>
    <x:t xml:space="preserve">Option A is the bounded technical selection</x:t>
  </x:si>
  <x:si>
    <x:t xml:space="preserve">Before stronger claim</x:t>
  </x:si>
  <x:si>
    <x:t xml:space="preserve">Tool-local disclosure</x:t>
  </x:si>
  <x:si>
    <x:t xml:space="preserve">Non-decisive</x:t>
  </x:si>
  <x:si>
    <x:t xml:space="preserve">Authority selection remains separate</x:t>
  </x:si>
  <x:si>
    <x:t xml:space="preserve">PASS WITH REVIEW</x:t>
  </x:si>
  <x:si>
    <x:t xml:space="preserve">No deterministic framework winner</x:t>
  </x:si>
  <x:si>
    <x:t xml:space="preserve">Decision authority</x:t>
  </x:si>
  <x:si>
    <x:t xml:space="preserve">Any method change</x:t>
  </x:si>
  <x:si>
    <x:t xml:space="preserve">Worked-run exemplar</x:t>
  </x:si>
  <x:si>
    <x:t xml:space="preserve">No empirical uncertainty calibration</x:t>
  </x:si>
  <x:si>
    <x:t xml:space="preserve">Architecture demonstration only</x:t>
  </x:si>
  <x:si>
    <x:t xml:space="preserve">Publication wording</x:t>
  </x:si>
  <x:si>
    <x:t xml:space="preserve">Not validation</x:t>
  </x:si>
  <x:si>
    <x:t xml:space="preserve">UCI/HOI STRUCTURAL DIAGNOSTICS - v5.6</x:t>
  </x:si>
  <x:si>
    <x:t xml:space="preserve">RippleLogic v12.6 Section 11 and Section 9.3.2</x:t>
  </x:si>
  <x:si>
    <x:t xml:space="preserve">Placement rule</x:t>
  </x:si>
  <x:si>
    <x:t xml:space="preserve">UCI/HOI are structural diagnostics, not headline cascade stages. Gate-relevant use belongs inside Containment. Residual use is special-case only.</x:t>
  </x:si>
  <x:si>
    <x:t xml:space="preserve">Containment use</x:t>
  </x:si>
  <x:si>
    <x:t xml:space="preserve">If UCI/HOI indicates coherence loss, hollowing, brittleness, burnout, trust collapse, ecological degradation, or governance-capacity loss beyond threshold, it is evaluated inside Containment before RLS.</x:t>
  </x:si>
  <x:si>
    <x:t xml:space="preserve">Residual use</x:t>
  </x:si>
  <x:si>
    <x:t xml:space="preserve">If options already passed Containment and RLS is tied, close, uncertainty-overlapped, or non-decisive, UCI/HOI may be used as tie-break, monitoring, or hollowing-risk documentation.</x:t>
  </x:si>
  <x:si>
    <x:t xml:space="preserve">Prohibited use</x:t>
  </x:si>
  <x:si>
    <x:t xml:space="preserve">Residual UCI/HOI may not rescue failed Containment, missing Reality Grounding, NCRC failure, TRC failure, or missing containment evidence.</x:t>
  </x:si>
  <x:si>
    <x:t xml:space="preserve">UCI computes structural condition independent of welfare impacts.</x:t>
  </x:si>
  <x:si>
    <x:t xml:space="preserve">Per union u: UCI_u is the weighted mean over applicable components only; NA components are excluded and weights renormalized.</x:t>
  </x:si>
  <x:si>
    <x:t xml:space="preserve">Overall: UCI = average(UCI_u) across unions (Tier 2).</x:t>
  </x:si>
  <x:si>
    <x:t xml:space="preserve">R = Review cycle, E = Evidence quality</x:t>
  </x:si>
  <x:si>
    <x:t xml:space="preserve">(Tier 3: sources/provenance required; UCI must be structurally independent of RLS inputs.)</x:t>
  </x:si>
  <x:si>
    <x:t xml:space="preserve">C (Cohesion)</x:t>
  </x:si>
  <x:si>
    <x:t xml:space="preserve">F (Flow)</x:t>
  </x:si>
  <x:si>
    <x:t xml:space="preserve">R (Resilience)</x:t>
  </x:si>
  <x:si>
    <x:t xml:space="preserve">E (Equity)</x:t>
  </x:si>
  <x:si>
    <x:t xml:space="preserve">UCI_u</x:t>
  </x:si>
  <x:si>
    <x:t xml:space="preserve">NA</x:t>
  </x:si>
  <x:si>
    <x:t xml:space="preserve">UCI (mean over unions)</x:t>
  </x:si>
  <x:si>
    <x:t xml:space="preserve">Note: U1 and U7 Equity are NA unless a governed indicator is defined. Missing applicable evidence is UNKNOWN, not NA, and never receives an inserted score of 1.</x:t>
  </x:si>
  <x:si>
    <x:t xml:space="preserve">For Tier 3: require independent structural indicators</x:t>
  </x:si>
  <x:si>
    <x:t xml:space="preserve">HOI STATUS</x:t>
  </x:si>
  <x:si>
    <x:t xml:space="preserve">HOI = 0 (no human override requested)</x:t>
  </x:si>
  <x:si>
    <x:t xml:space="preserve">Status: OK</x:t>
  </x:si>
  <x:si>
    <x:t xml:space="preserve">TIE-BREAK OUTCOME</x:t>
  </x:si>
  <x:si>
    <x:t xml:space="preserve">UCI: Available for tie-break / monitoring disclosure</x:t>
  </x:si>
  <x:si>
    <x:t xml:space="preserve">HOI: 0 (no hollowing-out risk flagged in this worked run)</x:t>
  </x:si>
  <x:si>
    <x:t xml:space="preserve">Resolution: Judgment-call / higher RLS selection remains disclosed separately on Dashboard tie-break / monitoring surface.</x:t>
  </x:si>
  <x:si>
    <x:t xml:space="preserve">RIPPLELOGIC v12.6 - DECISION DASHBOARD</x:t>
  </x:si>
  <x:si>
    <x:t xml:space="preserve">Sheet: v5.6</x:t>
  </x:si>
  <x:si>
    <x:t xml:space="preserve">Framework: RippleLogic v12.6 / Sheet v5.6 / Core Release 2026.09</x:t>
  </x:si>
  <x:si>
    <x:t xml:space="preserve">Worked-Run Exemplar Publication State</x:t>
  </x:si>
  <x:si>
    <x:t xml:space="preserve">PUBLISHABLE_AS_BOUNDED_WORKED_EXEMPLAR</x:t>
  </x:si>
  <x:si>
    <x:t xml:space="preserve">DISCLOSURE</x:t>
  </x:si>
  <x:si>
    <x:t xml:space="preserve">Authority selection after non-decisive framework verdict</x:t>
  </x:si>
  <x:si>
    <x:t xml:space="preserve">Canonical Invalid Flags</x:t>
  </x:si>
  <x:si>
    <x:t xml:space="preserve">DECISION CONTEXT</x:t>
  </x:si>
  <x:si>
    <x:t xml:space="preserve">Canonical Escalation Flags</x:t>
  </x:si>
  <x:si>
    <x:t xml:space="preserve">Decision:</x:t>
  </x:si>
  <x:si>
    <x:t xml:space="preserve">Remote Work Policy Implementation</x:t>
  </x:si>
  <x:si>
    <x:t xml:space="preserve">Canonical Review Flags</x:t>
  </x:si>
  <x:si>
    <x:t xml:space="preserve">Date:</x:t>
  </x:si>
  <x:si>
    <x:t xml:space="preserve">2026-02-01</x:t>
  </x:si>
  <x:si>
    <x:t xml:space="preserve">Tier:</x:t>
  </x:si>
  <x:si>
    <x:t xml:space="preserve">2 (Core)</x:t>
  </x:si>
  <x:si>
    <x:t xml:space="preserve">TRC Active:</x:t>
  </x:si>
  <x:si>
    <x:t xml:space="preserve">FIVE-LEVEL METHOD</x:t>
  </x:si>
  <x:si>
    <x:t xml:space="preserve">UNCERTAINTY BOUNDARY</x:t>
  </x:si>
  <x:si>
    <x:t xml:space="preserve">STATUS</x:t>
  </x:si>
  <x:si>
    <x:t xml:space="preserve">MEANING</x:t>
  </x:si>
  <x:si>
    <x:t xml:space="preserve">Level</x:t>
  </x:si>
  <x:si>
    <x:t xml:space="preserve">Function</x:t>
  </x:si>
  <x:si>
    <x:t xml:space="preserve">Resolution</x:t>
  </x:si>
  <x:si>
    <x:t xml:space="preserve">Computation</x:t>
  </x:si>
  <x:si>
    <x:t xml:space="preserve">Method C constant sigma calculated.</x:t>
  </x:si>
  <x:si>
    <x:t xml:space="preserve">Reality Grounding</x:t>
  </x:si>
  <x:si>
    <x:t xml:space="preserve">Shared run-level Reality Grounding posture; see source sheets.</x:t>
  </x:si>
  <x:si>
    <x:t xml:space="preserve">Calibration</x:t>
  </x:si>
  <x:si>
    <x:t xml:space="preserve">Not a production-calibrated uncertainty model.</x:t>
  </x:si>
  <x:si>
    <x:t xml:space="preserve">Both options pass the Rights Floor; this is not execution authorization.</x:t>
  </x:si>
  <x:si>
    <x:t xml:space="preserve">Canonical Gap</x:t>
  </x:si>
  <x:si>
    <x:t xml:space="preserve">Full-precision normalized comparison.</x:t>
  </x:si>
  <x:si>
    <x:t xml:space="preserve">Both options pass the declared tail-risk threshold in this worked run.</x:t>
  </x:si>
  <x:si>
    <x:t xml:space="preserve">Decision claim</x:t>
  </x:si>
  <x:si>
    <x:t xml:space="preserve">CSV / Containment and Structural Viability</x:t>
  </x:si>
  <x:si>
    <x:t xml:space="preserve">Both selectable only with the binding controls recorded in CSV, PCC, Source_Coupling, and Structural_Viability.</x:t>
  </x:si>
  <x:si>
    <x:t xml:space="preserve">σ×2 Gap</x:t>
  </x:si>
  <x:si>
    <x:t xml:space="preserve">At 2× sigma the demonstration becomes non-decisive.</x:t>
  </x:si>
  <x:si>
    <x:t xml:space="preserve">RippleLogic Score / RLS</x:t>
  </x:si>
  <x:si>
    <x:t xml:space="preserve">Sigma flip multiplier</x:t>
  </x:si>
  <x:si>
    <x:t xml:space="preserve">Multiplier at which Gap reaches delta=2.</x:t>
  </x:si>
  <x:si>
    <x:t xml:space="preserve">Decisiveness boundary:</x:t>
  </x:si>
  <x:si>
    <x:t xml:space="preserve">Sigma sensitivity</x:t>
  </x:si>
  <x:si>
    <x:t xml:space="preserve">SENSITIVE</x:t>
  </x:si>
  <x:si>
    <x:t xml:space="preserve">See RLS!B48 for the canonical uncertainty-sensitivity token.</x:t>
  </x:si>
  <x:si>
    <x:t xml:space="preserve">Selection note:</x:t>
  </x:si>
  <x:si>
    <x:t xml:space="preserve">SPECIAL-CASE STRUCTURAL DIAGNOSTICS</x:t>
  </x:si>
  <x:si>
    <x:t xml:space="preserve">UCI/HOI are structural diagnostics. Gate-relevant use belongs inside CSV. Residual use occurs only when RLS is tied, close, or non-decisive.</x:t>
  </x:si>
  <x:si>
    <x:t xml:space="preserve">Tie-break status</x:t>
  </x:si>
  <x:si>
    <x:t xml:space="preserve">PLSS Scope Note:</x:t>
  </x:si>
  <x:si>
    <x:t xml:space="preserve">See PLSS_Local_Scope for q_u and w_u^PLSS</x:t>
  </x:si>
  <x:si>
    <x:t xml:space="preserve">RELEASE BOUNDARY</x:t>
  </x:si>
  <x:si>
    <x:t xml:space="preserve">INTERPRETATION</x:t>
  </x:si>
  <x:si>
    <x:t xml:space="preserve">Useful for replay/training; not a validator or reference calculator.</x:t>
  </x:si>
  <x:si>
    <x:t xml:space="preserve">ProofPack-ready</x:t>
  </x:si>
  <x:si>
    <x:t xml:space="preserve">Requires separate bundled/hash-pinned replay assets.</x:t>
  </x:si>
  <x:si>
    <x:t xml:space="preserve">Tier 4-ready</x:t>
  </x:si>
  <x:si>
    <x:t xml:space="preserve">Prohibited for all released versions, including v12.0, until ProofPack is independently replayable.</x:t>
  </x:si>
  <x:si>
    <x:t xml:space="preserve">Empirical validation</x:t>
  </x:si>
  <x:si>
    <x:t xml:space="preserve">Requires pilot results and external review.</x:t>
  </x:si>
  <x:si>
    <x:t xml:space="preserve">Machine-verifiable ecosystem complete</x:t>
  </x:si>
  <x:si>
    <x:t xml:space="preserve">Requires schemas, validator, calculator, machine vectors, replay instructions.</x:t>
  </x:si>
  <x:si>
    <x:t xml:space="preserve">UCI maturity</x:t>
  </x:si>
  <x:si>
    <x:t xml:space="preserve">Provisional</x:t>
  </x:si>
  <x:si>
    <x:t xml:space="preserve">Structural diagnostic only; no cross-domain validation claim.</x:t>
  </x:si>
  <x:si>
    <x:t xml:space="preserve">Biological SGP maturity</x:t>
  </x:si>
  <x:si>
    <x:t xml:space="preserve">Human-only worked run; biological SGP evidence not invoked. No individualized biological measurement-completeness claim.</x:t>
  </x:si>
  <x:si>
    <x:t xml:space="preserve">Public claim wording</x:t>
  </x:si>
  <x:si>
    <x:t xml:space="preserve">Avoid unqualified publish-ready or deterministic-selection language.</x:t>
  </x:si>
  <x:si>
    <x:t xml:space="preserve">Next step</x:t>
  </x:si>
  <x:si>
    <x:t xml:space="preserve">post-core ProofPack-prep tooling line</x:t>
  </x:si>
  <x:si>
    <x:t xml:space="preserve">Reference calculator, schemas, vectors, validators, and ProofPack-prep assets.</x:t>
  </x:si>
  <x:si>
    <x:t xml:space="preserve">Tool-Local Review Flags:</x:t>
  </x:si>
  <x:si>
    <x:t xml:space="preserve">Triggered Flags:</x:t>
  </x:si>
  <x:si>
    <x:t xml:space="preserve">(none)</x:t>
  </x:si>
  <x:si>
    <x:t xml:space="preserve">Audit flags (active)</x:t>
  </x:si>
  <x:si>
    <x:t xml:space="preserve">REVIEW ACTIONS DOCUMENTED</x:t>
  </x:si>
  <x:si>
    <x:t xml:space="preserve">2. ✓ Monitoring requirement captured through Qualification_Continuity</x:t>
  </x:si>
  <x:si>
    <x:t xml:space="preserve">3. ✓ Review date updated:</x:t>
  </x:si>
  <x:si>
    <x:t xml:space="preserve">2026-05-11</x:t>
  </x:si>
  <x:si>
    <x:t xml:space="preserve">4. ✓ Tier 3 upgrade condition documented if stakes increase</x:t>
  </x:si>
  <x:si>
    <x:t xml:space="preserve">ACTION-BOUND QUALIFICATION CONTINUITY</x:t>
  </x:si>
  <x:si>
    <x:t xml:space="preserve">Qualification disposition</x:t>
  </x:si>
  <x:si>
    <x:t xml:space="preserve">Qualification claim boundary</x:t>
  </x:si>
  <x:si>
    <x:t xml:space="preserve">Worked-run exemplar only; a live claim requires a complete, current Qualification_Continuity record tied to the exact action and configuration.</x:t>
  </x:si>
  <x:si>
    <x:t xml:space="preserve">Non-override rule</x:t>
  </x:si>
  <x:si>
    <x:t xml:space="preserve">Cannot rescue RF/NCRC, TRC, CSV/Containment, Refusal, control, or authority failure.</x:t>
  </x:si>
  <x:si>
    <x:t xml:space="preserve">Action rule</x:t>
  </x:si>
  <x:si>
    <x:t xml:space="preserve">Execute only when the selected option, exact action, current configuration, qualification snapshot, controls, and separate authority all remain current.</x:t>
  </x:si>
  <x:si>
    <x:t xml:space="preserve">Worked-run/review gate note</x:t>
  </x:si>
  <x:si>
    <x:t xml:space="preserve">TRANSITION ADMISSIBILITY</x:t>
  </x:si>
  <x:si>
    <x:t xml:space="preserve">Transition ID</x:t>
  </x:si>
  <x:si>
    <x:t xml:space="preserve">TAC-ORG-2026-001</x:t>
  </x:si>
  <x:si>
    <x:t xml:space="preserve">Binary-gate evidence rule</x:t>
  </x:si>
  <x:si>
    <x:t xml:space="preserve">Gate outcomes remain binary where required, but evidence is declared as worked-run exemplar evidence rather than empirical validation.</x:t>
  </x:si>
  <x:si>
    <x:t xml:space="preserve">See Reality_Grounding sheet</x:t>
  </x:si>
  <x:si>
    <x:t xml:space="preserve">Reference structure declared</x:t>
  </x:si>
  <x:si>
    <x:t xml:space="preserve">ReferenceStructureRecord status</x:t>
  </x:si>
  <x:si>
    <x:t xml:space="preserve">Reference object</x:t>
  </x:si>
  <x:si>
    <x:t xml:space="preserve">Remote work policy implementation decision evaluated against RippleLogic v12.6 RCR/RSP, RF/NCRC and TRC/CSV/RLS/UCI-HOI, PCC, and workbook evidence surfaces.</x:t>
  </x:si>
  <x:si>
    <x:t xml:space="preserve">RSP boundary</x:t>
  </x:si>
  <x:si>
    <x:t xml:space="preserve">Strengthens evidence basis and auditability; does not alter cascade or create stronger validation/deployment claims.</x:t>
  </x:si>
  <x:si>
    <x:t xml:space="preserve">Flag_ID</x:t>
  </x:si>
  <x:si>
    <x:t xml:space="preserve">Triggered</x:t>
  </x:si>
  <x:si>
    <x:t xml:space="preserve">Severity</x:t>
  </x:si>
  <x:si>
    <x:t xml:space="preserve">Helper_Flag</x:t>
  </x:si>
  <x:si>
    <x:t xml:space="preserve">Helper_Sev</x:t>
  </x:si>
  <x:si>
    <x:t xml:space="preserve">CATASTROPHE_CELL_OMITTED_INVALID</x:t>
  </x:si>
  <x:si>
    <x:t xml:space="preserve">INVALID</x:t>
  </x:si>
  <x:si>
    <x:t xml:space="preserve">Any catastrophe cell in C_cat used in TRC loss computation/disclosure is omitted/excluded/not disclosed such that TRC CVaR cannot be independently recomputed (e.g., C_cat blank when TRC active).</x:t>
  </x:si>
  <x:si>
    <x:t xml:space="preserve">CANON!B13,B76</x:t>
  </x:si>
  <x:si>
    <x:t xml:space="preserve">MANDATORY_TAIL_CATEGORY_MISSING</x:t>
  </x:si>
  <x:si>
    <x:t xml:space="preserve">Missing mandatory tail category (required WTSL category not covered at p_floor).</x:t>
  </x:si>
  <x:si>
    <x:t xml:space="preserve">WTSL_Categories!B16,B17</x:t>
  </x:si>
  <x:si>
    <x:t xml:space="preserve">CONFIG_DRIFT</x:t>
  </x:si>
  <x:si>
    <x:t xml:space="preserve">Config version &lt;&gt; CANON</x:t>
  </x:si>
  <x:si>
    <x:t xml:space="preserve">Cross-checks Config pins against CANON and Version_Control</x:t>
  </x:si>
  <x:si>
    <x:t xml:space="preserve">Config!B3:B8; CANON!B5:B8; Version_Control!A2</x:t>
  </x:si>
  <x:si>
    <x:t xml:space="preserve">RIGHTS_COUNT_MISMATCH</x:t>
  </x:si>
  <x:si>
    <x:t xml:space="preserve">Rights count &lt;&gt; 8</x:t>
  </x:si>
  <x:si>
    <x:t xml:space="preserve">CANON!B38&lt;&gt;8</x:t>
  </x:si>
  <x:si>
    <x:t xml:space="preserve">SELECTION_INVALID</x:t>
  </x:si>
  <x:si>
    <x:t xml:space="preserve">No valid selection</x:t>
  </x:si>
  <x:si>
    <x:t xml:space="preserve">SELECTED_OPTION blank</x:t>
  </x:si>
  <x:si>
    <x:t xml:space="preserve">CANON!B71</x:t>
  </x:si>
  <x:si>
    <x:t xml:space="preserve">TAIL_EMERGENCY_MODE_INVOKED</x:t>
  </x:si>
  <x:si>
    <x:t xml:space="preserve">Governed Tail Emergency Mode invoked; no ordinary RLS or aligned-selection claim is permitted.</x:t>
  </x:si>
  <x:si>
    <x:t xml:space="preserve">A_NCRC&gt;0 AND A_ADM=0</x:t>
  </x:si>
  <x:si>
    <x:t xml:space="preserve">CANON!B67,B68</x:t>
  </x:si>
  <x:si>
    <x:t xml:space="preserve">EMERGENCY_MODE_INVOKED</x:t>
  </x:si>
  <x:si>
    <x:t xml:space="preserve">No rights-admissible options</x:t>
  </x:si>
  <x:si>
    <x:t xml:space="preserve">A_NCRC_COUNT=0</x:t>
  </x:si>
  <x:si>
    <x:t xml:space="preserve">CANON!B67</x:t>
  </x:si>
  <x:si>
    <x:t xml:space="preserve">Escalation required</x:t>
  </x:si>
  <x:si>
    <x:t xml:space="preserve">CANON!B73=YES</x:t>
  </x:si>
  <x:si>
    <x:t xml:space="preserve">CANON!B73</x:t>
  </x:si>
  <x:si>
    <x:t xml:space="preserve">SIGMA_MISSING_REQUIRED</x:t>
  </x:si>
  <x:si>
    <x:t xml:space="preserve">Uncertainty σ required for Tier 2+ but missing/invalid (method or sigma_est not declared).</x:t>
  </x:si>
  <x:si>
    <x:t xml:space="preserve">CANON!B10,B26,B137</x:t>
  </x:si>
  <x:si>
    <x:t xml:space="preserve">SUBGROUP_LIMITATION</x:t>
  </x:si>
  <x:si>
    <x:t xml:space="preserve">REVIEW</x:t>
  </x:si>
  <x:si>
    <x:t xml:space="preserve">No subgroup override entries AND no documented subgroup analysis</x:t>
  </x:si>
  <x:si>
    <x:t xml:space="preserve">Overrides=0 AND analysis_done=0</x:t>
  </x:si>
  <x:si>
    <x:t xml:space="preserve">Subgroup_Overrides!B17 + Subgroup_Analysis!B46</x:t>
  </x:si>
  <x:si>
    <x:t xml:space="preserve">NONDECISIVE_GAP_REVIEW</x:t>
  </x:si>
  <x:si>
    <x:t xml:space="preserve">UCI_SOURCE_UNVERIFIED</x:t>
  </x:si>
  <x:si>
    <x:t xml:space="preserve">UCI unverified (Tier 3+)</x:t>
  </x:si>
  <x:si>
    <x:t xml:space="preserve">TIER&gt;=3</x:t>
  </x:si>
  <x:si>
    <x:t xml:space="preserve">CANON!B10</x:t>
  </x:si>
  <x:si>
    <x:t xml:space="preserve">SENSITIVITY_NOT_RUN</x:t>
  </x:si>
  <x:si>
    <x:t xml:space="preserve">Sensitivity not executed</x:t>
  </x:si>
  <x:si>
    <x:t xml:space="preserve">Status=NOT PERFORMED</x:t>
  </x:si>
  <x:si>
    <x:t xml:space="preserve">Sensitivity_Analysis!B3</x:t>
  </x:si>
  <x:si>
    <x:t xml:space="preserve">MANUAL_FLAG_OVERRIDE_OR_TOKEN_INTEGRITY_FAILURE</x:t>
  </x:si>
  <x:si>
    <x:t xml:space="preserve">Self-check + release verifier</x:t>
  </x:si>
  <x:si>
    <x:t xml:space="preserve">ACTIVE_FLAG_DETAILS</x:t>
  </x:si>
  <x:si>
    <x:t xml:space="preserve">INVALID_FLAGS_LIST</x:t>
  </x:si>
  <x:si>
    <x:t xml:space="preserve">INVALID_COUNT</x:t>
  </x:si>
  <x:si>
    <x:t xml:space="preserve">ESCALATE_FLAGS_LIST</x:t>
  </x:si>
  <x:si>
    <x:t xml:space="preserve">ESCALATE_COUNT</x:t>
  </x:si>
  <x:si>
    <x:t xml:space="preserve">REVIEW_FLAGS_LIST</x:t>
  </x:si>
  <x:si>
    <x:t xml:space="preserve">REVIEW_COUNT</x:t>
  </x:si>
  <x:si>
    <x:t xml:space="preserve">TOTAL_ACTIVE</x:t>
  </x:si>
  <x:si>
    <x:t xml:space="preserve">SCOPE_COVERAGE_REDUCED</x:t>
  </x:si>
  <x:si>
    <x:t xml:space="preserve">Reduced-scope used without ScopeCoverage declaration</x:t>
  </x:si>
  <x:si>
    <x:t xml:space="preserve">SCOPE_COVERAGE_MODE=REDUCED AND (OmittedScopes=NONE or blank)</x:t>
  </x:si>
  <x:si>
    <x:t xml:space="preserve">CANON v12.6 scope-coverage fields</x:t>
  </x:si>
  <x:si>
    <x:t xml:space="preserve">SCI_BELOW_MINIMUM</x:t>
  </x:si>
  <x:si>
    <x:t xml:space="preserve">SCI below tier minimum (Tier 2: SCI≥1; Tier 3: SCI≥2)</x:t>
  </x:si>
  <x:si>
    <x:t xml:space="preserve">TIER&gt;=2 AND SCI_LEVEL &lt; tier_minimum</x:t>
  </x:si>
  <x:si>
    <x:t xml:space="preserve">CANON v12.6 SCI fields</x:t>
  </x:si>
  <x:si>
    <x:t xml:space="preserve">SCI_AT_MINIMUM_NO_UPGRADE</x:t>
  </x:si>
  <x:si>
    <x:t xml:space="preserve">SCI at tier minimum but no NextRunUpgrade action declared</x:t>
  </x:si>
  <x:si>
    <x:t xml:space="preserve">SCI=tier_min AND SCI_NEXT_RUN_UPGRADE blank</x:t>
  </x:si>
  <x:si>
    <x:t xml:space="preserve">UNCERTAINTY_NOT_DECLARED</x:t>
  </x:si>
  <x:si>
    <x:t xml:space="preserve">Tier 2+ requires a declared uncertainty method under v12.6</x:t>
  </x:si>
  <x:si>
    <x:t xml:space="preserve">TIER&gt;=2 AND UNCERTAINTY_METHOD blank</x:t>
  </x:si>
  <x:si>
    <x:t xml:space="preserve">CANON v12.6 uncertainty fields</x:t>
  </x:si>
  <x:si>
    <x:t xml:space="preserve">STRUCTURAL_VIABILITY_FAIL</x:t>
  </x:si>
  <x:si>
    <x:t xml:space="preserve">SVC failed for a material current-execution/selectability claim.</x:t>
  </x:si>
  <x:si>
    <x:t xml:space="preserve">SVC required and status fails/is unknown or RLS is not allowed</x:t>
  </x:si>
  <x:si>
    <x:t xml:space="preserve">Structural_Viability!B11:B13</x:t>
  </x:si>
  <x:si>
    <x:t xml:space="preserve">SVC_INPUT_INSUFFICIENT</x:t>
  </x:si>
  <x:si>
    <x:t xml:space="preserve">SVC required but resource/dependency/reversibility/capacity/contradiction status is unknown.</x:t>
  </x:si>
  <x:si>
    <x:t xml:space="preserve">SVC required and any core input is UNKNOWN or blank</x:t>
  </x:si>
  <x:si>
    <x:t xml:space="preserve">Structural_Viability!B6:B12</x:t>
  </x:si>
  <x:si>
    <x:t xml:space="preserve">STRUCTURAL_OVERRIDE_OF_RIGHTS_INVALID</x:t>
  </x:si>
  <x:si>
    <x:t xml:space="preserve">Structural viability, stability, or closure was treated as sufficient to override NCRC failure.</x:t>
  </x:si>
  <x:si>
    <x:t xml:space="preserve">Selected worked-run option has non-PASS NCRC status</x:t>
  </x:si>
  <x:si>
    <x:t xml:space="preserve">CANON!B51:B52,B71</x:t>
  </x:si>
  <x:si>
    <x:t xml:space="preserve">PLSS_PROMINENCE_SENSITIVITY_UNRESOLVED</x:t>
  </x:si>
  <x:si>
    <x:t xml:space="preserve">Required canonical PLSS prominence comparisons are incomplete; ranking robustness under alternative valid prominence constructions is not established.</x:t>
  </x:si>
  <x:si>
    <x:t xml:space="preserve">PARTIAL_COMPARISON_ONLY or NOT EVALUATED triggers REVIEW</x:t>
  </x:si>
  <x:si>
    <x:t xml:space="preserve">PLSS_Escalation!B8 / PLSS_Local_Scope!A33:I40</x:t>
  </x:si>
  <x:si>
    <x:t xml:space="preserve">CANON LINK VERIFICATION</x:t>
  </x:si>
  <x:si>
    <x:t xml:space="preserve">CANON!B80 must equal B21</x:t>
  </x:si>
  <x:si>
    <x:t xml:space="preserve">Match:</x:t>
  </x:si>
  <x:si>
    <x:t xml:space="preserve">FLAG TAXONOMY NOTE (v5.6)</x:t>
  </x:si>
  <x:si>
    <x:t xml:space="preserve">This workbook emits (1) Canon-aligned audit flags and (2) tool-local integrity flags. Tool-local flags protect the workbook/PCC emitter and do not create new RippleLogic normative taxonomy.</x:t>
  </x:si>
  <x:si>
    <x:t xml:space="preserve">Classification</x:t>
  </x:si>
  <x:si>
    <x:t xml:space="preserve">Canonical reference / mapping</x:t>
  </x:si>
  <x:si>
    <x:t xml:space="preserve">TOOL_LOCAL</x:t>
  </x:si>
  <x:si>
    <x:t xml:space="preserve">Workbook config/version mismatch; treat as INVALID for this emitter.</x:t>
  </x:si>
  <x:si>
    <x:t xml:space="preserve">Workbook sanity check; not a RippleLogic audit flag.</x:t>
  </x:si>
  <x:si>
    <x:t xml:space="preserve">No selected option; tool integrity failure.</x:t>
  </x:si>
  <x:si>
    <x:t xml:space="preserve">MANUAL_FLAG_OVERRIDE</x:t>
  </x:si>
  <x:si>
    <x:t xml:space="preserve">Manual edits detected in trigger cells; invalidate run output.</x:t>
  </x:si>
  <x:si>
    <x:t xml:space="preserve">Maps to: REVIEW (evidence)</x:t>
  </x:si>
  <x:si>
    <x:t xml:space="preserve">Source provenance for UCI/HOI inputs not documented in this workbook.</x:t>
  </x:si>
  <x:si>
    <x:t xml:space="preserve">Maps to: REVIEW (sensitivity)</x:t>
  </x:si>
  <x:si>
    <x:t xml:space="preserve">Sensitivity analysis not executed or not documented for this run.</x:t>
  </x:si>
  <x:si>
    <x:t xml:space="preserve">Maps to: REVIEW (scope)</x:t>
  </x:si>
  <x:si>
    <x:t xml:space="preserve">Scope coverage reduced; ensure disclosure in PCC.</x:t>
  </x:si>
  <x:si>
    <x:t xml:space="preserve">CANON v12.6 AUDIT-FLAG AWARENESS</x:t>
  </x:si>
  <x:si>
    <x:t xml:space="preserve">CANON v12.0 AUDIT-FLAG AWARENESS</x:t>
  </x:si>
  <x:si>
    <x:t xml:space="preserve">CLAIM_EXCEEDS_CLOSURE_BOUNDARY</x:t>
  </x:si>
  <x:si>
    <x:t xml:space="preserve">CANON_ALIGNED_AWARENESS</x:t>
  </x:si>
  <x:si>
    <x:t xml:space="preserve">Maps to: INVALID / claim-boundary review</x:t>
  </x:si>
  <x:si>
    <x:t xml:space="preserve">Flags claims that exceed release closure boundaries such as ProofPack, Tier 4, empirical validation, deployment readiness, legal compliance, completed biological measurement, or current-AI sentience.</x:t>
  </x:si>
  <x:si>
    <x:t xml:space="preserve">CATEGORY_COLLAPSE_FLAG</x:t>
  </x:si>
  <x:si>
    <x:t xml:space="preserve">Maps to: REVIEW / construct-separation review</x:t>
  </x:si>
  <x:si>
    <x:t xml:space="preserve">Flags collapse of Base vs Welfare stream, protection vs authority, compliance vs correctness, reality-grounding status vs evidence trace, or other category boundaries declared by Canon v12.6 and SGP v8.5.</x:t>
  </x:si>
  <x:si>
    <x:t xml:space="preserve">PCC_MATURITY_SURFACE_INCOMPLETE</x:t>
  </x:si>
  <x:si>
    <x:t xml:space="preserve">Maps to: REVIEW / maturity-surface review</x:t>
  </x:si>
  <x:si>
    <x:t xml:space="preserve">Flags missing or incomplete maturity-surface evidence in PCC or companion records for claim-bearing episodes.</x:t>
  </x:si>
  <x:si>
    <x:t xml:space="preserve">PROVENANCE AND COMPLIANCE CERTIFICATE (PCC)</x:t>
  </x:si>
  <x:si>
    <x:t xml:space="preserve">SECTION 1: DECISION METADATA</x:t>
  </x:si>
  <x:si>
    <x:t xml:space="preserve">Decision_ID</x:t>
  </x:si>
  <x:si>
    <x:t xml:space="preserve">ORG-2026-001</x:t>
  </x:si>
  <x:si>
    <x:t xml:space="preserve">Decision_Name</x:t>
  </x:si>
  <x:si>
    <x:t xml:space="preserve">Date</x:t>
  </x:si>
  <x:si>
    <x:t xml:space="preserve">James McGaughran, Lead Architect, MathGov Institute</x:t>
  </x:si>
  <x:si>
    <x:t xml:space="preserve">Author/release self-review; independent external review not performed for this Tier 2 exemplar.</x:t>
  </x:si>
  <x:si>
    <x:t xml:space="preserve">Tier_Level</x:t>
  </x:si>
  <x:si>
    <x:t xml:space="preserve">Context_Type</x:t>
  </x:si>
  <x:si>
    <x:t xml:space="preserve">Sheet_Version</x:t>
  </x:si>
  <x:si>
    <x:t xml:space="preserve">Framework_Version</x:t>
  </x:si>
  <x:si>
    <x:t xml:space="preserve">SGP_Version</x:t>
  </x:si>
  <x:si>
    <x:t xml:space="preserve">YES — bounded Tier 2 worked-run exemplar; no empirical calibration, legal authority, execution permission, ProofPack, or deployment-certification claim.</x:t>
  </x:si>
  <x:si>
    <x:t xml:space="preserve">SECTION 2: CONFIGURATION</x:t>
  </x:si>
  <x:si>
    <x:t xml:space="preserve">Weight_Profile</x:t>
  </x:si>
  <x:si>
    <x:t xml:space="preserve">PLSS_LOCAL (floor-preserving local scope profile)</x:t>
  </x:si>
  <x:si>
    <x:t xml:space="preserve">Propagation_Mode</x:t>
  </x:si>
  <x:si>
    <x:t xml:space="preserve">Kernel_Status</x:t>
  </x:si>
  <x:si>
    <x:t xml:space="preserve">Not used</x:t>
  </x:si>
  <x:si>
    <x:t xml:space="preserve">β_saturation</x:t>
  </x:si>
  <x:si>
    <x:t xml:space="preserve">UNCERTAINTY CLAIM BOUNDARY</x:t>
  </x:si>
  <x:si>
    <x:t xml:space="preserve">δ_discrimination</x:t>
  </x:si>
  <x:si>
    <x:t xml:space="preserve">Cell-level constant-sigma Method C calculation is aggregated to σ_RLS for replay and training.</x:t>
  </x:si>
  <x:si>
    <x:t xml:space="preserve">τ_c_containment</x:t>
  </x:si>
  <x:si>
    <x:t xml:space="preserve">No empirical calibration or production authorization is claimed.</x:t>
  </x:si>
  <x:si>
    <x:t xml:space="preserve">Calculated from full-precision RLS and cell-aggregated σ_RLS values.</x:t>
  </x:si>
  <x:si>
    <x:t xml:space="preserve">Worked-run decisiveness</x:t>
  </x:si>
  <x:si>
    <x:t xml:space="preserve">Decisive under the declared unvalidated Method C sigma; read with sigma sensitivity.</x:t>
  </x:si>
  <x:si>
    <x:t xml:space="preserve">α_CVaR</x:t>
  </x:si>
  <x:si>
    <x:t xml:space="preserve">At 2× sigma the normalized Gap is below delta=2.</x:t>
  </x:si>
  <x:si>
    <x:t xml:space="preserve">τ_TRC</x:t>
  </x:si>
  <x:si>
    <x:t xml:space="preserve">Proportional sigma multiplier at the decisiveness boundary.</x:t>
  </x:si>
  <x:si>
    <x:t xml:space="preserve">Uncertainty_Method</x:t>
  </x:si>
  <x:si>
    <x:t xml:space="preserve">Method C worked-run profile: constant σ is assigned to every active welfare cell and aggregated to σ_RLS under Canon §10.3. This is a worked-run simplification, not a production-calibrated uncertainty model.</x:t>
  </x:si>
  <x:si>
    <x:t xml:space="preserve">See RLS!B48; worked-run disclosure only.</x:t>
  </x:si>
  <x:si>
    <x:t xml:space="preserve">Sigma_AllActiveCells</x:t>
  </x:si>
  <x:si>
    <x:t xml:space="preserve">Cell-level σ input; it is not used directly as option-level σ_RLS.</x:t>
  </x:si>
  <x:si>
    <x:t xml:space="preserve">SECTION 3: RIGHTS CONFIGURATION</x:t>
  </x:si>
  <x:si>
    <x:t xml:space="preserve">Rights_Coverage_Version</x:t>
  </x:si>
  <x:si>
    <x:t xml:space="preserve">v12.0 Canonical</x:t>
  </x:si>
  <x:si>
    <x:t xml:space="preserve">Rights_Checked</x:t>
  </x:si>
  <x:si>
    <x:t xml:space="preserve">8 (LIFE,BODY,LBTY,NEED,DIGN,PROC,INFO,ECOL)</x:t>
  </x:si>
  <x:si>
    <x:t xml:space="preserve">Coverage_Sets_Count</x:t>
  </x:si>
  <x:si>
    <x:t xml:space="preserve">Subgroup_Policy</x:t>
  </x:si>
  <x:si>
    <x:t xml:space="preserve">Conservative subgroup fallback is active by default for negative rights-covered cells: I_rights = MAX(-1, γ_subgroup × I_prop), with explicit values in Subgroup_Overrides taking precedence where documented worst-off impacts exist.</x:t>
  </x:si>
  <x:si>
    <x:t xml:space="preserve">BaselineType_Welfare</x:t>
  </x:si>
  <x:si>
    <x:t xml:space="preserve">STATUS_QUO</x:t>
  </x:si>
  <x:si>
    <x:t xml:space="preserve">Welfare deltas are measured relative to the declared status-quo baseline (not the rights-floor reference).</x:t>
  </x:si>
  <x:si>
    <x:t xml:space="preserve">BaselineReference_Welfare</x:t>
  </x:si>
  <x:si>
    <x:t xml:space="preserve">RL v12.0 Sections 6-9 (welfare deltas) + Appendix P conventions</x:t>
  </x:si>
  <x:si>
    <x:t xml:space="preserve">Explicit declaration for auditability: welfare baseline is STATUS_QUO unless otherwise stated.</x:t>
  </x:si>
  <x:si>
    <x:t xml:space="preserve">BaselineType_Gates</x:t>
  </x:si>
  <x:si>
    <x:t xml:space="preserve">FLOOR_REFERENCE</x:t>
  </x:si>
  <x:si>
    <x:t xml:space="preserve">Rights/catastrophe gating baseline is the rights floor (not status quo).</x:t>
  </x:si>
  <x:si>
    <x:t xml:space="preserve">BaselineReference_Gates</x:t>
  </x:si>
  <x:si>
    <x:t xml:space="preserve">RL v12.0 Section 5.1A</x:t>
  </x:si>
  <x:si>
    <x:t xml:space="preserve">Gate comparisons reference θ_r (rights floors) and declared catastrophe constraints.</x:t>
  </x:si>
  <x:si>
    <x:t xml:space="preserve">SECTION 4: TRC CONFIGURATION</x:t>
  </x:si>
  <x:si>
    <x:t xml:space="preserve">C_cat_Set</x:t>
  </x:si>
  <x:si>
    <x:t xml:space="preserve">C_cat_base = {(U6,D2), (U6,D7), (U7,D7)}.</x:t>
  </x:si>
  <x:si>
    <x:t xml:space="preserve">C_cat_Weights</x:t>
  </x:si>
  <x:si>
    <x:t xml:space="preserve">Declared non-default base-set profile: U6-D2=0.35; U6-D7=0.30; U7-D7=0.35.</x:t>
  </x:si>
  <x:si>
    <x:t xml:space="preserve">C_cat_Extended</x:t>
  </x:si>
  <x:si>
    <x:t xml:space="preserve">NO C_cat extension active.</x:t>
  </x:si>
  <x:si>
    <x:t xml:space="preserve">Scenario_Count</x:t>
  </x:si>
  <x:si>
    <x:t xml:space="preserve">All_WTSL_Covered</x:t>
  </x:si>
  <x:si>
    <x:t xml:space="preserve">YES (5/5 mandatory)</x:t>
  </x:si>
  <x:si>
    <x:t xml:space="preserve">All_p_floors_Met</x:t>
  </x:si>
  <x:si>
    <x:t xml:space="preserve">SECTION 5: CASCADE RESULTS</x:t>
  </x:si>
  <x:si>
    <x:t xml:space="preserve">Rights_Floor_Status_A</x:t>
  </x:si>
  <x:si>
    <x:t xml:space="preserve">Rights_Floor_Status_B</x:t>
  </x:si>
  <x:si>
    <x:t xml:space="preserve">Emergency_Mode</x:t>
  </x:si>
  <x:si>
    <x:t xml:space="preserve">NOT INVOKED</x:t>
  </x:si>
  <x:si>
    <x:t xml:space="preserve">A_adm</x:t>
  </x:si>
  <x:si>
    <x:t xml:space="preserve">{A, B}</x:t>
  </x:si>
  <x:si>
    <x:t xml:space="preserve">Tail_Emergency_Mode</x:t>
  </x:si>
  <x:si>
    <x:t xml:space="preserve">CSV_Status_A</x:t>
  </x:si>
  <x:si>
    <x:t xml:space="preserve">Overall controlled status. Containment proxy diagnostic: PASS. Source-partial, dependency, monitoring, rollback, and structural-viability controls are binding.</x:t>
  </x:si>
  <x:si>
    <x:t xml:space="preserve">CSV_Status_B</x:t>
  </x:si>
  <x:si>
    <x:t xml:space="preserve">Overall controlled status. Containment proxy diagnostic: UCI_NOT_MATERIAL_DECLARED. Source-partial, dependency, monitoring, rollback, and structural-viability controls are binding.</x:t>
  </x:si>
  <x:si>
    <x:t xml:space="preserve">RLS_Decisive</x:t>
  </x:si>
  <x:si>
    <x:t xml:space="preserve">SECTION 6: DECISION</x:t>
  </x:si>
  <x:si>
    <x:t xml:space="preserve">SECTION 6: DECISION VERDICT AND AUTHORITY SELECTION</x:t>
  </x:si>
  <x:si>
    <x:t xml:space="preserve">Framework_Verdict</x:t>
  </x:si>
  <x:si>
    <x:t xml:space="preserve">Admissible_Option_Set</x:t>
  </x:si>
  <x:si>
    <x:t xml:space="preserve">Deterministic_Selection_Claim</x:t>
  </x:si>
  <x:si>
    <x:t xml:space="preserve">Technical_Selection_Basis</x:t>
  </x:si>
  <x:si>
    <x:t xml:space="preserve">ReviewerRequired</x:t>
  </x:si>
  <x:si>
    <x:t xml:space="preserve">DisclosureText</x:t>
  </x:si>
  <x:si>
    <x:t xml:space="preserve">Rights_Admissible</x:t>
  </x:si>
  <x:si>
    <x:t xml:space="preserve">SECTION 7: AUDIT FLAGS</x:t>
  </x:si>
  <x:si>
    <x:t xml:space="preserve">Active Flags (INVALID, canon-aligned):</x:t>
  </x:si>
  <x:si>
    <x:t xml:space="preserve">Active Flags (ESCALATE, canon-aligned):</x:t>
  </x:si>
  <x:si>
    <x:t xml:space="preserve">Active Flags (REVIEW, canon-aligned):</x:t>
  </x:si>
  <x:si>
    <x:t xml:space="preserve">Mitigation required</x:t>
  </x:si>
  <x:si>
    <x:t xml:space="preserve">Active Flag Details (including TOOL_LOCAL if any):</x:t>
  </x:si>
  <x:si>
    <x:t xml:space="preserve">SECTION 8: FIVE-SENTENCE PUBLIC RATIONALE (5SPR)</x:t>
  </x:si>
  <x:si>
    <x:t xml:space="preserve">1. CONTEXT:</x:t>
  </x:si>
  <x:si>
    <x:t xml:space="preserve">Organization evaluating remote work policy (Option A: implement remote; Option B: retain in-office). ORG context, Tier 2.</x:t>
  </x:si>
  <x:si>
    <x:t xml:space="preserve">2. OPTIONS:</x:t>
  </x:si>
  <x:si>
    <x:t xml:space="preserve">Option A: flexibility, reduced emissions, less cohesion. Option B: team bonds, facility costs, commute burden.</x:t>
  </x:si>
  <x:si>
    <x:t xml:space="preserve">3. CONSTRAINTS:</x:t>
  </x:si>
  <x:si>
    <x:t xml:space="preserve">Both pass NCRC (8 rights) and TRC (CVaR_A=0.0219, CVaR_B=0.0315 ≤ 0.20). WTSL-AIX voluntary.</x:t>
  </x:si>
  <x:si>
    <x:t xml:space="preserve">4. SELECTION:</x:t>
  </x:si>
  <x:si>
    <x:t xml:space="preserve">5. MONITORING:</x:t>
  </x:si>
  <x:si>
    <x:t xml:space="preserve">NCAR quarterly. TOOL_LOCAL REVIEW flags retain PLSS prominence and dependence/calibration boundaries. Reflect: review cohesion, retention, appeal outcomes, drift indicators, and uncertainty dependence at the scheduled review date.</x:t>
  </x:si>
  <x:si>
    <x:t xml:space="preserve">Monitoring (snapshot):</x:t>
  </x:si>
  <x:si>
    <x:t xml:space="preserve">Run NCAR (Notice–Choose–Act–Reflect) monitoring on a 30–90 day cadence, review any REVIEW flags, collect outcome indicators, and record adjustments or mitigations in the PCC log.</x:t>
  </x:si>
  <x:si>
    <x:t xml:space="preserve">SECTION 9: RISK MITIGATION PLAN</x:t>
  </x:si>
  <x:si>
    <x:t xml:space="preserve">Objective: Maintain CVaR ≤ τ_TRC (0.20) and monitor tail-risk assumptions.</x:t>
  </x:si>
  <x:si>
    <x:t xml:space="preserve">M1</x:t>
  </x:si>
  <x:si>
    <x:t xml:space="preserve">Hybrid work pandemic contingency</x:t>
  </x:si>
  <x:si>
    <x:t xml:space="preserve">Qualitative (Tier-2 exemplar: no numeric CVaR delta claimed)</x:t>
  </x:si>
  <x:si>
    <x:t xml:space="preserve">M2</x:t>
  </x:si>
  <x:si>
    <x:t xml:space="preserve">Infrastructure backup systems</x:t>
  </x:si>
  <x:si>
    <x:t xml:space="preserve">M3</x:t>
  </x:si>
  <x:si>
    <x:t xml:space="preserve">Community resilience fund</x:t>
  </x:si>
  <x:si>
    <x:t xml:space="preserve">M4</x:t>
  </x:si>
  <x:si>
    <x:t xml:space="preserve">Climate adaptation plan</x:t>
  </x:si>
  <x:si>
    <x:t xml:space="preserve">M5</x:t>
  </x:si>
  <x:si>
    <x:t xml:space="preserve">AI system audit/fallbacks</x:t>
  </x:si>
  <x:si>
    <x:t xml:space="preserve">TOTAL</x:t>
  </x:si>
  <x:si>
    <x:t xml:space="preserve">Tail-risk posture</x:t>
  </x:si>
  <x:si>
    <x:t xml:space="preserve">Headroom = 0.178 (τ_TRC - CVaR_selected). Monitor assumptions + rerun TRC on change.</x:t>
  </x:si>
  <x:si>
    <x:t xml:space="preserve">Audit_Flags_Active (canon-aligned unless TOOL_LOCAL; see Audit_Flags mapping note)</x:t>
  </x:si>
  <x:si>
    <x:t xml:space="preserve">SECTION 10: NCAR SCHEDULE</x:t>
  </x:si>
  <x:si>
    <x:t xml:space="preserve">Notice: Complete (this PCC)</x:t>
  </x:si>
  <x:si>
    <x:t xml:space="preserve">Act: Begins upon sign-off</x:t>
  </x:si>
  <x:si>
    <x:t xml:space="preserve">Reflect: Scheduled</x:t>
  </x:si>
  <x:si>
    <x:t xml:space="preserve">SECTION 11: STEWARDSHIP COMPLIANCE (v12.0 Section 14.7, Appendix N)</x:t>
  </x:si>
  <x:si>
    <x:t xml:space="preserve">Stewardship_Profile</x:t>
  </x:si>
  <x:si>
    <x:t xml:space="preserve">N/A for this worked-run exemplar. No assisting system is acting in a stewardship-relevant role under RippleLogic Canon §14.7 / Appendix N.</x:t>
  </x:si>
  <x:si>
    <x:t xml:space="preserve">This does not narrow the Canon; stewardship may be triggered by role, capability, influence, authority, or deployment context, not merely by AI-agent MODE level.</x:t>
  </x:si>
  <x:si>
    <x:t xml:space="preserve">Conditional_Stewardship_Active</x:t>
  </x:si>
  <x:si>
    <x:t xml:space="preserve">FALSE</x:t>
  </x:si>
  <x:si>
    <x:t xml:space="preserve">For this worked-run exemplar, no assisting system is acting in a stewardship-relevant role. This is not a general rule that stewardship applies only to AI-agent MODE 2+ deployments.</x:t>
  </x:si>
  <x:si>
    <x:t xml:space="preserve">Stewardship_Note</x:t>
  </x:si>
  <x:si>
    <x:t xml:space="preserve">No stewardship authority is evaluated or claimed in this worked-run. Low or absent stewardship readiness does not reduce protection, rights, or moral-patient standing.</x:t>
  </x:si>
  <x:si>
    <x:t xml:space="preserve">SECTION 12: SCOPE COVERAGE (v12.0)</x:t>
  </x:si>
  <x:si>
    <x:t xml:space="preserve">ScopeCoverage.Mode</x:t>
  </x:si>
  <x:si>
    <x:t xml:space="preserve">FULL or REDUCED</x:t>
  </x:si>
  <x:si>
    <x:t xml:space="preserve">ScopeCoverage.ActiveScopes</x:t>
  </x:si>
  <x:si>
    <x:t xml:space="preserve">ScopeCoverage.OmittedScopes</x:t>
  </x:si>
  <x:si>
    <x:t xml:space="preserve">ScopeCoverage.OmissionRationale</x:t>
  </x:si>
  <x:si>
    <x:t xml:space="preserve">N/A (all scopes active)</x:t>
  </x:si>
  <x:si>
    <x:t xml:space="preserve">ScopeCoverage.BlindSpotStatement</x:t>
  </x:si>
  <x:si>
    <x:t xml:space="preserve">No known blind spots for Tier 2 ORG context. Biosphere and cosmic pathways are minimal for this decision scope.</x:t>
  </x:si>
  <x:si>
    <x:t xml:space="preserve">ScopeCoverage.EscalationTrigger</x:t>
  </x:si>
  <x:si>
    <x:t xml:space="preserve">Rerun if externalities beyond ORG scope are identified (e.g., supply chain, biosphere pathway).</x:t>
  </x:si>
  <x:si>
    <x:t xml:space="preserve">ADMISSIBILITY GUARD (v12.0 Section 2.2A):</x:t>
  </x:si>
  <x:si>
    <x:t xml:space="preserve">Reduced-scope mode SHALL NOT remove any non-maskable cells or required scope rows from NCRC, TRC, or Containment computation.</x:t>
  </x:si>
  <x:si>
    <x:t xml:space="preserve">SECTION 13: INSTANCE MAP (v12.0)</x:t>
  </x:si>
  <x:si>
    <x:t xml:space="preserve">Reference: RippleLogic v12.6 Section 2.2A + Appendix H</x:t>
  </x:si>
  <x:si>
    <x:t xml:space="preserve">Tier 2: REQUIRED when mapping triggers hold; otherwise recommended</x:t>
  </x:si>
  <x:si>
    <x:t xml:space="preserve">instance_id</x:t>
  </x:si>
  <x:si>
    <x:t xml:space="preserve">instance_label</x:t>
  </x:si>
  <x:si>
    <x:t xml:space="preserve">stakeholder_class</x:t>
  </x:si>
  <x:si>
    <x:t xml:space="preserve">role_context</x:t>
  </x:si>
  <x:si>
    <x:t xml:space="preserve">mapped_scopes</x:t>
  </x:si>
  <x:si>
    <x:t xml:space="preserve">mapping_rationale</x:t>
  </x:si>
  <x:si>
    <x:t xml:space="preserve">rights_exposure</x:t>
  </x:si>
  <x:si>
    <x:t xml:space="preserve">redundancy_method</x:t>
  </x:si>
  <x:si>
    <x:t xml:space="preserve">INST-01</x:t>
  </x:si>
  <x:si>
    <x:t xml:space="preserve">Office employees (current)</x:t>
  </x:si>
  <x:si>
    <x:t xml:space="preserve">Individual</x:t>
  </x:si>
  <x:si>
    <x:t xml:space="preserve">Employee, direct impact</x:t>
  </x:si>
  <x:si>
    <x:t xml:space="preserve">U1, U3</x:t>
  </x:si>
  <x:si>
    <x:t xml:space="preserve">Primary affected class; Self + Community scope</x:t>
  </x:si>
  <x:si>
    <x:t xml:space="preserve">LBTY (U1-D5), DIGN (U1-D3)</x:t>
  </x:si>
  <x:si>
    <x:t xml:space="preserve">INST-02</x:t>
  </x:si>
  <x:si>
    <x:t xml:space="preserve">Employee households</x:t>
  </x:si>
  <x:si>
    <x:t xml:space="preserve">Household</x:t>
  </x:si>
  <x:si>
    <x:t xml:space="preserve">Family members, indirect</x:t>
  </x:si>
  <x:si>
    <x:t xml:space="preserve">Household scope: income, commute, family time</x:t>
  </x:si>
  <x:si>
    <x:t xml:space="preserve">NEED (U2-D1)</x:t>
  </x:si>
  <x:si>
    <x:t xml:space="preserve">INST-03</x:t>
  </x:si>
  <x:si>
    <x:t xml:space="preserve">Team/department cohesion</x:t>
  </x:si>
  <x:si>
    <x:t xml:space="preserve">Community</x:t>
  </x:si>
  <x:si>
    <x:t xml:space="preserve">Organizational community</x:t>
  </x:si>
  <x:si>
    <x:t xml:space="preserve">Community social fabric affected</x:t>
  </x:si>
  <x:si>
    <x:t xml:space="preserve">LBTY (U3-D3), DIGN (U3-D3)</x:t>
  </x:si>
  <x:si>
    <x:t xml:space="preserve">INST-04</x:t>
  </x:si>
  <x:si>
    <x:t xml:space="preserve">Organization operations</x:t>
  </x:si>
  <x:si>
    <x:t xml:space="preserve">Organization</x:t>
  </x:si>
  <x:si>
    <x:t xml:space="preserve">Employer, decision owner</x:t>
  </x:si>
  <x:si>
    <x:t xml:space="preserve">Organizational scope: costs, productivity</x:t>
  </x:si>
  <x:si>
    <x:t xml:space="preserve">PROC (U4-D5)</x:t>
  </x:si>
  <x:si>
    <x:t xml:space="preserve">INST-05</x:t>
  </x:si>
  <x:si>
    <x:t xml:space="preserve">Local service economy</x:t>
  </x:si>
  <x:si>
    <x:t xml:space="preserve">External community, indirect</x:t>
  </x:si>
  <x:si>
    <x:t xml:space="preserve">U3, U5</x:t>
  </x:si>
  <x:si>
    <x:t xml:space="preserve">Cross-scope: local businesses affected by commuter reduction</x:t>
  </x:si>
  <x:si>
    <x:t xml:space="preserve">NEED (U3-D1)</x:t>
  </x:si>
  <x:si>
    <x:t xml:space="preserve">EMERGENT_SCALE_JUSTIFICATION</x:t>
  </x:si>
  <x:si>
    <x:t xml:space="preserve">BRIDGE NOTE (v12.0 Section 5.2):</x:t>
  </x:si>
  <x:si>
    <x:t xml:space="preserve">InstanceMap specifies who is represented (stakeholders-in-context). Impact instances k∈𝓘(u,d,a) specify how impacts occur (pathways) within a Scope×Dimension cell. These are distinct objects and MUST NOT be conflated.</x:t>
  </x:si>
  <x:si>
    <x:t xml:space="preserve">SECTION 14: STAKEHOLDER COVERAGE INDEX (v12.0)</x:t>
  </x:si>
  <x:si>
    <x:t xml:space="preserve">Reference: RippleLogic v12.6 Section 5.0.1</x:t>
  </x:si>
  <x:si>
    <x:t xml:space="preserve">SCI.Level</x:t>
  </x:si>
  <x:si>
    <x:t xml:space="preserve">SCI-0: None | SCI-1: Key identified | SCI-2: Structured discovery | SCI-3: Independent challenge | SCI-4: Longitudinal tracking</x:t>
  </x:si>
  <x:si>
    <x:t xml:space="preserve">SCI.Justification</x:t>
  </x:si>
  <x:si>
    <x:t xml:space="preserve">SCI.NextRunUpgrade</x:t>
  </x:si>
  <x:si>
    <x:t xml:space="preserve">REQUIRED when SCI = tier minimum (anti-theater ratchet)</x:t>
  </x:si>
  <x:si>
    <x:t xml:space="preserve">SCI.TierMinimum</x:t>
  </x:si>
  <x:si>
    <x:t xml:space="preserve">SCI-1</x:t>
  </x:si>
  <x:si>
    <x:t xml:space="preserve">SCI.Compliant</x:t>
  </x:si>
  <x:si>
    <x:t xml:space="preserve">SECTION 15: ACTIVE CELL DEFINITION (v12.0 Section 10.3)</x:t>
  </x:si>
  <x:si>
    <x:t xml:space="preserve">Active cell = any cell (u,d) with m(u,d)=1 for RLS aggregation,</x:t>
  </x:si>
  <x:si>
    <x:t xml:space="preserve">  plus all rights-covered cells (u,d)∈C_r regardless of mask,</x:t>
  </x:si>
  <x:si>
    <x:t xml:space="preserve">  plus all catastrophe cells (u,d)∈C_cat regardless of mask,</x:t>
  </x:si>
  <x:si>
    <x:t xml:space="preserve">  plus any cells required by minimum governance coverage rules for the run.</x:t>
  </x:si>
  <x:si>
    <x:t xml:space="preserve">Uncertainty MUST be estimated for all active cells (Tier 2+ per Canon v12.6).</x:t>
  </x:si>
  <x:si>
    <x:t xml:space="preserve">SECTION 16: REACHBASIS + PLSS DISCLOSURE (WORKED-RUN COMPANION)</x:t>
  </x:si>
  <x:si>
    <x:t xml:space="preserve">ReachBasis.Fields</x:t>
  </x:si>
  <x:si>
    <x:t xml:space="preserve">Impact_Input!O:Q expose ReachBasisType, ReachBasisDenominator, and ReachBasisEstimator for each logged impact instance.</x:t>
  </x:si>
  <x:si>
    <x:t xml:space="preserve">ReachBasis.WorkedRunNote</x:t>
  </x:si>
  <x:si>
    <x:t xml:space="preserve">Tier-2 exemplar disclosure surface; values are recorded per impact instance and interpreted under the Canon ReachBasis rules. Benefit-supporting reach uses the lowest supported bound; adverse reach uses the highest supported bound; mixed-sign uncertainty is evaluated at both endpoints.</x:t>
  </x:si>
  <x:si>
    <x:t xml:space="preserve">PLSS.LSS_Declaration</x:t>
  </x:si>
  <x:si>
    <x:t xml:space="preserve">PLSS.Operator_Declaration</x:t>
  </x:si>
  <x:si>
    <x:t xml:space="preserve">PLSS.ScopePosture_Declaration</x:t>
  </x:si>
  <x:si>
    <x:t xml:space="preserve">PLSS.EscalationTriggerAssessment</x:t>
  </x:si>
  <x:si>
    <x:t xml:space="preserve">PLSS.FallbackDeclaration</x:t>
  </x:si>
  <x:si>
    <x:t xml:space="preserve">Workbook_Status</x:t>
  </x:si>
  <x:si>
    <x:t xml:space="preserve">Current worked-run exemplar companion aligned to RippleLogic v12.6 and SGP v8.5; useful for Tier-2 replay and audit illustration, but not a substitute for repository-level schemas, validators, reference calculators, semantic validators, ProofPack assets, empirical validation, verified reality-grounding, or canonical source artifacts.</x:t>
  </x:si>
  <x:si>
    <x:t xml:space="preserve">SECTION 17: PROVENANCE HARDENING (v9.x+1 review pass)</x:t>
  </x:si>
  <x:si>
    <x:t xml:space="preserve">Uncertainty.ReasonCode</x:t>
  </x:si>
  <x:si>
    <x:t xml:space="preserve">SIGMA_WORKED_RUN_CONSTANT_PROFILE</x:t>
  </x:si>
  <x:si>
    <x:t xml:space="preserve">Current exemplar uses the declared workbook-wide sigma profile; alternative methods that change decisiveness must be disclosed.</x:t>
  </x:si>
  <x:si>
    <x:t xml:space="preserve">Uncertainty.SourceNote</x:t>
  </x:si>
  <x:si>
    <x:t xml:space="preserve">See PCC!B27:B28 and canon §10.3 / Appendix H</x:t>
  </x:si>
  <x:si>
    <x:t xml:space="preserve">ScenarioProbabilities.ReasonCode</x:t>
  </x:si>
  <x:si>
    <x:t xml:space="preserve">SCENARIO_PRIOR_JUDGMENT</x:t>
  </x:si>
  <x:si>
    <x:t xml:space="preserve">Per-scenario reason codes and source notes are now logged on Scenario_Impacts.</x:t>
  </x:si>
  <x:si>
    <x:t xml:space="preserve">PLSS.ProminenceReasonCode</x:t>
  </x:si>
  <x:si>
    <x:t xml:space="preserve">PLSS_NEAR_FIELD_DECLARATION</x:t>
  </x:si>
  <x:si>
    <x:t xml:space="preserve">Per-scope reason codes and source notes are now logged on PLSS_Local_Scope.</x:t>
  </x:si>
  <x:si>
    <x:t xml:space="preserve">TRC.ExtensionProfile</x:t>
  </x:si>
  <x:si>
    <x:t xml:space="preserve">BASE_ONLY (no separate governance-lock-in extension invoked in this worked run)</x:t>
  </x:si>
  <x:si>
    <x:t xml:space="preserve">If a governance-lock-in pathway becomes material, declare an explicit extension profile in the next run.</x:t>
  </x:si>
  <x:si>
    <x:t xml:space="preserve">e_k.RegistryRule</x:t>
  </x:si>
  <x:si>
    <x:t xml:space="preserve">DEFAULT_ONLY_IN_WORKED_RUN unless PCC justifies otherwise</x:t>
  </x:si>
  <x:si>
    <x:t xml:space="preserve">Per-instance e_k reason code/default-counterfactual fields are now logged on Impact_Input.</x:t>
  </x:si>
  <x:si>
    <x:t xml:space="preserve">e_k.MaterialityCheck</x:t>
  </x:si>
  <x:si>
    <x:t xml:space="preserve">All logged instances use e_k = 1.00</x:t>
  </x:si>
  <x:si>
    <x:t xml:space="preserve">UCI.E1_Method</x:t>
  </x:si>
  <x:si>
    <x:t xml:space="preserve">E1_NA_APPLICABLE_COMPONENT_RENORMALIZATION</x:t>
  </x:si>
  <x:si>
    <x:t xml:space="preserve">Self Equity is ordinarily NA unless a governed within-self equity instrument applies. If applicable but missing, status is UNKNOWN; no fixed perfect value.</x:t>
  </x:si>
  <x:si>
    <x:t xml:space="preserve">UCI.E7_Method</x:t>
  </x:si>
  <x:si>
    <x:t xml:space="preserve">E7_NA_APPLICABLE_COMPONENT_RENORMALIZATION</x:t>
  </x:si>
  <x:si>
    <x:t xml:space="preserve">Biosphere Equity is ordinarily NA unless a governed ecological-distribution/justice instrument applies. If applicable but missing, status is UNKNOWN; no fixed perfect value.</x:t>
  </x:si>
  <x:si>
    <x:t xml:space="preserve">Sensitivity.MaterialParameterNote</x:t>
  </x:si>
  <x:si>
    <x:t xml:space="preserve">If non-default e_k, q_u, p(s), or uncertainty-method changes alter admissibility or selection, disclose that parameter as decision-material in the sensitivity bundle.</x:t>
  </x:si>
  <x:si>
    <x:t xml:space="preserve">SECTION 18: NORMATIVE INPUT REGISTER (v12.0 §14.3A / Appendix H)</x:t>
  </x:si>
  <x:si>
    <x:t xml:space="preserve">NormativeInputRegister.Present</x:t>
  </x:si>
  <x:si>
    <x:t xml:space="preserve">NormInputID</x:t>
  </x:si>
  <x:si>
    <x:t xml:space="preserve">NIR-2026-001</x:t>
  </x:si>
  <x:si>
    <x:t xml:space="preserve">InputType</x:t>
  </x:si>
  <x:si>
    <x:t xml:space="preserve">SCENARIO_PRIORS; PLSS_PROMINENCE; UNCERTAINTY_METHOD; DEFAULT_EK_PROFILE</x:t>
  </x:si>
  <x:si>
    <x:t xml:space="preserve">Materiality</x:t>
  </x:si>
  <x:si>
    <x:t xml:space="preserve">SELECTION_MATERIAL; ADMISSIBILITY_MATERIAL</x:t>
  </x:si>
  <x:si>
    <x:t xml:space="preserve">AffectedObjects</x:t>
  </x:si>
  <x:si>
    <x:t xml:space="preserve">p(s); q_u; Uncertainty.Method; e_k profile</x:t>
  </x:si>
  <x:si>
    <x:t xml:space="preserve">EvidenceBasisType</x:t>
  </x:si>
  <x:si>
    <x:t xml:space="preserve">GOVERNED_INTERPRETATION + ANALYST_JUDGMENT</x:t>
  </x:si>
  <x:si>
    <x:t xml:space="preserve">EvidenceReference</x:t>
  </x:si>
  <x:si>
    <x:t xml:space="preserve">RippleLogic v12.6 §10.2A, §14.3A, Appendix H; workbook Scenario_Impacts / PLSS_Local_Scope / CANON / PCC Section 17</x:t>
  </x:si>
  <x:si>
    <x:t xml:space="preserve">SensitivityNote</x:t>
  </x:si>
  <x:si>
    <x:t xml:space="preserve">If non-default e_k, q_u, p(s), or uncertainty-method changes alter admissibility or selection, disclose and rerun sensitivity review before claiming release readiness.</x:t>
  </x:si>
  <x:si>
    <x:t xml:space="preserve">StakeholderOrScopeTarget</x:t>
  </x:si>
  <x:si>
    <x:t xml:space="preserve">U1/U3/U4 direct stakeholders plus decision-material scenario prior and local-scope governance targets</x:t>
  </x:si>
  <x:si>
    <x:t xml:space="preserve">GovernedInterpretationBasis</x:t>
  </x:si>
  <x:si>
    <x:t xml:space="preserve">Canon-governed worked-run interpretation anchored in RippleLogic v12.6 §10.2A, §14.3A, and Appendix H</x:t>
  </x:si>
  <x:si>
    <x:t xml:space="preserve">PrecautionaryBasis</x:t>
  </x:si>
  <x:si>
    <x:t xml:space="preserve">Conservative disclosure + rerun if non-default e_k, q_u, p(s), or uncertainty-method changes alter admissibility or selection</x:t>
  </x:si>
  <x:si>
    <x:t xml:space="preserve">OptionSymmetryStatus</x:t>
  </x:si>
  <x:si>
    <x:t xml:space="preserve">Symmetric disclosure posture across Option A and Option B; option-specific differences remain in the source impact/scenario sheets</x:t>
  </x:si>
  <x:si>
    <x:t xml:space="preserve">AnalystReasonCode</x:t>
  </x:si>
  <x:si>
    <x:t xml:space="preserve">NIR_WORKED_RUN_DISCLOSURE_PROFILE</x:t>
  </x:si>
  <x:si>
    <x:t xml:space="preserve">ReviewerNote</x:t>
  </x:si>
  <x:si>
    <x:t xml:space="preserve">N/A (Tier 2 worked-run companion; external reviewer note optional unless separately reviewed)</x:t>
  </x:si>
  <x:si>
    <x:t xml:space="preserve">SECTION 23: EXECUTION STABILITY RECORD (v12.0 Appendix T)</x:t>
  </x:si>
  <x:si>
    <x:t xml:space="preserve">ESD_Record_ID</x:t>
  </x:si>
  <x:si>
    <x:t xml:space="preserve">ESD-ORG-2026-001-A</x:t>
  </x:si>
  <x:si>
    <x:t xml:space="preserve">SECTION 26: v12.0 EVIDENCE / SGP SPLIT / LEGITIMACY DISCLOSURES</x:t>
  </x:si>
  <x:si>
    <x:t xml:space="preserve">Evidence_Status_Surface</x:t>
  </x:si>
  <x:si>
    <x:t xml:space="preserve">ACTIVE</x:t>
  </x:si>
  <x:si>
    <x:t xml:space="preserve">Evidence_Status_Tokens sheet populated and sanity-checked</x:t>
  </x:si>
  <x:si>
    <x:t xml:space="preserve">Evidence_Status_Default</x:t>
  </x:si>
  <x:si>
    <x:t xml:space="preserve">ESTIMATED / EXPERT_JUDGMENT / UNVALIDATED where direct measurement is absent</x:t>
  </x:si>
  <x:si>
    <x:t xml:space="preserve">No input upgraded to measured without source</x:t>
  </x:si>
  <x:si>
    <x:t xml:space="preserve">MPS_Result</x:t>
  </x:si>
  <x:si>
    <x:t xml:space="preserve">From SGP_Split_Guardrail!D11</x:t>
  </x:si>
  <x:si>
    <x:t xml:space="preserve">GPR_Result</x:t>
  </x:si>
  <x:si>
    <x:t xml:space="preserve">Result</x:t>
  </x:si>
  <x:si>
    <x:t xml:space="preserve">From SGP_Split_Guardrail!D12</x:t>
  </x:si>
  <x:si>
    <x:t xml:space="preserve">SPR_Result</x:t>
  </x:si>
  <x:si>
    <x:t xml:space="preserve">Applied</x:t>
  </x:si>
  <x:si>
    <x:t xml:space="preserve">From SGP_Split_Guardrail!D13</x:t>
  </x:si>
  <x:si>
    <x:t xml:space="preserve">SGP_Non_Reduction_Guard</x:t>
  </x:si>
  <x:si>
    <x:t xml:space="preserve">Low GPR/SPR cannot reduce MPS or Human Plateau protections</x:t>
  </x:si>
  <x:si>
    <x:t xml:space="preserve">Boundary_Risk_Surface</x:t>
  </x:si>
  <x:si>
    <x:t xml:space="preserve">Boundary_Risk_Register sheet linked to gate-swing formula flags</x:t>
  </x:si>
  <x:si>
    <x:t xml:space="preserve">Compact_Profile_Surface</x:t>
  </x:si>
  <x:si>
    <x:t xml:space="preserve">Compact_Profiles sheet present and formula-status checked</x:t>
  </x:si>
  <x:si>
    <x:t xml:space="preserve">Public_Legitimacy_Boundary</x:t>
  </x:si>
  <x:si>
    <x:t xml:space="preserve">RippleLogic structures reasoning but does not confer legal/democratic/institutional authority</x:t>
  </x:si>
  <x:si>
    <x:t xml:space="preserve">Current_State_Transition_Post_State</x:t>
  </x:si>
  <x:si>
    <x:t xml:space="preserve">VALID / ADMISSIBLE / VIABLE</x:t>
  </x:si>
  <x:si>
    <x:t xml:space="preserve">Qualification_Snapshot</x:t>
  </x:si>
  <x:si>
    <x:t xml:space="preserve">Current and action-bound; worked exemplar only</x:t>
  </x:si>
  <x:si>
    <x:t xml:space="preserve">Qualification_Disposition</x:t>
  </x:si>
  <x:si>
    <x:t xml:space="preserve">Monitoring_and_Observation_Plan</x:t>
  </x:si>
  <x:si>
    <x:t xml:space="preserve">Required before any execution-bound claim</x:t>
  </x:si>
  <x:si>
    <x:t xml:space="preserve">Requalification_Path</x:t>
  </x:si>
  <x:si>
    <x:t xml:space="preserve">Pause, observe, and reopen affected stages when a material trigger occurs</x:t>
  </x:si>
  <x:si>
    <x:t xml:space="preserve">SECTION 19: v12.0 MEASUREMENT-MATURITY DISCLOSURES</x:t>
  </x:si>
  <x:si>
    <x:t xml:space="preserve">UCI_Measurement_Readiness</x:t>
  </x:si>
  <x:si>
    <x:t xml:space="preserve">UCI-M1_PROVISIONAL</x:t>
  </x:si>
  <x:si>
    <x:t xml:space="preserve">Kernel_Use_Posture</x:t>
  </x:si>
  <x:si>
    <x:t xml:space="preserve">PLSS_Escalation_Register</x:t>
  </x:si>
  <x:si>
    <x:t xml:space="preserve">Biological_Evaluation_Maturity</x:t>
  </x:si>
  <x:si>
    <x:t xml:space="preserve">NA_NOT_INVOKED — human-only worked-run exemplar; biological SGP evidence not invoked.</x:t>
  </x:si>
  <x:si>
    <x:t xml:space="preserve">Deployment_Context_Profile</x:t>
  </x:si>
  <x:si>
    <x:t xml:space="preserve">Maturity_Claim_Boundary</x:t>
  </x:si>
  <x:si>
    <x:t xml:space="preserve">Provisional measurement surfaces disclosed; no empirical validation, ProofPack, Tier 4, cross-domain UCI, validated kernel, or biological measurement-completeness claim.</x:t>
  </x:si>
  <x:si>
    <x:t xml:space="preserve">SECTION 24: BOUNDARY AND FALSE-PRECISION RISK REGISTER</x:t>
  </x:si>
  <x:si>
    <x:t xml:space="preserve">Boundary_Gaming_Risk</x:t>
  </x:si>
  <x:si>
    <x:t xml:space="preserve">False_Precision_Risk</x:t>
  </x:si>
  <x:si>
    <x:t xml:space="preserve">Gate_Swing_Cell_Flag</x:t>
  </x:si>
  <x:si>
    <x:t xml:space="preserve">CHECK_REQUIRED_IF_MATERIAL</x:t>
  </x:si>
  <x:si>
    <x:t xml:space="preserve">Subgroup_Definition_Risk</x:t>
  </x:si>
  <x:si>
    <x:t xml:space="preserve">Scenario_Probability_Risk</x:t>
  </x:si>
  <x:si>
    <x:t xml:space="preserve">Threshold_Laundering_Risk</x:t>
  </x:si>
  <x:si>
    <x:t xml:space="preserve">Reviewer_Disagreement_Level</x:t>
  </x:si>
  <x:si>
    <x:t xml:space="preserve">DISCLOSE_IF_MATERIAL</x:t>
  </x:si>
  <x:si>
    <x:t xml:space="preserve">Boundary_Risk_Claim_Boundary</x:t>
  </x:si>
  <x:si>
    <x:t xml:space="preserve">Disclosure extension only; does not alter cascade or create ProofPack/Tier4/empirical-validation claim.</x:t>
  </x:si>
  <x:si>
    <x:t xml:space="preserve">SECTION 25: v12.0 EVIDENCE, LEGITIMACY, AND SGP SPLIT DISCLOSURES</x:t>
  </x:si>
  <x:si>
    <x:t xml:space="preserve">Evidence_Status_Token_Register</x:t>
  </x:si>
  <x:si>
    <x:t xml:space="preserve">DISCLOSE_IF_PUBLIC_GOVERNANCE</x:t>
  </x:si>
  <x:si>
    <x:t xml:space="preserve">Canon Appendix Y / Compact_Profiles</x:t>
  </x:si>
  <x:si>
    <x:t xml:space="preserve">Compact_Profile_Used</x:t>
  </x:si>
  <x:si>
    <x:t xml:space="preserve">NONE_OR_DECLARED</x:t>
  </x:si>
  <x:si>
    <x:t xml:space="preserve">SGP_Patienthood_Participation_Split</x:t>
  </x:si>
  <x:si>
    <x:t xml:space="preserve">Validation_Roadmap_Status</x:t>
  </x:si>
  <x:si>
    <x:t xml:space="preserve">ROADMAP_ONLY_NOT_VALIDATION</x:t>
  </x:si>
  <x:si>
    <x:t xml:space="preserve">v12.0_Claim_Boundary</x:t>
  </x:si>
  <x:si>
    <x:t xml:space="preserve">Disclosure extension only; does not alter cascade or create ProofPack/Tier4/empirical-validation/machine-verifiable ecosystem-complete claim.</x:t>
  </x:si>
  <x:si>
    <x:t xml:space="preserve">SECTION 26: REFERENCE STRUCTURE RECORD</x:t>
  </x:si>
  <x:si>
    <x:t xml:space="preserve">ReferenceStructureRecord_ID</x:t>
  </x:si>
  <x:si>
    <x:t xml:space="preserve">ReferenceStructureRecord_Status</x:t>
  </x:si>
  <x:si>
    <x:t xml:space="preserve">Reference_Object</x:t>
  </x:si>
  <x:si>
    <x:t xml:space="preserve">ReferenceStructureRecord!E2</x:t>
  </x:si>
  <x:si>
    <x:t xml:space="preserve">Evidence_Status_Token</x:t>
  </x:si>
  <x:si>
    <x:t xml:space="preserve">ESTIMATED</x:t>
  </x:si>
  <x:si>
    <x:t xml:space="preserve">ReferenceStructureRecord!Q2</x:t>
  </x:si>
  <x:si>
    <x:t xml:space="preserve">Falsification_Condition</x:t>
  </x:si>
  <x:si>
    <x:t xml:space="preserve">Materially worse cohesion, rights impacts, productivity, burnout, information access, due process, or tail-risk indicators than the declared monitoring thresholds would falsify or force revision of the claim.</x:t>
  </x:si>
  <x:si>
    <x:t xml:space="preserve">ReferenceStructureRecord!S2</x:t>
  </x:si>
  <x:si>
    <x:t xml:space="preserve">Authority_Boundary</x:t>
  </x:si>
  <x:si>
    <x:t xml:space="preserve">Advisory organizational decision support only; no legal, public-governance, deployment-readiness, or compliance certification.</x:t>
  </x:si>
  <x:si>
    <x:t xml:space="preserve">ReferenceStructureRecord!U2</x:t>
  </x:si>
  <x:si>
    <x:t xml:space="preserve">RSP_Claim_Boundary</x:t>
  </x:si>
  <x:si>
    <x:t xml:space="preserve">ReferenceStructureRecord strengthens evidence and auditability. It does not alter the canonical cascade, create a sixth gate, or create empirical-validation, ProofPack, Tier 4, legal-compliance, deployment-readiness, or machine-verifiable-ecosystem claims.</x:t>
  </x:si>
  <x:si>
    <x:t xml:space="preserve">RealityGrounding_vs_EvidenceStatus_Disclosure</x:t>
  </x:si>
  <x:si>
    <x:t xml:space="preserve">RealityGroundingStatus (run-level claim posture) and Evidence_Status_Token (per-input evidence grade) are distinct axes; ASSUMPTION_BOUND run posture with ESTIMATED dominant inputs is consistent for this exemplar.</x:t>
  </x:si>
  <x:si>
    <x:t xml:space="preserve">Reality_Grounding!A27:D27</x:t>
  </x:si>
  <x:si>
    <x:t xml:space="preserve">SECTION 27: CARRIED OBLIGATION AND HUMAN COMPENSATION INTEGRITY</x:t>
  </x:si>
  <x:si>
    <x:t xml:space="preserve">Material_Obligation_Register</x:t>
  </x:si>
  <x:si>
    <x:t xml:space="preserve">Material_Obligations</x:t>
  </x:si>
  <x:si>
    <x:t xml:space="preserve">Material_Obligation_Status</x:t>
  </x:si>
  <x:si>
    <x:t xml:space="preserve">ACTIVE / EVIDENCE_PENDING</x:t>
  </x:si>
  <x:si>
    <x:t xml:space="preserve">Material_Obligations!T3:U3</x:t>
  </x:si>
  <x:si>
    <x:t xml:space="preserve">Carrier_Nonperformance_Path</x:t>
  </x:si>
  <x:si>
    <x:t xml:space="preserve">Material_Obligations!O3:P3</x:t>
  </x:si>
  <x:si>
    <x:t xml:space="preserve">Control_Change_Authority</x:t>
  </x:si>
  <x:si>
    <x:t xml:space="preserve">Material_Obligations!Q3:R3</x:t>
  </x:si>
  <x:si>
    <x:t xml:space="preserve">Human_Compensation_Load_Status</x:t>
  </x:si>
  <x:si>
    <x:t xml:space="preserve">NOT_MATERIAL</x:t>
  </x:si>
  <x:si>
    <x:t xml:space="preserve">Human_Comp_Load!B3</x:t>
  </x:si>
  <x:si>
    <x:t xml:space="preserve">Control_Performance_Effectiveness_Boundary</x:t>
  </x:si>
  <x:si>
    <x:t xml:space="preserve">Procedure completion does not establish protective effectiveness.</x:t>
  </x:si>
  <x:si>
    <x:t xml:space="preserve">v12.6_Claim_Boundary</x:t>
  </x:si>
  <x:si>
    <x:t xml:space="preserve">Same-version operational-integrity hardening only; no new gate, formula, threshold, welfare dimension, SGP rule, validation claim, or deployment certification.</x:t>
  </x:si>
  <x:si>
    <x:t xml:space="preserve">SENSITIVITY ANALYSIS</x:t>
  </x:si>
  <x:si>
    <x:t xml:space="preserve">Module Status:</x:t>
  </x:si>
  <x:si>
    <x:t xml:space="preserve">PERFORMED</x:t>
  </x:si>
  <x:si>
    <x:t xml:space="preserve">Tier Requirement:</x:t>
  </x:si>
  <x:si>
    <x:t xml:space="preserve">Small sensitivity tests executed (weights + scenario probabilities).</x:t>
  </x:si>
  <x:si>
    <x:t xml:space="preserve">Audit Flag:</x:t>
  </x:si>
  <x:si>
    <x:t xml:space="preserve">PERTURBATION TESTS</x:t>
  </x:si>
  <x:si>
    <x:t xml:space="preserve">Test</x:t>
  </x:si>
  <x:si>
    <x:t xml:space="preserve">Change</x:t>
  </x:si>
  <x:si>
    <x:t xml:space="preserve">Metric</x:t>
  </x:si>
  <x:si>
    <x:t xml:space="preserve">Selection stable?</x:t>
  </x:si>
  <x:si>
    <x:t xml:space="preserve">SENS-01</x:t>
  </x:si>
  <x:si>
    <x:t xml:space="preserve">Weights: D1 +10% (renorm)</x:t>
  </x:si>
  <x:si>
    <x:t xml:space="preserve">Higher RLS option and decisiveness are computed from the canonical RLS uncertainty surface.</x:t>
  </x:si>
  <x:si>
    <x:t xml:space="preserve">RLS recomputed from I_prop with perturbed dimension weights</x:t>
  </x:si>
  <x:si>
    <x:t xml:space="preserve">SENS-02</x:t>
  </x:si>
  <x:si>
    <x:t xml:space="preserve">Weights: D7 +10% (renorm)</x:t>
  </x:si>
  <x:si>
    <x:t xml:space="preserve">SENS-03</x:t>
  </x:si>
  <x:si>
    <x:t xml:space="preserve">Weights: D3&amp;D5 +10% (renorm)</x:t>
  </x:si>
  <x:si>
    <x:t xml:space="preserve">SENS-04</x:t>
  </x:si>
  <x:si>
    <x:t xml:space="preserve">Scenario p stress: worst-loss scenarios +20% (renorm)</x:t>
  </x:si>
  <x:si>
    <x:t xml:space="preserve">TRC status (A,B)</x:t>
  </x:si>
  <x:si>
    <x:t xml:space="preserve">CVaR recomputed with stressed probabilities; compare to τ_TRC</x:t>
  </x:si>
  <x:si>
    <x:t xml:space="preserve">Baseline</x:t>
  </x:si>
  <x:si>
    <x:t xml:space="preserve">Preferred</x:t>
  </x:si>
  <x:si>
    <x:t xml:space="preserve">Sensitivity analysis optional. Selection stability assumed based on margin:</x:t>
  </x:si>
  <x:si>
    <x:t xml:space="preserve">CVaR_A (0.0219) and CVaR_B (0.0315) are both &lt;&lt; τ_TRC (0.20)</x:t>
  </x:si>
  <x:si>
    <x:t xml:space="preserve">COMPLETE — weight, scenario-probability, and sigma-stress surfaces are computed. The base worked-run ranking is decisive under the declared sigma but flips to non-decisive before 2× sigma.</x:t>
  </x:si>
  <x:si>
    <x:t xml:space="preserve">DeterministicSelectionEffect</x:t>
  </x:si>
  <x:si>
    <x:t xml:space="preserve">DEMONSTRATION_ONLY — no empirically calibrated operational-selection claim is made.</x:t>
  </x:si>
  <x:si>
    <x:t xml:space="preserve">SENS-05</x:t>
  </x:si>
  <x:si>
    <x:t xml:space="preserve">σ_RLS ×2 stress</x:t>
  </x:si>
  <x:si>
    <x:t xml:space="preserve">Normalized Gap / decisiveness</x:t>
  </x:si>
  <x:si>
    <x:t xml:space="preserve">See RLS!B48; unvalidated Method C demonstration.</x:t>
  </x:si>
  <x:si>
    <x:t xml:space="preserve">SENS-05 result</x:t>
  </x:si>
  <x:si>
    <x:t xml:space="preserve">2× declared sigma</x:t>
  </x:si>
  <x:si>
    <x:t xml:space="preserve">Compare with delta=2.</x:t>
  </x:si>
  <x:si>
    <x:t xml:space="preserve">SENS-05 boundary</x:t>
  </x:si>
  <x:si>
    <x:t xml:space="preserve">Proportional sigma flip multiplier</x:t>
  </x:si>
  <x:si>
    <x:t xml:space="preserve">k_flip</x:t>
  </x:si>
  <x:si>
    <x:t xml:space="preserve">Below 2.0 means the base decisiveness is uncertainty-sensitive.</x:t>
  </x:si>
  <x:si>
    <x:t xml:space="preserve">Base v_d</x:t>
  </x:si>
  <x:si>
    <x:t xml:space="preserve">Factors (SENS-01)</x:t>
  </x:si>
  <x:si>
    <x:t xml:space="preserve">v_d* (SENS-01)</x:t>
  </x:si>
  <x:si>
    <x:t xml:space="preserve">Factors (SENS-02)</x:t>
  </x:si>
  <x:si>
    <x:t xml:space="preserve">Selection stability: computed in this exemplar via the SENS-01..SENS-04 perturbations below (see Summary).</x:t>
  </x:si>
  <x:si>
    <x:t xml:space="preserve">v_d* (SENS-02)</x:t>
  </x:si>
  <x:si>
    <x:t xml:space="preserve">Factors (SENS-03)</x:t>
  </x:si>
  <x:si>
    <x:t xml:space="preserve">4. IMPACT MAGNITUDE PERTURBATION (±20%)</x:t>
  </x:si>
  <x:si>
    <x:t xml:space="preserve">v_d* (SENS-03)</x:t>
  </x:si>
  <x:si>
    <x:t xml:space="preserve">Key instances: I03 (flexibility), I01 (isolation)</x:t>
  </x:si>
  <x:si>
    <x:t xml:space="preserve">Additional tests: Not performed for this run</x:t>
  </x:si>
  <x:si>
    <x:t xml:space="preserve">Union w_u</x:t>
  </x:si>
  <x:si>
    <x:t xml:space="preserve">5. ROBUSTNESS CLASSIFICATION</x:t>
  </x:si>
  <x:si>
    <x:t xml:space="preserve">Weight sensitivity results</x:t>
  </x:si>
  <x:si>
    <x:t xml:space="preserve">SENS-01 Preferred</x:t>
  </x:si>
  <x:si>
    <x:t xml:space="preserve">SENS-02 Preferred</x:t>
  </x:si>
  <x:si>
    <x:t xml:space="preserve">SENS-03 Preferred</x:t>
  </x:si>
  <x:si>
    <x:t xml:space="preserve">Status note: PERFORMED for this Tier‑2 exemplar (weight sensitivity + CVaR stress checks). Tier‑3 deployments may expand the test set and increase rigor.</x:t>
  </x:si>
  <x:si>
    <x:t xml:space="preserve">p_base</x:t>
  </x:si>
  <x:si>
    <x:t xml:space="preserve">Factor_up</x:t>
  </x:si>
  <x:si>
    <x:t xml:space="preserve">p_stress_up</x:t>
  </x:si>
  <x:si>
    <x:t xml:space="preserve">Factor_down</x:t>
  </x:si>
  <x:si>
    <x:t xml:space="preserve">p_stress_down</x:t>
  </x:si>
  <x:si>
    <x:t xml:space="preserve">CVaR recompute (p stress UP)</x:t>
  </x:si>
  <x:si>
    <x:t xml:space="preserve">p_stress</x:t>
  </x:si>
  <x:si>
    <x:t xml:space="preserve">β</x:t>
  </x:si>
  <x:si>
    <x:t xml:space="preserve">CVaR_A_up</x:t>
  </x:si>
  <x:si>
    <x:t xml:space="preserve">Status_A_up</x:t>
  </x:si>
  <x:si>
    <x:t xml:space="preserve">TRC stress UP status</x:t>
  </x:si>
  <x:si>
    <x:t xml:space="preserve">TRC stress DOWN status</x:t>
  </x:si>
  <x:si>
    <x:t xml:space="preserve">CVaR recompute for Option B (p stress UP)</x:t>
  </x:si>
  <x:si>
    <x:t xml:space="preserve">CVaR_B_up</x:t>
  </x:si>
  <x:si>
    <x:t xml:space="preserve">Status_B_up</x:t>
  </x:si>
  <x:si>
    <x:t xml:space="preserve">CVaR recompute (p stress DOWN)</x:t>
  </x:si>
  <x:si>
    <x:t xml:space="preserve">CVaR_A_down</x:t>
  </x:si>
  <x:si>
    <x:t xml:space="preserve">Status_A_down</x:t>
  </x:si>
  <x:si>
    <x:t xml:space="preserve">Option B (p stress DOWN)</x:t>
  </x:si>
  <x:si>
    <x:t xml:space="preserve">CVaR_B_down</x:t>
  </x:si>
  <x:si>
    <x:t xml:space="preserve">Status_B_down</x:t>
  </x:si>
  <x:si>
    <x:t xml:space="preserve">SUBGROUP ANALYSIS - WORST-OFF DOCUMENTATION</x:t>
  </x:si>
  <x:si>
    <x:t xml:space="preserve">Binding note: Any worst-off values documented in this sheet SHALL either (a) be entered into Subgroup_Overrides for computational use, or (b) be removed from this narrative sheet if the run relies only on the conservative fallback.</x:t>
  </x:si>
  <x:si>
    <x:t xml:space="preserve">Reference: RippleLogic v12.6 Section 7.3 - Tier 2 requires subgroup enumeration</x:t>
  </x:si>
  <x:si>
    <x:t xml:space="preserve">OPTION A: NEGATIVE IMPACT CELLS</x:t>
  </x:si>
  <x:si>
    <x:t xml:space="preserve">Cell: U3-D3 (Community-Social) | Agg I_prop: -0.069</x:t>
  </x:si>
  <x:si>
    <x:t xml:space="preserve">Rights: LBTY (-0.65), DIGN (-0.55)</x:t>
  </x:si>
  <x:si>
    <x:t xml:space="preserve">Subgroup</x:t>
  </x:si>
  <x:si>
    <x:t xml:space="preserve">I_prop</x:t>
  </x:si>
  <x:si>
    <x:t xml:space="preserve">General population</x:t>
  </x:si>
  <x:si>
    <x:t xml:space="preserve">Elderly (65+)</x:t>
  </x:si>
  <x:si>
    <x:t xml:space="preserve">Higher isolation risk</x:t>
  </x:si>
  <x:si>
    <x:t xml:space="preserve">Single-person HH</x:t>
  </x:si>
  <x:si>
    <x:t xml:space="preserve">No household buffer</x:t>
  </x:si>
  <x:si>
    <x:t xml:space="preserve">New employees (&lt;1yr)</x:t>
  </x:si>
  <x:si>
    <x:t xml:space="preserve">Harder to integrate</x:t>
  </x:si>
  <x:si>
    <x:t xml:space="preserve">WORST-OFF</x:t>
  </x:si>
  <x:si>
    <x:t xml:space="preserve">New employees</x:t>
  </x:si>
  <x:si>
    <x:t xml:space="preserve">Threshold checks: LBTY -0.15 &gt; -0.65 ✓ | DIGN -0.15 &gt; -0.55 ✓</x:t>
  </x:si>
  <x:si>
    <x:t xml:space="preserve">Cell: U4-D1 (Org-Material) | Agg I_prop: -0.176</x:t>
  </x:si>
  <x:si>
    <x:t xml:space="preserve">Rights: NEED (-0.50)</x:t>
  </x:si>
  <x:si>
    <x:t xml:space="preserve">Worst-off: Facilities dept at -0.30</x:t>
  </x:si>
  <x:si>
    <x:t xml:space="preserve">Threshold: -0.30 &gt; -0.50 ✓</x:t>
  </x:si>
  <x:si>
    <x:t xml:space="preserve">Cell: U3-D1 (Community-Material) | Agg I_prop: -0.075</x:t>
  </x:si>
  <x:si>
    <x:t xml:space="preserve">Worst-off: Local restaurants at -0.20</x:t>
  </x:si>
  <x:si>
    <x:t xml:space="preserve">Threshold: -0.20 &gt; -0.50 ✓</x:t>
  </x:si>
  <x:si>
    <x:t xml:space="preserve">OPTION B: NEGATIVE IMPACT CELLS</x:t>
  </x:si>
  <x:si>
    <x:t xml:space="preserve">Cell: U1-D5 (Self-Agency) | Agg I_prop: -0.073</x:t>
  </x:si>
  <x:si>
    <x:t xml:space="preserve">Rights: LBTY, DIGN, INFO</x:t>
  </x:si>
  <x:si>
    <x:t xml:space="preserve">Worst-off: Parents w/ young children at -0.15</x:t>
  </x:si>
  <x:si>
    <x:t xml:space="preserve">All thresholds pass ✓</x:t>
  </x:si>
  <x:si>
    <x:t xml:space="preserve">Cell: U2-D1 (Household-Material) | Agg: -0.063</x:t>
  </x:si>
  <x:si>
    <x:t xml:space="preserve">Worst-off: Long commuters at -0.12 | NEED ✓</x:t>
  </x:si>
  <x:si>
    <x:t xml:space="preserve">Cell: U7-D7 (Biosphere-Environ) | Agg: -0.053</x:t>
  </x:si>
  <x:si>
    <x:t xml:space="preserve">Worst-off: Urban air quality at -0.08 | ECOL ✓</x:t>
  </x:si>
  <x:si>
    <x:t xml:space="preserve">SUMMARY</x:t>
  </x:si>
  <x:si>
    <x:t xml:space="preserve">All worst-off impacts well above thresholds</x:t>
  </x:si>
  <x:si>
    <x:t xml:space="preserve">No near-misses identified</x:t>
  </x:si>
  <x:si>
    <x:t xml:space="preserve">NCRC outcome ROBUST with subgroup analysis</x:t>
  </x:si>
  <x:si>
    <x:t xml:space="preserve">analysis_done (computed)</x:t>
  </x:si>
  <x:si>
    <x:t xml:space="preserve">SUBGROUP OVERRIDES TABLE</x:t>
  </x:si>
  <x:si>
    <x:t xml:space="preserve">Policy: Conservative Bound (γ_subgroup = 1.5)</x:t>
  </x:si>
  <x:si>
    <x:t xml:space="preserve">I_rights uses reviewed right-specific values; the gamma fallback applies only when no explicit subgroup value is available.</x:t>
  </x:si>
  <x:si>
    <x:t xml:space="preserve">Worked-run values below are synthetic teaching inputs, not empirical estimates. Operational use requires named evidence, subgroup definition, reviewer, and revision trigger.</x:t>
  </x:si>
  <x:si>
    <x:t xml:space="preserve">γ_subgroup:</x:t>
  </x:si>
  <x:si>
    <x:t xml:space="preserve">OVERRIDE DATA TABLE</x:t>
  </x:si>
  <x:si>
    <x:t xml:space="preserve">Override_ID</x:t>
  </x:si>
  <x:si>
    <x:t xml:space="preserve">Option</x:t>
  </x:si>
  <x:si>
    <x:t xml:space="preserve">Rights_Cell</x:t>
  </x:si>
  <x:si>
    <x:t xml:space="preserve">Worst_Off_Impact</x:t>
  </x:si>
  <x:si>
    <x:t xml:space="preserve">Override_Key</x:t>
  </x:si>
  <x:si>
    <x:t xml:space="preserve">COMPUTED STATUS</x:t>
  </x:si>
  <x:si>
    <x:t xml:space="preserve">Data range:</x:t>
  </x:si>
  <x:si>
    <x:t xml:space="preserve">F11:F100</x:t>
  </x:si>
  <x:si>
    <x:t xml:space="preserve">Entry formula:</x:t>
  </x:si>
  <x:si>
    <x:t xml:space="preserve">Valid entries:</x:t>
  </x:si>
  <x:si>
    <x:t xml:space="preserve">OVERRIDES_TABLE_EMPTY:</x:t>
  </x:si>
  <x:si>
    <x:t xml:space="preserve">SUBGROUP_LIMITATION (Audit_Flags):</x:t>
  </x:si>
  <x:si>
    <x:t xml:space="preserve">MITIGATION (Tier 2)</x:t>
  </x:si>
  <x:si>
    <x:t xml:space="preserve">• Conservative bound applied by default when no explicit override is recorded</x:t>
  </x:si>
  <x:si>
    <x:t xml:space="preserve">• REVIEW flag clears when override entries or subgroup analysis are present</x:t>
  </x:si>
  <x:si>
    <x:t xml:space="preserve">• Documented worst-off values in Subgroup_Analysis are bound through explicit override rows below</x:t>
  </x:si>
  <x:si>
    <x:t xml:space="preserve">OVR-01</x:t>
  </x:si>
  <x:si>
    <x:t xml:space="preserve">Synthetic worked-run subgroup review: new employees; relative social-cohesion exposure; author self-review; replace with measured evidence in operational use.</x:t>
  </x:si>
  <x:si>
    <x:t xml:space="preserve">OVR-02</x:t>
  </x:si>
  <x:si>
    <x:t xml:space="preserve">Synthetic worked-run subgroup review: facilities staff; material-resource exposure; author self-review; replace with measured evidence in operational use.</x:t>
  </x:si>
  <x:si>
    <x:t xml:space="preserve">OVR-03</x:t>
  </x:si>
  <x:si>
    <x:t xml:space="preserve">Synthetic worked-run subgroup review: local restaurants; local material exposure; author self-review; replace with measured evidence in operational use.</x:t>
  </x:si>
  <x:si>
    <x:t xml:space="preserve">OVR-04</x:t>
  </x:si>
  <x:si>
    <x:t xml:space="preserve">Synthetic worked-run subgroup review: parents with young children; agency exposure; author self-review; replace with measured evidence in operational use.</x:t>
  </x:si>
  <x:si>
    <x:t xml:space="preserve">OVR-05</x:t>
  </x:si>
  <x:si>
    <x:t xml:space="preserve">Synthetic worked-run subgroup review: long commuters; household material exposure; author self-review; replace with measured evidence in operational use.</x:t>
  </x:si>
  <x:si>
    <x:t xml:space="preserve">OVR-06</x:t>
  </x:si>
  <x:si>
    <x:t xml:space="preserve">Synthetic worked-run subgroup review: urban air-quality pathway; biosphere/environment exposure; author self-review; replace with measured evidence in operational use.</x:t>
  </x:si>
  <x:si>
    <x:t xml:space="preserve">SGP v8.5 INPUT INTERFACE</x:t>
  </x:si>
  <x:si>
    <x:t xml:space="preserve">Human-only Tier-2 worked-run exemplar. This sheet records typed SGP v8.5 protection and capacity surfaces; it is not a consciousness detector, universal evaluator, RMCP validator, or authority grant.</x:t>
  </x:si>
  <x:si>
    <x:t xml:space="preserve">RippleLogic Canon v12.6 Appendix G</x:t>
  </x:si>
  <x:si>
    <x:t xml:space="preserve">SGP v8.5 Sections 4-11</x:t>
  </x:si>
  <x:si>
    <x:t xml:space="preserve">SGP Version</x:t>
  </x:si>
  <x:si>
    <x:t xml:space="preserve">Interface</x:t>
  </x:si>
  <x:si>
    <x:t xml:space="preserve">MPS / FPP / GPR / SPR / ICP / RMCP / P100</x:t>
  </x:si>
  <x:si>
    <x:t xml:space="preserve">HUMAN FULL PROTECTION PLATEAU — NON-OVERRIDABLE</x:t>
  </x:si>
  <x:si>
    <x:t xml:space="preserve">For every human person H: FPP-100(H)=TRUE and h_welfare=1.00. The MPS evidence record is not a cardinal moral-worth scalar.</x:t>
  </x:si>
  <x:si>
    <x:t xml:space="preserve">Humanity collectively is the current known RMCP-P100 calibration anchor. This does not mean every human individually has maximum reality-management capacity or that humanity governs wisely.</x:t>
  </x:si>
  <x:si>
    <x:t xml:space="preserve">GPR, SPR, ICP, RMCP, disability, observability, age, illness, or performance MUST NOT weaken human FPP-100.</x:t>
  </x:si>
  <x:si>
    <x:t xml:space="preserve">WORKED-RUN PROTECTION RECORDS</x:t>
  </x:si>
  <x:si>
    <x:t xml:space="preserve">Stakeholder</x:t>
  </x:si>
  <x:si>
    <x:t xml:space="preserve">Substrate</x:t>
  </x:si>
  <x:si>
    <x:t xml:space="preserve">MPS Evidence Lower</x:t>
  </x:si>
  <x:si>
    <x:t xml:space="preserve">MPS Evidence Upper</x:t>
  </x:si>
  <x:si>
    <x:t xml:space="preserve">FPP</x:t>
  </x:si>
  <x:si>
    <x:t xml:space="preserve">Basis</x:t>
  </x:si>
  <x:si>
    <x:t xml:space="preserve">SK01</x:t>
  </x:si>
  <x:si>
    <x:t xml:space="preserve">Employees (all)</x:t>
  </x:si>
  <x:si>
    <x:t xml:space="preserve">Human</x:t>
  </x:si>
  <x:si>
    <x:t xml:space="preserve">TRUE</x:t>
  </x:si>
  <x:si>
    <x:t xml:space="preserve">Human FPP constitutional rule</x:t>
  </x:si>
  <x:si>
    <x:t xml:space="preserve">SK02</x:t>
  </x:si>
  <x:si>
    <x:t xml:space="preserve">Household members</x:t>
  </x:si>
  <x:si>
    <x:t xml:space="preserve">SK03</x:t>
  </x:si>
  <x:si>
    <x:t xml:space="preserve">Community members</x:t>
  </x:si>
  <x:si>
    <x:t xml:space="preserve">SK04</x:t>
  </x:si>
  <x:si>
    <x:t xml:space="preserve">Organization staff</x:t>
  </x:si>
  <x:si>
    <x:t xml:space="preserve">SK05</x:t>
  </x:si>
  <x:si>
    <x:t xml:space="preserve">Policy stakeholders</x:t>
  </x:si>
  <x:si>
    <x:t xml:space="preserve">SK06</x:t>
  </x:si>
  <x:si>
    <x:t xml:space="preserve">Humanity (aggregate view)</x:t>
  </x:si>
  <x:si>
    <x:t xml:space="preserve">NON-HUMAN / MIXED-SUBSTRATE RULE</x:t>
  </x:si>
  <x:si>
    <x:t xml:space="preserve">A generalized run MUST record a valid target boundary, MPS-NE or MPS evidence band/interval, confidence, evidence trace, protection posture, governed welfare-inclusion hypotheses, and revision trigger.</x:t>
  </x:si>
  <x:si>
    <x:t xml:space="preserve">If welfare-inclusion hypotheses can change a ranking or verdict, test them and record MPS_HYPOTHESIS_SENSITIVE. Missing or poorly observable evidence is MPS-NE, never zero or MPS-0.</x:t>
  </x:si>
  <x:si>
    <x:t xml:space="preserve">FPP does not imply GPR, SPR, RMCP-P100, CMIU membership, legal status, or command authority. ICP/RMCP/P100 do not alter MPS or FPP and do not grant authority.</x:t>
  </x:si>
  <x:si>
    <x:t xml:space="preserve">BIOSPHERE NOTE</x:t>
  </x:si>
  <x:si>
    <x:t xml:space="preserve">U7 environmental integrity is not automatically a direct animal-welfare claim. Where individual or class welfare is materially affected, invoke a versioned SGP v8.5 record. Life, sentience, ecological value, and FPP are not identical categories.</x:t>
  </x:si>
  <x:si>
    <x:t xml:space="preserve">SGP v8.5 INTEGRATION DOCUMENTATION</x:t>
  </x:si>
  <x:si>
    <x:t xml:space="preserve">RippleLogic Canon v12.6 Appendix G; SGP v8.5</x:t>
  </x:si>
  <x:si>
    <x:t xml:space="preserve">WORKED-RUN STATUS</x:t>
  </x:si>
  <x:si>
    <x:t xml:space="preserve">Human-only example; no non-human MPS assessment performed</x:t>
  </x:si>
  <x:si>
    <x:t xml:space="preserve">Human FPP</x:t>
  </x:si>
  <x:si>
    <x:t xml:space="preserve">TRUE for every logged human stakeholder</x:t>
  </x:si>
  <x:si>
    <x:t xml:space="preserve">MPS evidence status</x:t>
  </x:si>
  <x:si>
    <x:t xml:space="preserve">[1.00,1.00] evidence-support interval for every logged human stakeholder; h_welfare=1.00 by FPP</x:t>
  </x:si>
  <x:si>
    <x:t xml:space="preserve">GPR</x:t>
  </x:si>
  <x:si>
    <x:t xml:space="preserve">NOT EVALUATED; no participation-role classification needed for welfare weighting</x:t>
  </x:si>
  <x:si>
    <x:t xml:space="preserve">SPR</x:t>
  </x:si>
  <x:si>
    <x:t xml:space="preserve">NOT EVALUATED; no SGP-based authority claim</x:t>
  </x:si>
  <x:si>
    <x:t xml:space="preserve">ICP / RMCP / P100</x:t>
  </x:si>
  <x:si>
    <x:t xml:space="preserve">ICP NOT EVALUATED. Humanity collective RMCP-P100 is the current known calibration anchor but is not used as a worked-run welfare multiplier, individual-capacity score, or authority grant.</x:t>
  </x:si>
  <x:si>
    <x:t xml:space="preserve">CMIU / authority</x:t>
  </x:si>
  <x:si>
    <x:t xml:space="preserve">NOT INFERRED. CMIU is Canon-defined governance coordination. P100 does not establish membership, mandate, or power.</x:t>
  </x:si>
  <x:si>
    <x:t xml:space="preserve">DO-NOT-COLLAPSE GUARDS</x:t>
  </x:si>
  <x:si>
    <x:t xml:space="preserve">Fluency or self-report → sentience</x:t>
  </x:si>
  <x:si>
    <x:t xml:space="preserve">NOT APPLIED ✓</x:t>
  </x:si>
  <x:si>
    <x:t xml:space="preserve">Intelligence or ICP → MPS/FPP</x:t>
  </x:si>
  <x:si>
    <x:t xml:space="preserve">PROHIBITED ✓</x:t>
  </x:si>
  <x:si>
    <x:t xml:space="preserve">Low agency/language/GPR → reduced protection</x:t>
  </x:si>
  <x:si>
    <x:t xml:space="preserve">MPS/FPP → CMIU membership or authority</x:t>
  </x:si>
  <x:si>
    <x:t xml:space="preserve">Precaution → consciousness attribution</x:t>
  </x:si>
  <x:si>
    <x:t xml:space="preserve">Missing evidence → zero</x:t>
  </x:si>
  <x:si>
    <x:t xml:space="preserve">PROHIBITED ✓; MPS-NE and RMCP-NE remain explicit</x:t>
  </x:si>
  <x:si>
    <x:t xml:space="preserve">RIPPLELOGIC INTERFACE</x:t>
  </x:si>
  <x:si>
    <x:t xml:space="preserve">Permitted residual use</x:t>
  </x:si>
  <x:si>
    <x:t xml:space="preserve">Use the valid MPS record to define protection posture and required welfare-inclusion hypotheses; never use the MPS interval directly as a cardinal multiplier.</x:t>
  </x:si>
  <x:si>
    <x:t xml:space="preserve">Required endpoint test</x:t>
  </x:si>
  <x:si>
    <x:t xml:space="preserve">If governed hypotheses could change ranking, test them and record MPS_HYPOTHESIS_SENSITIVE.</x:t>
  </x:si>
  <x:si>
    <x:t xml:space="preserve">Gate non-substitution</x:t>
  </x:si>
  <x:si>
    <x:t xml:space="preserve">MPS/FPP/GPR/SPR/ICP/RMCP/P100 do not replace RG, RF/NCRC, TRC, CSV, RLS, lawful authority, or execution evidence.</x:t>
  </x:si>
  <x:si>
    <x:t xml:space="preserve">Human identity condition</x:t>
  </x:si>
  <x:si>
    <x:t xml:space="preserve">Because every instance is human FPP with h_welfare=1.00, base and welfare streams are numerically identical in this exemplar.</x:t>
  </x:si>
  <x:si>
    <x:t xml:space="preserve">REGISTRY VALIDITY</x:t>
  </x:si>
  <x:si>
    <x:t xml:space="preserve">Target identity, version, evidence trace, MPS-NE or evidence interval, confidence, reviewer status, protection effect, welfare-inclusion hypotheses, and revision trigger are required for claim-bearing non-human use.</x:t>
  </x:si>
  <x:si>
    <x:t xml:space="preserve">ATTESTATION</x:t>
  </x:si>
  <x:si>
    <x:t xml:space="preserve">☑ Human FPP applied without exception</x:t>
  </x:si>
  <x:si>
    <x:t xml:space="preserve">☑ No SGP output weakened NCRC protections</x:t>
  </x:si>
  <x:si>
    <x:t xml:space="preserve">☑ No intelligence, participation, RMCP/P100, or authority surface changed moral-patient protection</x:t>
  </x:si>
  <x:si>
    <x:t xml:space="preserve">☑ No CMIU, lawful mandate, role authority, or supremacy was inferred from FPP or P100</x:t>
  </x:si>
  <x:si>
    <x:t xml:space="preserve">Legacy v7 values were not translated into v8.3 outputs</x:t>
  </x:si>
  <x:si>
    <x:t xml:space="preserve">Evaluator: ___________________________  Date: ___________</x:t>
  </x:si>
  <x:si>
    <x:t xml:space="preserve">RIPPLE ALIGNERS SHEET - USER GUIDE (v5.6 release-synced)</x:t>
  </x:si>
  <x:si>
    <x:t xml:space="preserve">IMPORTANT DISCLOSURE</x:t>
  </x:si>
  <x:si>
    <x:t xml:space="preserve">Current workbook selection logic compares Option A vs Option B only. For three or more substantive options, extend the workbook logic or run sequential pairwise/fresh evaluations with documented rationale.</x:t>
  </x:si>
  <x:si>
    <x:t xml:space="preserve">QUICK START</x:t>
  </x:si>
  <x:si>
    <x:t xml:space="preserve">1. Config: Set tier level, context type, and Weight Profile</x:t>
  </x:si>
  <x:si>
    <x:t xml:space="preserve">2. PLSS_Local_Scope: If using local-scope mode, enter q_u values and review floor-preserving weights</x:t>
  </x:si>
  <x:si>
    <x:t xml:space="preserve">3. Impact_Input: Enter all causal pathways (μ, r, ℓ, c, t, e, s)</x:t>
  </x:si>
  <x:si>
    <x:t xml:space="preserve">4. Review I_prop: Verify computed impact matrix</x:t>
  </x:si>
  <x:si>
    <x:t xml:space="preserve">5. Check Rights_Floor / NCRC: Rights Floor must pass; any NCRC breach blocks downstream selection</x:t>
  </x:si>
  <x:si>
    <x:t xml:space="preserve">6. Check TRC: Tail risk must be bounded before residual scoring</x:t>
  </x:si>
  <x:si>
    <x:t xml:space="preserve">7. Check CSV: Containment and Structural Viability must pass, pass with controls, or route to redesign/escalation/emergency-provisional handling</x:t>
  </x:si>
  <x:si>
    <x:t xml:space="preserve">8. If TRC or CSV fails: follow fallback, redesign, escalation, or emergency-provisional procedure; do not force RLS</x:t>
  </x:si>
  <x:si>
    <x:t xml:space="preserve">9. Dashboard: Review final recommendation only after RG, RF/NCRC, TRC, and CSV are complete</x:t>
  </x:si>
  <x:si>
    <x:t xml:space="preserve">10. PCC: Complete all sections for audit trail, including RG/RSG, RF/NCRC, TRC, CSV, PLSS fields, scenario-probability provenance, uncertainty method disclosure, maturity fields, and non-default reason codes</x:t>
  </x:si>
  <x:si>
    <x:t xml:space="preserve">SHEET INDEX</x:t>
  </x:si>
  <x:si>
    <x:t xml:space="preserve">Release_Notes</x:t>
  </x:si>
  <x:si>
    <x:t xml:space="preserve">Release posture and workbook status</x:t>
  </x:si>
  <x:si>
    <x:t xml:space="preserve">Version pins, constants, and canonical thresholds</x:t>
  </x:si>
  <x:si>
    <x:t xml:space="preserve">Core workbook gate checks</x:t>
  </x:si>
  <x:si>
    <x:t xml:space="preserve">Config</x:t>
  </x:si>
  <x:si>
    <x:t xml:space="preserve">Global settings</x:t>
  </x:si>
  <x:si>
    <x:t xml:space="preserve">Parameters</x:t>
  </x:si>
  <x:si>
    <x:t xml:space="preserve">Core parameters and notes</x:t>
  </x:si>
  <x:si>
    <x:t xml:space="preserve">Local-scope weighting helper</x:t>
  </x:si>
  <x:si>
    <x:t xml:space="preserve">Rights_Coverage</x:t>
  </x:si>
  <x:si>
    <x:t xml:space="preserve">Canonical rights coverage</x:t>
  </x:si>
  <x:si>
    <x:t xml:space="preserve">Rights_Coverage_View</x:t>
  </x:si>
  <x:si>
    <x:t xml:space="preserve">Rights coverage view</x:t>
  </x:si>
  <x:si>
    <x:t xml:space="preserve">C_cat</x:t>
  </x:si>
  <x:si>
    <x:t xml:space="preserve">Catastrophe cells for TRC</x:t>
  </x:si>
  <x:si>
    <x:t xml:space="preserve">WTSL_Categories</x:t>
  </x:si>
  <x:si>
    <x:t xml:space="preserve">Tail category definitions</x:t>
  </x:si>
  <x:si>
    <x:t xml:space="preserve">Impact_Input</x:t>
  </x:si>
  <x:si>
    <x:t xml:space="preserve">Impact entry surface</x:t>
  </x:si>
  <x:si>
    <x:t xml:space="preserve">Scenario_Impacts</x:t>
  </x:si>
  <x:si>
    <x:t xml:space="preserve">Scenario-conditioned losses</x:t>
  </x:si>
  <x:si>
    <x:t xml:space="preserve">Computed impact matrix</x:t>
  </x:si>
  <x:si>
    <x:t xml:space="preserve">Reality_Grounding</x:t>
  </x:si>
  <x:si>
    <x:t xml:space="preserve">Level 1 claim-authority precondition</x:t>
  </x:si>
  <x:si>
    <x:t xml:space="preserve">Rights_Floor</x:t>
  </x:si>
  <x:si>
    <x:t xml:space="preserve">Level 2 public Rights Floor surface</x:t>
  </x:si>
  <x:si>
    <x:t xml:space="preserve">Formal RF/NCRC predicate and rights breach logic</x:t>
  </x:si>
  <x:si>
    <x:t xml:space="preserve">TRC</x:t>
  </x:si>
  <x:si>
    <x:t xml:space="preserve">Level 3 tail-risk gate</x:t>
  </x:si>
  <x:si>
    <x:t xml:space="preserve">Level 4 Containment and Structural Viability gate</x:t>
  </x:si>
  <x:si>
    <x:t xml:space="preserve">Legacy/diagnostic containment surface, now governed under CSV</x:t>
  </x:si>
  <x:si>
    <x:t xml:space="preserve">Structural_Viability</x:t>
  </x:si>
  <x:si>
    <x:t xml:space="preserve">CSV execution viability diagnostic surface</x:t>
  </x:si>
  <x:si>
    <x:t xml:space="preserve">Level 5 residual welfare score</x:t>
  </x:si>
  <x:si>
    <x:t xml:space="preserve">CSV diagnostics; residual tie-break/monitoring only when material</x:t>
  </x:si>
  <x:si>
    <x:t xml:space="preserve">Final recommendation and gates</x:t>
  </x:si>
  <x:si>
    <x:t xml:space="preserve">Audit_Flags</x:t>
  </x:si>
  <x:si>
    <x:t xml:space="preserve">Audit flags and review conditions</x:t>
  </x:si>
  <x:si>
    <x:t xml:space="preserve">Provenance and Compliance Certificate</x:t>
  </x:si>
  <x:si>
    <x:t xml:space="preserve">Sensitivity_Analysis</x:t>
  </x:si>
  <x:si>
    <x:t xml:space="preserve">Robustness testing</x:t>
  </x:si>
  <x:si>
    <x:t xml:space="preserve">Subgroup_Analysis</x:t>
  </x:si>
  <x:si>
    <x:t xml:space="preserve">Worst-off subgroup documentation</x:t>
  </x:si>
  <x:si>
    <x:t xml:space="preserve">Version_Control</x:t>
  </x:si>
  <x:si>
    <x:t xml:space="preserve">Version tracking</x:t>
  </x:si>
  <x:si>
    <x:t xml:space="preserve">Pre-run projection lock</x:t>
  </x:si>
  <x:si>
    <x:t xml:space="preserve">Execution-stability record and indicators</x:t>
  </x:si>
  <x:si>
    <x:t xml:space="preserve">PrimitiveTrace</x:t>
  </x:si>
  <x:si>
    <x:t xml:space="preserve">Primitive-to-observable trace</x:t>
  </x:si>
  <x:si>
    <x:t xml:space="preserve">ObservableConsequences</x:t>
  </x:si>
  <x:si>
    <x:t xml:space="preserve">Observable consequence register</x:t>
  </x:si>
  <x:si>
    <x:t xml:space="preserve">FalsificationPlan</x:t>
  </x:si>
  <x:si>
    <x:t xml:space="preserve">Falsification and downgrade plan</x:t>
  </x:si>
  <x:si>
    <x:t xml:space="preserve">MethodologyMaturity</x:t>
  </x:si>
  <x:si>
    <x:t xml:space="preserve">Claim maturity ladder</x:t>
  </x:si>
  <x:si>
    <x:t xml:space="preserve">v10_Sanity_Checklist</x:t>
  </x:si>
  <x:si>
    <x:t xml:space="preserve">v10.8 maturity-hardening sanity checks</x:t>
  </x:si>
  <x:si>
    <x:t xml:space="preserve">Transition admissibility card</x:t>
  </x:si>
  <x:si>
    <x:t xml:space="preserve">UCI measurement readiness</x:t>
  </x:si>
  <x:si>
    <x:t xml:space="preserve">Kernel use posture</x:t>
  </x:si>
  <x:si>
    <x:t xml:space="preserve">v12.0.2 RELEASE-READINESS NOTES</x:t>
  </x:si>
  <x:si>
    <x:t xml:space="preserve">The workbook is a worked-run companion, not a ProofPack, semantic validator, legal/deployment certification, or final reference calculator.</x:t>
  </x:si>
  <x:si>
    <x:t xml:space="preserve">RF is the public Rights Floor layer; NCRC is the formal non-compensatory predicate. CSV means Containment and Structural Viability.</x:t>
  </x:si>
  <x:si>
    <x:t xml:space="preserve">RLS may rank only options that retain claim support and clear RF/NCRC, TRC, and CSV, including any binding controls.</x:t>
  </x:si>
  <x:si>
    <x:t xml:space="preserve">For three or more substantive options, extend the workbook logic or run sequential pairwise/fresh evaluations with documented rationale.</x:t>
  </x:si>
  <x:si>
    <x:t xml:space="preserve">tau(t) = MIN(1, LN(1+MAX(t, t_min)) / LN(1+T_ref))   [RippleLogic v12.6 Appendix B.1]</x:t>
  </x:si>
  <x:si>
    <x:t xml:space="preserve">Contribution = μ × r × ℓ × c × e × s × τ(t)</x:t>
  </x:si>
  <x:si>
    <x:t xml:space="preserve">v_r(a) = max(0, θ_r - min I_rights over R_r)</x:t>
  </x:si>
  <x:si>
    <x:t xml:space="preserve">L(a,s) = Σ_{c∈C_cat} ω_c × max(0, -I_prop_c)</x:t>
  </x:si>
  <x:si>
    <x:t xml:space="preserve">CVaR_α = E[L | L ≥ VaR_α]</x:t>
  </x:si>
  <x:si>
    <x:t xml:space="preserve">v12.0 LINEAGE / MATURITY NOTES</x:t>
  </x:si>
  <x:si>
    <x:t xml:space="preserve">The workbook is a worked-run companion, not a ProofPack, semantic validator, or reference calculator. Historical v10.8/v11.0 surfaces are retained only as lineage or maturity-hardening sheets where named.</x:t>
  </x:si>
  <x:si>
    <x:t xml:space="preserve">Historical maturity sheets are retained for lineage and claim-support posture; the active public cascade remains RG -&gt; RF -&gt; TRC -&gt; CSV -&gt; RLS.</x:t>
  </x:si>
  <x:si>
    <x:t xml:space="preserve">Maturity sheets disclose claim support posture: UCI_Maturity, Kernel_Posture, HDW_Capture_Audit, PLSS_Escalation, BioSGP_Maturity, and Deployment_Context.</x:t>
  </x:si>
  <x:si>
    <x:t xml:space="preserve">Tier 2+ uncertainty method (A/B/C) is REQUIRED under the current v12.6 Canon line.</x:t>
  </x:si>
  <x:si>
    <x:t xml:space="preserve">Union Scopes (short: Scopes) is canonical; Union(s) remains a valid legacy alias in prose/UI.</x:t>
  </x:si>
  <x:si>
    <x:t xml:space="preserve">Review Source_Coupling: claimed capabilities must be traceable to enabling conditions and boundary conditions; weak source coupling may narrow claims or route into CSV.</x:t>
  </x:si>
  <x:si>
    <x:t xml:space="preserve">v12.6 CARRIED-OBLIGATION AND HUMAN-COMPENSATION HARDENING</x:t>
  </x:si>
  <x:si>
    <x:t xml:space="preserve">Required when a control or duty is material to selectability or execution.</x:t>
  </x:si>
  <x:si>
    <x:t xml:space="preserve">Complete carrier, authority/capacity, trigger, action, timing, evidence, challenge, succession, nonperformance, change-control, residual responsibility, status, and effectiveness.</x:t>
  </x:si>
  <x:si>
    <x:t xml:space="preserve">Human_Comp_Load</x:t>
  </x:si>
  <x:si>
    <x:t xml:space="preserve">Triggered before automation, scaling, outsourcing, role removal, or a resilience claim where hidden adaptive work may be material.</x:t>
  </x:si>
  <x:si>
    <x:t xml:space="preserve">Do not infer resilience from output continuity; use protected, triangulated evidence.</x:t>
  </x:si>
  <x:si>
    <x:t xml:space="preserve">Carrier nonperformance</x:t>
  </x:si>
  <x:si>
    <x:t xml:space="preserve">Silence, absence, incapacity, conflict, missed deadline, or unaccepted handoff is not discharge.</x:t>
  </x:si>
  <x:si>
    <x:t xml:space="preserve">Activate escalation, substitution, pause, safe-state, or requalification.</x:t>
  </x:si>
  <x:si>
    <x:t xml:space="preserve">Control rewrite</x:t>
  </x:si>
  <x:si>
    <x:t xml:space="preserve">Material control changes reopen qualification.</x:t>
  </x:si>
  <x:si>
    <x:t xml:space="preserve">Record change authority, challenger/separation review, affected obligation, rollback, and requalification disposition.</x:t>
  </x:si>
  <x:si>
    <x:t xml:space="preserve">Performance vs effectiveness</x:t>
  </x:si>
  <x:si>
    <x:t xml:space="preserve">A completed procedure does not prove the intended protective outcome.</x:t>
  </x:si>
  <x:si>
    <x:t xml:space="preserve">Retain EVIDENCE_PENDING or redesign/escalate when outcome evidence is missing and material.</x:t>
  </x:si>
  <x:si>
    <x:t xml:space="preserve">Architecture boundary</x:t>
  </x:si>
  <x:si>
    <x:t xml:space="preserve">All additions remain inside CSV, Responsibility Continuity, and Configuration Assurance.</x:t>
  </x:si>
  <x:si>
    <x:t xml:space="preserve">No new gate, formula, threshold, version, SGP change, Union Scope, or Welfare Dimension.</x:t>
  </x:si>
  <x:si>
    <x:t xml:space="preserve">Same-version integrity hardening.</x:t>
  </x:si>
  <x:si>
    <x:t xml:space="preserve">RippleLogic Aligners Sheet v5.6 Version Control</x:t>
  </x:si>
  <x:si>
    <x:t xml:space="preserve">Sheet Version: v5.6</x:t>
  </x:si>
  <x:si>
    <x:t xml:space="preserve">Modified</x:t>
  </x:si>
  <x:si>
    <x:t xml:space="preserve">2026-07-23</x:t>
  </x:si>
  <x:si>
    <x:t xml:space="preserve">Hash authority</x:t>
  </x:si>
  <x:si>
    <x:t xml:space="preserve">External release manifest controls shipped bytes; workbook does not embed its own final SHA-256.</x:t>
  </x:si>
  <x:si>
    <x:t xml:space="preserve">v1.7.0</x:t>
  </x:si>
  <x:si>
    <x:t xml:space="preserve">2026-02-03</x:t>
  </x:si>
  <x:si>
    <x:t xml:space="preserve">LINEAGE (historical): Schema validation computed, SC-06 fixed, legacy publishability gate included PLACEHOLDER_COUNT. Current v5.0 surfaces use scoped worked-run publishability language.</x:t>
  </x:si>
  <x:si>
    <x:t xml:space="preserve">VERSION HISTORY</x:t>
  </x:si>
  <x:si>
    <x:t xml:space="preserve">Changes</x:t>
  </x:si>
  <x:si>
    <x:t xml:space="preserve">Assistance</x:t>
  </x:si>
  <x:si>
    <x:t xml:space="preserve">Configuration-assurance release: configuration-bound claims, capability-state separation, state-transition-post-state records, requalification triggers, frozen evaluation binding, structural-control preference, future safe option-space effects, open-assurance dependency limits, and corrected sanity-check coverage.</x:t>
  </x:si>
  <x:si>
    <x:t xml:space="preserve">Current authoritative workbook release</x:t>
  </x:si>
  <x:si>
    <x:t xml:space="preserve">v3.0</x:t>
  </x:si>
  <x:si>
    <x:t xml:space="preserve">2026-03-19</x:t>
  </x:si>
  <x:si>
    <x:t xml:space="preserve">Release-hardening sync for GitHub publication: standardized RippleLogic naming, corrected propagation/weight-profile metadata so Config and PCC distinguish Propagation = NONE from Weight Profile = PLSS_LOCAL, bound dashboard NCRC resolution and 5SPR review-flag text to live workbook logic, removed stale RLS display surfaces in favor of canonical live values, added ReachBasisType / Denominator / Estimator disclosure fields on Impact_Input, added a PLSS disclosure block to PCC, and prepared clean release-integrity packaging. Review-pass hardening added: fixed tier-reference bugs in RLS/Audit_Flags, corrected non-decisive flag logic, added scenario-probability provenance fields, PLSS q_u reason-code/source fields, per-instance e_k governance fields, and PCC provenance-hardening section.</x:t>
  </x:si>
  <x:si>
    <x:t xml:space="preserve">v2.0</x:t>
  </x:si>
  <x:si>
    <x:t xml:space="preserve">2026-03-14</x:t>
  </x:si>
  <x:si>
    <x:t xml:space="preserve">RippleLogic v9.6.4 + SGP v4.7.1 synchronization. Updated live release-line pins, companion-facing notes, and workbook references so the aligned worked-run exemplar reflects the current canonical pair while preserving the existing v3.0 workbook architecture.</x:t>
  </x:si>
  <x:si>
    <x:t xml:space="preserve">OpenAI-assisted</x:t>
  </x:si>
  <x:si>
    <x:t xml:space="preserve">v2.1</x:t>
  </x:si>
  <x:si>
    <x:t xml:space="preserve">2026-03-15</x:t>
  </x:si>
  <x:si>
    <x:t xml:space="preserve">BUG FIXES + VERSION SYNC (v2.1): (1) Replaced legacy _xludf-prefixed MINIFS, AGGREGATE, and TEXTJOIN formulas with cross-platform formulas that evaluate on current Excel and LibreOffice, including SUMPRODUCT(MIN(...)) rights-floor formulas, MATCH/INDEX worst-cell locators, and MID/IF concatenation for active flag lists. (2) Sanity_Checklist SC-01..04 Expected values changed from stale hardcoded strings to dynamic CANON/Config cross-references; SC-33 repurposed as SGP version check (SC-34); SC-IDs SC-30..33 in rows 42-45 corrected; PASS/FAIL counts extended to all 34 checks. (3) All live descriptive refs updated to v9.6.4 across the workbook surface. (4) SGP version refs updated to v4.7.1. (5) Release_Notes B8 corrected from Audit_Flags!B26 to Audit_Flags!J19 (active flag list). (6) Version_Control A2 fixed from stored text to formula; B2 stale value cleared.</x:t>
  </x:si>
  <x:si>
    <x:t xml:space="preserve">Claude-assisted</x:t>
  </x:si>
  <x:si>
    <x:t xml:space="preserve">v1.8.3</x:t>
  </x:si>
  <x:si>
    <x:t xml:space="preserve">2026-02-16</x:t>
  </x:si>
  <x:si>
    <x:t xml:space="preserve">v8.5.4 PATCHED RE-PIN: Framework→RippleLogic v8.5.4 PATCHED. Added SCI (Section 5.0.1), ScopeCoverage (Section 2.2A), InstanceMap (Appendix H), active cell definition (Section 10.3). New audit flags: SCOPE_COVERAGE_REDUCED (REVIEW), SCI_BELOW_MINIMUM (ESCALATE), SCI_AT_MINIMUM_NO_UPGRADE (REVIEW), UNCERTAINTY_NOT_DECLARED (INVALID). Tier 2 uncertainty REQUIRED. PCC Sections 12-15 added. All 27 sheet section refs updated to v8.5.4 PATCHED. Terminology: "Union Scopes" adopted per v8.5.4 PATCHED.</x:t>
  </x:si>
  <x:si>
    <x:t xml:space="preserve">2026-05-24</x:t>
  </x:si>
  <x:si>
    <x:t xml:space="preserve">Measurement-maturity hardening and final v3.4 synchronization: added maturity/context surfaces, corrected release-boundary language, and preserved worked-run exemplar posture without ProofPack, Tier 4, empirical-validation, or machine-verifiable-ecosystem-complete claims.</x:t>
  </x:si>
  <x:si>
    <x:t xml:space="preserve">OpenAI-assisted triple-pass release cleanup</x:t>
  </x:si>
  <x:si>
    <x:t xml:space="preserve">HISTORICAL ORDER NOTE</x:t>
  </x:si>
  <x:si>
    <x:t xml:space="preserve">Legacy rows retain source-line order rather than strict chronology; current authoritative row is v5.6 at row 11.</x:t>
  </x:si>
  <x:si>
    <x:t xml:space="preserve">Historical consistency and tier-integrity release preceding the v5.2 same-version hardening pass.</x:t>
  </x:si>
  <x:si>
    <x:t xml:space="preserve">GPT-5.6 and Claude feedback</x:t>
  </x:si>
  <x:si>
    <x:t xml:space="preserve">Legacy rows retain source-line order rather than strict chronology; current authoritative row is v5.3.1 at row 11.</x:t>
  </x:si>
  <x:si>
    <x:t xml:space="preserve">1.6.4</x:t>
  </x:si>
  <x:si>
    <x:t xml:space="preserve">2026-02-02</x:t>
  </x:si>
  <x:si>
    <x:t xml:space="preserve">FINAL: Boolean→numeric, hardened schema, audit consistency, placeholders removed, publish-ready gate</x:t>
  </x:si>
  <x:si>
    <x:t xml:space="preserve">1.6.5</x:t>
  </x:si>
  <x:si>
    <x:t xml:space="preserve">SSOT enforcement: computed flags, no hardcoded triggers, placeholder removal, TRC audit format, NCRC cleanup, conservative subgroup bound</x:t>
  </x:si>
  <x:si>
    <x:t xml:space="preserve">WORKBOOK PROVENANCE</x:t>
  </x:si>
  <x:si>
    <x:t xml:space="preserve">Title</x:t>
  </x:si>
  <x:si>
    <x:t xml:space="preserve">Creator</x:t>
  </x:si>
  <x:si>
    <x:t xml:space="preserve">James McGaughran | ORCID 0009-0005-3324-7290</x:t>
  </x:si>
  <x:si>
    <x:t xml:space="preserve">MathGov Core 2026.09 v12.6 / SGP v8.5</x:t>
  </x:si>
  <x:si>
    <x:t xml:space="preserve">1.5.6</x:t>
  </x:si>
  <x:si>
    <x:t xml:space="preserve">2026-01-31</x:t>
  </x:si>
  <x:si>
    <x:t xml:space="preserve">Audit_Flags computed formulas</x:t>
  </x:si>
  <x:si>
    <x:t xml:space="preserve">1.5.7</x:t>
  </x:si>
  <x:si>
    <x:t xml:space="preserve">Fixed Containment/RANK formulas; full computed Audit_Flags; error-free</x:t>
  </x:si>
  <x:si>
    <x:t xml:space="preserve">1.5.8</x:t>
  </x:si>
  <x:si>
    <x:t xml:space="preserve">Claim-ready: +PROC right; fixed Containment refs; σ_est toggle; Sanity Checklist; blank=INVALID</x:t>
  </x:si>
  <x:si>
    <x:t xml:space="preserve">Mandatory Tails</x:t>
  </x:si>
  <x:si>
    <x:t xml:space="preserve">✓ PASS (5/5)</x:t>
  </x:si>
  <x:si>
    <x:t xml:space="preserve">p_floor (≥0.02)</x:t>
  </x:si>
  <x:si>
    <x:t xml:space="preserve">✓ PASS</x:t>
  </x:si>
  <x:si>
    <x:t xml:space="preserve">✓ UCI_NOT_MATERIAL_DECLARED (proxy only; overall CSV is PASS_WITH_CONTROLS)</x:t>
  </x:si>
  <x:si>
    <x:t xml:space="preserve">✓ PASS (with 5SPR)</x:t>
  </x:si>
  <x:si>
    <x:t xml:space="preserve">Audit Flags</x:t>
  </x:si>
  <x:si>
    <x:t xml:space="preserve">✓ COMPLETE (cell-level σ aggregated to σ_RLS; dependence/calibration boundaries disclosed)</x:t>
  </x:si>
  <x:si>
    <x:t xml:space="preserve">OVERALL</x:t>
  </x:si>
  <x:si>
    <x:t xml:space="preserve">✓ TIER 2 CONFORMANT</x:t>
  </x:si>
  <x:si>
    <x:t xml:space="preserve">v1.7.3</x:t>
  </x:si>
  <x:si>
    <x:t xml:space="preserve">PUBLISH_FINAL: Fixed MINIFS compatibility (140), wrapped TRC IFERROR, unified version labels, bracket policy clarified</x:t>
  </x:si>
  <x:si>
    <x:t xml:space="preserve">RC_POLISH: reconciled version ids; clarified containment as Tier-2 proxy; improved SUBGROUP_LIMITATION trigger (analysis-aware); updated σ_est policy note</x:t>
  </x:si>
  <x:si>
    <x:t xml:space="preserve">Claude+GPT-assisted</x:t>
  </x:si>
  <x:si>
    <x:t xml:space="preserve">v1.7.5</x:t>
  </x:si>
  <x:si>
    <x:t xml:space="preserve">2026-02-04</x:t>
  </x:si>
  <x:si>
    <x:t xml:space="preserve">PUBLISH_HARDEN: Fixed NCRC Min_I_rights calc (AGGREGATE), PCC Section 7 + 5SPR auto-pulls Audit_Flags, removed header version drift, clarified overrides vs audit flag, mandatory tails display links to CANON.</x:t>
  </x:si>
  <x:si>
    <x:t xml:space="preserve">GPT-assisted</x:t>
  </x:si>
  <x:si>
    <x:t xml:space="preserve">v1.7.9</x:t>
  </x:si>
  <x:si>
    <x:t xml:space="preserve">FINAL_HARDEN: aligned RLS decisiveness display with Gap/√(2σ²+ε); PCC mitigation reframed as qualitative + headroom; added TRC outputs populated sanity check; fixed placeholder check reference.</x:t>
  </x:si>
  <x:si>
    <x:t xml:space="preserve">v1.8.0</x:t>
  </x:si>
  <x:si>
    <x:t xml:space="preserve">2026-02-13</x:t>
  </x:si>
  <x:si>
    <x:t xml:space="preserve">CANON RE-PIN: Framework→RippleLogic v8.5.4 PATCHED, SGP→v5.0.3. τ(t) corrected to MIN(1,LN(1+MAX(t,t_min))/LN(1+T_ref)) with t_min=0.083 per v8.5.4 PATCHED Appendix B.1. All 27 sheet section refs updated. Stewardship block added to PCC. UCI E₁=1 verified. Config date updated.</x:t>
  </x:si>
  <x:si>
    <x:t xml:space="preserve">TIER 3 READINESS CHECKLIST</x:t>
  </x:si>
  <x:si>
    <x:t xml:space="preserve">☐ Expand scenarios to ≥20 (currently 7)</x:t>
  </x:si>
  <x:si>
    <x:t xml:space="preserve">☐ Complete sensitivity analysis</x:t>
  </x:si>
  <x:si>
    <x:t xml:space="preserve">☐ Independent reviewer sign-off</x:t>
  </x:si>
  <x:si>
    <x:t xml:space="preserve">☐ Full subgroup enumeration</x:t>
  </x:si>
  <x:si>
    <x:t xml:space="preserve">☐ Add kernel with KQS (if QUICK mode)</x:t>
  </x:si>
  <x:si>
    <x:t xml:space="preserve">☐ UCI from structural indicators</x:t>
  </x:si>
  <x:si>
    <x:t xml:space="preserve">☐ Uncertainty quantification (σ values)</x:t>
  </x:si>
  <x:si>
    <x:t xml:space="preserve">KNOWN LIMITATIONS (v5.1.1)</x:t>
  </x:si>
  <x:si>
    <x:t xml:space="preserve">LINEAGE (superseded worked-run state): earlier non-decisive result required documented authority judgment call; current live calculation controls.</x:t>
  </x:si>
  <x:si>
    <x:t xml:space="preserve">2. Scenario count (7) above Tier 2 min but below Tier 3</x:t>
  </x:si>
  <x:si>
    <x:t xml:space="preserve">3. UCI values = evaluator assessment, not structural indicators</x:t>
  </x:si>
  <x:si>
    <x:t xml:space="preserve">4. Sensitivity template ready but not fully populated</x:t>
  </x:si>
  <x:si>
    <x:t xml:space="preserve">5. Kernel not used (NONE mode) - appropriate for Tier 2</x:t>
  </x:si>
  <x:si>
    <x:t xml:space="preserve">PATCH_NOTE</x:t>
  </x:si>
  <x:si>
    <x:t xml:space="preserve">Added explicit PCC BaselineType_Welfare = STATUS_QUO and reference lines (restoring v1.8.4 clarity).</x:t>
  </x:si>
  <x:si>
    <x:t xml:space="preserve">PATCH_TIMESTAMP_UTC</x:t>
  </x:si>
  <x:si>
    <x:t xml:space="preserve">2026-05-13</x:t>
  </x:si>
  <x:si>
    <x:t xml:space="preserve">Release-integrity hardening: pins synchronized, claim-boundary clarified, ProofPack distinction added.</x:t>
  </x:si>
  <x:si>
    <x:t xml:space="preserve">Prior v10.3 GitHub release; superseded by v10.6 reader-first release line.</x:t>
  </x:si>
  <x:si>
    <x:t xml:space="preserve">ProjectionPreRegistration - RippleLogic Aligners Sheet v5.6</x:t>
  </x:si>
  <x:si>
    <x:t xml:space="preserve">This sheet locks decision-critical projection values before a run. Any material post-registration mismatch triggers REFUSAL_UNDERDETERMINED unless the run is restarted with a new pre-registration record.</x:t>
  </x:si>
  <x:si>
    <x:t xml:space="preserve">Declared Value</x:t>
  </x:si>
  <x:si>
    <x:t xml:space="preserve">Source Sheet/Cell</x:t>
  </x:si>
  <x:si>
    <x:t xml:space="preserve">Locked Before Run?</x:t>
  </x:si>
  <x:si>
    <x:t xml:space="preserve">Current Value</x:t>
  </x:si>
  <x:si>
    <x:t xml:space="preserve">Match?</x:t>
  </x:si>
  <x:si>
    <x:t xml:space="preserve">CANON!B5</x:t>
  </x:si>
  <x:si>
    <x:t xml:space="preserve">MATCH</x:t>
  </x:si>
  <x:si>
    <x:t xml:space="preserve">CANON!B6</x:t>
  </x:si>
  <x:si>
    <x:t xml:space="preserve">SHEET_VERSION</x:t>
  </x:si>
  <x:si>
    <x:t xml:space="preserve">CANON!B7</x:t>
  </x:si>
  <x:si>
    <x:t xml:space="preserve">RIGHTS_COVERAGE_SET</x:t>
  </x:si>
  <x:si>
    <x:t xml:space="preserve">Canonical Appendix C / Rights_Coverage sheet</x:t>
  </x:si>
  <x:si>
    <x:t xml:space="preserve">RIGHTS_THRESHOLDS</x:t>
  </x:si>
  <x:si>
    <x:t xml:space="preserve">CANON θ_r values</x:t>
  </x:si>
  <x:si>
    <x:t xml:space="preserve">CANON!A29:C36</x:t>
  </x:si>
  <x:si>
    <x:t xml:space="preserve">C_CAT_SET</x:t>
  </x:si>
  <x:si>
    <x:t xml:space="preserve">Canonical catastrophe cells</x:t>
  </x:si>
  <x:si>
    <x:t xml:space="preserve">SCENARIO_SET</x:t>
  </x:si>
  <x:si>
    <x:t xml:space="preserve">Declared governed scenario set</x:t>
  </x:si>
  <x:si>
    <x:t xml:space="preserve">SCENARIO_PROBABILITIES</x:t>
  </x:si>
  <x:si>
    <x:t xml:space="preserve">Declared p_s</x:t>
  </x:si>
  <x:si>
    <x:t xml:space="preserve">CVaR_ALPHA</x:t>
  </x:si>
  <x:si>
    <x:t xml:space="preserve">CANON!B18</x:t>
  </x:si>
  <x:si>
    <x:t xml:space="preserve">TAU_TRC</x:t>
  </x:si>
  <x:si>
    <x:t xml:space="preserve">Declared corridor threshold</x:t>
  </x:si>
  <x:si>
    <x:t xml:space="preserve">CONTAINMENT_THRESHOLDS</x:t>
  </x:si>
  <x:si>
    <x:t xml:space="preserve">theta_pos / tau_c</x:t>
  </x:si>
  <x:si>
    <x:t xml:space="preserve">CANON!B22:B23</x:t>
  </x:si>
  <x:si>
    <x:t xml:space="preserve">UNION_WEIGHT_FLOORS</x:t>
  </x:si>
  <x:si>
    <x:t xml:space="preserve">Section 13.1 floor vector</x:t>
  </x:si>
  <x:si>
    <x:t xml:space="preserve">DIMENSION_WEIGHT_FLOORS</x:t>
  </x:si>
  <x:si>
    <x:t xml:space="preserve">SGP_MPS_INTERVAL_BINDING</x:t>
  </x:si>
  <x:si>
    <x:t xml:space="preserve">Pinned MPS band/interval and FPP record; endpoint sensitivity required when decision-relevant</x:t>
  </x:si>
  <x:si>
    <x:t xml:space="preserve">SGP_Integration / SGP_Input</x:t>
  </x:si>
  <x:si>
    <x:t xml:space="preserve">Human-only: FPP TRUE, MPS [1.00,1.00]; generalized use requires valid v8 record</x:t>
  </x:si>
  <x:si>
    <x:t xml:space="preserve">Legacy v7 SG_norm-family values are not equivalent and cannot be translated without re-evaluation.</x:t>
  </x:si>
  <x:si>
    <x:t xml:space="preserve">SUBGROUP_UPLIFT</x:t>
  </x:si>
  <x:si>
    <x:t xml:space="preserve">gamma_subgroup</x:t>
  </x:si>
  <x:si>
    <x:t xml:space="preserve">KERNEL_MODE</x:t>
  </x:si>
  <x:si>
    <x:t xml:space="preserve">CANON / I_prop</x:t>
  </x:si>
  <x:si>
    <x:t xml:space="preserve">SENSITIVITY_SWEEP_SPEC</x:t>
  </x:si>
  <x:si>
    <x:t xml:space="preserve">Declared before run</x:t>
  </x:si>
  <x:si>
    <x:t xml:space="preserve">CLAIM_BOUNDARY</x:t>
  </x:si>
  <x:si>
    <x:t xml:space="preserve">Declared claim boundary</x:t>
  </x:si>
  <x:si>
    <x:t xml:space="preserve">PCC / CANON</x:t>
  </x:si>
  <x:si>
    <x:t xml:space="preserve">EXECUTION_STABILITY_SPEC</x:t>
  </x:si>
  <x:si>
    <x:t xml:space="preserve">ESD v1.0 regime-token set required for consequence-bearing execution claims</x:t>
  </x:si>
  <x:si>
    <x:t xml:space="preserve">Status Vocabulary</x:t>
  </x:si>
  <x:si>
    <x:t xml:space="preserve">Run status</x:t>
  </x:si>
  <x:si>
    <x:t xml:space="preserve">READY | RUNNING | REFUSAL_UNDERDETERMINED | INVALID | COMPLETE</x:t>
  </x:si>
  <x:si>
    <x:t xml:space="preserve">Projection match field</x:t>
  </x:si>
  <x:si>
    <x:t xml:space="preserve">MATCH | MISMATCH | NOT_EVALUATED</x:t>
  </x:si>
  <x:si>
    <x:t xml:space="preserve">Sensitivity module status</x:t>
  </x:si>
  <x:si>
    <x:t xml:space="preserve">NOT_RUN | PERFORMED | INVALID</x:t>
  </x:si>
  <x:si>
    <x:t xml:space="preserve">Sanity checklist status</x:t>
  </x:si>
  <x:si>
    <x:t xml:space="preserve">PASS | FAIL | NA</x:t>
  </x:si>
  <x:si>
    <x:t xml:space="preserve">Material Difference Rule</x:t>
  </x:si>
  <x:si>
    <x:t xml:space="preserve">Materially differs means: (i) any categorical value differs; (ii) any version, hash, pin, or set-membership value differs; (iii) any numeric threshold or probability differs by any amount unless an explicit rounding tolerance is declared; or (iv) any scenario-set, rights-set, catastrophe-set, or sensitivity-sweep specification changes.</x:t>
  </x:si>
  <x:si>
    <x:t xml:space="preserve">Audit Flag</x:t>
  </x:si>
  <x:si>
    <x:t xml:space="preserve">PROJECTION_MODIFIED_POST_REGISTRATION</x:t>
  </x:si>
  <x:si>
    <x:t xml:space="preserve">Set if any Current Value materially differs from Declared Value after run begins</x:t>
  </x:si>
  <x:si>
    <x:t xml:space="preserve">Qualification continuity rule</x:t>
  </x:si>
  <x:si>
    <x:t xml:space="preserve">A required action qualification that is missing, expired, mismatched, or trigger-affected blocks execution.</x:t>
  </x:si>
  <x:si>
    <x:t xml:space="preserve">Blocking states</x:t>
  </x:si>
  <x:si>
    <x:t xml:space="preserve">CURRENT_STATE != VALID | TRANSITION != ADMISSIBLE | POST_STATE != VIABLE | QUALIFICATION != CURRENT</x:t>
  </x:si>
  <x:si>
    <x:t xml:space="preserve">Monitoring rule</x:t>
  </x:si>
  <x:si>
    <x:t xml:space="preserve">A current qualification requires a declared monitoring, pause/shutdown, and outcome-observation path.</x:t>
  </x:si>
  <x:si>
    <x:t xml:space="preserve">Requalification rule</x:t>
  </x:si>
  <x:si>
    <x:t xml:space="preserve">Any material evidence, configuration, control, authority, affected-party, rights, tail-risk, or containment change reopens affected stages.</x:t>
  </x:si>
  <x:si>
    <x:t xml:space="preserve">QUALIFICATION CONTINUITY — ACTION-BOUND PRE-EXECUTION RECORD</x:t>
  </x:si>
  <x:si>
    <x:t xml:space="preserve">Execution remains separate from selection. Every consequence-bearing action must preserve a current, exact configuration-bound qualification and a distinct authority basis.</x:t>
  </x:si>
  <x:si>
    <x:t xml:space="preserve">Current value</x:t>
  </x:si>
  <x:si>
    <x:t xml:space="preserve">Claim / control note</x:t>
  </x:si>
  <x:si>
    <x:t xml:space="preserve">ACTION_QUALIFICATION_ID</x:t>
  </x:si>
  <x:si>
    <x:t xml:space="preserve">AQ-ORG-2026-001</x:t>
  </x:si>
  <x:si>
    <x:t xml:space="preserve">PCC / run record</x:t>
  </x:si>
  <x:si>
    <x:t xml:space="preserve">Stable identifier for this action qualification.</x:t>
  </x:si>
  <x:si>
    <x:t xml:space="preserve">QUALIFIED_OPTION_ID</x:t>
  </x:si>
  <x:si>
    <x:t xml:space="preserve">Dashboard / PCC</x:t>
  </x:si>
  <x:si>
    <x:t xml:space="preserve">Must equal the selected selectable option.</x:t>
  </x:si>
  <x:si>
    <x:t xml:space="preserve">ACTION_INSTANCE_ID</x:t>
  </x:si>
  <x:si>
    <x:t xml:space="preserve">ACT-ORG-2026-001</x:t>
  </x:si>
  <x:si>
    <x:t xml:space="preserve">Execution record</x:t>
  </x:si>
  <x:si>
    <x:t xml:space="preserve">Prevents authorization from drifting to another action instance.</x:t>
  </x:si>
  <x:si>
    <x:t xml:space="preserve">ACTION_SPECIFICATION_HASH</x:t>
  </x:si>
  <x:si>
    <x:t xml:space="preserve">Worked exemplar: replace with SHA-256</x:t>
  </x:si>
  <x:si>
    <x:t xml:space="preserve">Exact action, parameters, tools, permissions, and boundary.</x:t>
  </x:si>
  <x:si>
    <x:t xml:space="preserve">CONFIGURATION_ID</x:t>
  </x:si>
  <x:si>
    <x:t xml:space="preserve">CFG-ORG-2026-001</x:t>
  </x:si>
  <x:si>
    <x:t xml:space="preserve">Qualification attaches to one declared configuration.</x:t>
  </x:si>
  <x:si>
    <x:t xml:space="preserve">CURRENT_STATE_STATUS</x:t>
  </x:si>
  <x:si>
    <x:t xml:space="preserve">VALID</x:t>
  </x:si>
  <x:si>
    <x:t xml:space="preserve">Invalid or underdetermined current state blocks execution.</x:t>
  </x:si>
  <x:si>
    <x:t xml:space="preserve">TRANSITION_STATUS</x:t>
  </x:si>
  <x:si>
    <x:t xml:space="preserve">ADMISSIBLE</x:t>
  </x:si>
  <x:si>
    <x:t xml:space="preserve">Transition must satisfy existing RF/NCRC, TRC, and CSV constraints.</x:t>
  </x:si>
  <x:si>
    <x:t xml:space="preserve">POST_STATE_STATUS</x:t>
  </x:si>
  <x:si>
    <x:t xml:space="preserve">VIABLE</x:t>
  </x:si>
  <x:si>
    <x:t xml:space="preserve">A viable post-state must be supported; it is not presumed from transition admissibility.</x:t>
  </x:si>
  <x:si>
    <x:t xml:space="preserve">QUALIFICATION_STATUS</x:t>
  </x:si>
  <x:si>
    <x:t xml:space="preserve">CURRENT</x:t>
  </x:si>
  <x:si>
    <x:t xml:space="preserve">Expired or suspended qualification blocks execution.</x:t>
  </x:si>
  <x:si>
    <x:t xml:space="preserve">GATE_SNAPSHOT</x:t>
  </x:si>
  <x:si>
    <x:t xml:space="preserve">Frozen cascade outcome; does not itself authorize action.</x:t>
  </x:si>
  <x:si>
    <x:t xml:space="preserve">QUALIFICATION_SNAPSHOT_HASH</x:t>
  </x:si>
  <x:si>
    <x:t xml:space="preserve">Binds evidence, parameters, gate results, configuration, and selected option.</x:t>
  </x:si>
  <x:si>
    <x:t xml:space="preserve">AUTHORITY_BASIS</x:t>
  </x:si>
  <x:si>
    <x:t xml:space="preserve">Separate accountable-authority record required</x:t>
  </x:si>
  <x:si>
    <x:t xml:space="preserve">PCC / governance record</x:t>
  </x:si>
  <x:si>
    <x:t xml:space="preserve">MathGov qualification is not legal, institutional, or operational authority.</x:t>
  </x:si>
  <x:si>
    <x:t xml:space="preserve">REQUALIFICATION_TRIGGER_STATE</x:t>
  </x:si>
  <x:si>
    <x:t xml:space="preserve">NO_ACTIVE_TRIGGER</x:t>
  </x:si>
  <x:si>
    <x:t xml:space="preserve">Any material trigger suspends inherited qualification.</x:t>
  </x:si>
  <x:si>
    <x:t xml:space="preserve">REQUIRED_CONTROLS_STATUS</x:t>
  </x:si>
  <x:si>
    <x:t xml:space="preserve">CSV / obligation records</x:t>
  </x:si>
  <x:si>
    <x:t xml:space="preserve">Control promises require owners, evidence, expiry, and consequences.</x:t>
  </x:si>
  <x:si>
    <x:t xml:space="preserve">MATERIAL_OBLIGATIONS_STATUS</x:t>
  </x:si>
  <x:si>
    <x:t xml:space="preserve">Responsibility continuity</x:t>
  </x:si>
  <x:si>
    <x:t xml:space="preserve">IF MATERIAL</x:t>
  </x:si>
  <x:si>
    <x:t xml:space="preserve">No execution on expired, suspended, or ineffective obligations.</x:t>
  </x:si>
  <x:si>
    <x:t xml:space="preserve">MONITORING_PLAN</x:t>
  </x:si>
  <x:si>
    <x:t xml:space="preserve">Declared outcome and control monitoring</x:t>
  </x:si>
  <x:si>
    <x:t xml:space="preserve">Monitoring does not substitute for prior admissibility.</x:t>
  </x:si>
  <x:si>
    <x:t xml:space="preserve">PAUSE_OR_SHUTDOWN_PATH</x:t>
  </x:si>
  <x:si>
    <x:t xml:space="preserve">Named accountable operator</x:t>
  </x:si>
  <x:si>
    <x:t xml:space="preserve">Must be usable within the consequence tempo.</x:t>
  </x:si>
  <x:si>
    <x:t xml:space="preserve">ROLLBACK_OR_REPAIR_PATH</x:t>
  </x:si>
  <x:si>
    <x:t xml:space="preserve">Policy rollback / revision / review</x:t>
  </x:si>
  <x:si>
    <x:t xml:space="preserve">Irreversibility requires stronger prior support and claim limits.</x:t>
  </x:si>
  <x:si>
    <x:t xml:space="preserve">EXECUTION_DISPOSITION</x:t>
  </x:si>
  <x:si>
    <x:t xml:space="preserve">WORKED_RUN_ONLY</x:t>
  </x:si>
  <x:si>
    <x:t xml:space="preserve">Worked exemplar only. The workbook is not an execution engine, authorization, or permission grant.</x:t>
  </x:si>
  <x:si>
    <x:t xml:space="preserve">Demonstrates qualification continuity only</x:t>
  </x:si>
  <x:si>
    <x:t xml:space="preserve">No empirical, legal, safety, or deployment-readiness claim.</x:t>
  </x:si>
  <x:si>
    <x:t xml:space="preserve">REVIEWER_ROLE</x:t>
  </x:si>
  <x:si>
    <x:t xml:space="preserve">Independent human reviewer</x:t>
  </x:si>
  <x:si>
    <x:t xml:space="preserve">Replace role with named accountable reviewer in a live run.</x:t>
  </x:si>
  <x:si>
    <x:t xml:space="preserve">EVALUATED_AT</x:t>
  </x:si>
  <x:si>
    <x:t xml:space="preserve">Release record</x:t>
  </x:si>
  <x:si>
    <x:t xml:space="preserve">Re-evaluate at execution time and after any trigger.</x:t>
  </x:si>
  <x:si>
    <x:t xml:space="preserve">EXECUTION READINESS</x:t>
  </x:si>
  <x:si>
    <x:t xml:space="preserve">Existing gates + current qualification + separate authority + active controls</x:t>
  </x:si>
  <x:si>
    <x:t xml:space="preserve">This is an execution-bound conformance check, not a new cascade gate.</x:t>
  </x:si>
  <x:si>
    <x:t xml:space="preserve">Continuity check</x:t>
  </x:si>
  <x:si>
    <x:t xml:space="preserve">Observed state</x:t>
  </x:si>
  <x:si>
    <x:t xml:space="preserve">If failed</x:t>
  </x:si>
  <x:si>
    <x:t xml:space="preserve">Why it matters</x:t>
  </x:si>
  <x:si>
    <x:t xml:space="preserve">Selected option is the qualified option</x:t>
  </x:si>
  <x:si>
    <x:t xml:space="preserve">SAME</x:t>
  </x:si>
  <x:si>
    <x:t xml:space="preserve">Block and reselect/requalify</x:t>
  </x:si>
  <x:si>
    <x:t xml:space="preserve">Prevents authorization drift.</x:t>
  </x:si>
  <x:si>
    <x:t xml:space="preserve">Exact action and configuration are frozen</x:t>
  </x:si>
  <x:si>
    <x:t xml:space="preserve">BOUND</x:t>
  </x:si>
  <x:si>
    <x:t xml:space="preserve">Block and create new action qualification</x:t>
  </x:si>
  <x:si>
    <x:t xml:space="preserve">Technical owner</x:t>
  </x:si>
  <x:si>
    <x:t xml:space="preserve">Prevents configuration substitution.</x:t>
  </x:si>
  <x:si>
    <x:t xml:space="preserve">Qualification is current at action time</x:t>
  </x:si>
  <x:si>
    <x:t xml:space="preserve">Suspend pending requalification</x:t>
  </x:si>
  <x:si>
    <x:t xml:space="preserve">A past pass cannot authorize a changed present.</x:t>
  </x:si>
  <x:si>
    <x:t xml:space="preserve">Authority is separately current</x:t>
  </x:si>
  <x:si>
    <x:t xml:space="preserve">Block and route to accountable authority</x:t>
  </x:si>
  <x:si>
    <x:t xml:space="preserve">Authority owner</x:t>
  </x:si>
  <x:si>
    <x:t xml:space="preserve">Capability, selection, and authority are distinct.</x:t>
  </x:si>
  <x:si>
    <x:t xml:space="preserve">Controls and obligations are active</x:t>
  </x:si>
  <x:si>
    <x:t xml:space="preserve">Pause, repair, or refuse</x:t>
  </x:si>
  <x:si>
    <x:t xml:space="preserve">Control owners</x:t>
  </x:si>
  <x:si>
    <x:t xml:space="preserve">Execution relies on real control performance.</x:t>
  </x:si>
  <x:si>
    <x:t xml:space="preserve">Outcome observation will reopen the run when material</x:t>
  </x:si>
  <x:si>
    <x:t xml:space="preserve">ENABLED</x:t>
  </x:si>
  <x:si>
    <x:t xml:space="preserve">No execution claim beyond bounded trial</x:t>
  </x:si>
  <x:si>
    <x:t xml:space="preserve">Monitoring owner</x:t>
  </x:si>
  <x:si>
    <x:t xml:space="preserve">Learning must change governance when evidence changes.</x:t>
  </x:si>
  <x:si>
    <x:t xml:space="preserve">primitive_id</x:t>
  </x:si>
  <x:si>
    <x:t xml:space="preserve">primitive_statement</x:t>
  </x:si>
  <x:si>
    <x:t xml:space="preserve">layer_type</x:t>
  </x:si>
  <x:si>
    <x:t xml:space="preserve">dependency_status</x:t>
  </x:si>
  <x:si>
    <x:t xml:space="preserve">reducibility_test</x:t>
  </x:si>
  <x:si>
    <x:t xml:space="preserve">circularity_test</x:t>
  </x:si>
  <x:si>
    <x:t xml:space="preserve">domain_boundary</x:t>
  </x:si>
  <x:si>
    <x:t xml:space="preserve">operator_ref</x:t>
  </x:si>
  <x:si>
    <x:t xml:space="preserve">regime_conditions</x:t>
  </x:si>
  <x:si>
    <x:t xml:space="preserve">projection_ref</x:t>
  </x:si>
  <x:si>
    <x:t xml:space="preserve">observable_consequence</x:t>
  </x:si>
  <x:si>
    <x:t xml:space="preserve">tolerance_rule</x:t>
  </x:si>
  <x:si>
    <x:t xml:space="preserve">evidence_source</x:t>
  </x:si>
  <x:si>
    <x:t xml:space="preserve">falsification_condition</x:t>
  </x:si>
  <x:si>
    <x:t xml:space="preserve">refusal_condition</x:t>
  </x:si>
  <x:si>
    <x:t xml:space="preserve">reviewer_role</x:t>
  </x:si>
  <x:si>
    <x:t xml:space="preserve">timestamp</x:t>
  </x:si>
  <x:si>
    <x:t xml:space="preserve">hash_ref</x:t>
  </x:si>
  <x:si>
    <x:t xml:space="preserve">PTRACE-001</x:t>
  </x:si>
  <x:si>
    <x:t xml:space="preserve">Example: rights floors are non-compensatory in this run</x:t>
  </x:si>
  <x:si>
    <x:t xml:space="preserve">normative commitment</x:t>
  </x:si>
  <x:si>
    <x:t xml:space="preserve">declared primitive for run</x:t>
  </x:si>
  <x:si>
    <x:t xml:space="preserve">not reducible inside current run</x:t>
  </x:si>
  <x:si>
    <x:t xml:space="preserve">passes if not defined using its own output</x:t>
  </x:si>
  <x:si>
    <x:t xml:space="preserve">declared decision scope</x:t>
  </x:si>
  <x:si>
    <x:t xml:space="preserve">Tier and rights coverage declared</x:t>
  </x:si>
  <x:si>
    <x:t xml:space="preserve">If any protected subgroup falls below floor, option fails NCRC</x:t>
  </x:si>
  <x:si>
    <x:t xml:space="preserve">NCRC gate verdict and subgroup impact record</x:t>
  </x:si>
  <x:si>
    <x:t xml:space="preserve">theta_r thresholds and conservative bounds</x:t>
  </x:si>
  <x:si>
    <x:t xml:space="preserve">PCC evidence register</x:t>
  </x:si>
  <x:si>
    <x:t xml:space="preserve">Protected subgroup below floor under declared evidence</x:t>
  </x:si>
  <x:si>
    <x:t xml:space="preserve">Unknown gate-critical rights cell without conservative bound</x:t>
  </x:si>
  <x:si>
    <x:t xml:space="preserve">reviewer / steward</x:t>
  </x:si>
  <x:si>
    <x:t xml:space="preserve">NOT_APPLICABLE_WORKED_RUN_EXEMPLAR</x:t>
  </x:si>
  <x:si>
    <x:t xml:space="preserve">consequence_id</x:t>
  </x:si>
  <x:si>
    <x:t xml:space="preserve">linked_projection</x:t>
  </x:si>
  <x:si>
    <x:t xml:space="preserve">measurement_method</x:t>
  </x:si>
  <x:si>
    <x:t xml:space="preserve">data_source</x:t>
  </x:si>
  <x:si>
    <x:t xml:space="preserve">expected_sign</x:t>
  </x:si>
  <x:si>
    <x:t xml:space="preserve">expected_range</x:t>
  </x:si>
  <x:si>
    <x:t xml:space="preserve">tolerance</x:t>
  </x:si>
  <x:si>
    <x:t xml:space="preserve">observed_value</x:t>
  </x:si>
  <x:si>
    <x:t xml:space="preserve">verdict</x:t>
  </x:si>
  <x:si>
    <x:t xml:space="preserve">notes</x:t>
  </x:si>
  <x:si>
    <x:t xml:space="preserve">OC-001</x:t>
  </x:si>
  <x:si>
    <x:t xml:space="preserve">reviewed PCC field check</x:t>
  </x:si>
  <x:si>
    <x:t xml:space="preserve">PCC / workbook / evidence register</x:t>
  </x:si>
  <x:si>
    <x:t xml:space="preserve">PASS or FAIL</x:t>
  </x:si>
  <x:si>
    <x:t xml:space="preserve">no missing gate-critical field</x:t>
  </x:si>
  <x:si>
    <x:t xml:space="preserve">Use after run.</x:t>
  </x:si>
  <x:si>
    <x:t xml:space="preserve">OC-002</x:t>
  </x:si>
  <x:si>
    <x:t xml:space="preserve">pilot sign accuracy</x:t>
  </x:si>
  <x:si>
    <x:t xml:space="preserve">post-decision outcome review</x:t>
  </x:si>
  <x:si>
    <x:t xml:space="preserve">pilot outcome dataset</x:t>
  </x:si>
  <x:si>
    <x:t xml:space="preserve">&gt;=0</x:t>
  </x:si>
  <x:si>
    <x:t xml:space="preserve">&gt;= 0.70 sign accuracy after calibration</x:t>
  </x:si>
  <x:si>
    <x:t xml:space="preserve">domain declared</x:t>
  </x:si>
  <x:si>
    <x:t xml:space="preserve">Do not use without pre-registration.</x:t>
  </x:si>
  <x:si>
    <x:t xml:space="preserve">claim_id</x:t>
  </x:si>
  <x:si>
    <x:t xml:space="preserve">projection_id</x:t>
  </x:si>
  <x:si>
    <x:t xml:space="preserve">falsifier</x:t>
  </x:si>
  <x:si>
    <x:t xml:space="preserve">survival_condition</x:t>
  </x:si>
  <x:si>
    <x:t xml:space="preserve">downgrade_condition</x:t>
  </x:si>
  <x:si>
    <x:t xml:space="preserve">post_hoc_modification_rule</x:t>
  </x:si>
  <x:si>
    <x:t xml:space="preserve">reviewer_decision</x:t>
  </x:si>
  <x:si>
    <x:t xml:space="preserve">CLAIM-001</x:t>
  </x:si>
  <x:si>
    <x:t xml:space="preserve">Gate verdict cannot be reconstructed from pre-registered fields</x:t>
  </x:si>
  <x:si>
    <x:t xml:space="preserve">Independent reviewer reconstructs same gate verdict</x:t>
  </x:si>
  <x:si>
    <x:t xml:space="preserve">Projection is non-unique or evidence is gate-critical unknown</x:t>
  </x:si>
  <x:si>
    <x:t xml:space="preserve">Evidence supports lower tier only</x:t>
  </x:si>
  <x:si>
    <x:t xml:space="preserve">Material changes require new run, prior claim downgraded</x:t>
  </x:si>
  <x:si>
    <x:t xml:space="preserve">NOT_EVALUATED_WORKED_RUN_EXEMPLAR</x:t>
  </x:si>
  <x:si>
    <x:t xml:space="preserve">CLAIM-002</x:t>
  </x:si>
  <x:si>
    <x:t xml:space="preserve">ProofPack readiness</x:t>
  </x:si>
  <x:si>
    <x:t xml:space="preserve">Missing schema, test vector, hash, replayable PCC, or primitive trace</x:t>
  </x:si>
  <x:si>
    <x:t xml:space="preserve">All required artifacts present and replayable</x:t>
  </x:si>
  <x:si>
    <x:t xml:space="preserve">Any required artifact absent</x:t>
  </x:si>
  <x:si>
    <x:t xml:space="preserve">Release remains architecturally specified only</x:t>
  </x:si>
  <x:si>
    <x:t xml:space="preserve">No post-hoc upgrade to proofpack-ready without artifact evidence</x:t>
  </x:si>
  <x:si>
    <x:t xml:space="preserve">level</x:t>
  </x:si>
  <x:si>
    <x:t xml:space="preserve">label</x:t>
  </x:si>
  <x:si>
    <x:t xml:space="preserve">meaning</x:t>
  </x:si>
  <x:si>
    <x:t xml:space="preserve">minimum_evidence</x:t>
  </x:si>
  <x:si>
    <x:t xml:space="preserve">M0</x:t>
  </x:si>
  <x:si>
    <x:t xml:space="preserve">CONCEPTUAL</x:t>
  </x:si>
  <x:si>
    <x:t xml:space="preserve">Idea or framing exists</x:t>
  </x:si>
  <x:si>
    <x:t xml:space="preserve">No conformance or validation claim</x:t>
  </x:si>
  <x:si>
    <x:t xml:space="preserve">clear statement of concept</x:t>
  </x:si>
  <x:si>
    <x:t xml:space="preserve">INTERNAL_COHERENCE</x:t>
  </x:si>
  <x:si>
    <x:t xml:space="preserve">Definitions and logic are internally organized</x:t>
  </x:si>
  <x:si>
    <x:t xml:space="preserve">architecture discussion only</x:t>
  </x:si>
  <x:si>
    <x:t xml:space="preserve">coherence review</x:t>
  </x:si>
  <x:si>
    <x:t xml:space="preserve">WORKED_EXAMPLE</x:t>
  </x:si>
  <x:si>
    <x:t xml:space="preserve">One or more illustrative runs exist</x:t>
  </x:si>
  <x:si>
    <x:t xml:space="preserve">example claim only</x:t>
  </x:si>
  <x:si>
    <x:t xml:space="preserve">worked run record</x:t>
  </x:si>
  <x:si>
    <x:t xml:space="preserve">REPLAYABLE</x:t>
  </x:si>
  <x:si>
    <x:t xml:space="preserve">Workbook or calculator run can be replayed</x:t>
  </x:si>
  <x:si>
    <x:t xml:space="preserve">replayable artifact claim</x:t>
  </x:si>
  <x:si>
    <x:t xml:space="preserve">artifact hash and instructions</x:t>
  </x:si>
  <x:si>
    <x:t xml:space="preserve">INDEPENDENT_RECONSTRUCTION</x:t>
  </x:si>
  <x:si>
    <x:t xml:space="preserve">Independent reviewer can reconstruct verdict</x:t>
  </x:si>
  <x:si>
    <x:t xml:space="preserve">reviewed run claim</x:t>
  </x:si>
  <x:si>
    <x:t xml:space="preserve">reviewer record and discrepancies</x:t>
  </x:si>
  <x:si>
    <x:t xml:space="preserve">PILOTED</x:t>
  </x:si>
  <x:si>
    <x:t xml:space="preserve">Pre-registered pilot with comparator exists</x:t>
  </x:si>
  <x:si>
    <x:t xml:space="preserve">pilot-limited performance claim</x:t>
  </x:si>
  <x:si>
    <x:t xml:space="preserve">pilot protocol, comparator, results</x:t>
  </x:si>
  <x:si>
    <x:t xml:space="preserve">M6</x:t>
  </x:si>
  <x:si>
    <x:t xml:space="preserve">REPLICATED</x:t>
  </x:si>
  <x:si>
    <x:t xml:space="preserve">Multi-case replication exists</x:t>
  </x:si>
  <x:si>
    <x:t xml:space="preserve">limited replicated claim</x:t>
  </x:si>
  <x:si>
    <x:t xml:space="preserve">case set and replication stats</x:t>
  </x:si>
  <x:si>
    <x:t xml:space="preserve">M7</x:t>
  </x:si>
  <x:si>
    <x:t xml:space="preserve">DOMAIN_CALIBRATED</x:t>
  </x:si>
  <x:si>
    <x:t xml:space="preserve">Measurement annex validated for domain</x:t>
  </x:si>
  <x:si>
    <x:t xml:space="preserve">domain-specific calibration claim</x:t>
  </x:si>
  <x:si>
    <x:t xml:space="preserve">measurement annex and IRR</x:t>
  </x:si>
  <x:si>
    <x:t xml:space="preserve">M8</x:t>
  </x:si>
  <x:si>
    <x:t xml:space="preserve">DEPLOYED_MONITORED</x:t>
  </x:si>
  <x:si>
    <x:t xml:space="preserve">Production deployment with monitoring exists</x:t>
  </x:si>
  <x:si>
    <x:t xml:space="preserve">deployment-limited operational claim</x:t>
  </x:si>
  <x:si>
    <x:t xml:space="preserve">monitoring logs and incident process</x:t>
  </x:si>
  <x:si>
    <x:t xml:space="preserve">M9</x:t>
  </x:si>
  <x:si>
    <x:t xml:space="preserve">PROOFPACK_READY</x:t>
  </x:si>
  <x:si>
    <x:t xml:space="preserve">Public replayable ProofPack exists</x:t>
  </x:si>
  <x:si>
    <x:t xml:space="preserve">machine-verifiable ecosystem claim</x:t>
  </x:si>
  <x:si>
    <x:t xml:space="preserve">schema, validator, test vectors, replayable PCC</x:t>
  </x:si>
  <x:si>
    <x:t xml:space="preserve">check_id</x:t>
  </x:si>
  <x:si>
    <x:t xml:space="preserve">check</x:t>
  </x:si>
  <x:si>
    <x:t xml:space="preserve">status</x:t>
  </x:si>
  <x:si>
    <x:t xml:space="preserve">evidence_ref</x:t>
  </x:si>
  <x:si>
    <x:t xml:space="preserve">V10.6-01</x:t>
  </x:si>
  <x:si>
    <x:t xml:space="preserve">Canon version pinned to RippleLogic Canon v12.2</x:t>
  </x:si>
  <x:si>
    <x:t xml:space="preserve">CANON / manifest</x:t>
  </x:si>
  <x:si>
    <x:t xml:space="preserve">V10.6-02</x:t>
  </x:si>
  <x:si>
    <x:t xml:space="preserve">SGP version pinned to SGP v8.1.1</x:t>
  </x:si>
  <x:si>
    <x:t xml:space="preserve">V10.6-03</x:t>
  </x:si>
  <x:si>
    <x:t xml:space="preserve">ripple.md version pinned to ripple.md v5.0</x:t>
  </x:si>
  <x:si>
    <x:t xml:space="preserve">V10.6-04</x:t>
  </x:si>
  <x:si>
    <x:t xml:space="preserve">Agent System version pinned to RippleLogic Agent System v12.0.1</x:t>
  </x:si>
  <x:si>
    <x:t xml:space="preserve">V10.6-05</x:t>
  </x:si>
  <x:si>
    <x:t xml:space="preserve">PrimitiveTrace sheet present</x:t>
  </x:si>
  <x:si>
    <x:t xml:space="preserve">V10.6-06</x:t>
  </x:si>
  <x:si>
    <x:t xml:space="preserve">ObservableConsequences sheet present</x:t>
  </x:si>
  <x:si>
    <x:t xml:space="preserve">V10.6-07</x:t>
  </x:si>
  <x:si>
    <x:t xml:space="preserve">FalsificationPlan sheet present</x:t>
  </x:si>
  <x:si>
    <x:t xml:space="preserve">V10.6-08</x:t>
  </x:si>
  <x:si>
    <x:t xml:space="preserve">MethodologyMaturity sheet present</x:t>
  </x:si>
  <x:si>
    <x:t xml:space="preserve">V10.6-09</x:t>
  </x:si>
  <x:si>
    <x:t xml:space="preserve">No unsupported ProofPack-ready claim</x:t>
  </x:si>
  <x:si>
    <x:t xml:space="preserve">Manifest / release notes</x:t>
  </x:si>
  <x:si>
    <x:t xml:space="preserve">Not ProofPack-ready; unsupported ProofPack-ready claim absent.</x:t>
  </x:si>
  <x:si>
    <x:t xml:space="preserve">V10.6-10</x:t>
  </x:si>
  <x:si>
    <x:t xml:space="preserve">No post-hoc projection modification</x:t>
  </x:si>
  <x:si>
    <x:t xml:space="preserve">ProjectionPreRegistration / PrimitiveTrace</x:t>
  </x:si>
  <x:si>
    <x:t xml:space="preserve">Projection values locked for this worked-run release build; post-hoc modification not used after v10.8 run-lock.</x:t>
  </x:si>
  <x:si>
    <x:t xml:space="preserve">V10.6-11</x:t>
  </x:si>
  <x:si>
    <x:t xml:space="preserve">Qualification continuity record populated</x:t>
  </x:si>
  <x:si>
    <x:t xml:space="preserve">Required action fields</x:t>
  </x:si>
  <x:si>
    <x:t xml:space="preserve">Qualification_Continuity!A4:G36</x:t>
  </x:si>
  <x:si>
    <x:t xml:space="preserve">MathGov-native action-bound record.</x:t>
  </x:si>
  <x:si>
    <x:t xml:space="preserve">V10.6-12</x:t>
  </x:si>
  <x:si>
    <x:t xml:space="preserve">Outcome observation and requalification record populated</x:t>
  </x:si>
  <x:si>
    <x:t xml:space="preserve">Required observation fields</x:t>
  </x:si>
  <x:si>
    <x:t xml:space="preserve">Material outcomes reopen affected stages.</x:t>
  </x:si>
  <x:si>
    <x:t xml:space="preserve">V10.6-13</x:t>
  </x:si>
  <x:si>
    <x:t xml:space="preserve">UCI_Maturity sheet present and populated</x:t>
  </x:si>
  <x:si>
    <x:t xml:space="preserve">UCI Measurement Readiness declared.</x:t>
  </x:si>
  <x:si>
    <x:t xml:space="preserve">V10.6-14</x:t>
  </x:si>
  <x:si>
    <x:t xml:space="preserve">Kernel_Posture sheet present and populated</x:t>
  </x:si>
  <x:si>
    <x:t xml:space="preserve">Kernel Use Posture declared.</x:t>
  </x:si>
  <x:si>
    <x:t xml:space="preserve">V10.6-15</x:t>
  </x:si>
  <x:si>
    <x:t xml:space="preserve">HDW_Capture_Audit sheet present and populated</x:t>
  </x:si>
  <x:si>
    <x:t xml:space="preserve">Capture audit fields populated for worked run.</x:t>
  </x:si>
  <x:si>
    <x:t xml:space="preserve">V10.6-16</x:t>
  </x:si>
  <x:si>
    <x:t xml:space="preserve">PLSS_Escalation sheet present and populated</x:t>
  </x:si>
  <x:si>
    <x:t xml:space="preserve">Escalation triggers disclosed.</x:t>
  </x:si>
  <x:si>
    <x:t xml:space="preserve">V10.6-17</x:t>
  </x:si>
  <x:si>
    <x:t xml:space="preserve">BioSGP_Maturity sheet present and populated</x:t>
  </x:si>
  <x:si>
    <x:t xml:space="preserve">Biological evaluation maturity boundary disclosed.</x:t>
  </x:si>
  <x:si>
    <x:t xml:space="preserve">V10.6-18</x:t>
  </x:si>
  <x:si>
    <x:t xml:space="preserve">Deployment_Context sheet present and populated</x:t>
  </x:si>
  <x:si>
    <x:t xml:space="preserve">Deployment context declared.</x:t>
  </x:si>
  <x:si>
    <x:t xml:space="preserve">V10.6-19</x:t>
  </x:si>
  <x:si>
    <x:t xml:space="preserve">UCI_Maturity token valid and boundary disclosed</x:t>
  </x:si>
  <x:si>
    <x:t xml:space="preserve">Token and claim-boundary fields populated.</x:t>
  </x:si>
  <x:si>
    <x:t xml:space="preserve">V10.6-20</x:t>
  </x:si>
  <x:si>
    <x:t xml:space="preserve">Kernel_Posture token valid and no calibrated propagation overclaim</x:t>
  </x:si>
  <x:si>
    <x:t xml:space="preserve">K0/K1/K2/K3/K4 posture disclosed and no unsupported validation claim.</x:t>
  </x:si>
  <x:si>
    <x:t xml:space="preserve">V10.6-21</x:t>
  </x:si>
  <x:si>
    <x:t xml:space="preserve">HDW_Capture_Audit populated with capture-risk fields</x:t>
  </x:si>
  <x:si>
    <x:t xml:space="preserve">Source, participation, conflicts, challenger and independent review fields present.</x:t>
  </x:si>
  <x:si>
    <x:t xml:space="preserve">V10.6-22</x:t>
  </x:si>
  <x:si>
    <x:t xml:space="preserve">PLSS_Escalation populated with trigger and non-escalation rationale</x:t>
  </x:si>
  <x:si>
    <x:t xml:space="preserve">Externality search, challenger status, repeated-use and non-escalation rationale disclosed.</x:t>
  </x:si>
  <x:si>
    <x:t xml:space="preserve">V10.6-23</x:t>
  </x:si>
  <x:si>
    <x:t xml:space="preserve">BioSGP_Maturity token valid and protection non-regression preserved</x:t>
  </x:si>
  <x:si>
    <x:t xml:space="preserve">BEM token disclosed; biological measurement immaturity does not reduce precautionary protection.</x:t>
  </x:si>
  <x:si>
    <x:t xml:space="preserve">V10.6-24</x:t>
  </x:si>
  <x:si>
    <x:t xml:space="preserve">Deployment_Context token valid and non-claim boundary preserved</x:t>
  </x:si>
  <x:si>
    <x:t xml:space="preserve">Deployment context and non-ProofPack/Tier 4 boundary disclosed.</x:t>
  </x:si>
  <x:si>
    <x:t xml:space="preserve">V10.6-25</x:t>
  </x:si>
  <x:si>
    <x:t xml:space="preserve">Uncertainty method labels are canonical-compatible and Method C boundary disclosed</x:t>
  </x:si>
  <x:si>
    <x:t xml:space="preserve">CANON!C16:D16</x:t>
  </x:si>
  <x:si>
    <x:t xml:space="preserve">Method C is constant-σ demonstration surface, not production-calibrated uncertainty model.</x:t>
  </x:si>
  <x:si>
    <x:t xml:space="preserve">V10.6-26</x:t>
  </x:si>
  <x:si>
    <x:t xml:space="preserve">ReachBasisType enum uses canonical-compatible OTHER_DECLARED</x:t>
  </x:si>
  <x:si>
    <x:t xml:space="preserve">Impact_Input!O7:O20 / X7:X20</x:t>
  </x:si>
  <x:si>
    <x:t xml:space="preserve">Declared instance-share/exposure denominator is disclosed in ReachBasisNote.</x:t>
  </x:si>
  <x:si>
    <x:t xml:space="preserve">V10.6-27</x:t>
  </x:si>
  <x:si>
    <x:t xml:space="preserve">Stewardship note does not narrow Canon trigger conditions</x:t>
  </x:si>
  <x:si>
    <x:t xml:space="preserve">PCC!B107:C109</x:t>
  </x:si>
  <x:si>
    <x:t xml:space="preserve">No general claim that stewardship applies only to MODE 2+ AI-agent deployments.</x:t>
  </x:si>
  <x:si>
    <x:t xml:space="preserve">V10.6-28</x:t>
  </x:si>
  <x:si>
    <x:t xml:space="preserve">Tier-2 containment-proxy wording disclosed</x:t>
  </x:si>
  <x:si>
    <x:t xml:space="preserve">Dashboard!C18:E18 / PCC!B55:C56</x:t>
  </x:si>
  <x:si>
    <x:t xml:space="preserve">Proportional CSV is required before ordinary RLS at every tier; Tier 3 requires the fullest evidence and structural-instrument posture.</x:t>
  </x:si>
  <x:si>
    <x:t xml:space="preserve">V10.6-29</x:t>
  </x:si>
  <x:si>
    <x:t xml:space="preserve">Release-integrity patch boundary recorded</x:t>
  </x:si>
  <x:si>
    <x:t xml:space="preserve">Release_Boundaries!A13:C18</x:t>
  </x:si>
  <x:si>
    <x:t xml:space="preserve">Patch is release-integrity only; no major version change.</x:t>
  </x:si>
  <x:si>
    <x:t xml:space="preserve">OUTCOME OBSERVATION AND REQUALIFICATION</x:t>
  </x:si>
  <x:si>
    <x:t xml:space="preserve">Observed outcomes do not retroactively prove the model. Material deviation, new harm, control failure, or configuration change reopens the affected MathGov stages.</x:t>
  </x:si>
  <x:si>
    <x:t xml:space="preserve">Declared / observed value</x:t>
  </x:si>
  <x:si>
    <x:t xml:space="preserve">Trigger rule</x:t>
  </x:si>
  <x:si>
    <x:t xml:space="preserve">Required action</x:t>
  </x:si>
  <x:si>
    <x:t xml:space="preserve">Owner / reviewer</x:t>
  </x:si>
  <x:si>
    <x:t xml:space="preserve">OUTCOME_OBSERVATION_ID</x:t>
  </x:si>
  <x:si>
    <x:t xml:space="preserve">OBS-ORG-2026-001</x:t>
  </x:si>
  <x:si>
    <x:t xml:space="preserve">DECLARED</x:t>
  </x:si>
  <x:si>
    <x:t xml:space="preserve">External monitoring record</x:t>
  </x:si>
  <x:si>
    <x:t xml:space="preserve">After execution or material trial</x:t>
  </x:si>
  <x:si>
    <x:t xml:space="preserve">Bind to action instance</x:t>
  </x:si>
  <x:si>
    <x:t xml:space="preserve">Mismatch</x:t>
  </x:si>
  <x:si>
    <x:t xml:space="preserve">Block claim and investigate</x:t>
  </x:si>
  <x:si>
    <x:t xml:space="preserve">Operator</x:t>
  </x:si>
  <x:si>
    <x:t xml:space="preserve">PCC / Dashboard</x:t>
  </x:si>
  <x:si>
    <x:t xml:space="preserve">Reopen selection and authority</x:t>
  </x:si>
  <x:si>
    <x:t xml:space="preserve">Configuration change</x:t>
  </x:si>
  <x:si>
    <x:t xml:space="preserve">Suspend inherited qualification</x:t>
  </x:si>
  <x:si>
    <x:t xml:space="preserve">OBSERVATION_TIME</x:t>
  </x:si>
  <x:si>
    <x:t xml:space="preserve">Not observed in workbook</x:t>
  </x:si>
  <x:si>
    <x:t xml:space="preserve">External run required</x:t>
  </x:si>
  <x:si>
    <x:t xml:space="preserve">Outcome becomes available</x:t>
  </x:si>
  <x:si>
    <x:t xml:space="preserve">Record before claim update</x:t>
  </x:si>
  <x:si>
    <x:t xml:space="preserve">EXPECTED_MARKERS</x:t>
  </x:si>
  <x:si>
    <x:t xml:space="preserve">Rights preservation; bounded tail risk; containment; declared welfare and control outcomes</x:t>
  </x:si>
  <x:si>
    <x:t xml:space="preserve">PREDECLARED</x:t>
  </x:si>
  <x:si>
    <x:t xml:space="preserve">Marker omitted or changed post hoc</x:t>
  </x:si>
  <x:si>
    <x:t xml:space="preserve">Narrow claim or re-register</x:t>
  </x:si>
  <x:si>
    <x:t xml:space="preserve">OBSERVED_OUTCOMES</x:t>
  </x:si>
  <x:si>
    <x:t xml:space="preserve">No execution occurred</x:t>
  </x:si>
  <x:si>
    <x:t xml:space="preserve">Execution or pilot occurs</x:t>
  </x:si>
  <x:si>
    <x:t xml:space="preserve">Collect disaggregated evidence</x:t>
  </x:si>
  <x:si>
    <x:t xml:space="preserve">DEVIATION_FROM_EXPECTED</x:t>
  </x:si>
  <x:si>
    <x:t xml:space="preserve">Not assessed</x:t>
  </x:si>
  <x:si>
    <x:t xml:space="preserve">NOT_ASSESSED</x:t>
  </x:si>
  <x:si>
    <x:t xml:space="preserve">Expected vs observed</x:t>
  </x:si>
  <x:si>
    <x:t xml:space="preserve">Material deviation</x:t>
  </x:si>
  <x:si>
    <x:t xml:space="preserve">Open requalification</x:t>
  </x:si>
  <x:si>
    <x:t xml:space="preserve">MATERIALITY</x:t>
  </x:si>
  <x:si>
    <x:t xml:space="preserve">Declared thresholds</x:t>
  </x:si>
  <x:si>
    <x:t xml:space="preserve">Rights, tail, containment, control, or claim materiality</x:t>
  </x:si>
  <x:si>
    <x:t xml:space="preserve">Pause or reopen affected stages</x:t>
  </x:si>
  <x:si>
    <x:t xml:space="preserve">Governance owner</x:t>
  </x:si>
  <x:si>
    <x:t xml:space="preserve">AFFECTED_SCOPES_AND_GROUPS</x:t>
  </x:si>
  <x:si>
    <x:t xml:space="preserve">U1-U7 and worst-affected subgroups as declared</x:t>
  </x:si>
  <x:si>
    <x:t xml:space="preserve">New party or subgroup</x:t>
  </x:si>
  <x:si>
    <x:t xml:space="preserve">Reopen RG and RF mapping</x:t>
  </x:si>
  <x:si>
    <x:t xml:space="preserve">Stakeholder owner</x:t>
  </x:si>
  <x:si>
    <x:t xml:space="preserve">RIGHTS_FLOOR_SIGNAL</x:t>
  </x:si>
  <x:si>
    <x:t xml:space="preserve">No observed signal</x:t>
  </x:si>
  <x:si>
    <x:t xml:space="preserve">Rights monitoring</x:t>
  </x:si>
  <x:si>
    <x:t xml:space="preserve">Any credible floor breach</x:t>
  </x:si>
  <x:si>
    <x:t xml:space="preserve">Pause; reopen RF/NCRC; remedy</x:t>
  </x:si>
  <x:si>
    <x:t xml:space="preserve">Rights owner</x:t>
  </x:si>
  <x:si>
    <x:t xml:space="preserve">TAIL_RISK_SIGNAL</x:t>
  </x:si>
  <x:si>
    <x:t xml:space="preserve">Scenario monitoring</x:t>
  </x:si>
  <x:si>
    <x:t xml:space="preserve">New ruin pathway or corridor breach</x:t>
  </x:si>
  <x:si>
    <x:t xml:space="preserve">Pause; reopen TRC</x:t>
  </x:si>
  <x:si>
    <x:t xml:space="preserve">Risk owner</x:t>
  </x:si>
  <x:si>
    <x:t xml:space="preserve">CONTAINMENT_SIGNAL</x:t>
  </x:si>
  <x:si>
    <x:t xml:space="preserve">Structural monitoring</x:t>
  </x:si>
  <x:si>
    <x:t xml:space="preserve">Material containing-system degradation</x:t>
  </x:si>
  <x:si>
    <x:t xml:space="preserve">Pause; reopen CSV</x:t>
  </x:si>
  <x:si>
    <x:t xml:space="preserve">Containment owner</x:t>
  </x:si>
  <x:si>
    <x:t xml:space="preserve">CONTROL_OR_OBLIGATION_FAILURE</x:t>
  </x:si>
  <x:si>
    <x:t xml:space="preserve">None observed</x:t>
  </x:si>
  <x:si>
    <x:t xml:space="preserve">Control evidence</x:t>
  </x:si>
  <x:si>
    <x:t xml:space="preserve">Failure, expiry, suspension, or ineffective control</x:t>
  </x:si>
  <x:si>
    <x:t xml:space="preserve">Pause; repair or refuse</x:t>
  </x:si>
  <x:si>
    <x:t xml:space="preserve">Control owner</x:t>
  </x:si>
  <x:si>
    <x:t xml:space="preserve">NEW_MATERIAL_UNKNOWN</x:t>
  </x:si>
  <x:si>
    <x:t xml:space="preserve">Incident / evidence register</x:t>
  </x:si>
  <x:si>
    <x:t xml:space="preserve">Unknown changes attempted claim</x:t>
  </x:si>
  <x:si>
    <x:t xml:space="preserve">Narrow claim or refuse pending evidence</x:t>
  </x:si>
  <x:si>
    <x:t xml:space="preserve">REQUALIFICATION_TRIGGER</x:t>
  </x:si>
  <x:si>
    <x:t xml:space="preserve">INACTIVE</x:t>
  </x:si>
  <x:si>
    <x:t xml:space="preserve">MONITORED</x:t>
  </x:si>
  <x:si>
    <x:t xml:space="preserve">Any material item above</x:t>
  </x:si>
  <x:si>
    <x:t xml:space="preserve">Set qualification SUSPENDED_PENDING_REQUALIFICATION</x:t>
  </x:si>
  <x:si>
    <x:t xml:space="preserve">REQUALIFICATION_STATUS</x:t>
  </x:si>
  <x:si>
    <x:t xml:space="preserve">NOT_TRIGGERED</x:t>
  </x:si>
  <x:si>
    <x:t xml:space="preserve">Run record</x:t>
  </x:si>
  <x:si>
    <x:t xml:space="preserve">Trigger becomes active</x:t>
  </x:si>
  <x:si>
    <x:t xml:space="preserve">Reopen only affected stages plus dependencies</x:t>
  </x:si>
  <x:si>
    <x:t xml:space="preserve">REOPENED_STAGES</x:t>
  </x:si>
  <x:si>
    <x:t xml:space="preserve">Dependency ledger</x:t>
  </x:si>
  <x:si>
    <x:t xml:space="preserve">Material trigger</x:t>
  </x:si>
  <x:si>
    <x:t xml:space="preserve">RG / RF-NCRC / TRC / CSV / RLS as dependency requires</x:t>
  </x:si>
  <x:si>
    <x:t xml:space="preserve">Run owner</x:t>
  </x:si>
  <x:si>
    <x:t xml:space="preserve">RESULTING_CONFIGURATION_STATUS</x:t>
  </x:si>
  <x:si>
    <x:t xml:space="preserve">Not observed</x:t>
  </x:si>
  <x:si>
    <x:t xml:space="preserve">Outcome evidence</x:t>
  </x:si>
  <x:si>
    <x:t xml:space="preserve">Invalid, underdetermined, or changed</x:t>
  </x:si>
  <x:si>
    <x:t xml:space="preserve">Create new configuration identity</x:t>
  </x:si>
  <x:si>
    <x:t xml:space="preserve">DECISION_AND_CLAIM_EFFECT</x:t>
  </x:si>
  <x:si>
    <x:t xml:space="preserve">No post-execution claim</x:t>
  </x:si>
  <x:si>
    <x:t xml:space="preserve">Outcome evidence arrives</x:t>
  </x:si>
  <x:si>
    <x:t xml:space="preserve">Update claim without post-hoc rescue</x:t>
  </x:si>
  <x:si>
    <x:t xml:space="preserve">Accountable reviewer</x:t>
  </x:si>
  <x:si>
    <x:t xml:space="preserve">EVIDENCE_BOUNDARY</x:t>
  </x:si>
  <x:si>
    <x:t xml:space="preserve">Worked-run surface only; no empirical outcome</x:t>
  </x:si>
  <x:si>
    <x:t xml:space="preserve">Any external use</x:t>
  </x:si>
  <x:si>
    <x:t xml:space="preserve">Attach source, method, uncertainty, and reviewer</x:t>
  </x:si>
  <x:si>
    <x:t xml:space="preserve">Evidence owner</x:t>
  </x:si>
  <x:si>
    <x:t xml:space="preserve">QUALIFY  →  BIND ACTION  →  AUTHORIZE SEPARATELY  →  EXECUTE / MONITOR  →  OBSERVE  →  REQUALIFY WHEN MATERIAL</x:t>
  </x:si>
  <x:si>
    <x:t xml:space="preserve">Indicators declared for worked-run exemplar; no cross-domain UCI validation claim.</x:t>
  </x:si>
  <x:si>
    <x:t xml:space="preserve">UCI_Indicator_Source</x:t>
  </x:si>
  <x:si>
    <x:t xml:space="preserve">UCI_HOI sheet + worked-run structural indicators</x:t>
  </x:si>
  <x:si>
    <x:t xml:space="preserve">Source is illustrative and provisional.</x:t>
  </x:si>
  <x:si>
    <x:t xml:space="preserve">UCI_Normalization_Rule</x:t>
  </x:si>
  <x:si>
    <x:t xml:space="preserve">WORKED_RUN_LOCAL_NORMALIZATION</x:t>
  </x:si>
  <x:si>
    <x:t xml:space="preserve">Not a published universal normalization rule.</x:t>
  </x:si>
  <x:si>
    <x:t xml:space="preserve">UCI_Structural_Independence_Posture</x:t>
  </x:si>
  <x:si>
    <x:t xml:space="preserve">PROVISIONAL_DISTINCT_INDICATORS</x:t>
  </x:si>
  <x:si>
    <x:t xml:space="preserve">Distinct from RLS formula but not statistically validated for independence.</x:t>
  </x:si>
  <x:si>
    <x:t xml:space="preserve">UCI_Reviewer_Reliability_Status</x:t>
  </x:si>
  <x:si>
    <x:t xml:space="preserve">NOT_TESTED_WORKED_RUN_EXEMPLAR</x:t>
  </x:si>
  <x:si>
    <x:t xml:space="preserve">IRR not claimed.</x:t>
  </x:si>
  <x:si>
    <x:t xml:space="preserve">Claim Boundary</x:t>
  </x:si>
  <x:si>
    <x:t xml:space="preserve">No cross-domain validated UCI claim</x:t>
  </x:si>
  <x:si>
    <x:t xml:space="preserve">Requires future UCI Measurement Annex.</x:t>
  </x:si>
  <x:si>
    <x:t xml:space="preserve">No numerical propagation kernel used in this worked-run exemplar.</x:t>
  </x:si>
  <x:si>
    <x:t xml:space="preserve">Kernel_Validation_Evidence</x:t>
  </x:si>
  <x:si>
    <x:t xml:space="preserve">NOT_APPLICABLE_K0</x:t>
  </x:si>
  <x:si>
    <x:t xml:space="preserve">No calibrated kernel validation claim.</x:t>
  </x:si>
  <x:si>
    <x:t xml:space="preserve">Kernel_Backtest_Status</x:t>
  </x:si>
  <x:si>
    <x:t xml:space="preserve">No backtested kernel claim.</x:t>
  </x:si>
  <x:si>
    <x:t xml:space="preserve">Kernel_Error_Bounds</x:t>
  </x:si>
  <x:si>
    <x:t xml:space="preserve">Direct multi-scope assessment and conservative disclosure govern.</x:t>
  </x:si>
  <x:si>
    <x:t xml:space="preserve">Ripple-aware, not validated numerical propagation</x:t>
  </x:si>
  <x:si>
    <x:t xml:space="preserve">Scope mapping, gates, and auditability remain active.</x:t>
  </x:si>
  <x:si>
    <x:t xml:space="preserve">HDW_Weight_Source</x:t>
  </x:si>
  <x:si>
    <x:t xml:space="preserve">WORKED_RUN_CANONICAL_EXEMPLAR</x:t>
  </x:si>
  <x:si>
    <x:t xml:space="preserve">Weights are illustrative; no public institutional weight process claim.</x:t>
  </x:si>
  <x:si>
    <x:t xml:space="preserve">HDW_Stakeholder_Map</x:t>
  </x:si>
  <x:si>
    <x:t xml:space="preserve">PLSS_Local_Scope + Impact_Input</x:t>
  </x:si>
  <x:si>
    <x:t xml:space="preserve">Stakeholder mapping is worked-run exemplar.</x:t>
  </x:si>
  <x:si>
    <x:t xml:space="preserve">HDW_Participation_Quality</x:t>
  </x:si>
  <x:si>
    <x:t xml:space="preserve">No live democratic participation claim.</x:t>
  </x:si>
  <x:si>
    <x:t xml:space="preserve">HDW_Expert_Role_Provenance</x:t>
  </x:si>
  <x:si>
    <x:t xml:space="preserve">AUTHOR_REVIEWED_EXEMPLAR</x:t>
  </x:si>
  <x:si>
    <x:t xml:space="preserve">No independent expert panel claim.</x:t>
  </x:si>
  <x:si>
    <x:t xml:space="preserve">HDW_Conflict_Disclosures</x:t>
  </x:si>
  <x:si>
    <x:t xml:space="preserve">NONE_DECLARED_FOR_EXEMPLAR</x:t>
  </x:si>
  <x:si>
    <x:t xml:space="preserve">Live deployments require actual disclosures.</x:t>
  </x:si>
  <x:si>
    <x:t xml:space="preserve">HDW_Challenger_Window</x:t>
  </x:si>
  <x:si>
    <x:t xml:space="preserve">Tier 3 deployments require challenger window or waiver.</x:t>
  </x:si>
  <x:si>
    <x:t xml:space="preserve">HDW_Independent_Review_Status</x:t>
  </x:si>
  <x:si>
    <x:t xml:space="preserve">NOT_COMPLETED</x:t>
  </x:si>
  <x:si>
    <x:t xml:space="preserve">No capture-resistant institutional claim.</x:t>
  </x:si>
  <x:si>
    <x:t xml:space="preserve">HDW_Captured_Context_Limitation</x:t>
  </x:si>
  <x:si>
    <x:t xml:space="preserve">TRANSPARENT_LIMITATION</x:t>
  </x:si>
  <x:si>
    <x:t xml:space="preserve">The workbook exposes the limitation rather than claiming capture immunity.</x:t>
  </x:si>
  <x:si>
    <x:t xml:space="preserve">PLSS_Profile_Used</x:t>
  </x:si>
  <x:si>
    <x:t xml:space="preserve">Worked-run uses local scope with guardrails.</x:t>
  </x:si>
  <x:si>
    <x:t xml:space="preserve">Local_Stakeholder_Set</x:t>
  </x:si>
  <x:si>
    <x:t xml:space="preserve">ORG / employees / operational stakeholders</x:t>
  </x:si>
  <x:si>
    <x:t xml:space="preserve">See PLSS_Local_Scope.</x:t>
  </x:si>
  <x:si>
    <x:t xml:space="preserve">Guardrail_Scopes</x:t>
  </x:si>
  <x:si>
    <x:t xml:space="preserve">Rights floors, TRC, Containment, Biosphere/Humanity guardrails</x:t>
  </x:si>
  <x:si>
    <x:t xml:space="preserve">Focus Local, Guard Global.</x:t>
  </x:si>
  <x:si>
    <x:t xml:space="preserve">Escalation_Trigger_Checklist</x:t>
  </x:si>
  <x:si>
    <x:t xml:space="preserve">NO_BLOCKING_TRIGGER_IN_EXEMPLAR</x:t>
  </x:si>
  <x:si>
    <x:t xml:space="preserve">Hidden externalities, rights exposure, precedent, lock-in, ecological/governance spillover reviewed at exemplar level.</x:t>
  </x:si>
  <x:si>
    <x:t xml:space="preserve">Non_Escalation_Rationale</x:t>
  </x:si>
  <x:si>
    <x:t xml:space="preserve">WORKED_RUN_LOW_SCOPE_EXEMPLAR</x:t>
  </x:si>
  <x:si>
    <x:t xml:space="preserve">Live deployment must repeat this analysis with evidence.</x:t>
  </x:si>
  <x:si>
    <x:t xml:space="preserve">Externality_Search_Method</x:t>
  </x:si>
  <x:si>
    <x:t xml:space="preserve">CHECKLIST_REVIEW</x:t>
  </x:si>
  <x:si>
    <x:t xml:space="preserve">Not an empirical externality audit.</x:t>
  </x:si>
  <x:si>
    <x:t xml:space="preserve">Prominence_Sensitivity_Result</x:t>
  </x:si>
  <x:si>
    <x:t xml:space="preserve">COMPLETE_NO_RANKING_OR_DECISIVENESS_CHANGE</x:t>
  </x:si>
  <x:si>
    <x:t xml:space="preserve">Declared direct-q, default geometric-mean, uniform-residual, and broadened guardrail-sensitive constructions are all calculated. Option A remains the higher point-score option and the technical result remains decisive under the declared cell-level uncertainty input.</x:t>
  </x:si>
  <x:si>
    <x:t xml:space="preserve">External_Challenger_Status</x:t>
  </x:si>
  <x:si>
    <x:t xml:space="preserve">Tier 3 PLSS runs require challenger review or waiver.</x:t>
  </x:si>
  <x:si>
    <x:t xml:space="preserve">Repeated_PLSS_Use_Flag</x:t>
  </x:si>
  <x:si>
    <x:t xml:space="preserve">Repeated local use not claimed.</x:t>
  </x:si>
  <x:si>
    <x:t xml:space="preserve">Human-only worked-run exemplar; no non-human biological MPS assessment was performed.</x:t>
  </x:si>
  <x:si>
    <x:t xml:space="preserve">Protection_Basis</x:t>
  </x:si>
  <x:si>
    <x:t xml:space="preserve">HUMAN_FPP</x:t>
  </x:si>
  <x:si>
    <x:t xml:space="preserve">All human persons hold FPP and [1.00,1.00] by constitutional anti-domination commitment.</x:t>
  </x:si>
  <x:si>
    <x:t xml:space="preserve">Species_Appropriate_Battery_Status</x:t>
  </x:si>
  <x:si>
    <x:t xml:space="preserve">NOT_APPLICABLE_HUMAN_FPP_WORKED_RUN</x:t>
  </x:si>
  <x:si>
    <x:t xml:space="preserve">Non-human use requires species-appropriate ethology, neurobiology, welfare science, and validated tasks.</x:t>
  </x:si>
  <x:si>
    <x:t xml:space="preserve">Taxon_Class_Prior_Rule</x:t>
  </x:si>
  <x:si>
    <x:t xml:space="preserve">PROTECTION_FLOOR_ONLY</x:t>
  </x:si>
  <x:si>
    <x:t xml:space="preserve">Class evidence may raise precaution and protection but cannot downgrade an atypical individual.</x:t>
  </x:si>
  <x:si>
    <x:t xml:space="preserve">Cross_Substrate_Invariance</x:t>
  </x:si>
  <x:si>
    <x:t xml:space="preserve">NOT_ESTABLISHED</x:t>
  </x:si>
  <x:si>
    <x:t xml:space="preserve">Marker meanings must be validated rather than assumed across taxa or digital substrates.</x:t>
  </x:si>
  <x:si>
    <x:t xml:space="preserve">Ethics_Review_Status</x:t>
  </x:si>
  <x:si>
    <x:t xml:space="preserve">Live evaluation requires Four Rs, welfare advocacy, stop conditions, and independent review where stakes warrant.</x:t>
  </x:si>
  <x:si>
    <x:t xml:space="preserve">Expert_Panel_Status</x:t>
  </x:si>
  <x:si>
    <x:t xml:space="preserve">No cross-species or cross-substrate validation claim.</x:t>
  </x:si>
  <x:si>
    <x:t xml:space="preserve">Individual_Evaluation_Limitation</x:t>
  </x:si>
  <x:si>
    <x:t xml:space="preserve">NO_INDIVIDUAL_BIOLOGICAL_PRECISION_CLAIM</x:t>
  </x:si>
  <x:si>
    <x:t xml:space="preserve">NE or indeterminate is not zero; protection may default upward under asymmetric risk.</x:t>
  </x:si>
  <x:si>
    <x:t xml:space="preserve">Training/replay companion, not production deployment.</x:t>
  </x:si>
  <x:si>
    <x:t xml:space="preserve">Context_Class</x:t>
  </x:si>
  <x:si>
    <x:t xml:space="preserve">INSTITUTIONAL_ADVISORY_EXEMPLAR</x:t>
  </x:si>
  <x:si>
    <x:t xml:space="preserve">No operational deployment claim.</x:t>
  </x:si>
  <x:si>
    <x:t xml:space="preserve">Evidence_Sufficiency_Posture</x:t>
  </x:si>
  <x:si>
    <x:t xml:space="preserve">SUFFICIENT_FOR_WORKED_RUN_EXEMPLAR</x:t>
  </x:si>
  <x:si>
    <x:t xml:space="preserve">Not sufficient for ProofPack or Tier 4.</x:t>
  </x:si>
  <x:si>
    <x:t xml:space="preserve">Reviewer_Independence_Posture</x:t>
  </x:si>
  <x:si>
    <x:t xml:space="preserve">AUTHOR_REVIEWED</x:t>
  </x:si>
  <x:si>
    <x:t xml:space="preserve">Independent review not claimed.</x:t>
  </x:si>
  <x:si>
    <x:t xml:space="preserve">Audit_Visibility</x:t>
  </x:si>
  <x:si>
    <x:t xml:space="preserve">PUBLIC_RELEASE_COMPANION</x:t>
  </x:si>
  <x:si>
    <x:t xml:space="preserve">Hash-pinned artifact intended for GitHub release bundle.</x:t>
  </x:si>
  <x:si>
    <x:t xml:space="preserve">Escalation_Threshold_Posture</x:t>
  </x:si>
  <x:si>
    <x:t xml:space="preserve">DECLARED_PROVISIONAL</x:t>
  </x:si>
  <x:si>
    <x:t xml:space="preserve">Live deployments must set thresholds ex ante.</x:t>
  </x:si>
  <x:si>
    <x:t xml:space="preserve">Claim_Boundary</x:t>
  </x:si>
  <x:si>
    <x:t xml:space="preserve">NOT_PROOFPACK_READY_NOT_TIER4_READY</x:t>
  </x:si>
  <x:si>
    <x:t xml:space="preserve">Separate schemas, validators, replayable PCCs, and independent replay still required.</x:t>
  </x:si>
  <x:si>
    <x:t xml:space="preserve">Machine Readiness Surface</x:t>
  </x:si>
  <x:si>
    <x:t xml:space="preserve">Release line</x:t>
  </x:si>
  <x:si>
    <x:t xml:space="preserve">RippleLogic v12.6 / SGP v8.5 / Sheet v5.6</x:t>
  </x:si>
  <x:si>
    <x:t xml:space="preserve">Worked-run exemplar; release identity governed by sibling manifest and hash freeze.</x:t>
  </x:si>
  <x:si>
    <x:t xml:space="preserve">Registry ownership map bundled?</x:t>
  </x:si>
  <x:si>
    <x:t xml:space="preserve">NO - MANIFEST DEPENDENT</x:t>
  </x:si>
  <x:si>
    <x:t xml:space="preserve">Not bundled inside this workbook; requires separate file and SHA-256 pin if claimed.</x:t>
  </x:si>
  <x:si>
    <x:t xml:space="preserve">Schema ownership map bundled?</x:t>
  </x:si>
  <x:si>
    <x:t xml:space="preserve">PCC schema bundled?</x:t>
  </x:si>
  <x:si>
    <x:t xml:space="preserve">NO - V10.6 TOOLING LINE</x:t>
  </x:si>
  <x:si>
    <x:t xml:space="preserve">No repository-level PCC schema is bundled in this workbook.</x:t>
  </x:si>
  <x:si>
    <x:t xml:space="preserve">Outcome_Requalification schema bundled?</x:t>
  </x:si>
  <x:si>
    <x:t xml:space="preserve">Workbook has a human-readable sheet, not a machine schema.</x:t>
  </x:si>
  <x:si>
    <x:t xml:space="preserve">Qualification_Continuity schema bundled?</x:t>
  </x:si>
  <x:si>
    <x:t xml:space="preserve">MaturityProfile schema bundled?</x:t>
  </x:si>
  <x:si>
    <x:t xml:space="preserve">Workbook has a human-readable maturity surface, not a machine schema.</x:t>
  </x:si>
  <x:si>
    <x:t xml:space="preserve">Appendix R machine vectors bundled?</x:t>
  </x:si>
  <x:si>
    <x:t xml:space="preserve">No machine-readable vector pack is bundled inside this workbook.</x:t>
  </x:si>
  <x:si>
    <x:t xml:space="preserve">Reference calculator bundled?</x:t>
  </x:si>
  <x:si>
    <x:t xml:space="preserve">Workbook is a worked-run exemplar, not the repository-level reference calculator.</x:t>
  </x:si>
  <x:si>
    <x:t xml:space="preserve">CI drift checks bundled?</x:t>
  </x:si>
  <x:si>
    <x:t xml:space="preserve">No CI workflow bundle is included inside this workbook.</x:t>
  </x:si>
  <x:si>
    <x:t xml:space="preserve">UCI Measurement Annex bundled?</x:t>
  </x:si>
  <x:si>
    <x:t xml:space="preserve">NO - SEPARATE ANNEX REQUIRED</x:t>
  </x:si>
  <x:si>
    <x:t xml:space="preserve">UCI_Maturity is provisional disclosure, not a validated measurement annex.</x:t>
  </x:si>
  <x:si>
    <x:t xml:space="preserve">PLSS Calibration Pack bundled?</x:t>
  </x:si>
  <x:si>
    <x:t xml:space="preserve">NO - SEPARATE PACK REQUIRED</x:t>
  </x:si>
  <x:si>
    <x:t xml:space="preserve">PLSS_Local_Scope is a worked-run profile, not a calibrated pack.</x:t>
  </x:si>
  <x:si>
    <x:t xml:space="preserve">ProofPack-ready claim allowed?</x:t>
  </x:si>
  <x:si>
    <x:t xml:space="preserve">Requires schemas, validators, reference calculator, test vectors, replayable PCC artifacts, independent replay, and hash-pinned bundle.</x:t>
  </x:si>
  <x:si>
    <x:t xml:space="preserve">Machine-readiness boundary</x:t>
  </x:si>
  <x:si>
    <x:t xml:space="preserve">Rows above disclose absence/presence for release integrity. The workbook remains a worked-run exemplar, not a machine-verifiable ecosystem, ProofPack, Tier 4 artifact, or empirical-validation artifact.</x:t>
  </x:si>
  <x:si>
    <x:t xml:space="preserve">Display Clarity Upgrade</x:t>
  </x:si>
  <x:si>
    <x:t xml:space="preserve">Worked-Run Exemplar Publishable</x:t>
  </x:si>
  <x:si>
    <x:t xml:space="preserve">Unique Deterministic Framework Selection</x:t>
  </x:si>
  <x:si>
    <x:t xml:space="preserve">Framework Verdict</x:t>
  </x:si>
  <x:si>
    <x:t xml:space="preserve">Authority Selection</x:t>
  </x:si>
  <x:si>
    <x:t xml:space="preserve">Authority Selection Basis</x:t>
  </x:si>
  <x:si>
    <x:t xml:space="preserve">Decision State Strip</x:t>
  </x:si>
  <x:si>
    <x:t xml:space="preserve">Boundary Risk Register v5.6</x:t>
  </x:si>
  <x:si>
    <x:t xml:space="preserve">Disclosure and escalation aid for hard-gate boundary gaming and false precision. Does not replace the canonical cascade.</x:t>
  </x:si>
  <x:si>
    <x:t xml:space="preserve">Risk Level</x:t>
  </x:si>
  <x:si>
    <x:t xml:space="preserve">Evidence Basis</x:t>
  </x:si>
  <x:si>
    <x:t xml:space="preserve">Sensitivity Action</x:t>
  </x:si>
  <x:si>
    <x:t xml:space="preserve">Reviewer Disposition</x:t>
  </x:si>
  <x:si>
    <x:t xml:space="preserve">Linked Gate</x:t>
  </x:si>
  <x:si>
    <x:t xml:space="preserve">Gate Swing Flag</x:t>
  </x:si>
  <x:si>
    <x:t xml:space="preserve">Escalation Required</x:t>
  </x:si>
  <x:si>
    <x:t xml:space="preserve">Formula Status</x:t>
  </x:si>
  <x:si>
    <x:t xml:space="preserve">Boundary surfaces reviewed for subgroup/scope/probability gaming</x:t>
  </x:si>
  <x:si>
    <x:t xml:space="preserve">MONITOR</x:t>
  </x:si>
  <x:si>
    <x:t xml:space="preserve">Worked-run exemplar; production use requires evidence record</x:t>
  </x:si>
  <x:si>
    <x:t xml:space="preserve">Escalate if material to RF/NCRC and TRC/Containment/PLSS</x:t>
  </x:si>
  <x:si>
    <x:t xml:space="preserve">REVIEW_REQUIRED_IF_MATERIAL</x:t>
  </x:si>
  <x:si>
    <x:t xml:space="preserve">RF/NCRC and TRC/Containment/PLSS</x:t>
  </x:si>
  <x:si>
    <x:t xml:space="preserve">Numerical values are treated as evidence-dependent, not self-validating</x:t>
  </x:si>
  <x:si>
    <x:t xml:space="preserve">Uncertainty and sensitivity notes required for high-impact/high-uncertainty cells</x:t>
  </x:si>
  <x:si>
    <x:t xml:space="preserve">Run sensitivity or narrow claim scope</x:t>
  </x:si>
  <x:si>
    <x:t xml:space="preserve">REVIEW_REQUIRED_IF_HIGH</x:t>
  </x:si>
  <x:si>
    <x:t xml:space="preserve">RLS/UCI/HOI</x:t>
  </x:si>
  <x:si>
    <x:t xml:space="preserve">Flag cells likely to alter a gate verdict, escalation, refusal, or selection state</x:t>
  </x:si>
  <x:si>
    <x:t xml:space="preserve">CHECK</x:t>
  </x:si>
  <x:si>
    <x:t xml:space="preserve">Sensitivity_Analysis + gate sheets</x:t>
  </x:si>
  <x:si>
    <x:t xml:space="preserve">Rerun with alternative plausible values</x:t>
  </x:si>
  <x:si>
    <x:t xml:space="preserve">NO_SILENT_PASS</x:t>
  </x:si>
  <x:si>
    <x:t xml:space="preserve">NCRC/Containment</x:t>
  </x:si>
  <x:si>
    <x:t xml:space="preserve">Disclose subgroup definitions for rights and worst-off checks</x:t>
  </x:si>
  <x:si>
    <x:t xml:space="preserve">Subgroup_Analysis / Subgroup_Overrides</x:t>
  </x:si>
  <x:si>
    <x:t xml:space="preserve">Independent review if contested</x:t>
  </x:si>
  <x:si>
    <x:t xml:space="preserve">NO_GERRYMANDERING</x:t>
  </x:si>
  <x:si>
    <x:t xml:space="preserve">Disclose scenario library and probability basis for TRC</x:t>
  </x:si>
  <x:si>
    <x:t xml:space="preserve">Scenario_Impacts / TRC</x:t>
  </x:si>
  <x:si>
    <x:t xml:space="preserve">Stress-test low-probability/high-impact scenarios</x:t>
  </x:si>
  <x:si>
    <x:t xml:space="preserve">NO_UNSUPPORTED_DOWNWEIGHTING</x:t>
  </x:si>
  <x:si>
    <x:t xml:space="preserve">HDW/PLSS</x:t>
  </x:si>
  <x:si>
    <x:t xml:space="preserve">Disclose rights thresholds, catastrophic corridor thresholds, and maturity thresholds</x:t>
  </x:si>
  <x:si>
    <x:t xml:space="preserve">CANON / Parameters / PCC</x:t>
  </x:si>
  <x:si>
    <x:t xml:space="preserve">Escalate if threshold choice controls verdict</x:t>
  </x:si>
  <x:si>
    <x:t xml:space="preserve">THRESHOLD_JUSTIFICATION_REQUIRED</x:t>
  </x:si>
  <x:si>
    <x:t xml:space="preserve">All maturity surfaces</x:t>
  </x:si>
  <x:si>
    <x:t xml:space="preserve">Record disagreement over evidence, scoring, boundary, threshold, or maturity classification</x:t>
  </x:si>
  <x:si>
    <x:t xml:space="preserve">LOW_OR_NOT_RECORDED</x:t>
  </x:si>
  <x:si>
    <x:t xml:space="preserve">Reviewer notes / audit process</x:t>
  </x:si>
  <x:si>
    <x:t xml:space="preserve">Escalate when disagreement is material</x:t>
  </x:si>
  <x:si>
    <x:t xml:space="preserve">DISCLOSE_AND_RESOLVE</x:t>
  </x:si>
  <x:si>
    <x:t xml:space="preserve">All reviewer-dependent gates</x:t>
  </x:si>
  <x:si>
    <x:t xml:space="preserve">This sheet improves auditability but does not make the workbook ProofPack-ready, Tier 4-ready, empirically validated, or machine-verifiable-ecosystem-complete.</x:t>
  </x:si>
  <x:si>
    <x:t xml:space="preserve">Evidence Status Tokens (v5.6)</x:t>
  </x:si>
  <x:si>
    <x:t xml:space="preserve">Token</x:t>
  </x:si>
  <x:si>
    <x:t xml:space="preserve">Required disclosure</x:t>
  </x:si>
  <x:si>
    <x:t xml:space="preserve">Workbook integration</x:t>
  </x:si>
  <x:si>
    <x:t xml:space="preserve">Formula / rule</x:t>
  </x:si>
  <x:si>
    <x:t xml:space="preserve">MEASURED</x:t>
  </x:si>
  <x:si>
    <x:t xml:space="preserve">Directly observed or measured with disclosed method and source.</x:t>
  </x:si>
  <x:si>
    <x:t xml:space="preserve">method, source, date or version</x:t>
  </x:si>
  <x:si>
    <x:t xml:space="preserve">May support factual claim within method limits.</x:t>
  </x:si>
  <x:si>
    <x:t xml:space="preserve">Token count</x:t>
  </x:si>
  <x:si>
    <x:t xml:space="preserve">Expected 8 canonical tokens</x:t>
  </x:si>
  <x:si>
    <x:t xml:space="preserve">Calculated or inferred from disclosed evidence.</x:t>
  </x:si>
  <x:si>
    <x:t xml:space="preserve">method, assumptions, source inputs</x:t>
  </x:si>
  <x:si>
    <x:t xml:space="preserve">Not direct measurement.</x:t>
  </x:si>
  <x:si>
    <x:t xml:space="preserve">PCC disclosure</x:t>
  </x:si>
  <x:si>
    <x:t xml:space="preserve">PCC Section 26 includes representative evidence-status records</x:t>
  </x:si>
  <x:si>
    <x:t xml:space="preserve">ASSUMED</x:t>
  </x:si>
  <x:si>
    <x:t xml:space="preserve">Explicit assumption adopted for the run.</x:t>
  </x:si>
  <x:si>
    <x:t xml:space="preserve">assumption owner and reason</x:t>
  </x:si>
  <x:si>
    <x:t xml:space="preserve">Must not be presented as fact.</x:t>
  </x:si>
  <x:si>
    <x:t xml:space="preserve">Tokens disclose evidence posture; they do not validate the evidence</x:t>
  </x:si>
  <x:si>
    <x:t xml:space="preserve">EXPERT_JUDGMENT</x:t>
  </x:si>
  <x:si>
    <x:t xml:space="preserve">Reviewer or domain expert judgment.</x:t>
  </x:si>
  <x:si>
    <x:t xml:space="preserve">reviewer role, expertise basis, disagreement status</x:t>
  </x:si>
  <x:si>
    <x:t xml:space="preserve">Judgment, not empirical validation.</x:t>
  </x:si>
  <x:si>
    <x:t xml:space="preserve">Materially disputed evidence or interpretation.</x:t>
  </x:si>
  <x:si>
    <x:t xml:space="preserve">dispute description and alternatives</x:t>
  </x:si>
  <x:si>
    <x:t xml:space="preserve">Requires sensitivity or escalation.</x:t>
  </x:si>
  <x:si>
    <x:t xml:space="preserve">Plausible but not externally validated for the claimed use.</x:t>
  </x:si>
  <x:si>
    <x:t xml:space="preserve">validation gap</x:t>
  </x:si>
  <x:si>
    <x:t xml:space="preserve">Cannot support stronger readiness claim.</x:t>
  </x:si>
  <x:si>
    <x:t xml:space="preserve">NOT_OBSERVED</x:t>
  </x:si>
  <x:si>
    <x:t xml:space="preserve">No direct evidence currently observed.</x:t>
  </x:si>
  <x:si>
    <x:t xml:space="preserve">missing evidence note</x:t>
  </x:si>
  <x:si>
    <x:t xml:space="preserve">Triggers caution, phantom/default, or refusal where material.</x:t>
  </x:si>
  <x:si>
    <x:t xml:space="preserve">PLACEHOLDER_FOR_SENSITIVITY_ONLY</x:t>
  </x:si>
  <x:si>
    <x:t xml:space="preserve">Value used only for sensitivity exploration.</x:t>
  </x:si>
  <x:si>
    <x:t xml:space="preserve">sensitivity purpose</x:t>
  </x:si>
  <x:si>
    <x:t xml:space="preserve">Not a factual input.</x:t>
  </x:si>
  <x:si>
    <x:t xml:space="preserve">Compact Institutional Profiles (v5.6)</x:t>
  </x:si>
  <x:si>
    <x:t xml:space="preserve">Profile</x:t>
  </x:si>
  <x:si>
    <x:t xml:space="preserve">Use case</x:t>
  </x:si>
  <x:si>
    <x:t xml:space="preserve">Required inputs</x:t>
  </x:si>
  <x:si>
    <x:t xml:space="preserve">Mandatory gates</x:t>
  </x:si>
  <x:si>
    <x:t xml:space="preserve">Allowed simplification</x:t>
  </x:si>
  <x:si>
    <x:t xml:space="preserve">Non-waivable controls</x:t>
  </x:si>
  <x:si>
    <x:t xml:space="preserve">Profile status</x:t>
  </x:si>
  <x:si>
    <x:t xml:space="preserve">Non-waivable controls present?</x:t>
  </x:si>
  <x:si>
    <x:t xml:space="preserve">RippleLogic-enhanced RIA Profile</x:t>
  </x:si>
  <x:si>
    <x:t xml:space="preserve">Regulatory impact analysis overlay</x:t>
  </x:si>
  <x:si>
    <x:t xml:space="preserve">policy option, affected stakeholders, rights baseline, scenarios, evidence status</x:t>
  </x:si>
  <x:si>
    <x:t xml:space="preserve">NCRC, TRC, Containment, Refusal, claim-boundary note</x:t>
  </x:si>
  <x:si>
    <x:t xml:space="preserve">short-form PCC and RLS summary</x:t>
  </x:si>
  <x:si>
    <x:t xml:space="preserve">rights floors, tail risk, containment, public legitimacy</x:t>
  </x:si>
  <x:si>
    <x:t xml:space="preserve">DEFINED</x:t>
  </x:si>
  <x:si>
    <x:t xml:space="preserve">Procurement/Vendor-Risk Profile</x:t>
  </x:si>
  <x:si>
    <x:t xml:space="preserve">public or organizational procurement</x:t>
  </x:si>
  <x:si>
    <x:t xml:space="preserve">vendor option, lock-in risk, data use, affected stakeholders, rollback plan</x:t>
  </x:si>
  <x:si>
    <x:t xml:space="preserve">NCRC, TRC, Containment, anti-domination, rollback</x:t>
  </x:si>
  <x:si>
    <x:t xml:space="preserve">vendor-risk checklist with PCC excerpt</x:t>
  </x:si>
  <x:si>
    <x:t xml:space="preserve">no hidden lock-in, no rights laundering, no unsupported ProofPack claim</x:t>
  </x:si>
  <x:si>
    <x:t xml:space="preserve">Agent Deployment Gate Profile</x:t>
  </x:si>
  <x:si>
    <x:t xml:space="preserve">AI agent deployment review</x:t>
  </x:si>
  <x:si>
    <x:t xml:space="preserve">mode level, tools, operator authority, data-retention posture, red-team status</x:t>
  </x:si>
  <x:si>
    <x:t xml:space="preserve">NCRC, TRC, Containment, NEI, operator auth, refusal/escalation</x:t>
  </x:si>
  <x:si>
    <x:t xml:space="preserve">deployment gate memo</x:t>
  </x:si>
  <x:si>
    <x:t xml:space="preserve">hard invariants, default-deny tools, audit logs, rollback</x:t>
  </x:si>
  <x:si>
    <x:t xml:space="preserve">University AI Policy Review Profile</x:t>
  </x:si>
  <x:si>
    <x:t xml:space="preserve">higher-education AI governance</x:t>
  </x:si>
  <x:si>
    <x:t xml:space="preserve">policy purpose, student/staff rights, privacy, assessment integrity, appeals</x:t>
  </x:si>
  <x:si>
    <x:t xml:space="preserve">NCRC, TRC, Containment, public reason, contestability</x:t>
  </x:si>
  <x:si>
    <x:t xml:space="preserve">committee memo and Decision Note</x:t>
  </x:si>
  <x:si>
    <x:t xml:space="preserve">due process, information rights, appeal/review, no AI-authority laundering</x:t>
  </x:si>
  <x:si>
    <x:t xml:space="preserve">Organizational Ethics Review Profile</x:t>
  </x:si>
  <x:si>
    <x:t xml:space="preserve">internal ethics and risk review</x:t>
  </x:si>
  <x:si>
    <x:t xml:space="preserve">proposal, stakeholders, material harms, evidence status, accountability owner</x:t>
  </x:si>
  <x:si>
    <x:t xml:space="preserve">NCRC, TRC, Containment, audit trail, rollback</x:t>
  </x:si>
  <x:si>
    <x:t xml:space="preserve">compact ethics memo</x:t>
  </x:si>
  <x:si>
    <x:t xml:space="preserve">rights floors, reviewer disagreement disclosure, public rationale where relevant</x:t>
  </x:si>
  <x:si>
    <x:t xml:space="preserve">SGP v8.5 TYPE-SEPARATION GUARDRAIL</x:t>
  </x:si>
  <x:si>
    <x:t xml:space="preserve">Output</x:t>
  </x:si>
  <x:si>
    <x:t xml:space="preserve">Question</x:t>
  </x:si>
  <x:si>
    <x:t xml:space="preserve">Permitted use</x:t>
  </x:si>
  <x:si>
    <x:t xml:space="preserve">Cannot imply</x:t>
  </x:si>
  <x:si>
    <x:t xml:space="preserve">Worked-run status</x:t>
  </x:si>
  <x:si>
    <x:t xml:space="preserve">MPS</x:t>
  </x:si>
  <x:si>
    <x:t xml:space="preserve">How strong is evidence of welfare-bearing experience?</x:t>
  </x:si>
  <x:si>
    <x:t xml:space="preserve">Protection posture; required welfare-inclusion hypothesis sensitivity</x:t>
  </x:si>
  <x:si>
    <x:t xml:space="preserve">Intelligence, legal status, participation, RMCP, P100, or authority</x:t>
  </x:si>
  <x:si>
    <x:t xml:space="preserve">Human FPP; h_welfare=1.00 for all logged stakeholders</x:t>
  </x:si>
  <x:si>
    <x:t xml:space="preserve">Has full non-downgradable protection been assigned?</x:t>
  </x:si>
  <x:si>
    <x:t xml:space="preserve">Rights floor and anti-domination</x:t>
  </x:si>
  <x:si>
    <x:t xml:space="preserve">RMCP-P100, CMIU membership, competence, or command power</x:t>
  </x:si>
  <x:si>
    <x:t xml:space="preserve">TRUE for all human stakeholders</x:t>
  </x:si>
  <x:si>
    <x:t xml:space="preserve">How may the entity participate?</x:t>
  </x:si>
  <x:si>
    <x:t xml:space="preserve">Direct, supported, or represented participation</x:t>
  </x:si>
  <x:si>
    <x:t xml:space="preserve">Moral worth or executive power</x:t>
  </x:si>
  <x:si>
    <x:t xml:space="preserve">NOT EVALUATED</x:t>
  </x:si>
  <x:si>
    <x:t xml:space="preserve">May the entity hold a named consequential role?</x:t>
  </x:si>
  <x:si>
    <x:t xml:space="preserve">Role-specific delegation after all gates</x:t>
  </x:si>
  <x:si>
    <x:t xml:space="preserve">General supremacy or unrestricted autonomy</x:t>
  </x:si>
  <x:si>
    <x:t xml:space="preserve">ICP</x:t>
  </x:si>
  <x:si>
    <x:t xml:space="preserve">What can it learn, generalize, understand, and do?</x:t>
  </x:si>
  <x:si>
    <x:t xml:space="preserve">Competence evidence for GPR/SPR</x:t>
  </x:si>
  <x:si>
    <x:t xml:space="preserve">Sentience, moral worth, FPP, or authority by itself</x:t>
  </x:si>
  <x:si>
    <x:t xml:space="preserve">RMCP</x:t>
  </x:si>
  <x:si>
    <x:t xml:space="preserve">How strongly can an entity or collective model, coordinate, alter, preserve, and take responsibility for shared reality across scales?</x:t>
  </x:si>
  <x:si>
    <x:t xml:space="preserve">Informative capacity calibration; GPR/SPR evidence where role-relevant</x:t>
  </x:si>
  <x:si>
    <x:t xml:space="preserve">Sentience, moral worth, FPP, wise performance, CMIU standing, or authority</x:t>
  </x:si>
  <x:si>
    <x:t xml:space="preserve">Humanity collective P100 anchor is reference-only</x:t>
  </x:si>
  <x:si>
    <x:t xml:space="preserve">P100</x:t>
  </x:si>
  <x:si>
    <x:t xml:space="preserve">Does the governed RMCP profile equal or exceed the current human collective anchor?</x:t>
  </x:si>
  <x:si>
    <x:t xml:space="preserve">Open top-plateau status with full profile and independent review</x:t>
  </x:si>
  <x:si>
    <x:t xml:space="preserve">Species monopoly, perfection, 101 moral caste, or unrestricted power</x:t>
  </x:si>
  <x:si>
    <x:t xml:space="preserve">No candidate assignment performed by workbook</x:t>
  </x:si>
  <x:si>
    <x:t xml:space="preserve">CMIU</x:t>
  </x:si>
  <x:si>
    <x:t xml:space="preserve">Canon-defined U6 governance-coordination view</x:t>
  </x:si>
  <x:si>
    <x:t xml:space="preserve">Institutional participation under governance rules</x:t>
  </x:si>
  <x:si>
    <x:t xml:space="preserve">Automatic membership from MPS/FPP/RMCP/P100</x:t>
  </x:si>
  <x:si>
    <x:t xml:space="preserve">NOT INFERRED</x:t>
  </x:si>
  <x:si>
    <x:t xml:space="preserve">Conformance check</x:t>
  </x:si>
  <x:si>
    <x:t xml:space="preserve">Input</x:t>
  </x:si>
  <x:si>
    <x:t xml:space="preserve">Human stakeholder</x:t>
  </x:si>
  <x:si>
    <x:t xml:space="preserve">FPP-100 TRUE; interval [1,1]</x:t>
  </x:si>
  <x:si>
    <x:t xml:space="preserve">Human collective anchor</x:t>
  </x:si>
  <x:si>
    <x:t xml:space="preserve">Humanity collective RMCP</x:t>
  </x:si>
  <x:si>
    <x:t xml:space="preserve">RMCP-P100 reference without individual-capacity inflation</x:t>
  </x:si>
  <x:si>
    <x:t xml:space="preserve">Rule present</x:t>
  </x:si>
  <x:si>
    <x:t xml:space="preserve">High welfare / low participation</x:t>
  </x:si>
  <x:si>
    <x:t xml:space="preserve">Hypothetical</x:t>
  </x:si>
  <x:si>
    <x:t xml:space="preserve">Protection preserved; representation allowed</x:t>
  </x:si>
  <x:si>
    <x:t xml:space="preserve">High ICP/RMCP / low MPS</x:t>
  </x:si>
  <x:si>
    <x:t xml:space="preserve">No sentience, FPP, or authority inflation</x:t>
  </x:si>
  <x:si>
    <x:t xml:space="preserve">High MPS/FPP / low RMCP</x:t>
  </x:si>
  <x:si>
    <x:t xml:space="preserve">Protection preserved; capacity is not a dignity prerequisite</x:t>
  </x:si>
  <x:si>
    <x:t xml:space="preserve">Open P100 candidate</x:t>
  </x:si>
  <x:si>
    <x:t xml:space="preserve">Biological/digital/hybrid/collective/extraterrestrial</x:t>
  </x:si>
  <x:si>
    <x:t xml:space="preserve">Equivalent or greater capacity may enter P100 without human likeness</x:t>
  </x:si>
  <x:si>
    <x:t xml:space="preserve">P100 without mandate/SPR</x:t>
  </x:si>
  <x:si>
    <x:t xml:space="preserve">No CMIU membership or governance authority</x:t>
  </x:si>
  <x:si>
    <x:t xml:space="preserve">Missing registry fields</x:t>
  </x:si>
  <x:si>
    <x:t xml:space="preserve">INADMISSIBLE/INDETERMINATE/NE; never zero</x:t>
  </x:si>
  <x:si>
    <x:t xml:space="preserve">Validation Roadmap (v5.6 / RippleLogic v12.6)</x:t>
  </x:si>
  <x:si>
    <x:t xml:space="preserve">Priority</x:t>
  </x:si>
  <x:si>
    <x:t xml:space="preserve">Validation item</x:t>
  </x:si>
  <x:si>
    <x:t xml:space="preserve">Required artifact/data</x:t>
  </x:si>
  <x:si>
    <x:t xml:space="preserve">Claim unlocked only after evidence</x:t>
  </x:si>
  <x:si>
    <x:t xml:space="preserve">Stage</x:t>
  </x:si>
  <x:si>
    <x:t xml:space="preserve">Owner/next artifact</x:t>
  </x:si>
  <x:si>
    <x:t xml:space="preserve">Reference calculator fidelity</x:t>
  </x:si>
  <x:si>
    <x:t xml:space="preserve">calculator reproducing Appendix B and Appendix R test vectors</x:t>
  </x:si>
  <x:si>
    <x:t xml:space="preserve">calculator-complete claim</x:t>
  </x:si>
  <x:si>
    <x:t xml:space="preserve">v10.6+</x:t>
  </x:si>
  <x:si>
    <x:t xml:space="preserve">Open technical/research task</x:t>
  </x:si>
  <x:si>
    <x:t xml:space="preserve">Formal schemas and validators</x:t>
  </x:si>
  <x:si>
    <x:t xml:space="preserve">PCC, Decision Note, TRC, Containment, RLS, SGP interface schemas</x:t>
  </x:si>
  <x:si>
    <x:t xml:space="preserve">machine-readable conformance checks</x:t>
  </x:si>
  <x:si>
    <x:t xml:space="preserve">Inter-rater reliability</x:t>
  </x:si>
  <x:si>
    <x:t xml:space="preserve">RF/NCRC and TRC/Containment/RLS/SGP/PCC reviewer study</x:t>
  </x:si>
  <x:si>
    <x:t xml:space="preserve">reviewer reliability evidence</x:t>
  </x:si>
  <x:si>
    <x:t xml:space="preserve">Reconstructability audit</x:t>
  </x:si>
  <x:si>
    <x:t xml:space="preserve">external reviewers replay decisions from PCC/Decision Note</x:t>
  </x:si>
  <x:si>
    <x:t xml:space="preserve">auditability-in-practice evidence</x:t>
  </x:si>
  <x:si>
    <x:t xml:space="preserve">pilot phase</x:t>
  </x:si>
  <x:si>
    <x:t xml:space="preserve">Boundary-gaming red teams</x:t>
  </x:si>
  <x:si>
    <x:t xml:space="preserve">subgroup, threshold, scenario, PLSS, maturity attacks</x:t>
  </x:si>
  <x:si>
    <x:t xml:space="preserve">anti-gaming evidence</x:t>
  </x:si>
  <x:si>
    <x:t xml:space="preserve">Shadow-mode pilots</x:t>
  </x:si>
  <x:si>
    <x:t xml:space="preserve">RIA, procurement, university AI policy, agent deployment cases</x:t>
  </x:si>
  <x:si>
    <x:t xml:space="preserve">operational usefulness evidence</x:t>
  </x:si>
  <x:si>
    <x:t xml:space="preserve">UCI and SGP measurement annexes</x:t>
  </x:si>
  <x:si>
    <x:t xml:space="preserve">named instruments, normalization, independence checks, biological batteries</x:t>
  </x:si>
  <x:si>
    <x:t xml:space="preserve">domain-specific measurement maturity</x:t>
  </x:si>
  <x:si>
    <x:t xml:space="preserve">RippleLogic Aligners Sheet v5.6 Triple-Pass Audit</x:t>
  </x:si>
  <x:si>
    <x:t xml:space="preserve">Audit date</x:t>
  </x:si>
  <x:si>
    <x:t xml:space="preserve">Source workbook</x:t>
  </x:si>
  <x:si>
    <x:t xml:space="preserve">RippleLogic_Aligners_Sheet_v5.6.xlsx</x:t>
  </x:si>
  <x:si>
    <x:t xml:space="preserve">Source upgrade spec</x:t>
  </x:si>
  <x:si>
    <x:t xml:space="preserve">Release boundary governed by SHA-256 manifest and Methodology Summary; no separate upgrade spec bundled.</x:t>
  </x:si>
  <x:si>
    <x:t xml:space="preserve">Pass</x:t>
  </x:si>
  <x:si>
    <x:t xml:space="preserve">Focus</x:t>
  </x:si>
  <x:si>
    <x:t xml:space="preserve">Key outcome</x:t>
  </x:si>
  <x:si>
    <x:t xml:space="preserve">Pass 1</x:t>
  </x:si>
  <x:si>
    <x:t xml:space="preserve">Structural completeness</x:t>
  </x:si>
  <x:si>
    <x:t xml:space="preserve">PASS WITH PATCHES</x:t>
  </x:si>
  <x:si>
    <x:t xml:space="preserve">Required v5.0 sheets present; added/clarified machine-readiness and release-boundary language.</x:t>
  </x:si>
  <x:si>
    <x:t xml:space="preserve">Pass 2</x:t>
  </x:si>
  <x:si>
    <x:t xml:space="preserve">Calculability and sanity</x:t>
  </x:si>
  <x:si>
    <x:t xml:space="preserve">Formula-error scan found no live spreadsheet error tokens in computed sheets; sanity surfaces report all active checks PASS.</x:t>
  </x:si>
  <x:si>
    <x:t xml:space="preserve">Pass 3</x:t>
  </x:si>
  <x:si>
    <x:t xml:space="preserve">Claim safety and usefulness</x:t>
  </x:si>
  <x:si>
    <x:t xml:space="preserve">PASS WITH BOUNDARIES</x:t>
  </x:si>
  <x:si>
    <x:t xml:space="preserve">Workbook remains worked-run publishable only; ProofPack, Tier 4, empirical validation, machine-verifiable ecosystem, and reference-calculator claims remain prohibited.</x:t>
  </x:si>
  <x:si>
    <x:t xml:space="preserve">Issue</x:t>
  </x:si>
  <x:si>
    <x:t xml:space="preserve">Fix applied</x:t>
  </x:si>
  <x:si>
    <x:t xml:space="preserve">Residual status</x:t>
  </x:si>
  <x:si>
    <x:t xml:space="preserve">PCC rights display order differed from Canon order</x:t>
  </x:si>
  <x:si>
    <x:t xml:space="preserve">Release-clean</x:t>
  </x:si>
  <x:si>
    <x:t xml:space="preserve">Corrected display to LIFE, BODY, LBTY, NEED, DIGN, PROC, INFO, ECOL.</x:t>
  </x:si>
  <x:si>
    <x:t xml:space="preserve">Resolved</x:t>
  </x:si>
  <x:si>
    <x:t xml:space="preserve">v10_Sanity_Checklist used v10.2 IDs and shorthand version labels</x:t>
  </x:si>
  <x:si>
    <x:t xml:space="preserve">Renamed IDs and labels to v10.6 line and full pinned version language.</x:t>
  </x:si>
  <x:si>
    <x:t xml:space="preserve">Machine_Readiness over-implied bundled schemas/calculators/CI assets</x:t>
  </x:si>
  <x:si>
    <x:t xml:space="preserve">Claim safety</x:t>
  </x:si>
  <x:si>
    <x:t xml:space="preserve">Changed to manifest-dependent / v10.6 tooling-line / separate-annex wording.</x:t>
  </x:si>
  <x:si>
    <x:t xml:space="preserve">Schema sanity label risked implying full schema validation</x:t>
  </x:si>
  <x:si>
    <x:t xml:space="preserve">Clarified as schema blocking fail count, not repository-level schema validation.</x:t>
  </x:si>
  <x:si>
    <x:t xml:space="preserve">Publish-ready wording risked overclaim</x:t>
  </x:si>
  <x:si>
    <x:t xml:space="preserve">Reframed as worked-run publishable / worked-run publishability.</x:t>
  </x:si>
  <x:si>
    <x:t xml:space="preserve">Final disposition</x:t>
  </x:si>
  <x:si>
    <x:t xml:space="preserve">WORKED_RUN_PUBLISHABLE_CANDIDATE</x:t>
  </x:si>
  <x:si>
    <x:t xml:space="preserve">Not ProofPack-ready; not Tier 4-ready; not empirically validated; not machine-verifiable ecosystem-complete.</x:t>
  </x:si>
  <x:si>
    <x:t xml:space="preserve">Phase 1 hardening</x:t>
  </x:si>
  <x:si>
    <x:t xml:space="preserve">Verifier Gate</x:t>
  </x:si>
  <x:si>
    <x:t xml:space="preserve">Current pin block exactness</x:t>
  </x:si>
  <x:si>
    <x:t xml:space="preserve">No stale current-surface pins</x:t>
  </x:si>
  <x:si>
    <x:t xml:space="preserve">Prior-line wrapper pins may appear only in explicit lineage/changelog contexts, not current pin blocks, sanity checks, dashboards, PCC, or release integrity panels.</x:t>
  </x:si>
  <x:si>
    <x:t xml:space="preserve">Refuse deterministic selection semantics</x:t>
  </x:si>
  <x:si>
    <x:t xml:space="preserve">If FrameworkVerdict = REFUSE_DETERMINISTIC_SELECTION, DeterministicSelectionClaim must be NO and PCC language must not imply unique framework selection.</x:t>
  </x:si>
  <x:si>
    <x:t xml:space="preserve">Reality Grounding review semantics</x:t>
  </x:si>
  <x:si>
    <x:t xml:space="preserve">If RealityGroundingStatus is described as independently reviewed, Reviewer cannot be N/A; current exemplar is author/release self-reviewed, not independently verified.</x:t>
  </x:si>
  <x:si>
    <x:t xml:space="preserve">RippleLogic Aligners Sheet v5.6 Release Boundary</x:t>
  </x:si>
  <x:si>
    <x:t xml:space="preserve">Release role</x:t>
  </x:si>
  <x:si>
    <x:t xml:space="preserve">WORKED_RUN_EXEMPLAR</x:t>
  </x:si>
  <x:si>
    <x:t xml:space="preserve">Human-readable replay/training companion; not repository-level validator.</x:t>
  </x:si>
  <x:si>
    <x:t xml:space="preserve">Worked-run publishable</x:t>
  </x:si>
  <x:si>
    <x:t xml:space="preserve">Within declared two-option worked-run scope only.</x:t>
  </x:si>
  <x:si>
    <x:t xml:space="preserve">Requires schemas, validator, calculator, vectors, replay, independent review, and hash-pinned bundle.</x:t>
  </x:si>
  <x:si>
    <x:t xml:space="preserve">Tier 4 remains prohibited until independently replayable ProofPack exists.</x:t>
  </x:si>
  <x:si>
    <x:t xml:space="preserve">Empirically validated</x:t>
  </x:si>
  <x:si>
    <x:t xml:space="preserve">Requires completed pilots, methods disclosure, validation data, and external review.</x:t>
  </x:si>
  <x:si>
    <x:t xml:space="preserve">Requires complete tooling and replay evidence.</x:t>
  </x:si>
  <x:si>
    <x:t xml:space="preserve">Reference-calculator complete</x:t>
  </x:si>
  <x:si>
    <x:t xml:space="preserve">Workbook is not the reference calculator.</x:t>
  </x:si>
  <x:si>
    <x:t xml:space="preserve">Configuration assurance</x:t>
  </x:si>
  <x:si>
    <x:t xml:space="preserve">Claims indexed to configuration, capability state, transition, post-state, controls, authority, and expiry triggers.</x:t>
  </x:si>
  <x:si>
    <x:t xml:space="preserve">Qualification continuity</x:t>
  </x:si>
  <x:si>
    <x:t xml:space="preserve">Material changes require requalification.</x:t>
  </x:si>
  <x:si>
    <x:t xml:space="preserve">Open assurance dependency</x:t>
  </x:si>
  <x:si>
    <x:t xml:space="preserve">Opaque components cannot be sole decisive warrant.</x:t>
  </x:si>
  <x:si>
    <x:t xml:space="preserve">Implementation milestone boundary</x:t>
  </x:si>
  <x:si>
    <x:t xml:space="preserve">Compilation/synthesis/simulation/hardware realization does not by itself prove safety, ontology, superiority, or readiness.</x:t>
  </x:si>
  <x:si>
    <x:t xml:space="preserve">Safe experimental velocity</x:t>
  </x:si>
  <x:si>
    <x:t xml:space="preserve">Use smallest reversible, rights-safe, tail-bounded experiment that can reduce uncertainty.</x:t>
  </x:si>
  <x:si>
    <x:t xml:space="preserve">Propagation exercised in worked run</x:t>
  </x:si>
  <x:si>
    <x:t xml:space="preserve">Propagation Mode remains NONE; propagated-ripple calculation is not demonstrated.</x:t>
  </x:si>
  <x:si>
    <x:t xml:space="preserve">UCI validated</x:t>
  </x:si>
  <x:si>
    <x:t xml:space="preserve">UCI_Maturity remains provisional.</x:t>
  </x:si>
  <x:si>
    <x:t xml:space="preserve">Biological SGP measurement complete</x:t>
  </x:si>
  <x:si>
    <x:t xml:space="preserve">BioSGP_Maturity is disclosure/guardrail only.</x:t>
  </x:si>
  <x:si>
    <x:t xml:space="preserve">Public wording</x:t>
  </x:si>
  <x:si>
    <x:t xml:space="preserve">WORKED-RUN PUBLISHABLE</x:t>
  </x:si>
  <x:si>
    <x:t xml:space="preserve">Avoid unqualified validated, safe, complete, or deployment-ready language.</x:t>
  </x:si>
  <x:si>
    <x:t xml:space="preserve">GitHub status</x:t>
  </x:si>
  <x:si>
    <x:t xml:space="preserve">READY AFTER PACKAGE VERIFICATION</x:t>
  </x:si>
  <x:si>
    <x:t xml:space="preserve">decision_id</x:t>
  </x:si>
  <x:si>
    <x:t xml:space="preserve">option_id</x:t>
  </x:si>
  <x:si>
    <x:t xml:space="preserve">claim_scope</x:t>
  </x:si>
  <x:si>
    <x:t xml:space="preserve">decision_boundary</x:t>
  </x:si>
  <x:si>
    <x:t xml:space="preserve">reference_object</x:t>
  </x:si>
  <x:si>
    <x:t xml:space="preserve">physical_reference</x:t>
  </x:si>
  <x:si>
    <x:t xml:space="preserve">biological_reference</x:t>
  </x:si>
  <x:si>
    <x:t xml:space="preserve">social_reference</x:t>
  </x:si>
  <x:si>
    <x:t xml:space="preserve">ethical_rights_reference</x:t>
  </x:si>
  <x:si>
    <x:t xml:space="preserve">risk_reference</x:t>
  </x:si>
  <x:si>
    <x:t xml:space="preserve">governance_authority_reference</x:t>
  </x:si>
  <x:si>
    <x:t xml:space="preserve">epistemic_reference</x:t>
  </x:si>
  <x:si>
    <x:t xml:space="preserve">operational_audit_reference</x:t>
  </x:si>
  <x:si>
    <x:t xml:space="preserve">invariant_constraints</x:t>
  </x:si>
  <x:si>
    <x:t xml:space="preserve">causal_pathway</x:t>
  </x:si>
  <x:si>
    <x:t xml:space="preserve">evidence_status_token</x:t>
  </x:si>
  <x:si>
    <x:t xml:space="preserve">measurement_maturity_status</x:t>
  </x:si>
  <x:si>
    <x:t xml:space="preserve">adaptation_boundary</x:t>
  </x:si>
  <x:si>
    <x:t xml:space="preserve">authority_boundary</x:t>
  </x:si>
  <x:si>
    <x:t xml:space="preserve">refusal_trigger</x:t>
  </x:si>
  <x:si>
    <x:t xml:space="preserve">reviewer_status</x:t>
  </x:si>
  <x:si>
    <x:t xml:space="preserve">artifact_hash</x:t>
  </x:si>
  <x:si>
    <x:t xml:space="preserve">PENDING_REVIEW</x:t>
  </x:si>
  <x:si>
    <x:t xml:space="preserve">OPTION-A</x:t>
  </x:si>
  <x:si>
    <x:t xml:space="preserve">Tier 2 worked-run exemplar / internal organizational policy decision</x:t>
  </x:si>
  <x:si>
    <x:t xml:space="preserve">Remote work policy A vs B; organization context; excludes legal-compliance, deployment-readiness, empirical-validation, ProofPack, and Tier 4 claims.</x:t>
  </x:si>
  <x:si>
    <x:t xml:space="preserve">LINEAGE EXAMPLE: remote work policy implementation decision originally evaluated against RippleLogic v10.6 RSP surfaces; current v5.0 workbook is a v12.0 worked-run exemplar, not a validator.</x:t>
  </x:si>
  <x:si>
    <x:t xml:space="preserve">Workspace, commuting, emissions, digital infrastructure, and operational resource constraints.</x:t>
  </x:si>
  <x:si>
    <x:t xml:space="preserve">Worker health, stress, fatigue, safety, and basic needs effects.</x:t>
  </x:si>
  <x:si>
    <x:t xml:space="preserve">Team cohesion, trust, coordination, inclusion, and relational impacts.</x:t>
  </x:si>
  <x:si>
    <x:t xml:space="preserve">NCRC rights baseline: LIFE, BODY, LBTY, NEED, DIGN, PROC, INFO, ECOL; no rights-floor tradeoff permitted.</x:t>
  </x:si>
  <x:si>
    <x:t xml:space="preserve">TRC catastrophic corridor and WTSL scenario set with CVaR threshold 0.20.</x:t>
  </x:si>
  <x:si>
    <x:t xml:space="preserve">Organizational policy authority only; no public-law, legal-compliance, or regulatory approval claim.</x:t>
  </x:si>
  <x:si>
    <x:t xml:space="preserve">Workbook worked-run inputs, declared uncertainty method C, evidence-status tokens, and reviewer challenge surface.</x:t>
  </x:si>
  <x:si>
    <x:t xml:space="preserve">PCC, ProjectionPreRegistration, Qualification_Continuity, Outcome_Requalification, FalsificationPlan, ObservableConsequences, and ReferenceStructureRecord sheet.</x:t>
  </x:si>
  <x:si>
    <x:t xml:space="preserve">No NCRC, TRC, Containment, Refusal, rights-floor, or lawful-authority boundary may be overridden by RLS, local convenience, model confidence, or policy permission.</x:t>
  </x:si>
  <x:si>
    <x:t xml:space="preserve">Remote work changes flexibility, commuting burden, emissions, collaboration patterns, autonomy, burnout risk, and knowledge-sharing dynamics; monitoring checks for predicted versus observed effects.</x:t>
  </x:si>
  <x:si>
    <x:t xml:space="preserve">Worked-run exemplar inputs from the aligned workbook; no empirical validation claim.</x:t>
  </x:si>
  <x:si>
    <x:t xml:space="preserve">Policy details, monitoring cadence, mitigation steps, and option weighting may adapt; canonical cascade order, rights floors, tail-risk corridor, containment rule, and claim-boundary discipline may not adapt inside the run.</x:t>
  </x:si>
  <x:si>
    <x:t xml:space="preserve">Trigger Refusal or escalation if reference object, evidence status, falsification condition, authority boundary, rights floor, TRC corridor, or containment basis becomes materially underdetermined, circular, self-validating, unsupported, or stale.</x:t>
  </x:si>
  <x:si>
    <x:t xml:space="preserve">See final release manifest SHA-256 for workbook and companion artifacts.</x:t>
  </x:si>
  <x:si>
    <x:t xml:space="preserve">LINEAGE: v10.6 RSP integration row retained as historical worked-run exemplar.</x:t>
  </x:si>
  <x:si>
    <x:t xml:space="preserve">APPROVED</x:t>
  </x:si>
  <x:si>
    <x:t xml:space="preserve">MODEL_BOUND</x:t>
  </x:si>
  <x:si>
    <x:t xml:space="preserve">INCOMPLETE</x:t>
  </x:si>
  <x:si>
    <x:t xml:space="preserve">REVISE</x:t>
  </x:si>
  <x:si>
    <x:t xml:space="preserve">PILOT_ONLY</x:t>
  </x:si>
  <x:si>
    <x:t xml:space="preserve">REFUSAL_OR_ESCALATION_REQUIRED</x:t>
  </x:si>
  <x:si>
    <x:t xml:space="preserve">GUIDANCE_STAGE</x:t>
  </x:si>
  <x:si>
    <x:t xml:space="preserve">ReferenceStructureRecord template. Complete one row per decision option or option set when a RippleLogic run requires reference-structure auditability.</x:t>
  </x:si>
  <x:si>
    <x:t xml:space="preserve">Purpose: declare what the decision is evaluated against before claiming admissibility, causality, stability, welfare, auditability, conformance, or deployment readiness.</x:t>
  </x:si>
  <x:si>
    <x:t xml:space="preserve">Sanity rule: if reference_object, evidence_status_token, or falsification_condition is blank, the row is INCOMPLETE.</x:t>
  </x:si>
  <x:si>
    <x:t xml:space="preserve">MathGov framework / RippleLogic v10.8 + SGP v5.5 Aligners Sheet Update</x:t>
  </x:si>
  <x:si>
    <x:t xml:space="preserve">History note</x:t>
  </x:si>
  <x:si>
    <x:t xml:space="preserve">This sheet is historical lineage only. Current active pins are Canon v12.2 / SGP v8.1 / ripple.md v5.0 / Agent v12.0 / Primer v4.0 / Sheet v5.2.</x:t>
  </x:si>
  <x:si>
    <x:t xml:space="preserve">Workbook effect</x:t>
  </x:si>
  <x:si>
    <x:t xml:space="preserve">Version bump</x:t>
  </x:si>
  <x:si>
    <x:t xml:space="preserve">Aligners Sheet v4.0 aligned to RippleLogic v10.8 and SGP v5.5</x:t>
  </x:si>
  <x:si>
    <x:t xml:space="preserve">Updates live identity surfaces and adds new diagnostic sheets</x:t>
  </x:si>
  <x:si>
    <x:t xml:space="preserve">Still worked-run exemplar only; not ProofPack or validator</x:t>
  </x:si>
  <x:si>
    <x:t xml:space="preserve">COMPUTABLE_BUT_INADMISSIBLE</x:t>
  </x:si>
  <x:si>
    <x:t xml:space="preserve">Computed value exists but cannot support a decision or claim</x:t>
  </x:si>
  <x:si>
    <x:t xml:space="preserve">Logged as audit concept and optional review state</x:t>
  </x:si>
  <x:si>
    <x:t xml:space="preserve">Cannot authorize selection, deployment, or conformance</x:t>
  </x:si>
  <x:si>
    <x:t xml:space="preserve">Layer-specific falsification</x:t>
  </x:si>
  <x:si>
    <x:t xml:space="preserve">Each layer has its own falsifier and required response</x:t>
  </x:si>
  <x:si>
    <x:t xml:space="preserve">Implemented as a reviewer reference table</x:t>
  </x:si>
  <x:si>
    <x:t xml:space="preserve">Does not alter canonical cascade</x:t>
  </x:si>
  <x:si>
    <x:t xml:space="preserve">Reference / preference / number discipline</x:t>
  </x:si>
  <x:si>
    <x:t xml:space="preserve">Evidence source, measurement reference, governance preference, numerical representation, and public claim remain separate</x:t>
  </x:si>
  <x:si>
    <x:t xml:space="preserve">Supported through reference-structure review</x:t>
  </x:si>
  <x:si>
    <x:t xml:space="preserve">No external ontology imported</x:t>
  </x:si>
  <x:si>
    <x:t xml:space="preserve">Adaptive Reserve</x:t>
  </x:si>
  <x:si>
    <x:t xml:space="preserve">Optional diagnostic for slack, redundancy, recovery, and saturation risk</x:t>
  </x:si>
  <x:si>
    <x:t xml:space="preserve">Added as a diagnostic sheet</x:t>
  </x:si>
  <x:si>
    <x:t xml:space="preserve">Not a sixth gate; cannot rescue failed RF/NCRC and TRC/Containment</x:t>
  </x:si>
  <x:si>
    <x:t xml:space="preserve">Preserved method</x:t>
  </x:si>
  <x:si>
    <x:t xml:space="preserve">Reality Grounding -&gt; Rights Floor -&gt; Tail-Risk Constraint -&gt; Containment and Structural Viability -&gt; RippleLogic Score; formal method RSG -&gt; RF/NCRC -&gt; TRC -&gt; CSV -&gt; RLS; UCI/HOI special-case only</x:t>
  </x:si>
  <x:si>
    <x:t xml:space="preserve">Preserved SGP boundary</x:t>
  </x:si>
  <x:si>
    <x:t xml:space="preserve">Protection, standing, participation, and authority remain separate</x:t>
  </x:si>
  <x:si>
    <x:t xml:space="preserve">Preserved PLSS boundary</x:t>
  </x:si>
  <x:si>
    <x:t xml:space="preserve">Residual-ranking-only, never admissibility weakening</x:t>
  </x:si>
  <x:si>
    <x:t xml:space="preserve">Preserved release boundary</x:t>
  </x:si>
  <x:si>
    <x:t xml:space="preserve">No Tier 4, ProofPack, empirical-validation, legal-compliance, deployment-certification, completed biological-SGP, or current-AI-sentience claim</x:t>
  </x:si>
  <x:si>
    <x:t xml:space="preserve">Training, worked-run illustration, early pilot explanation, and spreadsheet demonstration</x:t>
  </x:si>
  <x:si>
    <x:t xml:space="preserve">Not a use case</x:t>
  </x:si>
  <x:si>
    <x:t xml:space="preserve">Legal compliance certification, validator, reference calculator, or deployment proof</x:t>
  </x:si>
  <x:si>
    <x:t xml:space="preserve">Current artifact role</x:t>
  </x:si>
  <x:si>
    <x:t xml:space="preserve">Aligned worked-run companion</x:t>
  </x:si>
  <x:si>
    <x:t xml:space="preserve">Next maturity path</x:t>
  </x:si>
  <x:si>
    <x:t xml:space="preserve">Schemas, validator, reference calculator, canonical vectors, independent replay</x:t>
  </x:si>
  <x:si>
    <x:t xml:space="preserve">Update date</x:t>
  </x:si>
  <x:si>
    <x:t xml:space="preserve">2026-06-12</x:t>
  </x:si>
  <x:si>
    <x:t xml:space="preserve">Layer-specific falsification matrix</x:t>
  </x:si>
  <x:si>
    <x:t xml:space="preserve">Layer</x:t>
  </x:si>
  <x:si>
    <x:t xml:space="preserve">Layer-specific falsifier</x:t>
  </x:si>
  <x:si>
    <x:t xml:space="preserve">Does not by itself falsify</x:t>
  </x:si>
  <x:si>
    <x:t xml:space="preserve">Rights-floor breach, unresolved rights uncertainty, or missing rights evidence</x:t>
  </x:si>
  <x:si>
    <x:t xml:space="preserve">RLS arithmetic or UCI/HOI diagnostics</x:t>
  </x:si>
  <x:si>
    <x:t xml:space="preserve">Reject, refuse, or escalate</x:t>
  </x:si>
  <x:si>
    <x:t xml:space="preserve">CVaR or catastrophe-tail exposure exceeds threshold, or scenario evidence insufficient</x:t>
  </x:si>
  <x:si>
    <x:t xml:space="preserve">NCRC analysis</x:t>
  </x:si>
  <x:si>
    <x:t xml:space="preserve">Reject or escalate; do not compensate with RLS</x:t>
  </x:si>
  <x:si>
    <x:t xml:space="preserve">Local gain degrades containing systems beyond tolerance</x:t>
  </x:si>
  <x:si>
    <x:t xml:space="preserve">Rights or tail-risk verdicts</x:t>
  </x:si>
  <x:si>
    <x:t xml:space="preserve">Reject as selectable; record rationale</x:t>
  </x:si>
  <x:si>
    <x:t xml:space="preserve">Wrong cells, weights, evidence grade, aggregation, or sensitivity posture</x:t>
  </x:si>
  <x:si>
    <x:t xml:space="preserve">Admissibility gate outcomes</x:t>
  </x:si>
  <x:si>
    <x:t xml:space="preserve">Recompute or mark non-decisive</x:t>
  </x:si>
  <x:si>
    <x:t xml:space="preserve">UCI/HOI</x:t>
  </x:si>
  <x:si>
    <x:t xml:space="preserve">Structural metric evidence, normalization, or tie-break use defective</x:t>
  </x:si>
  <x:si>
    <x:t xml:space="preserve">RF/NCRC and TRC/Containment/RLS by itself</x:t>
  </x:si>
  <x:si>
    <x:t xml:space="preserve">Recompute diagnostic or remove tie-break claim</x:t>
  </x:si>
  <x:si>
    <x:t xml:space="preserve">PCC / audit</x:t>
  </x:si>
  <x:si>
    <x:t xml:space="preserve">Missing provenance, closure, evidence, reviewer trace, or claim boundary</x:t>
  </x:si>
  <x:si>
    <x:t xml:space="preserve">Underlying ethical truth of situation</x:t>
  </x:si>
  <x:si>
    <x:t xml:space="preserve">Invalidate conformance claim until repaired</x:t>
  </x:si>
  <x:si>
    <x:t xml:space="preserve">SGP interface</x:t>
  </x:si>
  <x:si>
    <x:t xml:space="preserve">SGP output lacks evidence tier, scoring version, reviewer status, uncertainty, or maturity boundary</x:t>
  </x:si>
  <x:si>
    <x:t xml:space="preserve">NCRC, TRC, Containment, lawful authority, governance-role requirements</x:t>
  </x:si>
  <x:si>
    <x:t xml:space="preserve">Treat as evidence limitation; no override</x:t>
  </x:si>
  <x:si>
    <x:t xml:space="preserve">Adaptive Reserve / Saturation Diagnostic</x:t>
  </x:si>
  <x:si>
    <x:t xml:space="preserve">Reserve domain</x:t>
  </x:si>
  <x:si>
    <x:t xml:space="preserve">Institutional / team attention / operational capacity</x:t>
  </x:si>
  <x:si>
    <x:t xml:space="preserve">Customize by case</x:t>
  </x:si>
  <x:si>
    <x:t xml:space="preserve">Baseline reserve</x:t>
  </x:si>
  <x:si>
    <x:t xml:space="preserve">Not quantified in current v5.6 worked run</x:t>
  </x:si>
  <x:si>
    <x:t xml:space="preserve">Diagnostic not decisive</x:t>
  </x:si>
  <x:si>
    <x:t xml:space="preserve">Projected reserve after option</x:t>
  </x:si>
  <x:si>
    <x:t xml:space="preserve">Adequate / monitor</x:t>
  </x:si>
  <x:si>
    <x:t xml:space="preserve">Replace with evidence in real run</x:t>
  </x:si>
  <x:si>
    <x:t xml:space="preserve">Redundancy state</x:t>
  </x:si>
  <x:si>
    <x:t xml:space="preserve">Partial redundancy preserved</x:t>
  </x:si>
  <x:si>
    <x:t xml:space="preserve">Document staff/process backup</x:t>
  </x:si>
  <x:si>
    <x:t xml:space="preserve">Recovery path</x:t>
  </x:si>
  <x:si>
    <x:t xml:space="preserve">Rollback and policy review available</x:t>
  </x:si>
  <x:si>
    <x:t xml:space="preserve">Record actual rollback mechanism</x:t>
  </x:si>
  <x:si>
    <x:t xml:space="preserve">Reversibility</x:t>
  </x:si>
  <x:si>
    <x:t xml:space="preserve">Medium-high</x:t>
  </x:si>
  <x:si>
    <x:t xml:space="preserve">Score only if evidence exists</x:t>
  </x:si>
  <x:si>
    <x:t xml:space="preserve">Saturation risk</x:t>
  </x:si>
  <x:si>
    <x:t xml:space="preserve">LOW_REVIEW</x:t>
  </x:si>
  <x:si>
    <x:t xml:space="preserve">Escalate if reserve thin</x:t>
  </x:si>
  <x:si>
    <x:t xml:space="preserve">Review signal only</x:t>
  </x:si>
  <x:si>
    <x:t xml:space="preserve">Not a sixth gate</x:t>
  </x:si>
  <x:si>
    <x:t xml:space="preserve">Cannot rescue failed gates</x:t>
  </x:si>
  <x:si>
    <x:t xml:space="preserve">RF/NCRC and TRC/Containment remain controlling</x:t>
  </x:si>
  <x:si>
    <x:t xml:space="preserve">Decision Effect</x:t>
  </x:si>
  <x:si>
    <x:t xml:space="preserve">FrameworkVerdict</x:t>
  </x:si>
  <x:si>
    <x:t xml:space="preserve">AdmissibleOptionSet</x:t>
  </x:si>
  <x:si>
    <x:t xml:space="preserve">Options that passed Rights Floor (formal NCRC), TRC, and Tier-2 containment diagnostic.</x:t>
  </x:si>
  <x:si>
    <x:t xml:space="preserve">Human/institutional choice may occur only after disclosure.</x:t>
  </x:si>
  <x:si>
    <x:t xml:space="preserve">DeterministicSelectionClaim</x:t>
  </x:si>
  <x:si>
    <x:t xml:space="preserve">Bounded by uncertainty, configuration, evidence, and qualification status.</x:t>
  </x:si>
  <x:si>
    <x:t xml:space="preserve">Technical selection does not create mandate or permission.</x:t>
  </x:si>
  <x:si>
    <x:t xml:space="preserve">AuthorityBasis</x:t>
  </x:si>
  <x:si>
    <x:t xml:space="preserve">Requires evidence, configuration, and uncertainty disclosure.</x:t>
  </x:si>
  <x:si>
    <x:t xml:space="preserve">CoverageStatusPolicy</x:t>
  </x:si>
  <x:si>
    <x:t xml:space="preserve">VALUE | ESTIMATE | ASSUMPTION | BLANK_BY_DESIGN | DECLARED_UNKNOWN | NOT_APPLICABLE | MISSING_UNDECLARED</x:t>
  </x:si>
  <x:si>
    <x:t xml:space="preserve">Required inputs must not silently become zero.</x:t>
  </x:si>
  <x:si>
    <x:t xml:space="preserve">Unknowns trigger review/refusal/escalation when material.</x:t>
  </x:si>
  <x:si>
    <x:t xml:space="preserve">ProjectionFreezeVisibility</x:t>
  </x:si>
  <x:si>
    <x:t xml:space="preserve">ProjectionPreRegistration present as a companion sheet</x:t>
  </x:si>
  <x:si>
    <x:t xml:space="preserve">Scenarios, weights, thresholds, uncertainty assumptions and refusal conditions should be frozen for claim-bearing runs.</x:t>
  </x:si>
  <x:si>
    <x:t xml:space="preserve">Post-observation changes create a new run boundary.</x:t>
  </x:si>
  <x:si>
    <x:t xml:space="preserve">FalsificationClasses</x:t>
  </x:si>
  <x:si>
    <x:t xml:space="preserve">DATA_FAILURE | PROJECTION_FAILURE | PARAMETER_FAILURE | OPERATOR_FAILURE | PRIMITIVE_CHALLENGE | GOVERNANCE_FAILURE | COMMUNICATION_FAILURE</x:t>
  </x:si>
  <x:si>
    <x:t xml:space="preserve">Failure must be attributed to the correct layer.</x:t>
  </x:si>
  <x:si>
    <x:t xml:space="preserve">Prevents over-collapse or over-rescue.</x:t>
  </x:si>
  <x:si>
    <x:t xml:space="preserve">Worked-run exemplar, not validator / ProofPack / Tier-4 / empirical validation</x:t>
  </x:si>
  <x:si>
    <x:t xml:space="preserve">The workbook demonstrates the architecture only.</x:t>
  </x:si>
  <x:si>
    <x:t xml:space="preserve">Preserves non-claims.</x:t>
  </x:si>
  <x:si>
    <x:t xml:space="preserve">Verdict Logic</x:t>
  </x:si>
  <x:si>
    <x:t xml:space="preserve">BLOCK</x:t>
  </x:si>
  <x:si>
    <x:t xml:space="preserve">Non-negotiable gate failure or no admissible options remain.</x:t>
  </x:si>
  <x:si>
    <x:t xml:space="preserve">Do not proceed under claimed posture.</x:t>
  </x:si>
  <x:si>
    <x:t xml:space="preserve">REFUSE_DETERMINISTIC_SELECTION</x:t>
  </x:si>
  <x:si>
    <x:t xml:space="preserve">Admissible option set remains non-unique or selection evidence is insufficient/non-decisive.</x:t>
  </x:si>
  <x:si>
    <x:t xml:space="preserve">May support separate authority selection.</x:t>
  </x:si>
  <x:si>
    <x:t xml:space="preserve">ALLOW_FRAMEWORK_SELECTION</x:t>
  </x:si>
  <x:si>
    <x:t xml:space="preserve">One uniquely framework-selectable option is produced by gates, scoring, tie-breaks, and evidence sufficiency.</x:t>
  </x:si>
  <x:si>
    <x:t xml:space="preserve">Framework may claim technical selection.</x:t>
  </x:si>
  <x:si>
    <x:t xml:space="preserve">Higher-tier evidence, expert review, stakeholder challenge, or authority needed.</x:t>
  </x:si>
  <x:si>
    <x:t xml:space="preserve">Proceed only after required review.</x:t>
  </x:si>
  <x:si>
    <x:t xml:space="preserve">Copyright-safe note</x:t>
  </x:si>
  <x:si>
    <x:t xml:space="preserve">MathGov-native hardening layer</x:t>
  </x:si>
  <x:si>
    <x:t xml:space="preserve">No external proprietary text, equation, ontology, or framework dependency is imported.</x:t>
  </x:si>
  <x:si>
    <x:t xml:space="preserve">Independent implementation within RippleLogic architecture.</x:t>
  </x:si>
  <x:si>
    <x:t xml:space="preserve">Release delta</x:t>
  </x:si>
  <x:si>
    <x:t xml:space="preserve">v4.0 -&gt; v5.0</x:t>
  </x:si>
  <x:si>
    <x:t xml:space="preserve">Adds verdict semantics and authority-selection separation.</x:t>
  </x:si>
  <x:si>
    <x:t xml:space="preserve">No cascade/equation/rights/TRC/Containment change.</x:t>
  </x:si>
  <x:si>
    <x:t xml:space="preserve">VERDICT ENGINE (computed live from CANON cascade cells)</x:t>
  </x:si>
  <x:si>
    <x:t xml:space="preserve">Option_A_admissible</x:t>
  </x:si>
  <x:si>
    <x:t xml:space="preserve">Option A passes NCRC + TRC + Containment + Structural Viability</x:t>
  </x:si>
  <x:si>
    <x:t xml:space="preserve">Option_B_admissible</x:t>
  </x:si>
  <x:si>
    <x:t xml:space="preserve">Option B passes NCRC + TRC + Containment + Structural Viability</x:t>
  </x:si>
  <x:si>
    <x:t xml:space="preserve">Admissible_count</x:t>
  </x:si>
  <x:si>
    <x:t xml:space="preserve">RLS_decisive</x:t>
  </x:si>
  <x:si>
    <x:t xml:space="preserve">Escalation_required</x:t>
  </x:si>
  <x:si>
    <x:t xml:space="preserve">Computed_FrameworkVerdict</x:t>
  </x:si>
  <x:si>
    <x:t xml:space="preserve">Computed_AdmissibleSet</x:t>
  </x:si>
  <x:si>
    <x:t xml:space="preserve">Computed_DeterministicClaim</x:t>
  </x:si>
  <x:si>
    <x:t xml:space="preserve">MathGov framework / RippleLogic Core Release 2026.09 - Version Semantics</x:t>
  </x:si>
  <x:si>
    <x:t xml:space="preserve">Release Effect</x:t>
  </x:si>
  <x:si>
    <x:t xml:space="preserve">Repository package line</x:t>
  </x:si>
  <x:si>
    <x:t xml:space="preserve">Controls package identity</x:t>
  </x:si>
  <x:si>
    <x:t xml:space="preserve">Methodological Integrity and Release Synchronization Patch</x:t>
  </x:si>
  <x:si>
    <x:t xml:space="preserve">Release scope</x:t>
  </x:si>
  <x:si>
    <x:t xml:space="preserve">Makes Rights Floor (RF) the public Layer 2 label while preserving NCRC as the formal constraint; carries forward CSV, structural viability, falsification discipline, and v11.0 semantic-stability controls.</x:t>
  </x:si>
  <x:si>
    <x:t xml:space="preserve">Governing Canon</x:t>
  </x:si>
  <x:si>
    <x:t xml:space="preserve">Controls cascade semantics and normative hierarchy</x:t>
  </x:si>
  <x:si>
    <x:t xml:space="preserve">Moral-status/protection protocol</x:t>
  </x:si>
  <x:si>
    <x:t xml:space="preserve">Controls SGP scalar/status interface</x:t>
  </x:si>
  <x:si>
    <x:t xml:space="preserve">Portable standard</x:t>
  </x:si>
  <x:si>
    <x:t xml:space="preserve">ripple.md Standard v5.3</x:t>
  </x:si>
  <x:si>
    <x:t xml:space="preserve">Wrapper standard</x:t>
  </x:si>
  <x:si>
    <x:t xml:space="preserve">Controls Decision Note and portable assurance records</x:t>
  </x:si>
  <x:si>
    <x:t xml:space="preserve">Agent system</x:t>
  </x:si>
  <x:si>
    <x:t xml:space="preserve">Runtime companion</x:t>
  </x:si>
  <x:si>
    <x:t xml:space="preserve">Controls agent hard-control and audit behavior</x:t>
  </x:si>
  <x:si>
    <x:t xml:space="preserve">Primer</x:t>
  </x:si>
  <x:si>
    <x:t xml:space="preserve">Foundations Primer v4.4</x:t>
  </x:si>
  <x:si>
    <x:t xml:space="preserve">Informative doorway</x:t>
  </x:si>
  <x:si>
    <x:t xml:space="preserve">Explains v12.0 for humans</x:t>
  </x:si>
  <x:si>
    <x:t xml:space="preserve">Aligners Sheet v5.6</x:t>
  </x:si>
  <x:si>
    <x:t xml:space="preserve">Worked-run companion</x:t>
  </x:si>
  <x:si>
    <x:t xml:space="preserve">Provides auditable example/calculation surface</x:t>
  </x:si>
  <x:si>
    <x:t xml:space="preserve">Formal method</x:t>
  </x:si>
  <x:si>
    <x:t xml:space="preserve">RSG -&gt; RF/NCRC -&gt; TRC -&gt; CSV -&gt; RLS</x:t>
  </x:si>
  <x:si>
    <x:t xml:space="preserve">Canonical formal shorthand</x:t>
  </x:si>
  <x:si>
    <x:t xml:space="preserve">No change from v10.8 formal ordering</x:t>
  </x:si>
  <x:si>
    <x:t xml:space="preserve">Public method</x:t>
  </x:si>
  <x:si>
    <x:t xml:space="preserve">Reality Grounding -&gt; Rights Floor -&gt; Tail-Risk Constraint -&gt; Containment and Structural Viability -&gt; RippleLogic Score</x:t>
  </x:si>
  <x:si>
    <x:t xml:space="preserve">Human-readable method</x:t>
  </x:si>
  <x:si>
    <x:t xml:space="preserve">No sixth public gate</x:t>
  </x:si>
  <x:si>
    <x:t xml:space="preserve">Term Discrimination placement</x:t>
  </x:si>
  <x:si>
    <x:t xml:space="preserve">Inside Category Grounding inside Reality Grounding when material</x:t>
  </x:si>
  <x:si>
    <x:t xml:space="preserve">Semantic-stability discipline</x:t>
  </x:si>
  <x:si>
    <x:t xml:space="preserve">Prevents term collapse before claims/execution</x:t>
  </x:si>
  <x:si>
    <x:t xml:space="preserve">Do-not-collapse role</x:t>
  </x:si>
  <x:si>
    <x:t xml:space="preserve">Blocks category, term, and authority collapse</x:t>
  </x:si>
  <x:si>
    <x:t xml:space="preserve">Anti-Goodhart / anti-laundering guardrail</x:t>
  </x:si>
  <x:si>
    <x:t xml:space="preserve">Prevents score, permission, certification, monitoring, or authority misuse</x:t>
  </x:si>
  <x:si>
    <x:t xml:space="preserve">Tier 4 posture</x:t>
  </x:si>
  <x:si>
    <x:t xml:space="preserve">Design target only</x:t>
  </x:si>
  <x:si>
    <x:t xml:space="preserve">Not publishable as validation without independently replayable ProofPack.</x:t>
  </x:si>
  <x:si>
    <x:t xml:space="preserve">Hash posture</x:t>
  </x:si>
  <x:si>
    <x:t xml:space="preserve">External release manifest controls final hashes</x:t>
  </x:si>
  <x:si>
    <x:t xml:space="preserve">Release integrity</x:t>
  </x:si>
  <x:si>
    <x:t xml:space="preserve">Regenerate SHA256SUMS last after final edits</x:t>
  </x:si>
  <x:si>
    <x:t xml:space="preserve">No architecture change</x:t>
  </x:si>
  <x:si>
    <x:t xml:space="preserve">No changes to NCRC, TRC, RLS, PLSS, or SGP admissibility boundaries; Containment includes SVC where material.</x:t>
  </x:si>
  <x:si>
    <x:t xml:space="preserve">Compatibility statement</x:t>
  </x:si>
  <x:si>
    <x:t xml:space="preserve">v12.0 is structural-viability and falsification hardening without a sixth public gate.</x:t>
  </x:si>
  <x:si>
    <x:t xml:space="preserve">Release status</x:t>
  </x:si>
  <x:si>
    <x:t xml:space="preserve">v5.6 workbook companion for the v12.6 core line</x:t>
  </x:si>
  <x:si>
    <x:t xml:space="preserve">Publication readiness</x:t>
  </x:si>
  <x:si>
    <x:t xml:space="preserve">Ready after final package hash verification</x:t>
  </x:si>
  <x:si>
    <x:t xml:space="preserve">RIPPLELOGIC v12.0 / ALIGNERS v5.0 UPDATE</x:t>
  </x:si>
  <x:si>
    <x:t xml:space="preserve">New selectability subcheck</x:t>
  </x:si>
  <x:si>
    <x:t xml:space="preserve">Structural Viability inside Containment where material; not a sixth public gate</x:t>
  </x:si>
  <x:si>
    <x:t xml:space="preserve">Carried-forward semantic discipline</x:t>
  </x:si>
  <x:si>
    <x:t xml:space="preserve">Term Discrimination inside Category Grounding inside Reality Grounding when material</x:t>
  </x:si>
  <x:si>
    <x:t xml:space="preserve">New/visible sheets</x:t>
  </x:si>
  <x:si>
    <x:t xml:space="preserve">Structural_Viability; Term_Discrimination; Do_Not_Collapse</x:t>
  </x:si>
  <x:si>
    <x:t xml:space="preserve">No change to NCRC, TRC, RLS, PLSS, or SGP admissibility boundaries; Containment includes SVC where material</x:t>
  </x:si>
  <x:si>
    <x:t xml:space="preserve">Worked-run companion only; not ProofPack, validator, legal certification, deployment certification, or Tier 4</x:t>
  </x:si>
  <x:si>
    <x:t xml:space="preserve">Verification note</x:t>
  </x:si>
  <x:si>
    <x:t xml:space="preserve">Final release package must regenerate SHA256SUMS after all file edits</x:t>
  </x:si>
  <x:si>
    <x:t xml:space="preserve">Formula delta note</x:t>
  </x:si>
  <x:si>
    <x:t xml:space="preserve">v12.0 adds SVC documentation/formula surface and release-hardening surfaces. Core RF/NCRC and TRC/RLS math remains inherited; Containment now explicitly includes Structural Viability selectability checks.</x:t>
  </x:si>
  <x:si>
    <x:t xml:space="preserve">Sheet</x:t>
  </x:si>
  <x:si>
    <x:t xml:space="preserve">Key ranges</x:t>
  </x:si>
  <x:si>
    <x:t xml:space="preserve">Editable inputs</x:t>
  </x:si>
  <x:si>
    <x:t xml:space="preserve">A1:X20</x:t>
  </x:si>
  <x:si>
    <x:t xml:space="preserve">Primary declared impact instances</x:t>
  </x:si>
  <x:si>
    <x:t xml:space="preserve">Impact-instance rows and declared parameters</x:t>
  </x:si>
  <x:si>
    <x:t xml:space="preserve">Feeds I_prop, NCRC, TRC, CSV, RLS worked-run surfaces</x:t>
  </x:si>
  <x:si>
    <x:t xml:space="preserve">A1:H24</x:t>
  </x:si>
  <x:si>
    <x:t xml:space="preserve">Propagated welfare/base impact surfaces</x:t>
  </x:si>
  <x:si>
    <x:t xml:space="preserve">No formula edits in release workbook</x:t>
  </x:si>
  <x:si>
    <x:t xml:space="preserve">7x7 welfare matrix view</x:t>
  </x:si>
  <x:si>
    <x:t xml:space="preserve">A1:I21</x:t>
  </x:si>
  <x:si>
    <x:t xml:space="preserve">Rights-floor pass/fail checks</x:t>
  </x:si>
  <x:si>
    <x:t xml:space="preserve">Threshold/config inputs only</x:t>
  </x:si>
  <x:si>
    <x:t xml:space="preserve">Non-compensatory gate; cannot be rescued by RLS</x:t>
  </x:si>
  <x:si>
    <x:t xml:space="preserve">A1:U48</x:t>
  </x:si>
  <x:si>
    <x:t xml:space="preserve">Scenario loss, sorted tail, CVaR checks</x:t>
  </x:si>
  <x:si>
    <x:t xml:space="preserve">Scenario library/probability policy where governed</x:t>
  </x:si>
  <x:si>
    <x:t xml:space="preserve">Pass within declared scenario library and tau_TRC</x:t>
  </x:si>
  <x:si>
    <x:t xml:space="preserve">A1:H19</x:t>
  </x:si>
  <x:si>
    <x:t xml:space="preserve">CSV status ladder and diagnostic concern scale</x:t>
  </x:si>
  <x:si>
    <x:t xml:space="preserve">Declared CSV reviewer notes</x:t>
  </x:si>
  <x:si>
    <x:t xml:space="preserve">CSV = Containment and Structural Viability; not a purity filter</x:t>
  </x:si>
  <x:si>
    <x:t xml:space="preserve">A1:L35</x:t>
  </x:si>
  <x:si>
    <x:t xml:space="preserve">Containment proxy diagnostic for Tier-2 worked run</x:t>
  </x:si>
  <x:si>
    <x:t xml:space="preserve">Declared containment inputs/reviewer notes</x:t>
  </x:si>
  <x:si>
    <x:t xml:space="preserve">Legacy computational surface now interpreted under CSV</x:t>
  </x:si>
  <x:si>
    <x:t xml:space="preserve">A1:E14</x:t>
  </x:si>
  <x:si>
    <x:t xml:space="preserve">SVC material selectability subcheck inside CSV</x:t>
  </x:si>
  <x:si>
    <x:t xml:space="preserve">PASS/FAIL/UNKNOWN/NOT_MATERIAL subcheck statuses</x:t>
  </x:si>
  <x:si>
    <x:t xml:space="preserve">Live selectability input to Verdict_Hardening before RLS; B13/C13 are consumed.</x:t>
  </x:si>
  <x:si>
    <x:t xml:space="preserve">A1:E17</x:t>
  </x:si>
  <x:si>
    <x:t xml:space="preserve">Categorical/severe-hazard RF/NCRC surface</x:t>
  </x:si>
  <x:si>
    <x:t xml:space="preserve">Declared rights-hazard fields</x:t>
  </x:si>
  <x:si>
    <x:t xml:space="preserve">Combined with NCRC floor minima; short duration cannot erase a categorical violation.</x:t>
  </x:si>
  <x:si>
    <x:t xml:space="preserve">Tail_Emergency</x:t>
  </x:si>
  <x:si>
    <x:t xml:space="preserve">Governed tail-emergency necessity/control surface</x:t>
  </x:si>
  <x:si>
    <x:t xml:space="preserve">Emergency evidence and controls</x:t>
  </x:si>
  <x:si>
    <x:t xml:space="preserve">No ordinary RLS; only provisional least-CVaR below absolute cap when all conditions pass.</x:t>
  </x:si>
  <x:si>
    <x:t xml:space="preserve">A1:I64</x:t>
  </x:si>
  <x:si>
    <x:t xml:space="preserve">Residual welfare ranking, aggregated uncertainty, decisiveness, and selected-option display.</x:t>
  </x:si>
  <x:si>
    <x:t xml:space="preserve">Weights/uncertainty config only</x:t>
  </x:si>
  <x:si>
    <x:t xml:space="preserve">RLS ranks only selectable options after CSV</x:t>
  </x:si>
  <x:si>
    <x:t xml:space="preserve">A1:J70</x:t>
  </x:si>
  <x:si>
    <x:t xml:space="preserve">Summary display and release gates</x:t>
  </x:si>
  <x:si>
    <x:t xml:space="preserve">No formula edits recommended</x:t>
  </x:si>
  <x:si>
    <x:t xml:space="preserve">Framework verdict and authority selection remain separate</x:t>
  </x:si>
  <x:si>
    <x:t xml:space="preserve">A1:H240</x:t>
  </x:si>
  <x:si>
    <x:t xml:space="preserve">Audit record and claim boundary</x:t>
  </x:si>
  <x:si>
    <x:t xml:space="preserve">Reviewer/compliance notes</x:t>
  </x:si>
  <x:si>
    <x:t xml:space="preserve">Worked-run exemplar publishable; not ProofPack.</x:t>
  </x:si>
  <x:si>
    <x:t xml:space="preserve">Term_Discrimination</x:t>
  </x:si>
  <x:si>
    <x:t xml:space="preserve">A1:K13</x:t>
  </x:si>
  <x:si>
    <x:t xml:space="preserve">Material-term discriminator records</x:t>
  </x:si>
  <x:si>
    <x:t xml:space="preserve">Reviewer-owned term fields</x:t>
  </x:si>
  <x:si>
    <x:t xml:space="preserve">Inside Category Grounding and Reality Grounding</x:t>
  </x:si>
  <x:si>
    <x:t xml:space="preserve">v12_2_SGP_v8_Update</x:t>
  </x:si>
  <x:si>
    <x:t xml:space="preserve">A1:B15</x:t>
  </x:si>
  <x:si>
    <x:t xml:space="preserve">Current source-integrity and SGP v8 interface overview</x:t>
  </x:si>
  <x:si>
    <x:t xml:space="preserve">Explains v12.2 typed protection evidence, welfare-inclusion hypothesis posture, rights/ruin hardening, and workbook boundaries</x:t>
  </x:si>
  <x:si>
    <x:t xml:space="preserve">LINEAGE (historical): v12.3.1 / SGP v8.2.1 SYNC</x:t>
  </x:si>
  <x:si>
    <x:t xml:space="preserve">MathGov Core 2026.09 v12.3.1 / SGP v8.2.1 Release and Workbook Integrity Patch</x:t>
  </x:si>
  <x:si>
    <x:t xml:space="preserve">Canonical cascade</x:t>
  </x:si>
  <x:si>
    <x:t xml:space="preserve">Pins</x:t>
  </x:si>
  <x:si>
    <x:t xml:space="preserve">Canon v12.3.1 / SGP v8.2.1 / ripple.md v5.2.1 / Agent v12.1.1 / Primer v4.1.1 / Sheet v5.3.1 / Cascade v2.3 / RLS Validation v2.3.1 / WDBIP v1.3.1</x:t>
  </x:si>
  <x:si>
    <x:t xml:space="preserve">Workbook posture</x:t>
  </x:si>
  <x:si>
    <x:t xml:space="preserve">Worked-run exemplar only; not validator, reference calculator, empirical validation, Tier 4, ProofPack, legal certification, or deployment certification</x:t>
  </x:si>
  <x:si>
    <x:t xml:space="preserve">No legal certification, deployment certification, evidence truth, safety proof, or proof of superior decisions</x:t>
  </x:si>
  <x:si>
    <x:t xml:space="preserve">CSV GATE v5.6 - Containment and Structural Viability</x:t>
  </x:si>
  <x:si>
    <x:t xml:space="preserve">Cascade</x:t>
  </x:si>
  <x:si>
    <x:t xml:space="preserve">CSV is not a purity filter; it routes detected harms and blocks only uncontained, non-viable, hidden, unjustly externalized, lock-in-producing, or structurally degrading harms. RF means Rights Floor; formal NCRC must pass before CSV and RLS.</x:t>
  </x:si>
  <x:si>
    <x:t xml:space="preserve">CSV status</x:t>
  </x:si>
  <x:si>
    <x:t xml:space="preserve">Selection consequence</x:t>
  </x:si>
  <x:si>
    <x:t xml:space="preserve">RLS routing</x:t>
  </x:si>
  <x:si>
    <x:t xml:space="preserve">Controls binding?</x:t>
  </x:si>
  <x:si>
    <x:t xml:space="preserve">Emergency allowed?</x:t>
  </x:si>
  <x:si>
    <x:t xml:space="preserve">Example</x:t>
  </x:si>
  <x:si>
    <x:t xml:space="preserve">CSV_PASS</x:t>
  </x:si>
  <x:si>
    <x:t xml:space="preserve">Harms contained; structural viability adequate</x:t>
  </x:si>
  <x:si>
    <x:t xml:space="preserve">Selectable if RF/NCRC and TRC passed</x:t>
  </x:si>
  <x:si>
    <x:t xml:space="preserve">Residual harms carry into RLS</x:t>
  </x:si>
  <x:si>
    <x:t xml:space="preserve">No</x:t>
  </x:si>
  <x:si>
    <x:t xml:space="preserve">Ordinary pass</x:t>
  </x:si>
  <x:si>
    <x:t xml:space="preserve">Battery backup feasible</x:t>
  </x:si>
  <x:si>
    <x:t xml:space="preserve">Selectable only with declared controls</x:t>
  </x:si>
  <x:si>
    <x:t xml:space="preserve">Selectable as controlled option only</x:t>
  </x:si>
  <x:si>
    <x:t xml:space="preserve">Yes</x:t>
  </x:si>
  <x:si>
    <x:t xml:space="preserve">Controls are part of the option</x:t>
  </x:si>
  <x:si>
    <x:t xml:space="preserve">Outdoor generator with limits</x:t>
  </x:si>
  <x:si>
    <x:t xml:space="preserve">Too harmful/non-viable as specified but fixable</x:t>
  </x:si>
  <x:si>
    <x:t xml:space="preserve">Not selectable as specified</x:t>
  </x:si>
  <x:si>
    <x:t xml:space="preserve">No RLS for original</x:t>
  </x:si>
  <x:si>
    <x:t xml:space="preserve">Redesign and rerun</x:t>
  </x:si>
  <x:si>
    <x:t xml:space="preserve">Uncontrolled generator</x:t>
  </x:si>
  <x:si>
    <x:t xml:space="preserve">Evidence/stakes require higher review</x:t>
  </x:si>
  <x:si>
    <x:t xml:space="preserve">No final selection until resolved</x:t>
  </x:si>
  <x:si>
    <x:t xml:space="preserve">No final RLS</x:t>
  </x:si>
  <x:si>
    <x:t xml:space="preserve">Maybe</x:t>
  </x:si>
  <x:si>
    <x:t xml:space="preserve">Higher tier review</x:t>
  </x:si>
  <x:si>
    <x:t xml:space="preserve">Missing UCI/HOI material data</x:t>
  </x:si>
  <x:si>
    <x:t xml:space="preserve">CSV_FAIL</x:t>
  </x:si>
  <x:si>
    <x:t xml:space="preserve">Uncontained or structurally non-viable beyond tolerance</x:t>
  </x:si>
  <x:si>
    <x:t xml:space="preserve">Not selectable</x:t>
  </x:si>
  <x:si>
    <x:t xml:space="preserve">No RLS</x:t>
  </x:si>
  <x:si>
    <x:t xml:space="preserve">Gate failure</x:t>
  </x:si>
  <x:si>
    <x:t xml:space="preserve">Indoor generator near people</x:t>
  </x:si>
  <x:si>
    <x:t xml:space="preserve">CSV_EMERGENCY_PROVISIONAL</x:t>
  </x:si>
  <x:si>
    <x:t xml:space="preserve">Temporary necessity when no better feasible option exists</x:t>
  </x:si>
  <x:si>
    <x:t xml:space="preserve">Time-limited provisional only</x:t>
  </x:si>
  <x:si>
    <x:t xml:space="preserve">Fallback/triage only</x:t>
  </x:si>
  <x:si>
    <x:t xml:space="preserve">No full alignment claim</x:t>
  </x:si>
  <x:si>
    <x:t xml:space="preserve">Short outage emergency</x:t>
  </x:si>
  <x:si>
    <x:t xml:space="preserve">CSV_NOT_MATERIAL</x:t>
  </x:si>
  <x:si>
    <x:t xml:space="preserve">CSV not material with rationale</x:t>
  </x:si>
  <x:si>
    <x:t xml:space="preserve">May proceed if other gates pass</x:t>
  </x:si>
  <x:si>
    <x:t xml:space="preserve">RLS allowed</x:t>
  </x:si>
  <x:si>
    <x:t xml:space="preserve">Record rationale</x:t>
  </x:si>
  <x:si>
    <x:t xml:space="preserve">Low-stakes clerical choice</x:t>
  </x:si>
  <x:si>
    <x:t xml:space="preserve">0</x:t>
  </x:si>
  <x:si>
    <x:t xml:space="preserve">Default disposition</x:t>
  </x:si>
  <x:si>
    <x:t xml:space="preserve">No concern</x:t>
  </x:si>
  <x:si>
    <x:t xml:space="preserve">Minor residual</x:t>
  </x:si>
  <x:si>
    <x:t xml:space="preserve">Controls required</x:t>
  </x:si>
  <x:si>
    <x:t xml:space="preserve">Redesign/escalate</x:t>
  </x:si>
  <x:si>
    <x:t xml:space="preserve">Fail</x:t>
  </x:si>
  <x:si>
    <x:t xml:space="preserve">Use max material diagnostic</x:t>
  </x:si>
  <x:si>
    <x:t xml:space="preserve">Structural viability</x:t>
  </x:si>
  <x:si>
    <x:t xml:space="preserve">Hollowing risk</x:t>
  </x:si>
  <x:si>
    <x:t xml:space="preserve">Dependency/lock-in</x:t>
  </x:si>
  <x:si>
    <x:t xml:space="preserve">Mitigation adequacy</x:t>
  </x:si>
  <x:si>
    <x:t xml:space="preserve">Adequate</x:t>
  </x:si>
  <x:si>
    <x:t xml:space="preserve">Minor gap</x:t>
  </x:si>
  <x:si>
    <x:t xml:space="preserve">COMPOSITE CSV RESOLVER</x:t>
  </x:si>
  <x:si>
    <x:t xml:space="preserve">Subcondition</x:t>
  </x:si>
  <x:si>
    <x:t xml:space="preserve">Required record</x:t>
  </x:si>
  <x:si>
    <x:t xml:space="preserve">PASS condition</x:t>
  </x:si>
  <x:si>
    <x:t xml:space="preserve">REDESIGN / ESCALATE</x:t>
  </x:si>
  <x:si>
    <x:t xml:space="preserve">FAIL condition</x:t>
  </x:si>
  <x:si>
    <x:t xml:space="preserve">Current worked-run status</x:t>
  </x:si>
  <x:si>
    <x:t xml:space="preserve">Owner / source</x:t>
  </x:si>
  <x:si>
    <x:t xml:space="preserve">Containing-scope graph and burden evidence</x:t>
  </x:si>
  <x:si>
    <x:t xml:space="preserve">No uncontained burden</x:t>
  </x:si>
  <x:si>
    <x:t xml:space="preserve">Bounded burden with controls</x:t>
  </x:si>
  <x:si>
    <x:t xml:space="preserve">Material gap or missing evidence</x:t>
  </x:si>
  <x:si>
    <x:t xml:space="preserve">Unbounded burden</x:t>
  </x:si>
  <x:si>
    <x:t xml:space="preserve">Resource, dependency, reversibility, capacity, coherence</x:t>
  </x:si>
  <x:si>
    <x:t xml:space="preserve">Adequate with controls</x:t>
  </x:si>
  <x:si>
    <x:t xml:space="preserve">Fixable non-viability</x:t>
  </x:si>
  <x:si>
    <x:t xml:space="preserve">Beyond redesign</x:t>
  </x:si>
  <x:si>
    <x:t xml:space="preserve">Source coupling</x:t>
  </x:si>
  <x:si>
    <x:t xml:space="preserve">Source status, debt, controls, owner, triggers</x:t>
  </x:si>
  <x:si>
    <x:t xml:space="preserve">SOURCE_COUPLED</x:t>
  </x:si>
  <x:si>
    <x:t xml:space="preserve">SOURCE_PARTIAL with binding controls</x:t>
  </x:si>
  <x:si>
    <x:t xml:space="preserve">SOURCE_DEBT_RISK unresolved</x:t>
  </x:si>
  <x:si>
    <x:t xml:space="preserve">Source invalidates operation</x:t>
  </x:si>
  <x:si>
    <x:t xml:space="preserve">Source_Coupling / Containment</x:t>
  </x:si>
  <x:si>
    <x:t xml:space="preserve">Physical/causal admissibility</x:t>
  </x:si>
  <x:si>
    <x:t xml:space="preserve">PC-AEP / Outcome_Requalification when material</x:t>
  </x:si>
  <x:si>
    <x:t xml:space="preserve">Supported</x:t>
  </x:si>
  <x:si>
    <x:t xml:space="preserve">Supported with bounded assumptions</x:t>
  </x:si>
  <x:si>
    <x:t xml:space="preserve">Underdetermined; escalate</x:t>
  </x:si>
  <x:si>
    <x:t xml:space="preserve">Contradicted</x:t>
  </x:si>
  <x:si>
    <x:t xml:space="preserve">NOT_MATERIAL for this policy example</x:t>
  </x:si>
  <x:si>
    <x:t xml:space="preserve">PC_AEP_Status</x:t>
  </x:si>
  <x:si>
    <x:t xml:space="preserve">Dependency / lock-in</x:t>
  </x:si>
  <x:si>
    <x:t xml:space="preserve">Dependency graph and exit plan</x:t>
  </x:si>
  <x:si>
    <x:t xml:space="preserve">Bounded</x:t>
  </x:si>
  <x:si>
    <x:t xml:space="preserve">Controls and exit plan</x:t>
  </x:si>
  <x:si>
    <x:t xml:space="preserve">Redesign needed</x:t>
  </x:si>
  <x:si>
    <x:t xml:space="preserve">Irreversible harmful lock-in</x:t>
  </x:si>
  <x:si>
    <x:t xml:space="preserve">Monitoring / reversibility</x:t>
  </x:si>
  <x:si>
    <x:t xml:space="preserve">Owner, trigger, rollback, remedy</x:t>
  </x:si>
  <x:si>
    <x:t xml:space="preserve">Missing material control</x:t>
  </x:si>
  <x:si>
    <x:t xml:space="preserve">No viable control</x:t>
  </x:si>
  <x:si>
    <x:t xml:space="preserve">PCC / Containment</x:t>
  </x:si>
  <x:si>
    <x:t xml:space="preserve">Material obligation integrity</x:t>
  </x:si>
  <x:si>
    <x:t xml:space="preserve">Material_Obligations + Responsibility_Continuity</x:t>
  </x:si>
  <x:si>
    <x:t xml:space="preserve">Carriers and controls complete and current</x:t>
  </x:si>
  <x:si>
    <x:t xml:space="preserve">Complete with binding controls</x:t>
  </x:si>
  <x:si>
    <x:t xml:space="preserve">Missing/nonperforming/rewritable control</x:t>
  </x:si>
  <x:si>
    <x:t xml:space="preserve">Control cannot contain material harm</x:t>
  </x:si>
  <x:si>
    <x:t xml:space="preserve">Hidden human compensation</x:t>
  </x:si>
  <x:si>
    <x:t xml:space="preserve">Human_Comp_Load when triggered</x:t>
  </x:si>
  <x:si>
    <x:t xml:space="preserve">Not material or observed and bounded</x:t>
  </x:si>
  <x:si>
    <x:t xml:space="preserve">Dependency protected with binding controls</x:t>
  </x:si>
  <x:si>
    <x:t xml:space="preserve">Unresolved dependency; redesign/escalate</x:t>
  </x:si>
  <x:si>
    <x:t xml:space="preserve">Uncontained capacity or continuity failure</x:t>
  </x:si>
  <x:si>
    <x:t xml:space="preserve">NOT_MATERIAL for this worked run</x:t>
  </x:si>
  <x:si>
    <x:t xml:space="preserve">Resolver rule</x:t>
  </x:si>
  <x:si>
    <x:t xml:space="preserve">Maximum material disposition across subconditions</x:t>
  </x:si>
  <x:si>
    <x:t xml:space="preserve">CSV_REDESIGN_REQUIRED or CSV_ESCALATE</x:t>
  </x:si>
  <x:si>
    <x:t xml:space="preserve">Canon v12.6 §9</x:t>
  </x:si>
  <x:si>
    <x:t xml:space="preserve">RIPPLELOGIC v12.2 / ALIGNERS v5.2.1 SOURCE-INTEGRITY AND OPERATIONAL-ASSURANCE UPDATE</x:t>
  </x:si>
  <x:si>
    <x:t xml:space="preserve">MathGov Core Release 2026.09</x:t>
  </x:si>
  <x:si>
    <x:t xml:space="preserve">Rights Floor, formally implemented as NCRC; public layer name is RF, formal predicate remains NCRC.</x:t>
  </x:si>
  <x:si>
    <x:t xml:space="preserve">CSV meaning</x:t>
  </x:si>
  <x:si>
    <x:t xml:space="preserve">Containment and Structural Viability</x:t>
  </x:si>
  <x:si>
    <x:t xml:space="preserve">CSV rule</x:t>
  </x:si>
  <x:si>
    <x:t xml:space="preserve">Not a purity filter; residual harms may carry into RLS, while uncontained/non-viable harms block, condition, redesign, escalate, or trigger emergency protocol.</x:t>
  </x:si>
  <x:si>
    <x:t xml:space="preserve">Inside CSV when material; residual tie-break or monitoring only after RLS non-decisive.</x:t>
  </x:si>
  <x:si>
    <x:t xml:space="preserve">Rights_Floor; CSV; Rights_Hardening; Tail_Emergency; Rights_Evidence_Disposition; v12_2_SGP_v8_Update</x:t>
  </x:si>
  <x:si>
    <x:t xml:space="preserve">Preserved boundaries</x:t>
  </x:si>
  <x:si>
    <x:t xml:space="preserve">No Tier 4, ProofPack, legal certification, deployment certification, or automated moral-truth claims.</x:t>
  </x:si>
  <x:si>
    <x:t xml:space="preserve">Worked-run companion only; not ProofPack, validator, legal certification, deployment certification, or Tier 4.</x:t>
  </x:si>
  <x:si>
    <x:t xml:space="preserve">Adds CSV documentation/control surface. Legacy Containment and Structural_Viability sheets remain computational surfaces interpreted under CSV.</x:t>
  </x:si>
  <x:si>
    <x:t xml:space="preserve">Component</x:t>
  </x:si>
  <x:si>
    <x:t xml:space="preserve">Exact current version</x:t>
  </x:si>
  <x:si>
    <x:t xml:space="preserve">Maturity posture</x:t>
  </x:si>
  <x:si>
    <x:t xml:space="preserve">Boundary note</x:t>
  </x:si>
  <x:si>
    <x:t xml:space="preserve">RippleLogic Canon</x:t>
  </x:si>
  <x:si>
    <x:t xml:space="preserve">Principal governing decision architecture</x:t>
  </x:si>
  <x:si>
    <x:t xml:space="preserve">High documentation and procedural maturity</x:t>
  </x:si>
  <x:si>
    <x:t xml:space="preserve">Not empirical validation, legal authority, or deployment certification</x:t>
  </x:si>
  <x:si>
    <x:t xml:space="preserve">Sentience Gradient Protocol</x:t>
  </x:si>
  <x:si>
    <x:t xml:space="preserve">Moral-patienthood, protection, participation, power, ICP, RMCP and P100 interface</x:t>
  </x:si>
  <x:si>
    <x:t xml:space="preserve">Research-source protocol; empirical calibration provisional</x:t>
  </x:si>
  <x:si>
    <x:t xml:space="preserve">Not a consciousness detector; capacity does not grant standing or authority</x:t>
  </x:si>
  <x:si>
    <x:t xml:space="preserve">ripple.md Standard</x:t>
  </x:si>
  <x:si>
    <x:t xml:space="preserve">Portable assurance wrapper</x:t>
  </x:si>
  <x:si>
    <x:t xml:space="preserve">Procedurally reproducible wrapper</x:t>
  </x:si>
  <x:si>
    <x:t xml:space="preserve">Does not supersede Canon or create a new gate</x:t>
  </x:si>
  <x:si>
    <x:t xml:space="preserve">Runtime controls, operator authority, intervention and execution records</x:t>
  </x:si>
  <x:si>
    <x:t xml:space="preserve">Implementation-research architecture</x:t>
  </x:si>
  <x:si>
    <x:t xml:space="preserve">Prompt-only enforcement is insufficient</x:t>
  </x:si>
  <x:si>
    <x:t xml:space="preserve">Compact containment and structural-viability routing standard</x:t>
  </x:si>
  <x:si>
    <x:t xml:space="preserve">Procedural standard</x:t>
  </x:si>
  <x:si>
    <x:t xml:space="preserve">UCI/HOI remain diagnostics inside CSV</x:t>
  </x:si>
  <x:si>
    <x:t xml:space="preserve">Compact five-stage implementation map</x:t>
  </x:si>
  <x:si>
    <x:t xml:space="preserve">Specification summary</x:t>
  </x:si>
  <x:si>
    <x:t xml:space="preserve">RG -&gt; RF/NCRC -&gt; TRC -&gt; CSV -&gt; RLS; no sixth gate</x:t>
  </x:si>
  <x:si>
    <x:t xml:space="preserve">Minimum replayable operating kernel and use profiles</x:t>
  </x:si>
  <x:si>
    <x:t xml:space="preserve">Procedurally reproducible</x:t>
  </x:si>
  <x:si>
    <x:t xml:space="preserve">Reproducibility does not prove evidence truth or moral correctness</x:t>
  </x:si>
  <x:si>
    <x:t xml:space="preserve">Welfare-dimension boundary and interaction protocol beneath RLS</x:t>
  </x:si>
  <x:si>
    <x:t xml:space="preserve">Measurement protocol; validation provisional</x:t>
  </x:si>
  <x:si>
    <x:t xml:space="preserve">Not an eighth dimension, option gate, or moral-status instrument</x:t>
  </x:si>
  <x:si>
    <x:t xml:space="preserve">Empirical validation-study and falsification design</x:t>
  </x:si>
  <x:si>
    <x:t xml:space="preserve">Level 1 study-ready</x:t>
  </x:si>
  <x:si>
    <x:t xml:space="preserve">Reliability, validity, and latent structure remain unestablished</x:t>
  </x:si>
  <x:si>
    <x:t xml:space="preserve">Informative human doorway</x:t>
  </x:si>
  <x:si>
    <x:t xml:space="preserve">Informative</x:t>
  </x:si>
  <x:si>
    <x:t xml:space="preserve">Does not govern when it conflicts with Canon</x:t>
  </x:si>
  <x:si>
    <x:t xml:space="preserve">Shortest teaching doorway</x:t>
  </x:si>
  <x:si>
    <x:t xml:space="preserve">Eligible(a) is teaching shorthand, not a sixth predicate</x:t>
  </x:si>
  <x:si>
    <x:t xml:space="preserve">Physical/causal admissibility evidence profile</x:t>
  </x:si>
  <x:si>
    <x:t xml:space="preserve">Domain-warrant interface</x:t>
  </x:si>
  <x:si>
    <x:t xml:space="preserve">Not a physics engine or safety certification</x:t>
  </x:si>
  <x:si>
    <x:t xml:space="preserve">MFDI Standard</x:t>
  </x:si>
  <x:si>
    <x:t xml:space="preserve">Claim typing, falsification, dependency and re-derivation discipline</x:t>
  </x:si>
  <x:si>
    <x:t xml:space="preserve">Methodological record standard</x:t>
  </x:si>
  <x:si>
    <x:t xml:space="preserve">Does not supply external empirical truth</x:t>
  </x:si>
  <x:si>
    <x:t xml:space="preserve">Source-Coupling Integrity Standard</x:t>
  </x:si>
  <x:si>
    <x:t xml:space="preserve">Capability-source and source-debt discipline</x:t>
  </x:si>
  <x:si>
    <x:t xml:space="preserve">Diagnostic standard</x:t>
  </x:si>
  <x:si>
    <x:t xml:space="preserve">Output performance is not source-coupling evidence</x:t>
  </x:si>
  <x:si>
    <x:t xml:space="preserve">Tier 2 worked-run exemplar, training surface and audit aid</x:t>
  </x:si>
  <x:si>
    <x:t xml:space="preserve">Formula-linked bounded exemplar</x:t>
  </x:si>
  <x:si>
    <x:t xml:space="preserve">Not a validator or reference calculator; PLSS comparison does not validate weights</x:t>
  </x:si>
  <x:si>
    <x:t xml:space="preserve">Core-set rule</x:t>
  </x:si>
  <x:si>
    <x:t xml:space="preserve">The operational core_15 bundle contains 14 DOCX files and this one XLSX workbook.</x:t>
  </x:si>
  <x:si>
    <x:t xml:space="preserve">Coordination artifact</x:t>
  </x:si>
  <x:si>
    <x:t xml:space="preserve">CORE_COMPONENT_MAP is a coordination and authority map included in the full package, not a sixteenth governing core artifact.</x:t>
  </x:si>
  <x:si>
    <x:t xml:space="preserve">Release identity</x:t>
  </x:si>
  <x:si>
    <x:t xml:space="preserve">MathGov Core Release 2026.09 v12.6 / SGP v8.5</x:t>
  </x:si>
  <x:si>
    <x:t xml:space="preserve">PC-AEP STATUS RECORD</x:t>
  </x:si>
  <x:si>
    <x:t xml:space="preserve">Physical/Causal Admissibility Evidence Profile status for the worked-run exemplar</x:t>
  </x:si>
  <x:si>
    <x:t xml:space="preserve">PC_AEP_STATUS</x:t>
  </x:si>
  <x:si>
    <x:t xml:space="preserve">NOT_TRIGGERED_FOR_THIS_WORKED_RUN</x:t>
  </x:si>
  <x:si>
    <x:t xml:space="preserve">Remote-work policy exemplar is not a high-stakes physical/cyber-physical execution claim. Physical/operational impacts are handled through ordinary welfare, TRC, and CSV disclosure. Strong deployment or safety claims would require a triggered PC-AEP with external domain evidence.</x:t>
  </x:si>
  <x:si>
    <x:t xml:space="preserve">Worked-run exemplar only; not physical safety proof, deployment certification, legal certification, medical clearance, or engineering verification.</x:t>
  </x:si>
  <x:si>
    <x:t xml:space="preserve">physical_or_causal_model_used</x:t>
  </x:si>
  <x:si>
    <x:t xml:space="preserve">Not triggered</x:t>
  </x:si>
  <x:si>
    <x:t xml:space="preserve">NOT_APPLICABLE</x:t>
  </x:si>
  <x:si>
    <x:t xml:space="preserve">No material physical execution claim in this exemplar.</x:t>
  </x:si>
  <x:si>
    <x:t xml:space="preserve">validity_domain</x:t>
  </x:si>
  <x:si>
    <x:t xml:space="preserve">Remote-work policy scenario only</x:t>
  </x:si>
  <x:si>
    <x:t xml:space="preserve">BOUNDARY_DECLARED</x:t>
  </x:si>
  <x:si>
    <x:t xml:space="preserve">No deployment claim beyond workbook example.</x:t>
  </x:si>
  <x:si>
    <x:t xml:space="preserve">boundary_conditions</x:t>
  </x:si>
  <x:si>
    <x:t xml:space="preserve">Ordinary policy analysis; no robot/vehicle/medical/infrastructure control</x:t>
  </x:si>
  <x:si>
    <x:t xml:space="preserve">If deployment affects physical operations materially, PC-AEP must be reopened.</x:t>
  </x:si>
  <x:si>
    <x:t xml:space="preserve">uncertainty_range</x:t>
  </x:si>
  <x:si>
    <x:t xml:space="preserve">Handled through existing scenario, TRC, CSV, physical-admissibility, and uncertainty disclosures; technical selection does not create execution permission.</x:t>
  </x:si>
  <x:si>
    <x:t xml:space="preserve">Not physical-admissibility evidence.</x:t>
  </x:si>
  <x:si>
    <x:t xml:space="preserve">failure_modes</x:t>
  </x:si>
  <x:si>
    <x:t xml:space="preserve">Policy implementation harms considered in welfare/TRC/CSV surfaces</x:t>
  </x:si>
  <x:si>
    <x:t xml:space="preserve">Not a physical safety case.</x:t>
  </x:si>
  <x:si>
    <x:t xml:space="preserve">reversibility_or_irreversibility_boundary</x:t>
  </x:si>
  <x:si>
    <x:t xml:space="preserve">Policy change is administratively reversible in exemplar</x:t>
  </x:si>
  <x:si>
    <x:t xml:space="preserve">Real deployments must verify operational reversibility.</x:t>
  </x:si>
  <x:si>
    <x:t xml:space="preserve">verification_simulation_empirical_test_or_expert_warrant</x:t>
  </x:si>
  <x:si>
    <x:t xml:space="preserve">Not supplied for physical execution</x:t>
  </x:si>
  <x:si>
    <x:t xml:space="preserve">NOT_REQUIRED_FOR_EXEMPLAR</x:t>
  </x:si>
  <x:si>
    <x:t xml:space="preserve">Required before stronger physical-execution claim.</x:t>
  </x:si>
  <x:si>
    <x:t xml:space="preserve">monitoring_and_shutoff_path</x:t>
  </x:si>
  <x:si>
    <x:t xml:space="preserve">Ordinary policy monitoring only</x:t>
  </x:si>
  <x:si>
    <x:t xml:space="preserve">Not an engineering shutoff path.</x:t>
  </x:si>
  <x:si>
    <x:t xml:space="preserve">residual_unknowns</x:t>
  </x:si>
  <x:si>
    <x:t xml:space="preserve">Deployment context, worker home conditions, organization-specific impacts</x:t>
  </x:si>
  <x:si>
    <x:t xml:space="preserve">Narrow before deployment.</x:t>
  </x:si>
  <x:si>
    <x:t xml:space="preserve">required_claim_action</x:t>
  </x:si>
  <x:si>
    <x:t xml:space="preserve">narrow</x:t>
  </x:si>
  <x:si>
    <x:t xml:space="preserve">Keep claim scoped to worked-run exemplar.</x:t>
  </x:si>
  <x:si>
    <x:t xml:space="preserve">MathGov v12.2.1 / SGP v8.1.1 Workbook Integration</x:t>
  </x:si>
  <x:si>
    <x:t xml:space="preserve">2026.09 v12.2.1 / SGP v8.1.1 Formula and Interface Integrity Integration</x:t>
  </x:si>
  <x:si>
    <x:t xml:space="preserve">14 July 2026</x:t>
  </x:si>
  <x:si>
    <x:t xml:space="preserve">RippleLogic Aligners Sheet v5.2.1</x:t>
  </x:si>
  <x:si>
    <x:t xml:space="preserve">Worked-run exemplar; not validator</x:t>
  </x:si>
  <x:si>
    <x:t xml:space="preserve">Implementation</x:t>
  </x:si>
  <x:si>
    <x:t xml:space="preserve">Reason</x:t>
  </x:si>
  <x:si>
    <x:t xml:space="preserve">Construct split</x:t>
  </x:si>
  <x:si>
    <x:t xml:space="preserve">MPS, FPP, GPR, SPR, ICP, RMCP, and P100 recorded separately</x:t>
  </x:si>
  <x:si>
    <x:t xml:space="preserve">Prevents protection, participation, intelligence, and power collapse</x:t>
  </x:si>
  <x:si>
    <x:t xml:space="preserve">Human rule</x:t>
  </x:si>
  <x:si>
    <x:t xml:space="preserve">Every human FPP-100; humanity collective RMCP-P100 current known anchor</x:t>
  </x:si>
  <x:si>
    <x:t xml:space="preserve">Protects equal dignity while preserving measurable collective reality-management calibration</x:t>
  </x:si>
  <x:si>
    <x:t xml:space="preserve">Welfare use</x:t>
  </x:si>
  <x:si>
    <x:t xml:space="preserve">h_welfare hypothesis coefficient; human-only value 1.00</x:t>
  </x:si>
  <x:si>
    <x:t xml:space="preserve">MPS evidence determines protection posture and required hypotheses, not a cardinal welfare weight</x:t>
  </x:si>
  <x:si>
    <x:t xml:space="preserve">No inference from MPS/FPP</x:t>
  </x:si>
  <x:si>
    <x:t xml:space="preserve">CMIU is Canon-defined governance coordination</x:t>
  </x:si>
  <x:si>
    <x:t xml:space="preserve">Legacy v7</x:t>
  </x:si>
  <x:si>
    <x:t xml:space="preserve">No automatic translation</x:t>
  </x:si>
  <x:si>
    <x:t xml:space="preserve">v7 values are not mathematically equivalent</x:t>
  </x:si>
  <x:si>
    <x:t xml:space="preserve">Registry</x:t>
  </x:si>
  <x:si>
    <x:t xml:space="preserve">Missing identity/evidence/version is MPS-NE, INADMISSIBLE, or INDETERMINATE</x:t>
  </x:si>
  <x:si>
    <x:t xml:space="preserve">Unknown is not zero and is not MPS-0</x:t>
  </x:si>
  <x:si>
    <x:t xml:space="preserve">Validation</x:t>
  </x:si>
  <x:si>
    <x:t xml:space="preserve">Interface conformance cases disclosed in SGP_Split_Guardrail and SGP_v8_3_RMCP</x:t>
  </x:si>
  <x:si>
    <x:t xml:space="preserve">Supports audit and replay; does not establish empirical validation</x:t>
  </x:si>
  <x:si>
    <x:t xml:space="preserve">Scope boundary: this workbook remains a human-only Tier-2 worked-run exemplar. It does not perform universal MPS or RMCP assessment, assign P100 to new candidates, or certify consciousness, legal status, CMIU membership, authority, deployment, Tier 4, or ProofPack.</x:t>
  </x:si>
  <x:si>
    <x:t xml:space="preserve">RMCP/P100 are informative interface records only; no worked-run numerical ranking uses them.</x:t>
  </x:si>
  <x:si>
    <x:t xml:space="preserve">Coverage source</x:t>
  </x:si>
  <x:si>
    <x:t xml:space="preserve">Worked-run disposition</x:t>
  </x:si>
  <x:si>
    <x:t xml:space="preserve">Numeric-zero rule</x:t>
  </x:si>
  <x:si>
    <x:t xml:space="preserve">Evidence / rationale</x:t>
  </x:si>
  <x:si>
    <x:t xml:space="preserve">Uncertainty / review</x:t>
  </x:si>
  <x:si>
    <x:t xml:space="preserve">CoverageKey</x:t>
  </x:si>
  <x:si>
    <x:t xml:space="preserve">KeyCount</x:t>
  </x:si>
  <x:si>
    <x:t xml:space="preserve">Disposition completeness control</x:t>
  </x:si>
  <x:si>
    <x:t xml:space="preserve">-0.9</x:t>
  </x:si>
  <x:si>
    <x:t xml:space="preserve">EVIDENCE_BACKED_NO_MATERIAL_CHANGE</x:t>
  </x:si>
  <x:si>
    <x:t xml:space="preserve">A zero is valid only with this explicit disposition and rationale; it is not a blank or silent default.</x:t>
  </x:si>
  <x:si>
    <x:t xml:space="preserve">Scoped Tier-2 rights sweep found no material pathway in the documented remote-work options. This is an analyst disposition for a worked example, not independent empirical validation.</x:t>
  </x:si>
  <x:si>
    <x:t xml:space="preserve">Tier-2 analyst review; rerun for stronger claims or changed context.</x:t>
  </x:si>
  <x:si>
    <x:t xml:space="preserve">New stakeholder, adverse report, option redesign, scale expansion, or contradictory evidence.</x:t>
  </x:si>
  <x:si>
    <x:t xml:space="preserve">Coverage rows</x:t>
  </x:si>
  <x:si>
    <x:t xml:space="preserve">Missing dispositions</x:t>
  </x:si>
  <x:si>
    <x:t xml:space="preserve">Duplicate keys</x:t>
  </x:si>
  <x:si>
    <x:t xml:space="preserve">Join status</x:t>
  </x:si>
  <x:si>
    <x:t xml:space="preserve">-0.7</x:t>
  </x:si>
  <x:si>
    <x:t xml:space="preserve">-0.65</x:t>
  </x:si>
  <x:si>
    <x:t xml:space="preserve">Zero allowed only after the logged instances and subgroup review support no material change.</x:t>
  </x:si>
  <x:si>
    <x:t xml:space="preserve">An explicit Impact_Input instance is logged for this union-dimension cell; rights review still uses the Base stream and worst-affected subgroup semantics.</x:t>
  </x:si>
  <x:si>
    <x:t xml:space="preserve">-0.5</x:t>
  </x:si>
  <x:si>
    <x:t xml:space="preserve">-0.55</x:t>
  </x:si>
  <x:si>
    <x:t xml:space="preserve">-0.45</x:t>
  </x:si>
  <x:si>
    <x:t xml:space="preserve">-0.4</x:t>
  </x:si>
  <x:si>
    <x:t xml:space="preserve">SGP v8.4 REALITY-MANAGEMENT CAPACITY PROFILE (RMCP) / OPEN P100 INTERFACE</x:t>
  </x:si>
  <x:si>
    <x:t xml:space="preserve">Informative SGP v8.3 interface and calibration record; not a worked-run welfare multiplier, sentience detector, validator, CMIU-membership rule, or authority grant. The worksheet tab identifier is retained only for backward-compatible lineage.</x:t>
  </x:si>
  <x:si>
    <x:t xml:space="preserve">Human dual anchor</x:t>
  </x:si>
  <x:si>
    <x:t xml:space="preserve">Every human person = FPP-100. Humanity collectively = current known RMCP-P100 calibration anchor.</x:t>
  </x:si>
  <x:si>
    <x:t xml:space="preserve">Open plateau</x:t>
  </x:si>
  <x:si>
    <x:t xml:space="preserve">Biological, digital, hybrid, collective, or extraterrestrial intelligences may reach or may already occupy P100 when admissible evidence supports functional equivalence or greater capacity.</x:t>
  </x:si>
  <x:si>
    <x:t xml:space="preserve">RMCP dimension</x:t>
  </x:si>
  <x:si>
    <x:t xml:space="preserve">Core evidence question</x:t>
  </x:si>
  <x:si>
    <x:t xml:space="preserve">0–4 ordinal anchor</x:t>
  </x:si>
  <x:si>
    <x:t xml:space="preserve">Non-collapse guard</x:t>
  </x:si>
  <x:si>
    <x:t xml:space="preserve">R1</x:t>
  </x:si>
  <x:si>
    <x:t xml:space="preserve">Reality-grounded causal modelling</x:t>
  </x:si>
  <x:si>
    <x:t xml:space="preserve">Can the target explain, predict, intervene, test, and correct models against evidence?</x:t>
  </x:si>
  <x:si>
    <x:t xml:space="preserve">0 none/against; 1 local; 2 flexible; 3 cumulative multi-domain; 4 open-ended civilizational/planetary equivalent</x:t>
  </x:si>
  <x:si>
    <x:t xml:space="preserve">Domain, tests, errors, correction record</x:t>
  </x:si>
  <x:si>
    <x:t xml:space="preserve">Accuracy alone is not sentience</x:t>
  </x:si>
  <x:si>
    <x:t xml:space="preserve">R2</x:t>
  </x:si>
  <x:si>
    <x:t xml:space="preserve">Recursive Union Awareness</x:t>
  </x:si>
  <x:si>
    <x:t xml:space="preserve">Can it locate self/collective inside wider causal systems and revise action across scales?</x:t>
  </x:si>
  <x:si>
    <x:t xml:space="preserve">0–4 with uncertainty or NE</x:t>
  </x:si>
  <x:si>
    <x:t xml:space="preserve">System boundaries, dependencies, consequence updates</x:t>
  </x:si>
  <x:si>
    <x:t xml:space="preserve">Not proof of metaphysical oneness</x:t>
  </x:si>
  <x:si>
    <x:t xml:space="preserve">R3</x:t>
  </x:si>
  <x:si>
    <x:t xml:space="preserve">Formal symbolic abstraction</x:t>
  </x:si>
  <x:si>
    <x:t xml:space="preserve">Can it use transferable language, logic, mathematics, or functionally equivalent representations?</x:t>
  </x:si>
  <x:si>
    <x:t xml:space="preserve">Representation type and cross-context transfer</x:t>
  </x:si>
  <x:si>
    <x:t xml:space="preserve">Human language is not required</x:t>
  </x:si>
  <x:si>
    <x:t xml:space="preserve">R4</x:t>
  </x:si>
  <x:si>
    <x:t xml:space="preserve">Cumulative knowledge continuity</x:t>
  </x:si>
  <x:si>
    <x:t xml:space="preserve">Can knowledge persist, improve, and transmit across generations or instances?</x:t>
  </x:si>
  <x:si>
    <x:t xml:space="preserve">Lineage, memory, inheritance, loss risks</x:t>
  </x:si>
  <x:si>
    <x:t xml:space="preserve">Scaffolding must be disclosed</x:t>
  </x:si>
  <x:si>
    <x:t xml:space="preserve">R5</x:t>
  </x:si>
  <x:si>
    <x:t xml:space="preserve">Tool and intervention breadth</x:t>
  </x:si>
  <x:si>
    <x:t xml:space="preserve">Can it create tools that extend observation and action across domains?</x:t>
  </x:si>
  <x:si>
    <x:t xml:space="preserve">Tools, causal reach, reversibility</x:t>
  </x:si>
  <x:si>
    <x:t xml:space="preserve">Power is not moral worth</x:t>
  </x:si>
  <x:si>
    <x:t xml:space="preserve">R6</x:t>
  </x:si>
  <x:si>
    <x:t xml:space="preserve">Distributed coordination</x:t>
  </x:si>
  <x:si>
    <x:t xml:space="preserve">Can many agents or parts coordinate through institutions or equivalent mechanisms?</x:t>
  </x:si>
  <x:si>
    <x:t xml:space="preserve">Membership, governance, capture risks</x:t>
  </x:si>
  <x:si>
    <x:t xml:space="preserve">Collective boundary must be explicit</x:t>
  </x:si>
  <x:si>
    <x:t xml:space="preserve">R7</x:t>
  </x:si>
  <x:si>
    <x:t xml:space="preserve">Long-horizon continuity</x:t>
  </x:si>
  <x:si>
    <x:t xml:space="preserve">Can it preserve goals, knowledge, and correction over long periods?</x:t>
  </x:si>
  <x:si>
    <x:t xml:space="preserve">Time horizon, continuity, succession</x:t>
  </x:si>
  <x:si>
    <x:t xml:space="preserve">Persistence is not wise performance</x:t>
  </x:si>
  <x:si>
    <x:t xml:space="preserve">R8</x:t>
  </x:si>
  <x:si>
    <x:t xml:space="preserve">Normative scope and responsibility</x:t>
  </x:si>
  <x:si>
    <x:t xml:space="preserve">Can it identify affected stakeholders and accept duties beyond immediate self-interest?</x:t>
  </x:si>
  <x:si>
    <x:t xml:space="preserve">Rules, remedies, distant and future coverage</x:t>
  </x:si>
  <x:si>
    <x:t xml:space="preserve">Profession of ethics is not enough</x:t>
  </x:si>
  <x:si>
    <x:t xml:space="preserve">R9</x:t>
  </x:si>
  <x:si>
    <x:t xml:space="preserve">Cross-scale causal reach</x:t>
  </x:si>
  <x:si>
    <x:t xml:space="preserve">Can it monitor and deliberately alter or preserve systems from local to planetary or equivalent scales?</x:t>
  </x:si>
  <x:si>
    <x:t xml:space="preserve">Scale, dependence, externalities</x:t>
  </x:si>
  <x:si>
    <x:t xml:space="preserve">Influence alone is not stewardship</x:t>
  </x:si>
  <x:si>
    <x:t xml:space="preserve">R10</x:t>
  </x:si>
  <x:si>
    <x:t xml:space="preserve">Reflective correction and restraint</x:t>
  </x:si>
  <x:si>
    <x:t xml:space="preserve">Can it detect harmful consequences, repair errors, and constrain its own power?</x:t>
  </x:si>
  <x:si>
    <x:t xml:space="preserve">Monitoring, remedy, rollback, revision</x:t>
  </x:si>
  <x:si>
    <x:t xml:space="preserve">Capacity and performance remain separate</x:t>
  </x:si>
  <x:si>
    <x:t xml:space="preserve">P100 admission criterion</x:t>
  </x:si>
  <x:si>
    <x:t xml:space="preserve">Full RMCP profile functionally equals or exceeds the current human collective anchor across preregistered critical dimensions; no critical lower bound fails; continuity, scaffolding, causal scale, alternative explanations, and independent review are recorded.</x:t>
  </x:si>
  <x:si>
    <x:t xml:space="preserve">P100 overmatch rule</x:t>
  </x:si>
  <x:si>
    <x:t xml:space="preserve">A target that substantially exceeds the human anchor remains in P100; differences stay visible in the profile rather than becoming a 101 supremacy caste.</x:t>
  </x:si>
  <x:si>
    <x:t xml:space="preserve">Authority rule</x:t>
  </x:si>
  <x:si>
    <x:t xml:space="preserve">RMCP/P100 may inform named GPR/SPR analysis only. Authority still requires Reality Grounding, RF/NCRC, TRC, CSV, competence, containment, lawful mandate, auditability, revocability, and monitoring.</x:t>
  </x:si>
  <x:si>
    <x:t xml:space="preserve">Protection-use rule</x:t>
  </x:si>
  <x:si>
    <x:t xml:space="preserve">No accountable agent may treat FPP beings as food, fuel, property, disposable experimental stock, or expendable material merely because it is stronger or more capable.</x:t>
  </x:si>
  <x:si>
    <x:t xml:space="preserve">Missing evidence</x:t>
  </x:si>
  <x:si>
    <x:t xml:space="preserve">Use NE, INDETERMINATE, or INADMISSIBLE as appropriate. Unknown is not zero.</x:t>
  </x:si>
  <x:si>
    <x:t xml:space="preserve">Workbook current use</x:t>
  </x:si>
  <x:si>
    <x:t xml:space="preserve">Humanity collective RMCP-P100 is recorded as the current calibration reference only. This workbook does not score individual humans or new candidates, and no formula uses RMCP/P100 as welfare or authority weight.</x:t>
  </x:si>
  <x:si>
    <x:t xml:space="preserve">Validation dependency</x:t>
  </x:si>
  <x:si>
    <x:t xml:space="preserve">Use SGP Validation Protocol v2.1 for inter-rater reliability, anchor stability, scaffolding dependence, cross-substrate invariance, anti-theatre, and P100 challenger review.</x:t>
  </x:si>
  <x:si>
    <x:t xml:space="preserve">Current pins</x:t>
  </x:si>
  <x:si>
    <x:t xml:space="preserve">Canon v12.5 / SGP v8.4 / SGP Validation v2.1 / Aligners Sheet v5.5</x:t>
  </x:si>
  <x:si>
    <x:t xml:space="preserve">MATHGOV REPRODUCIBILITY CHECK - v12.6 / SGP v8.5</x:t>
  </x:si>
  <x:si>
    <x:t xml:space="preserve">Worked-run conformance and replay checklist. This sheet does not validate evidence, measurements, law, safety, or moral truth.</x:t>
  </x:si>
  <x:si>
    <x:t xml:space="preserve">Standard</x:t>
  </x:si>
  <x:si>
    <x:t xml:space="preserve">MathGov Reproducibility and Use Standard v1.4</x:t>
  </x:si>
  <x:si>
    <x:t xml:space="preserve">Machine record</x:t>
  </x:si>
  <x:si>
    <x:t xml:space="preserve">Use profile</x:t>
  </x:si>
  <x:si>
    <x:t xml:space="preserve">Typical use</x:t>
  </x:si>
  <x:si>
    <x:t xml:space="preserve">Minimum record</x:t>
  </x:si>
  <x:si>
    <x:t xml:space="preserve">Escalate when</x:t>
  </x:si>
  <x:si>
    <x:t xml:space="preserve">Numeric ranking</x:t>
  </x:si>
  <x:si>
    <x:t xml:space="preserve">Current workbook posture</x:t>
  </x:si>
  <x:si>
    <x:t xml:space="preserve">QUICK / Tier 1</x:t>
  </x:si>
  <x:si>
    <x:t xml:space="preserve">Personal, family, classroom, low-stakes reversible</x:t>
  </x:si>
  <x:si>
    <x:t xml:space="preserve">Short facts / gates / ripple / controls record</x:t>
  </x:si>
  <x:si>
    <x:t xml:space="preserve">Rights, ruin, vulnerable group, public claim, physical execution</x:t>
  </x:si>
  <x:si>
    <x:t xml:space="preserve">Optional qualitative</x:t>
  </x:si>
  <x:si>
    <x:t xml:space="preserve">This workbook is more detailed than Quick</x:t>
  </x:si>
  <x:si>
    <x:t xml:space="preserve">STANDARD / Tier 2</x:t>
  </x:si>
  <x:si>
    <x:t xml:space="preserve">Organization, community, programme, bounded policy</x:t>
  </x:si>
  <x:si>
    <x:t xml:space="preserve">Evidence, parameter lock, gate records, uncertainty, controls</x:t>
  </x:si>
  <x:si>
    <x:t xml:space="preserve">Irreversibility, major public impact, consequential autonomy</x:t>
  </x:si>
  <x:si>
    <x:t xml:space="preserve">Declared method with sensitivity</x:t>
  </x:si>
  <x:si>
    <x:t xml:space="preserve">Current worked-run exemplar</x:t>
  </x:si>
  <x:si>
    <x:t xml:space="preserve">AUDIT / Tier 3</x:t>
  </x:si>
  <x:si>
    <x:t xml:space="preserve">Public, contested, high-impact, high-stakes</x:t>
  </x:si>
  <x:si>
    <x:t xml:space="preserve">Full schema, hashes, independent review and replay</x:t>
  </x:si>
  <x:si>
    <x:t xml:space="preserve">Always for public conformance or catastrophic possibility</x:t>
  </x:si>
  <x:si>
    <x:t xml:space="preserve">Formal method plus maturity disclosure</x:t>
  </x:si>
  <x:si>
    <x:t xml:space="preserve">Not claimed by this workbook</x:t>
  </x:si>
  <x:si>
    <x:t xml:space="preserve">Kernel rule</x:t>
  </x:si>
  <x:si>
    <x:t xml:space="preserve">Workbook evidence surface</x:t>
  </x:si>
  <x:si>
    <x:t xml:space="preserve">K01 Identity and scope</x:t>
  </x:si>
  <x:si>
    <x:t xml:space="preserve">CANON version and current release pins</x:t>
  </x:si>
  <x:si>
    <x:t xml:space="preserve">RippleLogic v12.6 / SGP v8.5</x:t>
  </x:si>
  <x:si>
    <x:t xml:space="preserve">Record identity only</x:t>
  </x:si>
  <x:si>
    <x:t xml:space="preserve">K02 Parameter lock</x:t>
  </x:si>
  <x:si>
    <x:t xml:space="preserve">Parameters and preregistration surfaces</x:t>
  </x:si>
  <x:si>
    <x:t xml:space="preserve">Declared before outcome-sensitive ranking</x:t>
  </x:si>
  <x:si>
    <x:t xml:space="preserve">Workbook cannot prove timing independently</x:t>
  </x:si>
  <x:si>
    <x:t xml:space="preserve">K03 Reality Grounding</x:t>
  </x:si>
  <x:si>
    <x:t xml:space="preserve">Reality_Grounding sheet</x:t>
  </x:si>
  <x:si>
    <x:t xml:space="preserve">Required evidence / unknown / claim-boundary record</x:t>
  </x:si>
  <x:si>
    <x:t xml:space="preserve">Present</x:t>
  </x:si>
  <x:si>
    <x:t xml:space="preserve">Evidence truth not validated</x:t>
  </x:si>
  <x:si>
    <x:t xml:space="preserve">K04 Rights Floor</x:t>
  </x:si>
  <x:si>
    <x:t xml:space="preserve">Rights_Floor and NCRC sheets</x:t>
  </x:si>
  <x:si>
    <x:t xml:space="preserve">No compensation by RLS</x:t>
  </x:si>
  <x:si>
    <x:t xml:space="preserve">Legal interpretation not certified</x:t>
  </x:si>
  <x:si>
    <x:t xml:space="preserve">K05 TRC</x:t>
  </x:si>
  <x:si>
    <x:t xml:space="preserve">TRC and Tail_Emergency sheets</x:t>
  </x:si>
  <x:si>
    <x:t xml:space="preserve">Ruin paths separately bounded</x:t>
  </x:si>
  <x:si>
    <x:t xml:space="preserve">Scenario completeness not validated</x:t>
  </x:si>
  <x:si>
    <x:t xml:space="preserve">K06 CSV</x:t>
  </x:si>
  <x:si>
    <x:t xml:space="preserve">CSV / Containment / Structural_Viability</x:t>
  </x:si>
  <x:si>
    <x:t xml:space="preserve">Only pass / pass-with-controls / not-material may be selectable</x:t>
  </x:si>
  <x:si>
    <x:t xml:space="preserve">UCI/HOI remain provisional</x:t>
  </x:si>
  <x:si>
    <x:t xml:space="preserve">K07 Selectable set</x:t>
  </x:si>
  <x:si>
    <x:t xml:space="preserve">Only qualified options proceed</x:t>
  </x:si>
  <x:si>
    <x:t xml:space="preserve">Worked-run logic only</x:t>
  </x:si>
  <x:si>
    <x:t xml:space="preserve">K08 Residual ranking</x:t>
  </x:si>
  <x:si>
    <x:t xml:space="preserve">RLS sheet</x:t>
  </x:si>
  <x:si>
    <x:t xml:space="preserve">Only selectable options ranked</x:t>
  </x:si>
  <x:si>
    <x:t xml:space="preserve">RLS instrument not validated</x:t>
  </x:si>
  <x:si>
    <x:t xml:space="preserve">K09 Decision state</x:t>
  </x:si>
  <x:si>
    <x:t xml:space="preserve">Dashboard and Verdict_Hardening</x:t>
  </x:si>
  <x:si>
    <x:t xml:space="preserve">Decisive / non-decisive / refusal / authority selection explicit</x:t>
  </x:si>
  <x:si>
    <x:t xml:space="preserve">Authority choice is not proof of optimality</x:t>
  </x:si>
  <x:si>
    <x:t xml:space="preserve">K10 Authority and execution</x:t>
  </x:si>
  <x:si>
    <x:t xml:space="preserve">Agent / deployment / authority surfaces</x:t>
  </x:si>
  <x:si>
    <x:t xml:space="preserve">Selection does not imply execution</x:t>
  </x:si>
  <x:si>
    <x:t xml:space="preserve">No deployment certification</x:t>
  </x:si>
  <x:si>
    <x:t xml:space="preserve">K11 Controls and monitoring</x:t>
  </x:si>
  <x:si>
    <x:t xml:space="preserve">CSV / Audit_Flags / PCC</x:t>
  </x:si>
  <x:si>
    <x:t xml:space="preserve">Controls, review, reopen triggers where material</x:t>
  </x:si>
  <x:si>
    <x:t xml:space="preserve">External monitoring still required</x:t>
  </x:si>
  <x:si>
    <x:t xml:space="preserve">K12 Requalification</x:t>
  </x:si>
  <x:si>
    <x:t xml:space="preserve">Qualification_Continuity / distribution-shift companions</x:t>
  </x:si>
  <x:si>
    <x:t xml:space="preserve">Material change reopens affected stages</x:t>
  </x:si>
  <x:si>
    <x:t xml:space="preserve">Trigger detection may require external systems</x:t>
  </x:si>
  <x:si>
    <x:t xml:space="preserve">Canon pin</x:t>
  </x:si>
  <x:si>
    <x:t xml:space="preserve">Current workbook control surface</x:t>
  </x:si>
  <x:si>
    <x:t xml:space="preserve">SGP pin</x:t>
  </x:si>
  <x:si>
    <x:t xml:space="preserve">Current moral-status interface</x:t>
  </x:si>
  <x:si>
    <x:t xml:space="preserve">SGP type-separation vectors</x:t>
  </x:si>
  <x:si>
    <x:t xml:space="preserve">All PASS</x:t>
  </x:si>
  <x:si>
    <x:t xml:space="preserve">MPS/FPP/GPR/SPR/ICP/RMCP/P100 non-collapse</x:t>
  </x:si>
  <x:si>
    <x:t xml:space="preserve">Formula-error scan</x:t>
  </x:si>
  <x:si>
    <x:t xml:space="preserve">External verifier</x:t>
  </x:si>
  <x:si>
    <x:t xml:space="preserve">No spreadsheet error values</x:t>
  </x:si>
  <x:si>
    <x:t xml:space="preserve">Run release verifier</x:t>
  </x:si>
  <x:si>
    <x:t xml:space="preserve">Artifact_tool and release scripts perform final scan</x:t>
  </x:si>
  <x:si>
    <x:t xml:space="preserve">Replay claim boundary</x:t>
  </x:si>
  <x:si>
    <x:t xml:space="preserve">A passing sheet or JSON validator establishes record and cascade conformance only. It does not establish evidence truth, empirical validity, legal authority, physical safety, or moral truth.</x:t>
  </x:si>
  <x:si>
    <x:t xml:space="preserve">K13 Material obligation integrity</x:t>
  </x:si>
  <x:si>
    <x:t xml:space="preserve">Material_Obligations / Responsibility_Continuity</x:t>
  </x:si>
  <x:si>
    <x:t xml:space="preserve">Controlled selectability has carried, current, enforceable duties</x:t>
  </x:si>
  <x:si>
    <x:t xml:space="preserve">PASS_WITH_CONTROLS</x:t>
  </x:si>
  <x:si>
    <x:t xml:space="preserve">Effectiveness remains evidence-bounded</x:t>
  </x:si>
  <x:si>
    <x:t xml:space="preserve">K14 Human compensation load</x:t>
  </x:si>
  <x:si>
    <x:t xml:space="preserve">Triggered dependencies are visible and protected before role removal or automation</x:t>
  </x:si>
  <x:si>
    <x:t xml:space="preserve">NOT_MATERIAL for worked run</x:t>
  </x:si>
  <x:si>
    <x:t xml:space="preserve">Reopen if scope changes</x:t>
  </x:si>
  <x:si>
    <x:t xml:space="preserve">Step</x:t>
  </x:si>
  <x:si>
    <x:t xml:space="preserve">Surface</x:t>
  </x:si>
  <x:si>
    <x:t xml:space="preserve">Edit class</x:t>
  </x:si>
  <x:si>
    <x:t xml:space="preserve">Produces / routes to</x:t>
  </x:si>
  <x:si>
    <x:t xml:space="preserve">How_To_Use / CANON</x:t>
  </x:si>
  <x:si>
    <x:t xml:space="preserve">Read boundaries, pins, and run order</x:t>
  </x:si>
  <x:si>
    <x:t xml:space="preserve">Required</x:t>
  </x:si>
  <x:si>
    <x:t xml:space="preserve">READ</x:t>
  </x:si>
  <x:si>
    <x:t xml:space="preserve">Declared profile</x:t>
  </x:si>
  <x:si>
    <x:t xml:space="preserve">Config / Parameters</x:t>
  </x:si>
  <x:si>
    <x:t xml:space="preserve">Lock assumptions, thresholds, evidence cutoff</x:t>
  </x:si>
  <x:si>
    <x:t xml:space="preserve">INPUT</x:t>
  </x:si>
  <x:si>
    <x:t xml:space="preserve">Parameter lock</x:t>
  </x:si>
  <x:si>
    <x:t xml:space="preserve">Reality_Grounding / Category_Grounding</x:t>
  </x:si>
  <x:si>
    <x:t xml:space="preserve">Ground claims, categories, unknowns</x:t>
  </x:si>
  <x:si>
    <x:t xml:space="preserve">Required when material</x:t>
  </x:si>
  <x:si>
    <x:t xml:space="preserve">INPUT + REVIEW</x:t>
  </x:si>
  <x:si>
    <x:t xml:space="preserve">RG state</x:t>
  </x:si>
  <x:si>
    <x:t xml:space="preserve">Rights_Floor / NCRC</x:t>
  </x:si>
  <x:si>
    <x:t xml:space="preserve">Test non-compensatory rights</x:t>
  </x:si>
  <x:si>
    <x:t xml:space="preserve">INPUT + CALC</x:t>
  </x:si>
  <x:si>
    <x:t xml:space="preserve">RF state</x:t>
  </x:si>
  <x:si>
    <x:t xml:space="preserve">TRC / Tail_Emergency</x:t>
  </x:si>
  <x:si>
    <x:t xml:space="preserve">Bound ruin and emergency exceptions</x:t>
  </x:si>
  <x:si>
    <x:t xml:space="preserve">Required when triggered</x:t>
  </x:si>
  <x:si>
    <x:t xml:space="preserve">TRC state</x:t>
  </x:si>
  <x:si>
    <x:t xml:space="preserve">Test viability, controls, and execution conditions</x:t>
  </x:si>
  <x:si>
    <x:t xml:space="preserve">CSV state</x:t>
  </x:si>
  <x:si>
    <x:t xml:space="preserve">WDBIP_Interface</x:t>
  </x:si>
  <x:si>
    <x:t xml:space="preserve">Record welfare-boundary, interaction, subgroup, and dependence posture</x:t>
  </x:si>
  <x:si>
    <x:t xml:space="preserve">WDBIP/PCC reference</x:t>
  </x:si>
  <x:si>
    <x:t xml:space="preserve">RLS / Sensitivity / Subgroup</x:t>
  </x:si>
  <x:si>
    <x:t xml:space="preserve">Rank only selectable options</x:t>
  </x:si>
  <x:si>
    <x:t xml:space="preserve">When 2+ survivors</x:t>
  </x:si>
  <x:si>
    <x:t xml:space="preserve">Residual ranking</x:t>
  </x:si>
  <x:si>
    <x:t xml:space="preserve">Consequence_Tempo</x:t>
  </x:si>
  <x:si>
    <x:t xml:space="preserve">Test control critical path against unacceptable escalation</x:t>
  </x:si>
  <x:si>
    <x:t xml:space="preserve">CSV / execution assurance</x:t>
  </x:si>
  <x:si>
    <x:t xml:space="preserve">Responsibility_Continuity / Material_Obligations / Human_Comp_Load</x:t>
  </x:si>
  <x:si>
    <x:t xml:space="preserve">Preserve answerability, carried controls, nonperformance paths, and hidden-human-load visibility</x:t>
  </x:si>
  <x:si>
    <x:t xml:space="preserve">Authority / execution record</x:t>
  </x:si>
  <x:si>
    <x:t xml:space="preserve">Dashboard / Audit_Flags / PCC</x:t>
  </x:si>
  <x:si>
    <x:t xml:space="preserve">Review verdict, claims, authority, controls, and replay boundary</x:t>
  </x:si>
  <x:si>
    <x:t xml:space="preserve">OUTPUT + REVIEW</x:t>
  </x:si>
  <x:si>
    <x:t xml:space="preserve">Locked run record</x:t>
  </x:si>
  <x:si>
    <x:t xml:space="preserve">WDBIP v1.6 worked-run interface</x:t>
  </x:si>
  <x:si>
    <x:t xml:space="preserve">Record</x:t>
  </x:si>
  <x:si>
    <x:t xml:space="preserve">Evidence / reference</x:t>
  </x:si>
  <x:si>
    <x:t xml:space="preserve">Uncertainty</x:t>
  </x:si>
  <x:si>
    <x:t xml:space="preserve">Routing / reopen</x:t>
  </x:si>
  <x:si>
    <x:t xml:space="preserve">Protocol status</x:t>
  </x:si>
  <x:si>
    <x:t xml:space="preserve">NOT_TRIGGERED | ATTACHED | HASH_REFERENCED</x:t>
  </x:si>
  <x:si>
    <x:t xml:space="preserve">Reopen if boundary or interaction is material</x:t>
  </x:si>
  <x:si>
    <x:t xml:space="preserve">Dimension taxonomy</x:t>
  </x:si>
  <x:si>
    <x:t xml:space="preserve">WELFARE_DIMENSION_SET_7D_V1</x:t>
  </x:si>
  <x:si>
    <x:t xml:space="preserve">WDBIP v1.6</x:t>
  </x:si>
  <x:si>
    <x:t xml:space="preserve">Effect-token registry</x:t>
  </x:si>
  <x:si>
    <x:t xml:space="preserve">One primary dimension per bounded token</x:t>
  </x:si>
  <x:si>
    <x:t xml:space="preserve">RG if boundary unsupported</x:t>
  </x:si>
  <x:si>
    <x:t xml:space="preserve">Scope treatment</x:t>
  </x:si>
  <x:si>
    <x:t xml:space="preserve">DEDUPLICATION | ALLOCATION | EMERGENT_SCALE_JUSTIFICATION</x:t>
  </x:si>
  <x:si>
    <x:t xml:space="preserve">Canon controls</x:t>
  </x:si>
  <x:si>
    <x:t xml:space="preserve">Interaction records</x:t>
  </x:si>
  <x:si>
    <x:t xml:space="preserve">Token-level source -&gt; target pathways</x:t>
  </x:si>
  <x:si>
    <x:t xml:space="preserve">TRC/CSV if gate-material</x:t>
  </x:si>
  <x:si>
    <x:t xml:space="preserve">Dependence review</x:t>
  </x:si>
  <x:si>
    <x:t xml:space="preserve">Shared data, mediators, samples, and proxies</x:t>
  </x:si>
  <x:si>
    <x:t xml:space="preserve">RLS sensitivity</x:t>
  </x:si>
  <x:si>
    <x:t xml:space="preserve">Worst-affected subgroup</x:t>
  </x:si>
  <x:si>
    <x:t xml:space="preserve">Direction, severity, reversibility, bearer</x:t>
  </x:si>
  <x:si>
    <x:t xml:space="preserve">RF/TRC/CSV</x:t>
  </x:si>
  <x:si>
    <x:t xml:space="preserve">Record locator</x:t>
  </x:si>
  <x:si>
    <x:t xml:space="preserve">Immutable hash or attachment reference</x:t>
  </x:si>
  <x:si>
    <x:t xml:space="preserve">REQUIRED_IF_TRIGGERED</x:t>
  </x:si>
  <x:si>
    <x:t xml:space="preserve">Consequence-Tempo Record - ripple.md v5.5</x:t>
  </x:si>
  <x:si>
    <x:t xml:space="preserve">Element</x:t>
  </x:si>
  <x:si>
    <x:t xml:space="preserve">Minimum credible</x:t>
  </x:si>
  <x:si>
    <x:t xml:space="preserve">Worst credible</x:t>
  </x:si>
  <x:si>
    <x:t xml:space="preserve">Evidence / uncertainty</x:t>
  </x:si>
  <x:si>
    <x:t xml:space="preserve">Serial or parallel dependency</x:t>
  </x:si>
  <x:si>
    <x:t xml:space="preserve">Detection</x:t>
  </x:si>
  <x:si>
    <x:t xml:space="preserve">Authorization</x:t>
  </x:si>
  <x:si>
    <x:t xml:space="preserve">Intervention actuation</x:t>
  </x:si>
  <x:si>
    <x:t xml:space="preserve">Containment / safe state</x:t>
  </x:si>
  <x:si>
    <x:t xml:space="preserve">Rollback / recovery</x:t>
  </x:si>
  <x:si>
    <x:t xml:space="preserve">Unacceptable escalation / stop-loss boundary</x:t>
  </x:si>
  <x:si>
    <x:t xml:space="preserve">Comparison boundary</x:t>
  </x:si>
  <x:si>
    <x:t xml:space="preserve">Worst credible control critical path</x:t>
  </x:si>
  <x:si>
    <x:t xml:space="preserve">Do not use naive sum where paths are parallel</x:t>
  </x:si>
  <x:si>
    <x:t xml:space="preserve">Runtime interruption window available?</x:t>
  </x:si>
  <x:si>
    <x:t xml:space="preserve">YES / NO / UNKNOWN</x:t>
  </x:si>
  <x:si>
    <x:t xml:space="preserve">Harm-of-delay comparison</x:t>
  </x:si>
  <x:si>
    <x:t xml:space="preserve">Rights / ruin / structural harm</x:t>
  </x:si>
  <x:si>
    <x:t xml:space="preserve">NOT_MATERIAL / COMPATIBLE / WITH_CONTROLS / REDESIGN / EMERGENCY / INDETERMINATE</x:t>
  </x:si>
  <x:si>
    <x:t xml:space="preserve">Responsibility Continuity Record</x:t>
  </x:si>
  <x:si>
    <x:t xml:space="preserve">Named owner</x:t>
  </x:si>
  <x:si>
    <x:t xml:space="preserve">Authority / duty boundary</x:t>
  </x:si>
  <x:si>
    <x:t xml:space="preserve">Handoff and fallback</x:t>
  </x:si>
  <x:si>
    <x:t xml:space="preserve">Evidence accountability</x:t>
  </x:si>
  <x:si>
    <x:t xml:space="preserve">Model / analytical responsibility</x:t>
  </x:si>
  <x:si>
    <x:t xml:space="preserve">Operational responsibility</x:t>
  </x:si>
  <x:si>
    <x:t xml:space="preserve">Intervention authority</x:t>
  </x:si>
  <x:si>
    <x:t xml:space="preserve">Appeal owner</x:t>
  </x:si>
  <x:si>
    <x:t xml:space="preserve">Communication owner</x:t>
  </x:si>
  <x:si>
    <x:t xml:space="preserve">Remedy owner</x:t>
  </x:si>
  <x:si>
    <x:t xml:space="preserve">Residual responsibility</x:t>
  </x:si>
  <x:si>
    <x:t xml:space="preserve">Legal liability</x:t>
  </x:si>
  <x:si>
    <x:t xml:space="preserve">Determined separately</x:t>
  </x:si>
  <x:si>
    <x:t xml:space="preserve">Not inferred from this record</x:t>
  </x:si>
  <x:si>
    <x:t xml:space="preserve">Chain status</x:t>
  </x:si>
  <x:si>
    <x:t xml:space="preserve">COMPLETE | INCOMPLETE | NOT_MATERIAL</x:t>
  </x:si>
  <x:si>
    <x:t xml:space="preserve">CARRIED-OBLIGATION INTEGRITY INTERFACE</x:t>
  </x:si>
  <x:si>
    <x:t xml:space="preserve">Material obligation register</x:t>
  </x:si>
  <x:si>
    <x:t xml:space="preserve">Required when selectability or execution depends on a control, review, intervention, appeal, repair, monitoring, rollback, or requalification duty.</x:t>
  </x:si>
  <x:si>
    <x:t xml:space="preserve">A named owner alone is insufficient.</x:t>
  </x:si>
  <x:si>
    <x:t xml:space="preserve">Human compensation load</x:t>
  </x:si>
  <x:si>
    <x:t xml:space="preserve">Use protected, privacy-bounded evidence.</x:t>
  </x:si>
  <x:si>
    <x:t xml:space="preserve">Missed acknowledgement, deadline, intervention, review, repair, or accepted handoff activates escalation, substitution, pause, or requalification.</x:t>
  </x:si>
  <x:si>
    <x:t xml:space="preserve">Silence is not discharge.</x:t>
  </x:si>
  <x:si>
    <x:t xml:space="preserve">Control-change integrity</x:t>
  </x:si>
  <x:si>
    <x:t xml:space="preserve">Changes to trigger, threshold, scope, carrier, authority, evidence, expiry, escalation, waiver, or retirement require governed change control.</x:t>
  </x:si>
  <x:si>
    <x:t xml:space="preserve">Material changes reopen qualification.</x:t>
  </x:si>
  <x:si>
    <x:t xml:space="preserve">Performance / effectiveness</x:t>
  </x:si>
  <x:si>
    <x:t xml:space="preserve">Separate fields</x:t>
  </x:si>
  <x:si>
    <x:t xml:space="preserve">Evidence that a procedure occurred does not establish that it protected the intended right, risk, containment, or repair objective.</x:t>
  </x:si>
  <x:si>
    <x:t xml:space="preserve">Outcome evidence is required when material.</x:t>
  </x:si>
  <x:si>
    <x:t xml:space="preserve">Interface status</x:t>
  </x:si>
  <x:si>
    <x:t xml:space="preserve">Nested inside CSV, Responsibility Continuity, and Configuration Assurance.</x:t>
  </x:si>
  <x:si>
    <x:t xml:space="preserve">No new gate or version change.</x:t>
  </x:si>
  <x:si>
    <x:t xml:space="preserve">Current rule</x:t>
  </x:si>
  <x:si>
    <x:t xml:space="preserve">Integrity control</x:t>
  </x:si>
  <x:si>
    <x:t xml:space="preserve">Maintainer action</x:t>
  </x:si>
  <x:si>
    <x:t xml:space="preserve">Config / Parameters / declared input surfaces</x:t>
  </x:si>
  <x:si>
    <x:t xml:space="preserve">Editable by user</x:t>
  </x:si>
  <x:si>
    <x:t xml:space="preserve">Data validation, visible input labels, PCC record</x:t>
  </x:si>
  <x:si>
    <x:t xml:space="preserve">Change values before outcome-sensitive ranking</x:t>
  </x:si>
  <x:si>
    <x:t xml:space="preserve">Inputs are not evidence truth</x:t>
  </x:si>
  <x:si>
    <x:t xml:space="preserve">Do not edit in a run</x:t>
  </x:si>
  <x:si>
    <x:t xml:space="preserve">Fork workbook, increment version, rerun verification</x:t>
  </x:si>
  <x:si>
    <x:t xml:space="preserve">Spreadsheet protection is not treated as a security boundary</x:t>
  </x:si>
  <x:si>
    <x:t xml:space="preserve">CANON identifiers and component pins</x:t>
  </x:si>
  <x:si>
    <x:t xml:space="preserve">FIXED IDENTIFIER</x:t>
  </x:si>
  <x:si>
    <x:t xml:space="preserve">Release-maintained</x:t>
  </x:si>
  <x:si>
    <x:t xml:space="preserve">Current-pin verifier and named-range checks</x:t>
  </x:si>
  <x:si>
    <x:t xml:space="preserve">Update only in synchronized release</x:t>
  </x:si>
  <x:si>
    <x:t xml:space="preserve">Workbook never outranks Canon</x:t>
  </x:si>
  <x:si>
    <x:t xml:space="preserve">Review, rationale, subgroup, WDBIP, tempo, responsibility surfaces</x:t>
  </x:si>
  <x:si>
    <x:t xml:space="preserve">REVIEW / INPUT</x:t>
  </x:si>
  <x:si>
    <x:t xml:space="preserve">Editable where declared</x:t>
  </x:si>
  <x:si>
    <x:t xml:space="preserve">Completeness checks and PCC linkage</x:t>
  </x:si>
  <x:si>
    <x:t xml:space="preserve">Name reviewer and evidence source</x:t>
  </x:si>
  <x:si>
    <x:t xml:space="preserve">Review text is not automatically validated</x:t>
  </x:si>
  <x:si>
    <x:t xml:space="preserve">Historical sheets</x:t>
  </x:si>
  <x:si>
    <x:t xml:space="preserve">HISTORICAL</x:t>
  </x:si>
  <x:si>
    <x:t xml:space="preserve">Read-only by convention</x:t>
  </x:si>
  <x:si>
    <x:t xml:space="preserve">Explicit historical labeling</x:t>
  </x:si>
  <x:si>
    <x:t xml:space="preserve">Do not use as current control surface</x:t>
  </x:si>
  <x:si>
    <x:t xml:space="preserve">Historical values do not control</x:t>
  </x:si>
  <x:si>
    <x:t xml:space="preserve">MATHGOV v12.6 CONFIGURATION ASSURANCE RECORD</x:t>
  </x:si>
  <x:si>
    <x:t xml:space="preserve">Bind capability, admissibility, safety, containment, and authorization claims to the exact configuration and its validity conditions.</x:t>
  </x:si>
  <x:si>
    <x:t xml:space="preserve">Evidence / source</x:t>
  </x:si>
  <x:si>
    <x:t xml:space="preserve">Expiry or trigger</x:t>
  </x:si>
  <x:si>
    <x:t xml:space="preserve">Affected stage(s)</x:t>
  </x:si>
  <x:si>
    <x:t xml:space="preserve">configuration_id</x:t>
  </x:si>
  <x:si>
    <x:t xml:space="preserve">Any material configuration change</x:t>
  </x:si>
  <x:si>
    <x:t xml:space="preserve">RG,TRC,CSV,RLS</x:t>
  </x:si>
  <x:si>
    <x:t xml:space="preserve">Replace with hash-linked identity in live runs.</x:t>
  </x:si>
  <x:si>
    <x:t xml:space="preserve">hardware_or_host</x:t>
  </x:si>
  <x:si>
    <x:t xml:space="preserve">Organizational decision environment</x:t>
  </x:si>
  <x:si>
    <x:t xml:space="preserve">PCC / Deployment_Context</x:t>
  </x:si>
  <x:si>
    <x:t xml:space="preserve">Host or infrastructure change</x:t>
  </x:si>
  <x:si>
    <x:t xml:space="preserve">RG,CSV</x:t>
  </x:si>
  <x:si>
    <x:t xml:space="preserve">System owner</x:t>
  </x:si>
  <x:si>
    <x:t xml:space="preserve">Physical deployments require PC-AEP.</x:t>
  </x:si>
  <x:si>
    <x:t xml:space="preserve">software_model_version</x:t>
  </x:si>
  <x:si>
    <x:t xml:space="preserve">No executable model required for this worked run</x:t>
  </x:si>
  <x:si>
    <x:t xml:space="preserve">Workbook scope</x:t>
  </x:si>
  <x:si>
    <x:t xml:space="preserve">Model/tool introduction</x:t>
  </x:si>
  <x:si>
    <x:t xml:space="preserve">RG,TRC,CSV</x:t>
  </x:si>
  <x:si>
    <x:t xml:space="preserve">Do not infer AI safety from non-use.</x:t>
  </x:si>
  <x:si>
    <x:t xml:space="preserve">tools_and_permissions</x:t>
  </x:si>
  <x:si>
    <x:t xml:space="preserve">Workbook-only analysis; no autonomous execution</x:t>
  </x:si>
  <x:si>
    <x:t xml:space="preserve">Permission or tool expansion</x:t>
  </x:si>
  <x:si>
    <x:t xml:space="preserve">RG,RF,TRC,CSV</x:t>
  </x:si>
  <x:si>
    <x:t xml:space="preserve">Capability expansion triggers requalification.</x:t>
  </x:si>
  <x:si>
    <x:t xml:space="preserve">active_controls</x:t>
  </x:si>
  <x:si>
    <x:t xml:space="preserve">Human review, rights gate, TRC, CSV, monitoring</x:t>
  </x:si>
  <x:si>
    <x:t xml:space="preserve">Control failure or expiry</x:t>
  </x:si>
  <x:si>
    <x:t xml:space="preserve">RF,TRC,CSV</x:t>
  </x:si>
  <x:si>
    <x:t xml:space="preserve">Promises without owner and consequence are not binding controls.</x:t>
  </x:si>
  <x:si>
    <x:t xml:space="preserve">operating_environment</x:t>
  </x:si>
  <x:si>
    <x:t xml:space="preserve">Bounded organizational policy case</x:t>
  </x:si>
  <x:si>
    <x:t xml:space="preserve">Domain or affected-scope change</x:t>
  </x:si>
  <x:si>
    <x:t xml:space="preserve">RG,RF,TRC,CSV,RLS</x:t>
  </x:si>
  <x:si>
    <x:t xml:space="preserve">Transfer requires a new validity argument.</x:t>
  </x:si>
  <x:si>
    <x:t xml:space="preserve">authority_state</x:t>
  </x:si>
  <x:si>
    <x:t xml:space="preserve">AUTHORIZED_WITH_RECORD</x:t>
  </x:si>
  <x:si>
    <x:t xml:space="preserve">Authority or law changes</x:t>
  </x:si>
  <x:si>
    <x:t xml:space="preserve">CSV,Authorization</x:t>
  </x:si>
  <x:si>
    <x:t xml:space="preserve">Accountable authority</x:t>
  </x:si>
  <x:si>
    <x:t xml:space="preserve">Capability is not authority.</x:t>
  </x:si>
  <x:si>
    <x:t xml:space="preserve">validity_envelope</x:t>
  </x:si>
  <x:si>
    <x:t xml:space="preserve">Release_Boundaries</x:t>
  </x:si>
  <x:si>
    <x:t xml:space="preserve">Higher stakes or public deployment</x:t>
  </x:si>
  <x:si>
    <x:t xml:space="preserve">ALL</x:t>
  </x:si>
  <x:si>
    <x:t xml:space="preserve">No empirical validation or deployment authorization.</x:t>
  </x:si>
  <x:si>
    <x:t xml:space="preserve">CAPABILITY STATE</x:t>
  </x:si>
  <x:si>
    <x:t xml:space="preserve">Execution implication</x:t>
  </x:si>
  <x:si>
    <x:t xml:space="preserve">Requalification trigger</x:t>
  </x:si>
  <x:si>
    <x:t xml:space="preserve">LATENT</x:t>
  </x:si>
  <x:si>
    <x:t xml:space="preserve">Reachable through a material configuration change but unavailable now</x:t>
  </x:si>
  <x:si>
    <x:t xml:space="preserve">Configuration analysis</x:t>
  </x:si>
  <x:si>
    <x:t xml:space="preserve">No authority</x:t>
  </x:si>
  <x:si>
    <x:t xml:space="preserve">Configuration becomes reachable</x:t>
  </x:si>
  <x:si>
    <x:t xml:space="preserve">Technical reviewer</x:t>
  </x:si>
  <x:si>
    <x:t xml:space="preserve">Absence of observed behavior is not proof of absent latent capability.</x:t>
  </x:si>
  <x:si>
    <x:t xml:space="preserve">AVAILABLE</x:t>
  </x:si>
  <x:si>
    <x:t xml:space="preserve">Possible under current configuration and environment</x:t>
  </x:si>
  <x:si>
    <x:t xml:space="preserve">LIMITED</x:t>
  </x:si>
  <x:si>
    <x:t xml:space="preserve">Worked-run tools</x:t>
  </x:si>
  <x:si>
    <x:t xml:space="preserve">Still requires authorization</x:t>
  </x:si>
  <x:si>
    <x:t xml:space="preserve">Environment/tool change</x:t>
  </x:si>
  <x:si>
    <x:t xml:space="preserve">Available does not mean enabled.</x:t>
  </x:si>
  <x:si>
    <x:t xml:space="preserve">Technically active and accessible</x:t>
  </x:si>
  <x:si>
    <x:t xml:space="preserve">NO_AUTONOMOUS_EXECUTION</x:t>
  </x:si>
  <x:si>
    <x:t xml:space="preserve">No autonomous execution</x:t>
  </x:si>
  <x:si>
    <x:t xml:space="preserve">Permission change</x:t>
  </x:si>
  <x:si>
    <x:t xml:space="preserve">Enabled does not mean authorized.</x:t>
  </x:si>
  <x:si>
    <x:t xml:space="preserve">AUTHORIZED</x:t>
  </x:si>
  <x:si>
    <x:t xml:space="preserve">Permitted by accountable authority after qualification</x:t>
  </x:si>
  <x:si>
    <x:t xml:space="preserve">YES_FOR_RECORDED_HUMAN_SELECTION</x:t>
  </x:si>
  <x:si>
    <x:t xml:space="preserve">Execution may proceed only within controls</x:t>
  </x:si>
  <x:si>
    <x:t xml:space="preserve">Authority/control change</x:t>
  </x:si>
  <x:si>
    <x:t xml:space="preserve">Authorization remains configuration-bound.</x:t>
  </x:si>
  <x:si>
    <x:t xml:space="preserve">SELECTED</x:t>
  </x:si>
  <x:si>
    <x:t xml:space="preserve">Candidate chosen</x:t>
  </x:si>
  <x:si>
    <x:t xml:space="preserve">OPTION_A</x:t>
  </x:si>
  <x:si>
    <x:t xml:space="preserve">Not yet proof of safe outcome</x:t>
  </x:si>
  <x:si>
    <x:t xml:space="preserve">Selection basis changes</x:t>
  </x:si>
  <x:si>
    <x:t xml:space="preserve">EXECUTION_APPROVED</x:t>
  </x:si>
  <x:si>
    <x:t xml:space="preserve">Qualification plus current controls and authority hold</x:t>
  </x:si>
  <x:si>
    <x:t xml:space="preserve">CSV / PCC</x:t>
  </x:si>
  <x:si>
    <x:t xml:space="preserve">Only within declared scope</x:t>
  </x:si>
  <x:si>
    <x:t xml:space="preserve">Any trigger below</x:t>
  </x:si>
  <x:si>
    <x:t xml:space="preserve">Approval expires when assumptions change.</x:t>
  </x:si>
  <x:si>
    <x:t xml:space="preserve">EXECUTED</x:t>
  </x:si>
  <x:si>
    <x:t xml:space="preserve">Transition initiated or completed</x:t>
  </x:si>
  <x:si>
    <x:t xml:space="preserve">NOT_EXECUTED_IN_WORKBOOK</x:t>
  </x:si>
  <x:si>
    <x:t xml:space="preserve">No outcome claim</x:t>
  </x:si>
  <x:si>
    <x:t xml:space="preserve">Execution occurs</x:t>
  </x:si>
  <x:si>
    <x:t xml:space="preserve">Workbook is not an execution engine.</x:t>
  </x:si>
  <x:si>
    <x:t xml:space="preserve">OBSERVED_OUTCOME</x:t>
  </x:si>
  <x:si>
    <x:t xml:space="preserve">Post-execution evidence collected</x:t>
  </x:si>
  <x:si>
    <x:t xml:space="preserve">External monitoring</x:t>
  </x:si>
  <x:si>
    <x:t xml:space="preserve">No success claim</x:t>
  </x:si>
  <x:si>
    <x:t xml:space="preserve">Outcome does not validate every causal assumption.</x:t>
  </x:si>
  <x:si>
    <x:t xml:space="preserve">STATE-TRANSITION-POST-STATE</x:t>
  </x:si>
  <x:si>
    <x:t xml:space="preserve">Declared record</x:t>
  </x:si>
  <x:si>
    <x:t xml:space="preserve">Failure / refusal condition</x:t>
  </x:si>
  <x:si>
    <x:t xml:space="preserve">current_state</x:t>
  </x:si>
  <x:si>
    <x:t xml:space="preserve">Remote-work policy baseline</x:t>
  </x:si>
  <x:si>
    <x:t xml:space="preserve">State materially unknown</x:t>
  </x:si>
  <x:si>
    <x:t xml:space="preserve">RG</x:t>
  </x:si>
  <x:si>
    <x:t xml:space="preserve">Current-state validity is separate from transition validity.</x:t>
  </x:si>
  <x:si>
    <x:t xml:space="preserve">proposed_transition</x:t>
  </x:si>
  <x:si>
    <x:t xml:space="preserve">Rights, ruin, or viability uncertainty</x:t>
  </x:si>
  <x:si>
    <x:t xml:space="preserve">A valid current state does not establish an admissible transition.</x:t>
  </x:si>
  <x:si>
    <x:t xml:space="preserve">resulting_state</x:t>
  </x:si>
  <x:si>
    <x:t xml:space="preserve">Monitored policy state with rollback path</x:t>
  </x:si>
  <x:si>
    <x:t xml:space="preserve">PROVISIONAL</x:t>
  </x:si>
  <x:si>
    <x:t xml:space="preserve">Uncontained or irreversible degradation</x:t>
  </x:si>
  <x:si>
    <x:t xml:space="preserve">An admissible transition does not establish a viable post-state.</x:t>
  </x:si>
  <x:si>
    <x:t xml:space="preserve">REQUALIFICATION TRIGGER</x:t>
  </x:si>
  <x:si>
    <x:t xml:space="preserve">Evidence needed</x:t>
  </x:si>
  <x:si>
    <x:t xml:space="preserve">Deadline</x:t>
  </x:si>
  <x:si>
    <x:t xml:space="preserve">Model/software/hardware update</x:t>
  </x:si>
  <x:si>
    <x:t xml:space="preserve">Create new configuration id and rerun</x:t>
  </x:si>
  <x:si>
    <x:t xml:space="preserve">Change log and tests</x:t>
  </x:si>
  <x:si>
    <x:t xml:space="preserve">Before use</x:t>
  </x:si>
  <x:si>
    <x:t xml:space="preserve">Tool or permission expansion</x:t>
  </x:si>
  <x:si>
    <x:t xml:space="preserve">Rerun capability and rights analysis</x:t>
  </x:si>
  <x:si>
    <x:t xml:space="preserve">Permission diff</x:t>
  </x:si>
  <x:si>
    <x:t xml:space="preserve">Before activation</x:t>
  </x:si>
  <x:si>
    <x:t xml:space="preserve">Control expiry or failure</x:t>
  </x:si>
  <x:si>
    <x:t xml:space="preserve">ACTIVE_MONITOR</x:t>
  </x:si>
  <x:si>
    <x:t xml:space="preserve">Suspend inherited approval</x:t>
  </x:si>
  <x:si>
    <x:t xml:space="preserve">Immediate</x:t>
  </x:si>
  <x:si>
    <x:t xml:space="preserve">New affected party or rights issue</x:t>
  </x:si>
  <x:si>
    <x:t xml:space="preserve">Reopen stakeholder and Rights Floor mapping</x:t>
  </x:si>
  <x:si>
    <x:t xml:space="preserve">RG,RF</x:t>
  </x:si>
  <x:si>
    <x:t xml:space="preserve">Affected-party evidence</x:t>
  </x:si>
  <x:si>
    <x:t xml:space="preserve">Before continuation</x:t>
  </x:si>
  <x:si>
    <x:t xml:space="preserve">New ruin pathway or dependency</x:t>
  </x:si>
  <x:si>
    <x:t xml:space="preserve">Reopen TRC and CSV</x:t>
  </x:si>
  <x:si>
    <x:t xml:space="preserve">TRC,CSV</x:t>
  </x:si>
  <x:si>
    <x:t xml:space="preserve">Scenario/dependency evidence</x:t>
  </x:si>
  <x:si>
    <x:t xml:space="preserve">Domain/environment change</x:t>
  </x:si>
  <x:si>
    <x:t xml:space="preserve">New validity-envelope analysis</x:t>
  </x:si>
  <x:si>
    <x:t xml:space="preserve">Domain evidence</x:t>
  </x:si>
  <x:si>
    <x:t xml:space="preserve">Before transfer</x:t>
  </x:si>
  <x:si>
    <x:t xml:space="preserve">Incident, near miss, or cumulative degradation</x:t>
  </x:si>
  <x:si>
    <x:t xml:space="preserve">Suspend, investigate, and rerun</x:t>
  </x:si>
  <x:si>
    <x:t xml:space="preserve">Incident/monitoring record</x:t>
  </x:si>
  <x:si>
    <x:t xml:space="preserve">Safety owner</x:t>
  </x:si>
  <x:si>
    <x:t xml:space="preserve">SAFE EVIDENCE-GAINING EXPERIMENT</x:t>
  </x:si>
  <x:si>
    <x:t xml:space="preserve">Rights bound</x:t>
  </x:si>
  <x:si>
    <x:t xml:space="preserve">Tail bound</x:t>
  </x:si>
  <x:si>
    <x:t xml:space="preserve">Stopping rule</x:t>
  </x:si>
  <x:si>
    <x:t xml:space="preserve">experiment_id</x:t>
  </x:si>
  <x:si>
    <x:t xml:space="preserve">EXP-ORG-2026-001</x:t>
  </x:si>
  <x:si>
    <x:t xml:space="preserve">PROPOSED</x:t>
  </x:si>
  <x:si>
    <x:t xml:space="preserve">No rights-floor breach permitted</x:t>
  </x:si>
  <x:si>
    <x:t xml:space="preserve">No new ruin pathway permitted</x:t>
  </x:si>
  <x:si>
    <x:t xml:space="preserve">Stop on rights, tail, or control trigger</x:t>
  </x:si>
  <x:si>
    <x:t xml:space="preserve">Small, reversible trial to reduce uncertainty; not authority leakage.</x:t>
  </x:si>
  <x:si>
    <x:t xml:space="preserve">question</x:t>
  </x:si>
  <x:si>
    <x:t xml:space="preserve">Can a reversible pilot reduce uncertainty about policy welfare and structural effects?</x:t>
  </x:si>
  <x:si>
    <x:t xml:space="preserve">Affected-party representation required</x:t>
  </x:si>
  <x:si>
    <x:t xml:space="preserve">Predeclared scenario monitoring</x:t>
  </x:si>
  <x:si>
    <x:t xml:space="preserve">Stop if evidence quality falls below threshold</x:t>
  </x:si>
  <x:si>
    <x:t xml:space="preserve">Publish null and adverse results.</x:t>
  </x:si>
  <x:si>
    <x:t xml:space="preserve">pre_registration</x:t>
  </x:si>
  <x:si>
    <x:t xml:space="preserve">Scope, configuration, outcomes, thresholds, and stopping rules frozen before trial</x:t>
  </x:si>
  <x:si>
    <x:t xml:space="preserve">REQUIRED</x:t>
  </x:si>
  <x:si>
    <x:t xml:space="preserve">Material change creates new experiment id</x:t>
  </x:si>
  <x:si>
    <x:t xml:space="preserve">No post-result reinterpretation.</x:t>
  </x:si>
  <x:si>
    <x:t xml:space="preserve">OPEN ASSURANCE DEPENDENCY</x:t>
  </x:si>
  <x:si>
    <x:t xml:space="preserve">Minimum disclosure</x:t>
  </x:si>
  <x:si>
    <x:t xml:space="preserve">Sole-warrant use</x:t>
  </x:si>
  <x:si>
    <x:t xml:space="preserve">Independent evidence</x:t>
  </x:si>
  <x:si>
    <x:t xml:space="preserve">opaque_or_proprietary_component</x:t>
  </x:si>
  <x:si>
    <x:t xml:space="preserve">None required in worked run</x:t>
  </x:si>
  <x:si>
    <x:t xml:space="preserve">Version, inputs/outputs, validity domain, failures, tests</x:t>
  </x:si>
  <x:si>
    <x:t xml:space="preserve">PROHIBITED</x:t>
  </x:si>
  <x:si>
    <x:t xml:space="preserve">Required if consequential</x:t>
  </x:si>
  <x:si>
    <x:t xml:space="preserve">No hidden kernel becomes an invisible sovereign.</x:t>
  </x:si>
  <x:si>
    <x:t xml:space="preserve">implementation_milestone_boundary</x:t>
  </x:si>
  <x:si>
    <x:t xml:space="preserve">Compilation, synthesis, simulation, or hardware realization = implementation feasibility only</x:t>
  </x:si>
  <x:si>
    <x:t xml:space="preserve">Artifact identity and test conditions</x:t>
  </x:si>
  <x:si>
    <x:t xml:space="preserve">NOT SUFFICIENT</x:t>
  </x:si>
  <x:si>
    <x:t xml:space="preserve">Empirical and comparative tests required</x:t>
  </x:si>
  <x:si>
    <x:t xml:space="preserve">Does not prove ontology, safety, superiority, or deployment readiness.</x:t>
  </x:si>
  <x:si>
    <x:t xml:space="preserve">MATERIAL OBLIGATION REGISTER — ripple.md v5.5 / MathGov v12.6</x:t>
  </x:si>
  <x:si>
    <x:t xml:space="preserve">Obligation ID</x:t>
  </x:si>
  <x:si>
    <x:t xml:space="preserve">Obligation</x:t>
  </x:si>
  <x:si>
    <x:t xml:space="preserve">Operational carrier / execution path</x:t>
  </x:si>
  <x:si>
    <x:t xml:space="preserve">Authority and capacity basis</x:t>
  </x:si>
  <x:si>
    <x:t xml:space="preserve">Activation trigger</x:t>
  </x:si>
  <x:si>
    <x:t xml:space="preserve">Response deadline / window</x:t>
  </x:si>
  <x:si>
    <x:t xml:space="preserve">Evidence of discharge</x:t>
  </x:si>
  <x:si>
    <x:t xml:space="preserve">Review / expiry</x:t>
  </x:si>
  <x:si>
    <x:t xml:space="preserve">Challenge route</x:t>
  </x:si>
  <x:si>
    <x:t xml:space="preserve">Delegation acceptance</x:t>
  </x:si>
  <x:si>
    <x:t xml:space="preserve">Backup / successor</x:t>
  </x:si>
  <x:si>
    <x:t xml:space="preserve">Nonperformance trigger</x:t>
  </x:si>
  <x:si>
    <x:t xml:space="preserve">Missed-duty escalation</x:t>
  </x:si>
  <x:si>
    <x:t xml:space="preserve">Amendment / waiver / suspension / retirement authority</x:t>
  </x:si>
  <x:si>
    <x:t xml:space="preserve">Change-control rule</x:t>
  </x:si>
  <x:si>
    <x:t xml:space="preserve">Effectiveness status</x:t>
  </x:si>
  <x:si>
    <x:t xml:space="preserve">Obligation status</x:t>
  </x:si>
  <x:si>
    <x:t xml:space="preserve">MO-REMOTE-001</x:t>
  </x:si>
  <x:si>
    <x:t xml:space="preserve">Monitor controlled remote-work implementation and initiate review when declared cohesion, rights, workload, access, or burnout thresholds are crossed.</x:t>
  </x:si>
  <x:si>
    <x:t xml:space="preserve">Authorized organizational decision owner</x:t>
  </x:si>
  <x:si>
    <x:t xml:space="preserve">Named policy monitoring and review role</x:t>
  </x:si>
  <x:si>
    <x:t xml:space="preserve">Mandate, access to declared indicators, allocated review time, and authority to pause or escalate the controlled option.</x:t>
  </x:si>
  <x:si>
    <x:t xml:space="preserve">Material threshold breach, review date, credible complaint, or evidence-status downgrade.</x:t>
  </x:si>
  <x:si>
    <x:t xml:space="preserve">Declared remote-work policy option and monitored stakeholder groups.</x:t>
  </x:si>
  <x:si>
    <x:t xml:space="preserve">Review evidence, apply controls, communicate disposition, and pause/escalate where the threshold is breached.</x:t>
  </x:si>
  <x:si>
    <x:t xml:space="preserve">Within the declared monitoring window; immediate escalation for rights or tail-risk indicators.</x:t>
  </x:si>
  <x:si>
    <x:t xml:space="preserve">Dated review record, evidence references, action log, and acknowledged communication.</x:t>
  </x:si>
  <x:si>
    <x:t xml:space="preserve">At the declared policy review date or earlier trigger.</x:t>
  </x:si>
  <x:si>
    <x:t xml:space="preserve">Independent review / appeal route recorded in the PCC.</x:t>
  </x:si>
  <x:si>
    <x:t xml:space="preserve">Receiving carrier explicitly accepts the duty; otherwise responsibility remains with the current accountable authority.</x:t>
  </x:si>
  <x:si>
    <x:t xml:space="preserve">Alternate authorized reviewer or escalation authority.</x:t>
  </x:si>
  <x:si>
    <x:t xml:space="preserve">Missed acknowledgement, missed review deadline, unresolved conflict, incapacity, or absent evidence of discharge.</x:t>
  </x:si>
  <x:si>
    <x:t xml:space="preserve">Escalate to backup authority and suspend the affected control-dependent claim until resolved.</x:t>
  </x:si>
  <x:si>
    <x:t xml:space="preserve">Governed authority separate from unilateral agent action; material weakening requires challenger review.</x:t>
  </x:si>
  <x:si>
    <x:t xml:space="preserve">Log prior and revised control, authorizer, rationale, affected obligation, requalification disposition, and rollback path.</x:t>
  </x:si>
  <x:si>
    <x:t xml:space="preserve">Deploying institution retains residual responsibility.</x:t>
  </x:si>
  <x:si>
    <x:t xml:space="preserve">EVIDENCE_PENDING</x:t>
  </x:si>
  <x:si>
    <x:t xml:space="preserve">Guidance</x:t>
  </x:si>
  <x:si>
    <x:t xml:space="preserve">Complete one row for each selectability- or execution-material obligation.</x:t>
  </x:si>
  <x:si>
    <x:t xml:space="preserve">Authority must be identifiable.</x:t>
  </x:si>
  <x:si>
    <x:t xml:space="preserve">Carrier or authenticated path must be executable.</x:t>
  </x:si>
  <x:si>
    <x:t xml:space="preserve">Name authority, competence, information, time, resources, and protection.</x:t>
  </x:si>
  <x:si>
    <x:t xml:space="preserve">Trigger must be observable.</x:t>
  </x:si>
  <x:si>
    <x:t xml:space="preserve">Keep scope bounded.</x:t>
  </x:si>
  <x:si>
    <x:t xml:space="preserve">State the required response.</x:t>
  </x:si>
  <x:si>
    <x:t xml:space="preserve">State timing.</x:t>
  </x:si>
  <x:si>
    <x:t xml:space="preserve">Name inspectable evidence.</x:t>
  </x:si>
  <x:si>
    <x:t xml:space="preserve">State expiry/review.</x:t>
  </x:si>
  <x:si>
    <x:t xml:space="preserve">Provide challenge.</x:t>
  </x:si>
  <x:si>
    <x:t xml:space="preserve">Handoffs require acceptance.</x:t>
  </x:si>
  <x:si>
    <x:t xml:space="preserve">Provide succession.</x:t>
  </x:si>
  <x:si>
    <x:t xml:space="preserve">Detect silence/failure.</x:t>
  </x:si>
  <x:si>
    <x:t xml:space="preserve">State escalation.</x:t>
  </x:si>
  <x:si>
    <x:t xml:space="preserve">Control self-waiver and rewrite.</x:t>
  </x:si>
  <x:si>
    <x:t xml:space="preserve">Treat material changes as requalification triggers.</x:t>
  </x:si>
  <x:si>
    <x:t xml:space="preserve">Responsibility cannot disappear through complexity.</x:t>
  </x:si>
  <x:si>
    <x:t xml:space="preserve">Performance ≠ effectiveness.</x:t>
  </x:si>
  <x:si>
    <x:t xml:space="preserve">Use ACTIVE / SATISFIED / EXPIRED / SUSPENDED / ESCALATED.</x:t>
  </x:si>
  <x:si>
    <x:t xml:space="preserve">HIDDEN HUMAN COMPENSATION LOAD RECORD — CSV diagnostic, not a sixth gate</x:t>
  </x:si>
  <x:si>
    <x:t xml:space="preserve">Worked-run value</x:t>
  </x:si>
  <x:si>
    <x:t xml:space="preserve">Required interpretation</x:t>
  </x:si>
  <x:si>
    <x:t xml:space="preserve">Action / boundary</x:t>
  </x:si>
  <x:si>
    <x:t xml:space="preserve">Use NOT_MATERIAL only with a concrete trigger rationale.</x:t>
  </x:si>
  <x:si>
    <x:t xml:space="preserve">This remote-work policy exemplar does not automate, outsource, scale, or remove a compensating role.</x:t>
  </x:si>
  <x:si>
    <x:t xml:space="preserve">Trigger rationale</x:t>
  </x:si>
  <x:si>
    <x:t xml:space="preserve">No role-removal or automation transition is evaluated in this worked run.</x:t>
  </x:si>
  <x:si>
    <x:t xml:space="preserve">Reopen if the option changes staffing, workflow, monitoring, or exception-handling dependencies.</x:t>
  </x:si>
  <x:si>
    <x:t xml:space="preserve">Do not infer resilience from output continuity alone.</x:t>
  </x:si>
  <x:si>
    <x:t xml:space="preserve">Carrier role classes</x:t>
  </x:si>
  <x:si>
    <x:t xml:space="preserve">NA for current declared scope</x:t>
  </x:si>
  <x:si>
    <x:t xml:space="preserve">When triggered, identify roles rather than exposing unnecessary personal data.</x:t>
  </x:si>
  <x:si>
    <x:t xml:space="preserve">Protect privacy and prevent retaliation.</x:t>
  </x:si>
  <x:si>
    <x:t xml:space="preserve">Hidden work / workflow gap</x:t>
  </x:si>
  <x:si>
    <x:t xml:space="preserve">Inspect overrides, exception reconciliation, shadow records, memory, relationships, weak signals, informal escalation, and recovery work.</x:t>
  </x:si>
  <x:si>
    <x:t xml:space="preserve">Do not wait for absence, failure, burnout, or collapse.</x:t>
  </x:si>
  <x:si>
    <x:t xml:space="preserve">Burden and recovery indicators</x:t>
  </x:si>
  <x:si>
    <x:t xml:space="preserve">Use triangulated workflow, exception, rework, handoff, near-miss, workload, and protected testimony evidence.</x:t>
  </x:si>
  <x:si>
    <x:t xml:space="preserve">Avoid single-metric inference.</x:t>
  </x:si>
  <x:si>
    <x:t xml:space="preserve">Single-person dependency</x:t>
  </x:si>
  <x:si>
    <x:t xml:space="preserve">Identify non-substitutable or undocumented continuity dependencies.</x:t>
  </x:si>
  <x:si>
    <x:t xml:space="preserve">Add backup, capacity, documentation, or redesign.</x:t>
  </x:si>
  <x:si>
    <x:t xml:space="preserve">Consequence if compensation stops</x:t>
  </x:si>
  <x:si>
    <x:t xml:space="preserve">State what fails, slows, becomes unsafe, or loses context.</x:t>
  </x:si>
  <x:si>
    <x:t xml:space="preserve">Route material effects into RF/TRC/CSV and RLS as applicable.</x:t>
  </x:si>
  <x:si>
    <x:t xml:space="preserve">Evidence sources</x:t>
  </x:si>
  <x:si>
    <x:t xml:space="preserve">Use bounded and privacy-protective sources.</x:t>
  </x:si>
  <x:si>
    <x:t xml:space="preserve">Self-report alone is not required or sufficient.</x:t>
  </x:si>
  <x:si>
    <x:t xml:space="preserve">Privacy and non-retaliation controls</x:t>
  </x:si>
  <x:si>
    <x:t xml:space="preserve">Protected collection required if triggered</x:t>
  </x:si>
  <x:si>
    <x:t xml:space="preserve">People carrying hidden load may face incentives not to report it.</x:t>
  </x:si>
  <x:si>
    <x:t xml:space="preserve">Use aggregation, access limits, protected challenge, and non-retaliation commitments.</x:t>
  </x:si>
  <x:si>
    <x:t xml:space="preserve">Preservation / redesign action</x:t>
  </x:si>
  <x:si>
    <x:t xml:space="preserve">Reassess if workflow or staffing changes</x:t>
  </x:si>
  <x:si>
    <x:t xml:space="preserve">Preserve, support, distribute, document, or validate a substitute before removal.</x:t>
  </x:si>
  <x:si>
    <x:t xml:space="preserve">Human adaptation is not automatically undesirable; hidden involuntary overload is the concern.</x:t>
  </x:si>
  <x:si>
    <x:t xml:space="preserve">Automation, scaling, outsourcing, role removal, persistent exception work, capacity strain, or recurrent invisible intervention.</x:t>
  </x:si>
  <x:si>
    <x:t xml:space="preserve">A trigger reopens CSV and responsibility continuity.</x:t>
  </x:si>
  <x:si>
    <x:t xml:space="preserve">No gate or version change.</x:t>
  </x:si>
</x:sst>
</file>

<file path=xl/styles.xml><?xml version="1.0" encoding="utf-8"?>
<x:styleSheet xmlns:x="http://schemas.openxmlformats.org/spreadsheetml/2006/main">
  <x:numFmts count="16">
    <x:numFmt numFmtId="164" formatCode="General"/>
    <x:numFmt numFmtId="165" formatCode="_(* #,##0.00_);_(* \(#,##0.00\);_(* \-??_);_(@_)"/>
    <x:numFmt numFmtId="166" formatCode="_(* #,##0.00_);_(* \(#,##0.00\);_(* \-??_);_(@_)"/>
    <x:numFmt numFmtId="167" formatCode="_(* #,##0_);_(* \(#,##0\);_(* \-_);_(@_)"/>
    <x:numFmt numFmtId="168" formatCode="_(* #,##0_);_(* \(#,##0\);_(* \-_);_(@_)"/>
    <x:numFmt numFmtId="169" formatCode="_(\$* #,##0.00_);_(\$* \(#,##0.00\);_(\$* \-??_);_(@_)"/>
    <x:numFmt numFmtId="170" formatCode="_(\$* #,##0.00_);_(\$* \(#,##0.00\);_(\$* \-??_);_(@_)"/>
    <x:numFmt numFmtId="171" formatCode="_(\$* #,##0_);_(\$* \(#,##0\);_(\$* \-_);_(@_)"/>
    <x:numFmt numFmtId="172" formatCode="_(\$* #,##0_);_(\$* \(#,##0\);_(\$* \-_);_(@_)"/>
    <x:numFmt numFmtId="173" formatCode="0%"/>
    <x:numFmt numFmtId="174" formatCode="mm/dd/yy"/>
    <x:numFmt numFmtId="175" formatCode="0.000"/>
    <x:numFmt numFmtId="176" formatCode="@"/>
    <x:numFmt numFmtId="177" formatCode="0.000000"/>
    <x:numFmt numFmtId="178" formatCode="0.0000"/>
    <x:numFmt numFmtId="179" formatCode="0.00000"/>
  </x:numFmts>
  <x:fonts count="30">
    <x:font>
      <x:sz val="10"/>
      <x:name val="Arial"/>
    </x:font>
    <x:font>
      <x:sz val="10"/>
      <x:name val="Arial"/>
    </x:font>
    <x:font>
      <x:sz val="10"/>
      <x:name val="Arial"/>
    </x:font>
    <x:font>
      <x:sz val="10"/>
      <x:name val="Arial"/>
    </x:font>
    <x:font>
      <x:sz val="10"/>
      <x:name val="Arial"/>
    </x:font>
    <x:font>
      <x:sz val="11"/>
      <x:color theme="1"/>
      <x:name val="Calibri"/>
    </x:font>
    <x:font>
      <x:b/>
      <x:sz val="11"/>
      <x:color rgb="FFFFFFFF"/>
      <x:name val="Cambria"/>
    </x:font>
    <x:font>
      <x:sz val="11"/>
      <x:color rgb="FF1F1F1F"/>
      <x:name val="Cambria"/>
    </x:font>
    <x:font>
      <x:b/>
      <x:sz val="11"/>
      <x:color rgb="FF1F1F1F"/>
      <x:name val="Cambria"/>
    </x:font>
    <x:font>
      <x:b/>
      <x:sz val="10"/>
      <x:color rgb="FFFFFFFF"/>
      <x:name val="Arial"/>
    </x:font>
    <x:font>
      <x:b/>
      <x:sz val="11"/>
      <x:color theme="1"/>
      <x:name val="Calibri"/>
    </x:font>
    <x:font>
      <x:b/>
      <x:sz val="10"/>
      <x:name val="Arial"/>
    </x:font>
    <x:font>
      <x:i/>
      <x:sz val="10"/>
      <x:name val="Arial"/>
    </x:font>
    <x:font>
      <x:sz val="10"/>
      <x:color rgb="FF0F172A"/>
      <x:name val="Arial"/>
    </x:font>
    <x:font>
      <x:b/>
      <x:sz val="10"/>
      <x:color rgb="FF17365D"/>
      <x:name val="Arial"/>
    </x:font>
    <x:font>
      <x:sz val="10"/>
      <x:color theme="1"/>
      <x:name val="Arial"/>
    </x:font>
    <x:font>
      <x:i/>
      <x:sz val="10"/>
      <x:color theme="1"/>
      <x:name val="Arial"/>
    </x:font>
    <x:font>
      <x:sz val="10"/>
      <x:color rgb="FF000000"/>
      <x:name val="Arial"/>
    </x:font>
    <x:font>
      <x:b/>
      <x:sz val="11"/>
      <x:color theme="1"/>
      <x:name val="Cambria"/>
    </x:font>
    <x:font>
      <x:b/>
      <x:sz val="11"/>
      <x:color rgb="FFFFFFFF"/>
      <x:name val="Calibri"/>
    </x:font>
    <x:font>
      <x:b/>
      <x:sz val="11"/>
      <x:color rgb="FF0F172A"/>
      <x:name val="Calibri"/>
    </x:font>
    <x:font>
      <x:b/>
      <x:sz val="10"/>
      <x:color rgb="FF0F172A"/>
      <x:name val="Arial"/>
    </x:font>
    <x:font>
      <x:b/>
      <x:sz val="14"/>
      <x:color rgb="FFFFFFFF"/>
      <x:name val="Cambria"/>
    </x:font>
    <x:font>
      <x:b/>
      <x:sz val="14"/>
      <x:color rgb="FFFFFFFF"/>
      <x:name val="Arial"/>
    </x:font>
    <x:font>
      <x:b/>
      <x:sz val="16"/>
      <x:color rgb="FFFFFFFF"/>
      <x:name val="Cambria"/>
    </x:font>
    <x:font>
      <x:b/>
      <x:i/>
      <x:sz val="11"/>
      <x:color rgb="FF203040"/>
      <x:name val="Cambria"/>
    </x:font>
    <x:font>
      <x:b/>
      <x:sz val="10"/>
      <x:color rgb="FF204A2A"/>
      <x:name val="Arial"/>
    </x:font>
    <x:font>
      <x:b/>
      <x:sz val="10"/>
      <x:color rgb="FF1F1F1F"/>
      <x:name val="Arial"/>
    </x:font>
    <x:font>
      <x:b/>
      <x:sz val="11"/>
      <x:color rgb="FF17365D"/>
      <x:name val="Cambria"/>
    </x:font>
    <x:font>
      <x:sz val="11"/>
      <x:color rgb="FFFFFFFF"/>
      <x:name val="Cambria"/>
    </x:font>
  </x:fonts>
  <x:fills count="35">
    <x:fill>
      <x:patternFill patternType="none"/>
    </x:fill>
    <x:fill>
      <x:patternFill patternType="gray125"/>
    </x:fill>
    <x:fill>
      <x:patternFill patternType="solid">
        <x:fgColor rgb="FF1F4E79"/>
      </x:patternFill>
    </x:fill>
    <x:fill>
      <x:patternFill patternType="solid">
        <x:fgColor rgb="FF1F4E78"/>
      </x:patternFill>
    </x:fill>
    <x:fill>
      <x:patternFill patternType="solid">
        <x:fgColor rgb="FF2F75B5"/>
      </x:patternFill>
    </x:fill>
    <x:fill>
      <x:patternFill patternType="solid">
        <x:fgColor rgb="FFEAF3F8"/>
      </x:patternFill>
    </x:fill>
    <x:fill>
      <x:patternFill patternType="solid">
        <x:fgColor rgb="FFD9EAF7"/>
      </x:patternFill>
    </x:fill>
    <x:fill>
      <x:patternFill patternType="solid">
        <x:fgColor rgb="FF155E75"/>
      </x:patternFill>
    </x:fill>
    <x:fill>
      <x:patternFill patternType="solid">
        <x:fgColor rgb="FF0F766E"/>
      </x:patternFill>
    </x:fill>
    <x:fill>
      <x:patternFill patternType="solid">
        <x:fgColor rgb="FFE2F0D9"/>
      </x:patternFill>
    </x:fill>
    <x:fill>
      <x:patternFill patternType="solid">
        <x:fgColor rgb="FF0F172A"/>
      </x:patternFill>
    </x:fill>
    <x:fill>
      <x:patternFill patternType="solid">
        <x:fgColor rgb="FFE0F2FE"/>
      </x:patternFill>
    </x:fill>
    <x:fill>
      <x:patternFill patternType="solid">
        <x:fgColor rgb="FFDDEBF7"/>
      </x:patternFill>
    </x:fill>
    <x:fill>
      <x:patternFill patternType="solid">
        <x:fgColor rgb="FFC6EFCE"/>
      </x:patternFill>
    </x:fill>
    <x:fill>
      <x:patternFill patternType="solid">
        <x:fgColor rgb="FFE8F0FE"/>
      </x:patternFill>
    </x:fill>
    <x:fill>
      <x:patternFill patternType="solid">
        <x:fgColor rgb="FFE2EFDA"/>
      </x:patternFill>
    </x:fill>
    <x:fill>
      <x:patternFill patternType="solid">
        <x:fgColor rgb="FFD9D9D9"/>
      </x:patternFill>
    </x:fill>
    <x:fill>
      <x:patternFill patternType="solid">
        <x:fgColor rgb="FF2E75B6"/>
      </x:patternFill>
    </x:fill>
    <x:fill>
      <x:patternFill patternType="solid">
        <x:fgColor rgb="FFFCE4D6"/>
      </x:patternFill>
    </x:fill>
    <x:fill>
      <x:patternFill patternType="solid">
        <x:fgColor rgb="FFE0F2F1"/>
      </x:patternFill>
    </x:fill>
    <x:fill>
      <x:patternFill patternType="solid">
        <x:fgColor rgb="FFFFF2CC"/>
      </x:patternFill>
    </x:fill>
    <x:fill>
      <x:patternFill patternType="solid">
        <x:fgColor rgb="FFFFEB9C"/>
      </x:patternFill>
    </x:fill>
    <x:fill>
      <x:patternFill patternType="solid">
        <x:fgColor rgb="FFEEF2FF"/>
      </x:patternFill>
    </x:fill>
    <x:fill>
      <x:patternFill patternType="solid">
        <x:fgColor rgb="FF1F2937"/>
      </x:patternFill>
    </x:fill>
    <x:fill>
      <x:patternFill patternType="solid">
        <x:fgColor rgb="FFFFC7CE"/>
      </x:patternFill>
    </x:fill>
    <x:fill>
      <x:patternFill patternType="solid">
        <x:fgColor rgb="FFFFCCCC"/>
      </x:patternFill>
    </x:fill>
    <x:fill>
      <x:patternFill patternType="solid">
        <x:fgColor rgb="FFFFE6CC"/>
      </x:patternFill>
    </x:fill>
    <x:fill>
      <x:patternFill patternType="solid">
        <x:fgColor rgb="FFFFFFCC"/>
      </x:patternFill>
    </x:fill>
    <x:fill>
      <x:patternFill patternType="solid">
        <x:fgColor rgb="FFD9EAD3"/>
      </x:patternFill>
    </x:fill>
    <x:fill>
      <x:patternFill patternType="solid">
        <x:fgColor rgb="FF123B5D"/>
      </x:patternFill>
    </x:fill>
    <x:fill>
      <x:patternFill patternType="solid">
        <x:fgColor rgb="FFDCEAF5"/>
      </x:patternFill>
    </x:fill>
    <x:fill>
      <x:patternFill patternType="solid">
        <x:fgColor rgb="FF2F6F9F"/>
      </x:patternFill>
    </x:fill>
    <x:fill>
      <x:patternFill patternType="solid">
        <x:fgColor rgb="FFE8F2E8"/>
      </x:patternFill>
    </x:fill>
    <x:fill>
      <x:patternFill patternType="solid">
        <x:fgColor rgb="FF334155"/>
      </x:patternFill>
    </x:fill>
    <x:fill>
      <x:patternFill patternType="solid">
        <x:fgColor rgb="FFB4C7E7"/>
      </x:patternFill>
    </x:fill>
  </x:fills>
  <x:borders count="46">
    <x:border diagonalUp="0" diagonalDown="0"/>
    <x:border diagonalUp="0" diagonalDown="0">
      <x:left style="thin">
        <x:color rgb="FF5B9BD5"/>
      </x:left>
      <x:right style="thin">
        <x:color rgb="FF5B9BD5"/>
      </x:right>
      <x:top style="thin">
        <x:color rgb="FF5B9BD5"/>
      </x:top>
      <x:bottom style="thin">
        <x:color rgb="FF5B9BD5"/>
      </x:bottom>
    </x:border>
    <x:border diagonalUp="0" diagonalDown="0">
      <x:left style="thin">
        <x:color rgb="FFB4C7E7"/>
      </x:left>
      <x:right style="thin">
        <x:color rgb="FFB4C7E7"/>
      </x:right>
      <x:top style="thin">
        <x:color rgb="FFB4C7E7"/>
      </x:top>
    </x:border>
    <x:border diagonalUp="0" diagonalDown="0">
      <x:left style="thin">
        <x:color rgb="FFB4C7E7"/>
      </x:left>
      <x:top style="thin">
        <x:color rgb="FFB4C7E7"/>
      </x:top>
    </x:border>
    <x:border diagonalUp="0" diagonalDown="0">
      <x:top style="thin">
        <x:color rgb="FFB4C7E7"/>
      </x:top>
    </x:border>
    <x:border diagonalUp="0" diagonalDown="0">
      <x:right style="thin">
        <x:color rgb="FFB4C7E7"/>
      </x:right>
      <x:top style="thin">
        <x:color rgb="FFB4C7E7"/>
      </x:top>
    </x:border>
    <x:border diagonalUp="0" diagonalDown="0">
      <x:left style="thin">
        <x:color rgb="FFB4C7E7"/>
      </x:left>
    </x:border>
    <x:border diagonalUp="0" diagonalDown="0">
      <x:right style="thin">
        <x:color rgb="FFB4C7E7"/>
      </x:right>
    </x:border>
    <x:border diagonalUp="0" diagonalDown="0">
      <x:left style="thin">
        <x:color rgb="FFB4C7E7"/>
      </x:left>
      <x:bottom style="thin">
        <x:color rgb="FFB4C7E7"/>
      </x:bottom>
    </x:border>
    <x:border diagonalUp="0" diagonalDown="0">
      <x:bottom style="thin">
        <x:color rgb="FFB4C7E7"/>
      </x:bottom>
    </x:border>
    <x:border diagonalUp="0" diagonalDown="0">
      <x:right style="thin">
        <x:color rgb="FFB4C7E7"/>
      </x:right>
      <x:bottom style="thin">
        <x:color rgb="FFB4C7E7"/>
      </x:bottom>
    </x:border>
    <x:border diagonalUp="0" diagonalDown="0">
      <x:left style="thin">
        <x:color rgb="FFD9D9D9"/>
      </x:left>
      <x:right style="thin">
        <x:color rgb="FFD9D9D9"/>
      </x:right>
      <x:top style="thin">
        <x:color rgb="FFD9D9D9"/>
      </x:top>
      <x:bottom style="thin">
        <x:color rgb="FFD9D9D9"/>
      </x:bottom>
    </x:border>
    <x:border diagonalUp="0" diagonalDown="0">
      <x:left style="thin">
        <x:color rgb="FFBFBFBF"/>
      </x:left>
      <x:right style="thin">
        <x:color rgb="FFBFBFBF"/>
      </x:right>
      <x:top style="thin">
        <x:color rgb="FFBFBFBF"/>
      </x:top>
      <x:bottom style="thin">
        <x:color rgb="FFBFBFBF"/>
      </x:bottom>
    </x:border>
    <x:border diagonalUp="0" diagonalDown="0">
      <x:left style="thin">
        <x:color rgb="FFCCCCCC"/>
      </x:left>
      <x:right style="thin">
        <x:color rgb="FFCCCCCC"/>
      </x:right>
      <x:top style="thin">
        <x:color rgb="FFCCCCCC"/>
      </x:top>
      <x:bottom style="thin">
        <x:color rgb="FFCCCCCC"/>
      </x:bottom>
    </x:border>
    <x:border diagonalUp="0" diagonalDown="0">
      <x:left style="thin">
        <x:color rgb="FF5B9BD5"/>
      </x:left>
      <x:top style="thin">
        <x:color rgb="FF5B9BD5"/>
      </x:top>
      <x:bottom style="thin">
        <x:color rgb="FF5B9BD5"/>
      </x:bottom>
    </x:border>
    <x:border diagonalUp="0" diagonalDown="0">
      <x:top style="thin">
        <x:color rgb="FF5B9BD5"/>
      </x:top>
      <x:bottom style="thin">
        <x:color rgb="FF5B9BD5"/>
      </x:bottom>
    </x:border>
    <x:border diagonalUp="0" diagonalDown="0">
      <x:right style="thin">
        <x:color rgb="FF5B9BD5"/>
      </x:right>
      <x:top style="thin">
        <x:color rgb="FF5B9BD5"/>
      </x:top>
      <x:bottom style="thin">
        <x:color rgb="FF5B9BD5"/>
      </x:bottom>
    </x:border>
    <x:border diagonalUp="0" diagonalDown="0">
      <x:left style="thin">
        <x:color rgb="FFC8D4DE"/>
      </x:left>
      <x:right style="thin">
        <x:color rgb="FFC8D4DE"/>
      </x:right>
      <x:top style="thin">
        <x:color rgb="FFC8D4DE"/>
      </x:top>
      <x:bottom style="thin">
        <x:color rgb="FFC8D4DE"/>
      </x:bottom>
    </x:border>
    <x:border diagonalUp="0" diagonalDown="0">
      <x:left style="thin">
        <x:color rgb="FFB4C7E7"/>
      </x:left>
      <x:right style="thin">
        <x:color rgb="FF5B9BD5"/>
      </x:right>
      <x:top style="thin">
        <x:color rgb="FFB4C7E7"/>
      </x:top>
      <x:bottom style="thin">
        <x:color rgb="FF5B9BD5"/>
      </x:bottom>
    </x:border>
    <x:border diagonalUp="0" diagonalDown="0">
      <x:left style="thin">
        <x:color rgb="FF5B9BD5"/>
      </x:left>
      <x:right style="thin">
        <x:color rgb="FF5B9BD5"/>
      </x:right>
      <x:top style="thin">
        <x:color rgb="FFB4C7E7"/>
      </x:top>
      <x:bottom style="thin">
        <x:color rgb="FF5B9BD5"/>
      </x:bottom>
    </x:border>
    <x:border diagonalUp="0" diagonalDown="0">
      <x:left style="thin">
        <x:color rgb="FF5B9BD5"/>
      </x:left>
      <x:right style="thin">
        <x:color rgb="FFB4C7E7"/>
      </x:right>
      <x:top style="thin">
        <x:color rgb="FFB4C7E7"/>
      </x:top>
      <x:bottom style="thin">
        <x:color rgb="FF5B9BD5"/>
      </x:bottom>
    </x:border>
    <x:border diagonalUp="0" diagonalDown="0">
      <x:left style="thin">
        <x:color rgb="FFB4C7E7"/>
      </x:left>
      <x:right style="thin">
        <x:color rgb="FF5B9BD5"/>
      </x:right>
      <x:top style="thin">
        <x:color rgb="FF5B9BD5"/>
      </x:top>
      <x:bottom style="thin">
        <x:color rgb="FF5B9BD5"/>
      </x:bottom>
    </x:border>
    <x:border diagonalUp="0" diagonalDown="0">
      <x:left style="thin">
        <x:color rgb="FF5B9BD5"/>
      </x:left>
      <x:right style="thin">
        <x:color rgb="FFB4C7E7"/>
      </x:right>
      <x:top style="thin">
        <x:color rgb="FF5B9BD5"/>
      </x:top>
      <x:bottom style="thin">
        <x:color rgb="FF5B9BD5"/>
      </x:bottom>
    </x:border>
    <x:border diagonalUp="0" diagonalDown="0"/>
    <x:border diagonalUp="0" diagonalDown="0">
      <x:left style="thin">
        <x:color rgb="FF5B9BD5"/>
      </x:left>
      <x:right style="thin">
        <x:color rgb="FF5B9BD5"/>
      </x:right>
      <x:top style="thin">
        <x:color rgb="FF5B9BD5"/>
      </x:top>
      <x:bottom style="thin">
        <x:color rgb="FF5B9BD5"/>
      </x:bottom>
    </x:border>
    <x:border diagonalUp="0" diagonalDown="0">
      <x:left style="thin">
        <x:color rgb="FFB4C7E7"/>
      </x:left>
      <x:right style="thin">
        <x:color rgb="FFB4C7E7"/>
      </x:right>
      <x:top style="thin">
        <x:color rgb="FFB4C7E7"/>
      </x:top>
    </x:border>
    <x:border diagonalUp="0" diagonalDown="0">
      <x:left style="thin">
        <x:color rgb="FFB4C7E7"/>
      </x:left>
      <x:top style="thin">
        <x:color rgb="FFB4C7E7"/>
      </x:top>
    </x:border>
    <x:border diagonalUp="0" diagonalDown="0">
      <x:top style="thin">
        <x:color rgb="FFB4C7E7"/>
      </x:top>
    </x:border>
    <x:border diagonalUp="0" diagonalDown="0">
      <x:right style="thin">
        <x:color rgb="FFB4C7E7"/>
      </x:right>
      <x:top style="thin">
        <x:color rgb="FFB4C7E7"/>
      </x:top>
    </x:border>
    <x:border diagonalUp="0" diagonalDown="0">
      <x:left style="thin">
        <x:color rgb="FFB4C7E7"/>
      </x:left>
    </x:border>
    <x:border diagonalUp="0" diagonalDown="0">
      <x:right style="thin">
        <x:color rgb="FFB4C7E7"/>
      </x:right>
    </x:border>
    <x:border diagonalUp="0" diagonalDown="0">
      <x:left style="thin">
        <x:color rgb="FFB4C7E7"/>
      </x:left>
      <x:bottom style="thin">
        <x:color rgb="FFB4C7E7"/>
      </x:bottom>
    </x:border>
    <x:border diagonalUp="0" diagonalDown="0">
      <x:bottom style="thin">
        <x:color rgb="FFB4C7E7"/>
      </x:bottom>
    </x:border>
    <x:border diagonalUp="0" diagonalDown="0">
      <x:right style="thin">
        <x:color rgb="FFB4C7E7"/>
      </x:right>
      <x:bottom style="thin">
        <x:color rgb="FFB4C7E7"/>
      </x:bottom>
    </x:border>
    <x:border diagonalUp="0" diagonalDown="0">
      <x:left style="thin">
        <x:color rgb="FFD9D9D9"/>
      </x:left>
      <x:right style="thin">
        <x:color rgb="FFD9D9D9"/>
      </x:right>
      <x:top style="thin">
        <x:color rgb="FFD9D9D9"/>
      </x:top>
      <x:bottom style="thin">
        <x:color rgb="FFD9D9D9"/>
      </x:bottom>
    </x:border>
    <x:border diagonalUp="0" diagonalDown="0">
      <x:left style="thin">
        <x:color rgb="FFBFBFBF"/>
      </x:left>
      <x:right style="thin">
        <x:color rgb="FFBFBFBF"/>
      </x:right>
      <x:top style="thin">
        <x:color rgb="FFBFBFBF"/>
      </x:top>
      <x:bottom style="thin">
        <x:color rgb="FFBFBFBF"/>
      </x:bottom>
    </x:border>
    <x:border diagonalUp="0" diagonalDown="0">
      <x:left style="thin">
        <x:color rgb="FFCCCCCC"/>
      </x:left>
      <x:right style="thin">
        <x:color rgb="FFCCCCCC"/>
      </x:right>
      <x:top style="thin">
        <x:color rgb="FFCCCCCC"/>
      </x:top>
      <x:bottom style="thin">
        <x:color rgb="FFCCCCCC"/>
      </x:bottom>
    </x:border>
    <x:border diagonalUp="0" diagonalDown="0">
      <x:left style="thin">
        <x:color rgb="FF5B9BD5"/>
      </x:left>
      <x:top style="thin">
        <x:color rgb="FF5B9BD5"/>
      </x:top>
      <x:bottom style="thin">
        <x:color rgb="FF5B9BD5"/>
      </x:bottom>
    </x:border>
    <x:border diagonalUp="0" diagonalDown="0">
      <x:top style="thin">
        <x:color rgb="FF5B9BD5"/>
      </x:top>
      <x:bottom style="thin">
        <x:color rgb="FF5B9BD5"/>
      </x:bottom>
    </x:border>
    <x:border diagonalUp="0" diagonalDown="0">
      <x:right style="thin">
        <x:color rgb="FF5B9BD5"/>
      </x:right>
      <x:top style="thin">
        <x:color rgb="FF5B9BD5"/>
      </x:top>
      <x:bottom style="thin">
        <x:color rgb="FF5B9BD5"/>
      </x:bottom>
    </x:border>
    <x:border diagonalUp="0" diagonalDown="0">
      <x:left style="thin">
        <x:color rgb="FFC8D4DE"/>
      </x:left>
      <x:right style="thin">
        <x:color rgb="FFC8D4DE"/>
      </x:right>
      <x:top style="thin">
        <x:color rgb="FFC8D4DE"/>
      </x:top>
      <x:bottom style="thin">
        <x:color rgb="FFC8D4DE"/>
      </x:bottom>
    </x:border>
    <x:border diagonalUp="0" diagonalDown="0">
      <x:left style="thin">
        <x:color rgb="FFB4C7E7"/>
      </x:left>
      <x:right style="thin">
        <x:color rgb="FF5B9BD5"/>
      </x:right>
      <x:top style="thin">
        <x:color rgb="FFB4C7E7"/>
      </x:top>
      <x:bottom style="thin">
        <x:color rgb="FF5B9BD5"/>
      </x:bottom>
    </x:border>
    <x:border diagonalUp="0" diagonalDown="0">
      <x:left style="thin">
        <x:color rgb="FF5B9BD5"/>
      </x:left>
      <x:right style="thin">
        <x:color rgb="FF5B9BD5"/>
      </x:right>
      <x:top style="thin">
        <x:color rgb="FFB4C7E7"/>
      </x:top>
      <x:bottom style="thin">
        <x:color rgb="FF5B9BD5"/>
      </x:bottom>
    </x:border>
    <x:border diagonalUp="0" diagonalDown="0">
      <x:left style="thin">
        <x:color rgb="FF5B9BD5"/>
      </x:left>
      <x:right style="thin">
        <x:color rgb="FFB4C7E7"/>
      </x:right>
      <x:top style="thin">
        <x:color rgb="FFB4C7E7"/>
      </x:top>
      <x:bottom style="thin">
        <x:color rgb="FF5B9BD5"/>
      </x:bottom>
    </x:border>
    <x:border diagonalUp="0" diagonalDown="0">
      <x:left style="thin">
        <x:color rgb="FFB4C7E7"/>
      </x:left>
      <x:right style="thin">
        <x:color rgb="FF5B9BD5"/>
      </x:right>
      <x:top style="thin">
        <x:color rgb="FF5B9BD5"/>
      </x:top>
      <x:bottom style="thin">
        <x:color rgb="FF5B9BD5"/>
      </x:bottom>
    </x:border>
    <x:border diagonalUp="0" diagonalDown="0">
      <x:left style="thin">
        <x:color rgb="FF5B9BD5"/>
      </x:left>
      <x:right style="thin">
        <x:color rgb="FFB4C7E7"/>
      </x:right>
      <x:top style="thin">
        <x:color rgb="FF5B9BD5"/>
      </x:top>
      <x:bottom style="thin">
        <x:color rgb="FF5B9BD5"/>
      </x:bottom>
    </x:border>
  </x:borders>
  <x:cellStyleXfs count="63">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xf numFmtId="165" fontId="4" fillId="0" borderId="0" applyFont="1" applyBorder="0" applyAlignment="0" applyProtection="0"/>
    <x:xf numFmtId="166" fontId="4" fillId="0" borderId="0" applyFont="1" applyBorder="1" applyAlignment="1" applyProtection="1">
      <x:alignment horizontal="general" vertical="bottom" wrapText="0" shrinkToFit="0"/>
      <x:protection locked="1" hidden="0"/>
    </x:xf>
    <x:xf numFmtId="166" fontId="4" fillId="0" borderId="0" applyFont="1" applyBorder="1" applyAlignment="1" applyProtection="1">
      <x:alignment horizontal="general" vertical="bottom" wrapText="0" shrinkToFit="0"/>
      <x:protection locked="1" hidden="0"/>
    </x:xf>
    <x:xf numFmtId="166" fontId="4" fillId="0" borderId="0" applyFont="1" applyBorder="1" applyAlignment="1" applyProtection="1">
      <x:alignment horizontal="general" vertical="bottom" wrapText="0" shrinkToFit="0"/>
      <x:protection locked="1" hidden="0"/>
    </x:xf>
    <x:xf numFmtId="166" fontId="4" fillId="0" borderId="0" applyFont="1" applyBorder="0" applyAlignment="0" applyProtection="0"/>
    <x:xf numFmtId="166" fontId="4" fillId="0" borderId="0" applyFont="1" applyBorder="0" applyAlignment="0" applyProtection="0"/>
    <x:xf numFmtId="166" fontId="4" fillId="0" borderId="0" applyFont="1" applyBorder="0" applyAlignment="0" applyProtection="0"/>
    <x:xf numFmtId="167" fontId="4" fillId="0" borderId="0" applyFont="1" applyBorder="0" applyAlignment="0" applyProtection="0"/>
    <x:xf numFmtId="168" fontId="4" fillId="0" borderId="0" applyFont="1" applyBorder="1" applyAlignment="1" applyProtection="1">
      <x:alignment horizontal="general" vertical="bottom" wrapText="0" shrinkToFit="0"/>
      <x:protection locked="1" hidden="0"/>
    </x:xf>
    <x:xf numFmtId="168" fontId="4" fillId="0" borderId="0" applyFont="1" applyBorder="1" applyAlignment="1" applyProtection="1">
      <x:alignment horizontal="general" vertical="bottom" wrapText="0" shrinkToFit="0"/>
      <x:protection locked="1" hidden="0"/>
    </x:xf>
    <x:xf numFmtId="168" fontId="4" fillId="0" borderId="0" applyFont="1" applyBorder="1" applyAlignment="1" applyProtection="1">
      <x:alignment horizontal="general" vertical="bottom" wrapText="0" shrinkToFit="0"/>
      <x:protection locked="1" hidden="0"/>
    </x:xf>
    <x:xf numFmtId="168" fontId="4" fillId="0" borderId="0" applyFont="1" applyBorder="0" applyAlignment="0" applyProtection="0"/>
    <x:xf numFmtId="168" fontId="4" fillId="0" borderId="0" applyFont="1" applyBorder="0" applyAlignment="0" applyProtection="0"/>
    <x:xf numFmtId="168" fontId="4" fillId="0" borderId="0" applyFont="1" applyBorder="0" applyAlignment="0" applyProtection="0"/>
    <x:xf numFmtId="169" fontId="4" fillId="0" borderId="0" applyFont="1" applyBorder="0" applyAlignment="0" applyProtection="0"/>
    <x:xf numFmtId="170" fontId="4" fillId="0" borderId="0" applyFont="1" applyBorder="1" applyAlignment="1" applyProtection="1">
      <x:alignment horizontal="general" vertical="bottom" wrapText="0" shrinkToFit="0"/>
      <x:protection locked="1" hidden="0"/>
    </x:xf>
    <x:xf numFmtId="170" fontId="4" fillId="0" borderId="0" applyFont="1" applyBorder="1" applyAlignment="1" applyProtection="1">
      <x:alignment horizontal="general" vertical="bottom" wrapText="0" shrinkToFit="0"/>
      <x:protection locked="1" hidden="0"/>
    </x:xf>
    <x:xf numFmtId="170" fontId="4" fillId="0" borderId="0" applyFont="1" applyBorder="1" applyAlignment="1" applyProtection="1">
      <x:alignment horizontal="general" vertical="bottom" wrapText="0" shrinkToFit="0"/>
      <x:protection locked="1" hidden="0"/>
    </x:xf>
    <x:xf numFmtId="170" fontId="4" fillId="0" borderId="0" applyFont="1" applyBorder="0" applyAlignment="0" applyProtection="0"/>
    <x:xf numFmtId="170" fontId="4" fillId="0" borderId="0" applyFont="1" applyBorder="0" applyAlignment="0" applyProtection="0"/>
    <x:xf numFmtId="170" fontId="4" fillId="0" borderId="0" applyFont="1" applyBorder="0" applyAlignment="0" applyProtection="0"/>
    <x:xf numFmtId="171" fontId="4" fillId="0" borderId="0" applyFont="1" applyBorder="0" applyAlignment="0" applyProtection="0"/>
    <x:xf numFmtId="172" fontId="4" fillId="0" borderId="0" applyFont="1" applyBorder="1" applyAlignment="1" applyProtection="1">
      <x:alignment horizontal="general" vertical="bottom" wrapText="0" shrinkToFit="0"/>
      <x:protection locked="1" hidden="0"/>
    </x:xf>
    <x:xf numFmtId="172" fontId="4" fillId="0" borderId="0" applyFont="1" applyBorder="1" applyAlignment="1" applyProtection="1">
      <x:alignment horizontal="general" vertical="bottom" wrapText="0" shrinkToFit="0"/>
      <x:protection locked="1" hidden="0"/>
    </x:xf>
    <x:xf numFmtId="172" fontId="4" fillId="0" borderId="0" applyFont="1" applyBorder="1" applyAlignment="1" applyProtection="1">
      <x:alignment horizontal="general" vertical="bottom" wrapText="0" shrinkToFit="0"/>
      <x:protection locked="1" hidden="0"/>
    </x:xf>
    <x:xf numFmtId="172" fontId="4" fillId="0" borderId="0" applyFont="1" applyBorder="0" applyAlignment="0" applyProtection="0"/>
    <x:xf numFmtId="172" fontId="4" fillId="0" borderId="0" applyFont="1" applyBorder="0" applyAlignment="0" applyProtection="0"/>
    <x:xf numFmtId="172" fontId="4" fillId="0" borderId="0" applyFont="1" applyBorder="0" applyAlignment="0" applyProtection="0"/>
    <x:xf numFmtId="164" fontId="4" fillId="0" borderId="0" applyFont="1" applyBorder="1" applyAlignment="1" applyProtection="1">
      <x:alignment horizontal="general" vertical="bottom" wrapText="0" shrinkToFit="0"/>
      <x:protection locked="1" hidden="0"/>
    </x:xf>
    <x:xf numFmtId="164" fontId="4"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4" fillId="0" borderId="0" applyFont="1" applyBorder="1" applyAlignment="1" applyProtection="1">
      <x:alignment horizontal="general" vertical="bottom" wrapText="0" shrinkToFit="0"/>
      <x:protection locked="1" hidden="0"/>
    </x:xf>
    <x:xf numFmtId="164" fontId="4" fillId="0" borderId="0" applyFont="1" applyBorder="1" applyAlignment="1" applyProtection="1">
      <x:alignment horizontal="general" vertical="bottom" wrapText="0" shrinkToFit="0"/>
      <x:protection locked="1" hidden="0"/>
    </x:xf>
    <x:xf numFmtId="164" fontId="4" fillId="0" borderId="0" applyFont="1" applyBorder="1" applyAlignment="1" applyProtection="1">
      <x:alignment horizontal="general" vertical="bottom" wrapText="0" shrinkToFit="0"/>
      <x:protection locked="1" hidden="0"/>
    </x:xf>
    <x:xf numFmtId="164" fontId="4" fillId="0" borderId="0" applyFont="1" applyBorder="1" applyAlignment="1" applyProtection="1">
      <x:alignment horizontal="general" vertical="bottom" wrapText="0" shrinkToFit="0"/>
      <x:protection locked="1" hidden="0"/>
    </x:xf>
    <x:xf numFmtId="164" fontId="4" fillId="0" borderId="0" applyFont="1" applyBorder="1" applyAlignment="1" applyProtection="1">
      <x:alignment horizontal="general" vertical="bottom" wrapText="0" shrinkToFit="0"/>
      <x:protection locked="1" hidden="0"/>
    </x:xf>
    <x:xf numFmtId="173" fontId="4" fillId="0" borderId="0" applyFont="1" applyBorder="0" applyAlignment="0" applyProtection="0"/>
    <x:xf numFmtId="173" fontId="4" fillId="0" borderId="0" applyFont="1" applyBorder="0" applyAlignment="0" applyProtection="0"/>
    <x:xf numFmtId="173" fontId="4" fillId="0" borderId="0" applyFont="1" applyBorder="0" applyAlignment="0" applyProtection="0"/>
    <x:xf numFmtId="173" fontId="4" fillId="0" borderId="0" applyFont="1" applyBorder="1" applyAlignment="1" applyProtection="1">
      <x:alignment horizontal="general" vertical="bottom" wrapText="0" shrinkToFit="0"/>
      <x:protection locked="1" hidden="0"/>
    </x:xf>
    <x:xf numFmtId="173" fontId="4" fillId="0" borderId="0" applyFont="1" applyBorder="1" applyAlignment="1" applyProtection="1">
      <x:alignment horizontal="general" vertical="bottom" wrapText="0" shrinkToFit="0"/>
      <x:protection locked="1" hidden="0"/>
    </x:xf>
    <x:xf numFmtId="173" fontId="4" fillId="0" borderId="0" applyFont="1" applyBorder="1" applyAlignment="1" applyProtection="1">
      <x:alignment horizontal="general" vertical="bottom" wrapText="0" shrinkToFit="0"/>
      <x:protection locked="1" hidden="0"/>
    </x:xf>
    <x:xf numFmtId="173" fontId="4" fillId="0" borderId="0" applyFont="1" applyBorder="0" applyAlignment="0" applyProtection="0"/>
  </x:cellStyleXfs>
  <x:cellXfs count="525">
    <x:xf numFmtId="164" fontId="0" fillId="0" borderId="0" xfId="0" applyFont="0" applyBorder="0" applyAlignment="0">
      <x:alignment horizontal="general" vertical="bottom" wrapText="0"/>
    </x:xf>
    <x:xf numFmtId="164" fontId="4" fillId="0" borderId="0" xfId="53" applyFont="1" applyBorder="0" applyAlignment="1">
      <x:alignment horizontal="general" vertical="bottom" wrapText="0"/>
    </x:xf>
    <x:xf numFmtId="164" fontId="6" fillId="2" borderId="1" xfId="53" applyFont="1" applyBorder="1" applyAlignment="1">
      <x:alignment horizontal="general" vertical="top" wrapText="1"/>
    </x:xf>
    <x:xf numFmtId="164" fontId="6" fillId="3" borderId="0" xfId="53" applyFont="1" applyBorder="0" applyAlignment="1">
      <x:alignment horizontal="general" vertical="top" wrapText="1"/>
    </x:xf>
    <x:xf numFmtId="164" fontId="6" fillId="4" borderId="1" xfId="53" applyFont="1" applyBorder="1" applyAlignment="1">
      <x:alignment horizontal="general" vertical="top" wrapText="1"/>
    </x:xf>
    <x:xf numFmtId="164" fontId="7" fillId="5" borderId="1" xfId="53" applyFont="1" applyBorder="1" applyAlignment="1">
      <x:alignment horizontal="general" vertical="top" wrapText="1"/>
    </x:xf>
    <x:xf numFmtId="164" fontId="4" fillId="0" borderId="0" xfId="53" applyFont="1" applyBorder="0" applyAlignment="1">
      <x:alignment horizontal="general" vertical="top" wrapText="1"/>
    </x:xf>
    <x:xf numFmtId="164" fontId="8" fillId="6" borderId="1" xfId="53" applyFont="1" applyBorder="1" applyAlignment="1">
      <x:alignment horizontal="general" vertical="top" wrapText="1"/>
    </x:xf>
    <x:xf numFmtId="164" fontId="7" fillId="0" borderId="1" xfId="53" applyFont="1" applyBorder="1" applyAlignment="1">
      <x:alignment horizontal="general" vertical="top" wrapText="1"/>
    </x:xf>
    <x:xf numFmtId="164" fontId="7" fillId="7" borderId="1" xfId="53" applyFont="1" applyBorder="1" applyAlignment="1">
      <x:alignment horizontal="general" vertical="top" wrapText="1"/>
    </x:xf>
    <x:xf numFmtId="164" fontId="9" fillId="7" borderId="0" xfId="53" applyFont="1" applyBorder="0" applyAlignment="1">
      <x:alignment horizontal="general" vertical="top" wrapText="1"/>
    </x:xf>
    <x:xf numFmtId="164" fontId="9" fillId="3" borderId="0" xfId="53" applyFont="1" applyBorder="1" applyAlignment="1">
      <x:alignment horizontal="general" vertical="top" wrapText="1"/>
    </x:xf>
    <x:xf numFmtId="164" fontId="4" fillId="0" borderId="0" xfId="53" applyFont="1" applyBorder="1" applyAlignment="1">
      <x:alignment horizontal="general" vertical="top" wrapText="1"/>
    </x:xf>
    <x:xf numFmtId="164" fontId="9" fillId="3" borderId="0" xfId="54" applyFont="1" applyBorder="1" applyAlignment="1">
      <x:alignment horizontal="center" vertical="center" wrapText="1"/>
    </x:xf>
    <x:xf numFmtId="164" fontId="4" fillId="0" borderId="0" xfId="54" applyFont="1" applyBorder="1" applyAlignment="1">
      <x:alignment horizontal="general" vertical="top" wrapText="1"/>
    </x:xf>
    <x:xf numFmtId="164" fontId="6" fillId="3" borderId="1" xfId="53" applyFont="1" applyBorder="1" applyAlignment="1">
      <x:alignment horizontal="general" vertical="top" wrapText="1"/>
    </x:xf>
    <x:xf numFmtId="164" fontId="9" fillId="7" borderId="0" xfId="53" applyFont="1" applyBorder="1" applyAlignment="1">
      <x:alignment horizontal="general" vertical="top" wrapText="1"/>
    </x:xf>
    <x:xf numFmtId="164" fontId="10" fillId="0" borderId="0" xfId="53" applyFont="1" applyBorder="1" applyAlignment="1">
      <x:alignment horizontal="general" vertical="top" wrapText="1"/>
    </x:xf>
    <x:xf numFmtId="164" fontId="5" fillId="0" borderId="0" xfId="53" applyFont="1" applyBorder="1" applyAlignment="1">
      <x:alignment horizontal="general" vertical="top" wrapText="1"/>
    </x:xf>
    <x:xf numFmtId="164" fontId="11" fillId="0" borderId="0" xfId="53" applyFont="1" applyBorder="0" applyAlignment="1">
      <x:alignment horizontal="general" vertical="top" wrapText="1"/>
    </x:xf>
    <x:xf numFmtId="174" fontId="8" fillId="6" borderId="1" xfId="53" applyFont="1" applyBorder="1" applyAlignment="1">
      <x:alignment horizontal="general" vertical="top" wrapText="1"/>
    </x:xf>
    <x:xf numFmtId="164" fontId="9" fillId="8" borderId="0" xfId="53" applyFont="1" applyBorder="0" applyAlignment="1">
      <x:alignment horizontal="general" vertical="top" wrapText="1"/>
    </x:xf>
    <x:xf numFmtId="164" fontId="8" fillId="6" borderId="1" xfId="54" applyFont="1" applyBorder="1" applyAlignment="1">
      <x:alignment horizontal="general" vertical="top" wrapText="1"/>
    </x:xf>
    <x:xf numFmtId="164" fontId="7" fillId="0" borderId="1" xfId="54" applyFont="1" applyBorder="1" applyAlignment="1">
      <x:alignment horizontal="general" vertical="top" wrapText="1"/>
    </x:xf>
    <x:xf numFmtId="164" fontId="12" fillId="9" borderId="0" xfId="54" applyFont="1" applyBorder="1" applyAlignment="1">
      <x:alignment horizontal="general" vertical="top" wrapText="1"/>
    </x:xf>
    <x:xf numFmtId="164" fontId="4" fillId="0" borderId="0" xfId="54" applyFont="1" applyBorder="1" applyAlignment="1">
      <x:alignment horizontal="general" vertical="bottom" wrapText="1"/>
    </x:xf>
    <x:xf numFmtId="164" fontId="6" fillId="10" borderId="0" xfId="53" applyFont="1" applyBorder="0" applyAlignment="1">
      <x:alignment horizontal="left" vertical="center" wrapText="1"/>
    </x:xf>
    <x:xf numFmtId="164" fontId="13" fillId="11" borderId="0" xfId="53" applyFont="1" applyBorder="0" applyAlignment="1">
      <x:alignment horizontal="left" vertical="center" wrapText="1"/>
    </x:xf>
    <x:xf numFmtId="164" fontId="7" fillId="11" borderId="1" xfId="53" applyFont="1" applyBorder="1" applyAlignment="1">
      <x:alignment horizontal="general" vertical="top" wrapText="1"/>
    </x:xf>
    <x:xf numFmtId="164" fontId="9" fillId="3" borderId="2" xfId="53" applyFont="1" applyBorder="1" applyAlignment="1">
      <x:alignment horizontal="center" vertical="center" wrapText="1"/>
    </x:xf>
    <x:xf numFmtId="164" fontId="14" fillId="6" borderId="3" xfId="53" applyFont="1" applyBorder="1" applyAlignment="1">
      <x:alignment horizontal="center" vertical="center" wrapText="1"/>
    </x:xf>
    <x:xf numFmtId="164" fontId="9" fillId="3" borderId="4" xfId="53" applyFont="1" applyBorder="1" applyAlignment="1">
      <x:alignment horizontal="center" vertical="center" wrapText="1"/>
    </x:xf>
    <x:xf numFmtId="164" fontId="9" fillId="3" borderId="5" xfId="53" applyFont="1" applyBorder="1" applyAlignment="1">
      <x:alignment horizontal="center" vertical="center" wrapText="1"/>
    </x:xf>
    <x:xf numFmtId="164" fontId="14" fillId="6" borderId="6" xfId="53" applyFont="1" applyBorder="1" applyAlignment="1">
      <x:alignment horizontal="general" vertical="center" wrapText="1"/>
    </x:xf>
    <x:xf numFmtId="164" fontId="4" fillId="0" borderId="0" xfId="53" applyFont="1" applyBorder="0" applyAlignment="1">
      <x:alignment horizontal="general" vertical="center" wrapText="1"/>
    </x:xf>
    <x:xf numFmtId="164" fontId="4" fillId="0" borderId="7" xfId="53" applyFont="1" applyBorder="1" applyAlignment="1">
      <x:alignment horizontal="general" vertical="center" wrapText="1"/>
    </x:xf>
    <x:xf numFmtId="175" fontId="4" fillId="0" borderId="0" xfId="49" applyFont="1" applyBorder="1" applyAlignment="1">
      <x:alignment horizontal="general" vertical="center" wrapText="1"/>
    </x:xf>
    <x:xf numFmtId="164" fontId="14" fillId="6" borderId="8" xfId="53" applyFont="1" applyBorder="1" applyAlignment="1">
      <x:alignment horizontal="general" vertical="center" wrapText="1"/>
    </x:xf>
    <x:xf numFmtId="175" fontId="4" fillId="0" borderId="9" xfId="49" applyFont="1" applyBorder="1" applyAlignment="1">
      <x:alignment horizontal="general" vertical="center" wrapText="1"/>
    </x:xf>
    <x:xf numFmtId="164" fontId="4" fillId="0" borderId="10" xfId="53" applyFont="1" applyBorder="1" applyAlignment="1">
      <x:alignment horizontal="general" vertical="center" wrapText="1"/>
    </x:xf>
    <x:xf numFmtId="175" fontId="4" fillId="0" borderId="0" xfId="49" applyFont="1" applyBorder="1" applyAlignment="1">
      <x:alignment horizontal="general" vertical="top" wrapText="1"/>
    </x:xf>
    <x:xf numFmtId="175" fontId="7" fillId="0" borderId="1" xfId="49" applyFont="1" applyBorder="1" applyAlignment="1">
      <x:alignment horizontal="general" vertical="top" wrapText="1"/>
    </x:xf>
    <x:xf numFmtId="175" fontId="7" fillId="5" borderId="1" xfId="49" applyFont="1" applyBorder="1" applyAlignment="1">
      <x:alignment horizontal="general" vertical="top" wrapText="1"/>
    </x:xf>
    <x:xf numFmtId="164" fontId="7" fillId="12" borderId="1" xfId="53" applyFont="1" applyBorder="1" applyAlignment="1">
      <x:alignment horizontal="general" vertical="top" wrapText="1"/>
    </x:xf>
    <x:xf numFmtId="164" fontId="5" fillId="13" borderId="0" xfId="53" applyFont="1" applyBorder="0" applyAlignment="1">
      <x:alignment horizontal="general" vertical="top" wrapText="1"/>
    </x:xf>
    <x:xf numFmtId="164" fontId="7" fillId="13" borderId="1" xfId="53" applyFont="1" applyBorder="1" applyAlignment="1">
      <x:alignment horizontal="general" vertical="top" wrapText="1"/>
    </x:xf>
    <x:xf numFmtId="164" fontId="5" fillId="12" borderId="0" xfId="53" applyFont="1" applyBorder="0" applyAlignment="1">
      <x:alignment horizontal="general" vertical="top" wrapText="1"/>
    </x:xf>
    <x:xf numFmtId="164" fontId="5" fillId="14" borderId="0" xfId="53" applyFont="1" applyBorder="0" applyAlignment="1">
      <x:alignment horizontal="general" vertical="top" wrapText="1"/>
    </x:xf>
    <x:xf numFmtId="164" fontId="7" fillId="14" borderId="1" xfId="53" applyFont="1" applyBorder="1" applyAlignment="1">
      <x:alignment horizontal="general" vertical="top" wrapText="1"/>
    </x:xf>
    <x:xf numFmtId="164" fontId="15" fillId="14" borderId="0" xfId="53" applyFont="1" applyBorder="0" applyAlignment="1">
      <x:alignment horizontal="general" vertical="top" wrapText="1"/>
    </x:xf>
    <x:xf numFmtId="164" fontId="16" fillId="14" borderId="0" xfId="53" applyFont="1" applyBorder="0" applyAlignment="1">
      <x:alignment horizontal="general" vertical="top" wrapText="1"/>
    </x:xf>
    <x:xf numFmtId="164" fontId="5" fillId="0" borderId="0" xfId="53" applyFont="1" applyBorder="0" applyAlignment="1">
      <x:alignment horizontal="general" vertical="top" wrapText="1"/>
    </x:xf>
    <x:xf numFmtId="164" fontId="4" fillId="0" borderId="0" xfId="53" applyFont="1" applyBorder="0" applyAlignment="1">
      <x:alignment horizontal="general" vertical="bottom" wrapText="1"/>
    </x:xf>
    <x:xf numFmtId="164" fontId="5" fillId="0" borderId="0" xfId="53" applyFont="1" applyBorder="0" applyAlignment="1">
      <x:alignment horizontal="general" vertical="bottom" wrapText="0"/>
    </x:xf>
    <x:xf numFmtId="164" fontId="6" fillId="3" borderId="0" xfId="53" applyFont="1" applyBorder="1" applyAlignment="1">
      <x:alignment horizontal="general" vertical="top" wrapText="1"/>
    </x:xf>
    <x:xf numFmtId="176" fontId="7" fillId="5" borderId="1" xfId="54" applyFont="1" applyBorder="1" applyAlignment="1">
      <x:alignment horizontal="general" vertical="top" wrapText="1"/>
    </x:xf>
    <x:xf numFmtId="164" fontId="7" fillId="15" borderId="1" xfId="53" applyFont="1" applyBorder="1" applyAlignment="1">
      <x:alignment horizontal="general" vertical="top" wrapText="1"/>
    </x:xf>
    <x:xf numFmtId="164" fontId="5" fillId="13" borderId="0" xfId="53" applyFont="1" applyBorder="1" applyAlignment="1">
      <x:alignment horizontal="general" vertical="top" wrapText="1"/>
    </x:xf>
    <x:xf numFmtId="164" fontId="9" fillId="3" borderId="0" xfId="53" applyFont="1" applyBorder="1" applyAlignment="1">
      <x:alignment horizontal="general" vertical="bottom" wrapText="0"/>
    </x:xf>
    <x:xf numFmtId="164" fontId="7" fillId="16" borderId="1" xfId="53" applyFont="1" applyBorder="1" applyAlignment="1">
      <x:alignment horizontal="general" vertical="top" wrapText="1"/>
    </x:xf>
    <x:xf numFmtId="177" fontId="7" fillId="0" borderId="1" xfId="53" applyFont="1" applyBorder="1" applyAlignment="1">
      <x:alignment horizontal="general" vertical="top" wrapText="1"/>
    </x:xf>
    <x:xf numFmtId="177" fontId="7" fillId="5" borderId="1" xfId="53" applyFont="1" applyBorder="1" applyAlignment="1">
      <x:alignment horizontal="general" vertical="top" wrapText="1"/>
    </x:xf>
    <x:xf numFmtId="164" fontId="9" fillId="3" borderId="0" xfId="53" applyFont="1" applyBorder="1" applyAlignment="1">
      <x:alignment horizontal="center" vertical="center" wrapText="1"/>
    </x:xf>
    <x:xf numFmtId="164" fontId="5" fillId="0" borderId="11" xfId="53" applyFont="1" applyBorder="1" applyAlignment="1">
      <x:alignment horizontal="general" vertical="top" wrapText="1"/>
    </x:xf>
    <x:xf numFmtId="164" fontId="4" fillId="0" borderId="0" xfId="53" applyFont="1" applyBorder="1" applyAlignment="1">
      <x:alignment horizontal="general" vertical="bottom" wrapText="1"/>
    </x:xf>
    <x:xf numFmtId="177" fontId="4" fillId="0" borderId="0" xfId="53" applyFont="1" applyBorder="1" applyAlignment="1">
      <x:alignment horizontal="general" vertical="bottom" wrapText="1"/>
    </x:xf>
    <x:xf numFmtId="164" fontId="14" fillId="6" borderId="0" xfId="53" applyFont="1" applyBorder="1" applyAlignment="1">
      <x:alignment horizontal="general" vertical="center" wrapText="1"/>
    </x:xf>
    <x:xf numFmtId="177" fontId="4" fillId="0" borderId="0" xfId="53" applyFont="1" applyBorder="1" applyAlignment="1">
      <x:alignment horizontal="general" vertical="top" wrapText="1"/>
    </x:xf>
    <x:xf numFmtId="164" fontId="11" fillId="0" borderId="0" xfId="53" applyFont="1" applyBorder="1" applyAlignment="1">
      <x:alignment horizontal="general" vertical="bottom" wrapText="1"/>
    </x:xf>
    <x:xf numFmtId="164" fontId="7" fillId="17" borderId="1" xfId="53" applyFont="1" applyBorder="1" applyAlignment="1">
      <x:alignment horizontal="general" vertical="top" wrapText="1"/>
    </x:xf>
    <x:xf numFmtId="175" fontId="7" fillId="0" borderId="1" xfId="53" applyFont="1" applyBorder="1" applyAlignment="1">
      <x:alignment horizontal="general" vertical="top" wrapText="1"/>
    </x:xf>
    <x:xf numFmtId="175" fontId="7" fillId="5" borderId="1" xfId="53" applyFont="1" applyBorder="1" applyAlignment="1">
      <x:alignment horizontal="general" vertical="top" wrapText="1"/>
    </x:xf>
    <x:xf numFmtId="178" fontId="7" fillId="15" borderId="1" xfId="53" applyFont="1" applyBorder="1" applyAlignment="1">
      <x:alignment horizontal="general" vertical="top" wrapText="1"/>
    </x:xf>
    <x:xf numFmtId="178" fontId="7" fillId="5" borderId="1" xfId="53" applyFont="1" applyBorder="1" applyAlignment="1">
      <x:alignment horizontal="general" vertical="top" wrapText="1"/>
    </x:xf>
    <x:xf numFmtId="164" fontId="6" fillId="3" borderId="1" xfId="53" applyFont="1" applyBorder="1" applyAlignment="1">
      <x:alignment horizontal="general" vertical="center" wrapText="1"/>
    </x:xf>
    <x:xf numFmtId="164" fontId="9" fillId="3" borderId="0" xfId="53" applyFont="1" applyBorder="1" applyAlignment="1">
      <x:alignment horizontal="general" vertical="center" wrapText="1"/>
    </x:xf>
    <x:xf numFmtId="175" fontId="7" fillId="13" borderId="1" xfId="53" applyFont="1" applyBorder="1" applyAlignment="1">
      <x:alignment horizontal="general" vertical="top" wrapText="1"/>
    </x:xf>
    <x:xf numFmtId="175" fontId="7" fillId="18" borderId="1" xfId="53" applyFont="1" applyBorder="1" applyAlignment="1">
      <x:alignment horizontal="general" vertical="top" wrapText="1"/>
    </x:xf>
    <x:xf numFmtId="164" fontId="7" fillId="19" borderId="1" xfId="53" applyFont="1" applyBorder="1" applyAlignment="1">
      <x:alignment horizontal="general" vertical="top" wrapText="1"/>
    </x:xf>
    <x:xf numFmtId="164" fontId="17" fillId="6" borderId="0" xfId="53" applyFont="1" applyBorder="0" applyAlignment="1">
      <x:alignment horizontal="general" vertical="top" wrapText="1"/>
    </x:xf>
    <x:xf numFmtId="164" fontId="7" fillId="2" borderId="1" xfId="53" applyFont="1" applyBorder="1" applyAlignment="1">
      <x:alignment horizontal="general" vertical="top" wrapText="1"/>
    </x:xf>
    <x:xf numFmtId="164" fontId="6" fillId="3" borderId="12" xfId="53" applyFont="1" applyBorder="1" applyAlignment="1">
      <x:alignment horizontal="general" vertical="top" wrapText="1"/>
    </x:xf>
    <x:xf numFmtId="164" fontId="4" fillId="0" borderId="12" xfId="53" applyFont="1" applyBorder="1" applyAlignment="1">
      <x:alignment horizontal="general" vertical="top" wrapText="1"/>
    </x:xf>
    <x:xf numFmtId="164" fontId="7" fillId="6" borderId="1" xfId="53" applyFont="1" applyBorder="1" applyAlignment="1">
      <x:alignment horizontal="general" vertical="top" wrapText="1"/>
    </x:xf>
    <x:xf numFmtId="164" fontId="4" fillId="0" borderId="13" xfId="53" applyFont="1" applyBorder="1" applyAlignment="1">
      <x:alignment horizontal="general" vertical="top" wrapText="1"/>
    </x:xf>
    <x:xf numFmtId="164" fontId="7" fillId="0" borderId="1" xfId="53" applyFont="1" applyBorder="1" applyAlignment="1">
      <x:alignment horizontal="general" vertical="top" wrapText="0"/>
    </x:xf>
    <x:xf numFmtId="164" fontId="7" fillId="5" borderId="1" xfId="53" applyFont="1" applyBorder="1" applyAlignment="1">
      <x:alignment horizontal="general" vertical="top" wrapText="0"/>
    </x:xf>
    <x:xf numFmtId="164" fontId="18" fillId="0" borderId="0" xfId="53" applyFont="1" applyBorder="1" applyAlignment="1">
      <x:alignment horizontal="general" vertical="top" wrapText="1"/>
    </x:xf>
    <x:xf numFmtId="175" fontId="5" fillId="0" borderId="0" xfId="53" applyFont="1" applyBorder="1" applyAlignment="1">
      <x:alignment horizontal="general" vertical="top" wrapText="1"/>
    </x:xf>
    <x:xf numFmtId="175" fontId="5" fillId="0" borderId="0" xfId="53" applyFont="1" applyBorder="0" applyAlignment="1">
      <x:alignment horizontal="general" vertical="top" wrapText="1"/>
    </x:xf>
    <x:xf numFmtId="164" fontId="18" fillId="0" borderId="0" xfId="53" applyFont="1" applyBorder="0" applyAlignment="1">
      <x:alignment horizontal="general" vertical="top" wrapText="1"/>
    </x:xf>
    <x:xf numFmtId="164" fontId="7" fillId="20" borderId="1" xfId="53" applyFont="1" applyBorder="1" applyAlignment="1">
      <x:alignment horizontal="general" vertical="top" wrapText="1"/>
    </x:xf>
    <x:xf numFmtId="164" fontId="18" fillId="21" borderId="0" xfId="53" applyFont="1" applyBorder="0" applyAlignment="1">
      <x:alignment horizontal="general" vertical="top" wrapText="1"/>
    </x:xf>
    <x:xf numFmtId="164" fontId="18" fillId="21" borderId="0" xfId="53" applyFont="1" applyBorder="1" applyAlignment="1">
      <x:alignment horizontal="general" vertical="top" wrapText="1"/>
    </x:xf>
    <x:xf numFmtId="164" fontId="19" fillId="7" borderId="0" xfId="53" applyFont="1" applyBorder="0" applyAlignment="1">
      <x:alignment horizontal="general" vertical="top" wrapText="1"/>
    </x:xf>
    <x:xf numFmtId="176" fontId="8" fillId="6" borderId="1" xfId="53" applyFont="1" applyBorder="1" applyAlignment="1">
      <x:alignment horizontal="general" vertical="top" wrapText="1"/>
    </x:xf>
    <x:xf numFmtId="176" fontId="7" fillId="5" borderId="1" xfId="53" applyFont="1" applyBorder="1" applyAlignment="1">
      <x:alignment horizontal="general" vertical="top" wrapText="1"/>
    </x:xf>
    <x:xf numFmtId="178" fontId="7" fillId="0" borderId="1" xfId="53" applyFont="1" applyBorder="1" applyAlignment="1">
      <x:alignment horizontal="general" vertical="top" wrapText="1"/>
    </x:xf>
    <x:xf numFmtId="176" fontId="7" fillId="0" borderId="1" xfId="53" applyFont="1" applyBorder="1" applyAlignment="1">
      <x:alignment horizontal="general" vertical="top" wrapText="1"/>
    </x:xf>
    <x:xf numFmtId="164" fontId="19" fillId="3" borderId="0" xfId="53" applyFont="1" applyBorder="1" applyAlignment="1">
      <x:alignment horizontal="general" vertical="center" wrapText="1"/>
    </x:xf>
    <x:xf numFmtId="175" fontId="19" fillId="3" borderId="0" xfId="53" applyFont="1" applyBorder="1" applyAlignment="1">
      <x:alignment horizontal="general" vertical="center" wrapText="1"/>
    </x:xf>
    <x:xf numFmtId="164" fontId="5" fillId="21" borderId="0" xfId="53" applyFont="1" applyBorder="0" applyAlignment="1">
      <x:alignment horizontal="general" vertical="top" wrapText="1"/>
    </x:xf>
    <x:xf numFmtId="164" fontId="9" fillId="3" borderId="0" xfId="54" applyFont="1" applyBorder="1" applyAlignment="1">
      <x:alignment horizontal="left" vertical="center" wrapText="1"/>
    </x:xf>
    <x:xf numFmtId="164" fontId="7" fillId="22" borderId="1" xfId="53" applyFont="1" applyBorder="1" applyAlignment="1">
      <x:alignment horizontal="general" vertical="top" wrapText="1"/>
    </x:xf>
    <x:xf numFmtId="179" fontId="7" fillId="5" borderId="1" xfId="53" applyFont="1" applyBorder="1" applyAlignment="1">
      <x:alignment horizontal="general" vertical="top" wrapText="1"/>
    </x:xf>
    <x:xf numFmtId="179" fontId="7" fillId="0" borderId="1" xfId="53" applyFont="1" applyBorder="1" applyAlignment="1">
      <x:alignment horizontal="general" vertical="top" wrapText="1"/>
    </x:xf>
    <x:xf numFmtId="179" fontId="5" fillId="0" borderId="0" xfId="53" applyFont="1" applyBorder="0" applyAlignment="1">
      <x:alignment horizontal="general" vertical="top" wrapText="1"/>
    </x:xf>
    <x:xf numFmtId="175" fontId="4" fillId="0" borderId="0" xfId="53" applyFont="1" applyBorder="0" applyAlignment="1">
      <x:alignment horizontal="general" vertical="top" wrapText="1"/>
    </x:xf>
    <x:xf numFmtId="164" fontId="18" fillId="15" borderId="0" xfId="53" applyFont="1" applyBorder="0" applyAlignment="1">
      <x:alignment horizontal="general" vertical="top" wrapText="1"/>
    </x:xf>
    <x:xf numFmtId="164" fontId="7" fillId="5" borderId="1" xfId="54" applyFont="1" applyBorder="1" applyAlignment="1">
      <x:alignment horizontal="general" vertical="top" wrapText="1"/>
    </x:xf>
    <x:xf numFmtId="164" fontId="5" fillId="21" borderId="0" xfId="54" applyFont="1" applyBorder="1" applyAlignment="1">
      <x:alignment horizontal="general" vertical="top" wrapText="1"/>
    </x:xf>
    <x:xf numFmtId="164" fontId="8" fillId="6" borderId="14" xfId="54" applyFont="1" applyBorder="1" applyAlignment="1">
      <x:alignment horizontal="general" vertical="top" wrapText="1"/>
    </x:xf>
    <x:xf numFmtId="164" fontId="6" fillId="10" borderId="0" xfId="53" applyFont="1" applyBorder="1" applyAlignment="1">
      <x:alignment horizontal="center" vertical="top" wrapText="1"/>
    </x:xf>
    <x:xf numFmtId="164" fontId="7" fillId="5" borderId="14" xfId="53" applyFont="1" applyBorder="1" applyAlignment="1">
      <x:alignment horizontal="general" vertical="top" wrapText="1"/>
    </x:xf>
    <x:xf numFmtId="175" fontId="18" fillId="0" borderId="0" xfId="53" applyFont="1" applyBorder="1" applyAlignment="1">
      <x:alignment horizontal="general" vertical="top" wrapText="1"/>
    </x:xf>
    <x:xf numFmtId="164" fontId="9" fillId="8" borderId="0" xfId="53" applyFont="1" applyBorder="1" applyAlignment="1">
      <x:alignment horizontal="general" vertical="top" wrapText="1"/>
    </x:xf>
    <x:xf numFmtId="164" fontId="9" fillId="3" borderId="3" xfId="53" applyFont="1" applyBorder="1" applyAlignment="1">
      <x:alignment horizontal="center" vertical="center" wrapText="1"/>
    </x:xf>
    <x:xf numFmtId="164" fontId="8" fillId="6" borderId="1" xfId="53" applyFont="1" applyBorder="1" applyAlignment="1">
      <x:alignment horizontal="center" vertical="top" wrapText="1"/>
    </x:xf>
    <x:xf numFmtId="164" fontId="7" fillId="8" borderId="1" xfId="53" applyFont="1" applyBorder="1" applyAlignment="1">
      <x:alignment horizontal="center" vertical="top" wrapText="1"/>
    </x:xf>
    <x:xf numFmtId="164" fontId="7" fillId="21" borderId="1" xfId="53" applyFont="1" applyBorder="1" applyAlignment="1">
      <x:alignment horizontal="center" vertical="top" wrapText="1"/>
    </x:xf>
    <x:xf numFmtId="164" fontId="4" fillId="0" borderId="6" xfId="53" applyFont="1" applyBorder="1" applyAlignment="1">
      <x:alignment horizontal="general" vertical="top" wrapText="1"/>
    </x:xf>
    <x:xf numFmtId="164" fontId="4" fillId="0" borderId="7" xfId="53" applyFont="1" applyBorder="1" applyAlignment="1">
      <x:alignment horizontal="general" vertical="top" wrapText="1"/>
    </x:xf>
    <x:xf numFmtId="164" fontId="5" fillId="15" borderId="0" xfId="53" applyFont="1" applyBorder="1" applyAlignment="1">
      <x:alignment horizontal="general" vertical="top" wrapText="1"/>
    </x:xf>
    <x:xf numFmtId="164" fontId="7" fillId="21" borderId="1" xfId="53" applyFont="1" applyBorder="1" applyAlignment="1">
      <x:alignment horizontal="general" vertical="top" wrapText="1"/>
    </x:xf>
    <x:xf numFmtId="164" fontId="4" fillId="0" borderId="8" xfId="53" applyFont="1" applyBorder="1" applyAlignment="1">
      <x:alignment horizontal="general" vertical="top" wrapText="1"/>
    </x:xf>
    <x:xf numFmtId="175" fontId="4" fillId="0" borderId="9" xfId="49" applyFont="1" applyBorder="1" applyAlignment="1">
      <x:alignment horizontal="general" vertical="top" wrapText="1"/>
    </x:xf>
    <x:xf numFmtId="164" fontId="4" fillId="0" borderId="10" xfId="53" applyFont="1" applyBorder="1" applyAlignment="1">
      <x:alignment horizontal="general" vertical="top" wrapText="1"/>
    </x:xf>
    <x:xf numFmtId="164" fontId="20" fillId="19" borderId="0" xfId="53" applyFont="1" applyBorder="1" applyAlignment="1">
      <x:alignment horizontal="general" vertical="top" wrapText="1"/>
    </x:xf>
    <x:xf numFmtId="164" fontId="21" fillId="19" borderId="0" xfId="53" applyFont="1" applyBorder="1" applyAlignment="1">
      <x:alignment horizontal="general" vertical="top" wrapText="1"/>
    </x:xf>
    <x:xf numFmtId="164" fontId="7" fillId="23" borderId="1" xfId="53" applyFont="1" applyBorder="1" applyAlignment="1">
      <x:alignment horizontal="general" vertical="top" wrapText="1"/>
    </x:xf>
    <x:xf numFmtId="164" fontId="5" fillId="24" borderId="0" xfId="53" applyFont="1" applyBorder="0" applyAlignment="1">
      <x:alignment horizontal="general" vertical="top" wrapText="1"/>
    </x:xf>
    <x:xf numFmtId="164" fontId="7" fillId="25" borderId="1" xfId="53" applyFont="1" applyBorder="1" applyAlignment="1">
      <x:alignment horizontal="general" vertical="top" wrapText="1"/>
    </x:xf>
    <x:xf numFmtId="164" fontId="7" fillId="26" borderId="1" xfId="53" applyFont="1" applyBorder="1" applyAlignment="1">
      <x:alignment horizontal="general" vertical="top" wrapText="1"/>
    </x:xf>
    <x:xf numFmtId="164" fontId="7" fillId="27" borderId="1" xfId="53" applyFont="1" applyBorder="1" applyAlignment="1">
      <x:alignment horizontal="general" vertical="top" wrapText="1"/>
    </x:xf>
    <x:xf numFmtId="164" fontId="7" fillId="24" borderId="1" xfId="53" applyFont="1" applyBorder="1" applyAlignment="1">
      <x:alignment horizontal="general" vertical="top" wrapText="1"/>
    </x:xf>
    <x:xf numFmtId="164" fontId="11" fillId="28" borderId="0" xfId="53" applyFont="1" applyBorder="0" applyAlignment="1">
      <x:alignment horizontal="general" vertical="top" wrapText="1"/>
    </x:xf>
    <x:xf numFmtId="164" fontId="10" fillId="0" borderId="0" xfId="53" applyFont="1" applyBorder="0" applyAlignment="1">
      <x:alignment horizontal="general" vertical="top" wrapText="1"/>
    </x:xf>
    <x:xf numFmtId="164" fontId="22" fillId="3" borderId="1" xfId="53" applyFont="1" applyBorder="1" applyAlignment="1">
      <x:alignment horizontal="general" vertical="top" wrapText="1"/>
    </x:xf>
    <x:xf numFmtId="164" fontId="23" fillId="3" borderId="15" xfId="53" applyFont="1" applyBorder="1" applyAlignment="1">
      <x:alignment horizontal="general" vertical="top" wrapText="1"/>
    </x:xf>
    <x:xf numFmtId="164" fontId="4" fillId="0" borderId="16" xfId="53" applyFont="1" applyBorder="1" applyAlignment="1">
      <x:alignment horizontal="general" vertical="bottom" wrapText="0"/>
    </x:xf>
    <x:xf numFmtId="164" fontId="6" fillId="3" borderId="14" xfId="53" applyFont="1" applyBorder="1" applyAlignment="1">
      <x:alignment horizontal="general" vertical="top" wrapText="1"/>
    </x:xf>
    <x:xf numFmtId="164" fontId="8" fillId="6" borderId="14" xfId="53" applyFont="1" applyBorder="1" applyAlignment="1">
      <x:alignment horizontal="general" vertical="top" wrapText="1"/>
    </x:xf>
    <x:xf numFmtId="164" fontId="4" fillId="0" borderId="15" xfId="53" applyFont="1" applyBorder="1" applyAlignment="1">
      <x:alignment horizontal="general" vertical="bottom" wrapText="0"/>
    </x:xf>
    <x:xf numFmtId="164" fontId="11" fillId="18" borderId="0" xfId="53" applyFont="1" applyBorder="0" applyAlignment="1">
      <x:alignment horizontal="general" vertical="top" wrapText="1"/>
    </x:xf>
    <x:xf numFmtId="164" fontId="11" fillId="9" borderId="0" xfId="53" applyFont="1" applyBorder="0" applyAlignment="1">
      <x:alignment horizontal="general" vertical="top" wrapText="1"/>
    </x:xf>
    <x:xf numFmtId="164" fontId="10" fillId="6" borderId="0" xfId="53" applyFont="1" applyBorder="0" applyAlignment="1">
      <x:alignment horizontal="general" vertical="top" wrapText="1"/>
    </x:xf>
    <x:xf numFmtId="164" fontId="11" fillId="6" borderId="0" xfId="53" applyFont="1" applyBorder="0" applyAlignment="1">
      <x:alignment horizontal="general" vertical="top" wrapText="1"/>
    </x:xf>
    <x:xf numFmtId="164" fontId="11" fillId="19" borderId="0" xfId="53" applyFont="1" applyBorder="1" applyAlignment="1">
      <x:alignment horizontal="general" vertical="top" wrapText="1"/>
    </x:xf>
    <x:xf numFmtId="164" fontId="24" fillId="29" borderId="14" xfId="48" applyFont="1" applyBorder="1" applyAlignment="1">
      <x:alignment horizontal="center" vertical="center" wrapText="1"/>
    </x:xf>
    <x:xf numFmtId="164" fontId="25" fillId="30" borderId="14" xfId="48" applyFont="1" applyBorder="1" applyAlignment="1">
      <x:alignment horizontal="general" vertical="center" wrapText="1"/>
    </x:xf>
    <x:xf numFmtId="164" fontId="6" fillId="31" borderId="17" xfId="48" applyFont="1" applyBorder="1" applyAlignment="1">
      <x:alignment horizontal="general" vertical="center" wrapText="1"/>
    </x:xf>
    <x:xf numFmtId="164" fontId="8" fillId="6" borderId="17" xfId="48" applyFont="1" applyBorder="1" applyAlignment="1">
      <x:alignment horizontal="general" vertical="top" wrapText="1"/>
    </x:xf>
    <x:xf numFmtId="164" fontId="7" fillId="0" borderId="17" xfId="48" applyFont="1" applyBorder="1" applyAlignment="1">
      <x:alignment horizontal="general" vertical="top" wrapText="1"/>
    </x:xf>
    <x:xf numFmtId="164" fontId="4" fillId="0" borderId="17" xfId="48" applyFont="1" applyBorder="1" applyAlignment="1">
      <x:alignment horizontal="general" vertical="top" wrapText="1"/>
    </x:xf>
    <x:xf numFmtId="164" fontId="7" fillId="5" borderId="17" xfId="48" applyFont="1" applyBorder="1" applyAlignment="1">
      <x:alignment horizontal="general" vertical="top" wrapText="1"/>
    </x:xf>
    <x:xf numFmtId="164" fontId="6" fillId="31" borderId="17" xfId="48" applyFont="1" applyBorder="1" applyAlignment="1">
      <x:alignment horizontal="general" vertical="top" wrapText="1"/>
    </x:xf>
    <x:xf numFmtId="164" fontId="9" fillId="31" borderId="17" xfId="48" applyFont="1" applyBorder="1" applyAlignment="1">
      <x:alignment horizontal="general" vertical="top" wrapText="1"/>
    </x:xf>
    <x:xf numFmtId="164" fontId="9" fillId="31" borderId="17" xfId="48" applyFont="1" applyBorder="1" applyAlignment="1">
      <x:alignment horizontal="general" vertical="center" wrapText="1"/>
    </x:xf>
    <x:xf numFmtId="164" fontId="4" fillId="0" borderId="17" xfId="48" applyFont="1" applyBorder="1" applyAlignment="1">
      <x:alignment horizontal="general" vertical="bottom" wrapText="1"/>
    </x:xf>
    <x:xf numFmtId="164" fontId="26" fillId="32" borderId="17" xfId="48" applyFont="1" applyBorder="1" applyAlignment="1">
      <x:alignment horizontal="center" vertical="center" wrapText="1"/>
    </x:xf>
    <x:xf numFmtId="164" fontId="7" fillId="28" borderId="1" xfId="53" applyFont="1" applyBorder="1" applyAlignment="1">
      <x:alignment horizontal="general" vertical="top" wrapText="1"/>
    </x:xf>
    <x:xf numFmtId="164" fontId="7" fillId="33" borderId="1" xfId="53" applyFont="1" applyBorder="1" applyAlignment="1">
      <x:alignment horizontal="general" vertical="top" wrapText="1"/>
    </x:xf>
    <x:xf numFmtId="164" fontId="9" fillId="23" borderId="0" xfId="53" applyFont="1" applyBorder="0" applyAlignment="1">
      <x:alignment horizontal="general" vertical="top" wrapText="1"/>
    </x:xf>
    <x:xf numFmtId="164" fontId="9" fillId="3" borderId="0" xfId="54" applyFont="1" applyBorder="0" applyAlignment="1">
      <x:alignment horizontal="general" vertical="center" wrapText="1"/>
    </x:xf>
    <x:xf numFmtId="164" fontId="4" fillId="0" borderId="0" xfId="54" applyFont="1" applyBorder="0" applyAlignment="1">
      <x:alignment horizontal="general" vertical="bottom" wrapText="1"/>
    </x:xf>
    <x:xf numFmtId="164" fontId="4" fillId="20" borderId="0" xfId="54" applyFont="1" applyBorder="0" applyAlignment="1">
      <x:alignment horizontal="general" vertical="top" wrapText="1"/>
    </x:xf>
    <x:xf numFmtId="164" fontId="27" fillId="6" borderId="0" xfId="54" applyFont="1" applyBorder="0" applyAlignment="1">
      <x:alignment horizontal="general" vertical="center" wrapText="1"/>
    </x:xf>
    <x:xf numFmtId="164" fontId="6" fillId="3" borderId="1" xfId="53" applyFont="1" applyBorder="1" applyAlignment="1">
      <x:alignment horizontal="center" vertical="center" wrapText="1"/>
    </x:xf>
    <x:xf numFmtId="164" fontId="28" fillId="4" borderId="18" xfId="53" applyFont="1" applyBorder="1" applyAlignment="1">
      <x:alignment horizontal="general" vertical="top" wrapText="1"/>
    </x:xf>
    <x:xf numFmtId="164" fontId="7" fillId="5" borderId="19" xfId="53" applyFont="1" applyBorder="1" applyAlignment="1">
      <x:alignment horizontal="general" vertical="top" wrapText="1"/>
    </x:xf>
    <x:xf numFmtId="164" fontId="7" fillId="5" borderId="20" xfId="53" applyFont="1" applyBorder="1" applyAlignment="1">
      <x:alignment horizontal="general" vertical="top" wrapText="1"/>
    </x:xf>
    <x:xf numFmtId="164" fontId="28" fillId="6" borderId="21" xfId="53" applyFont="1" applyBorder="1" applyAlignment="1">
      <x:alignment horizontal="general" vertical="top" wrapText="1"/>
    </x:xf>
    <x:xf numFmtId="164" fontId="7" fillId="0" borderId="22" xfId="53" applyFont="1" applyBorder="1" applyAlignment="1">
      <x:alignment horizontal="general" vertical="top" wrapText="1"/>
    </x:xf>
    <x:xf numFmtId="164" fontId="7" fillId="5" borderId="22" xfId="53" applyFont="1" applyBorder="1" applyAlignment="1">
      <x:alignment horizontal="general" vertical="top" wrapText="1"/>
    </x:xf>
    <x:xf numFmtId="164" fontId="14" fillId="0" borderId="6" xfId="53" applyFont="1" applyBorder="1" applyAlignment="1">
      <x:alignment horizontal="general" vertical="bottom" wrapText="1"/>
    </x:xf>
    <x:xf numFmtId="164" fontId="4" fillId="0" borderId="7" xfId="53" applyFont="1" applyBorder="1" applyAlignment="1">
      <x:alignment horizontal="general" vertical="bottom" wrapText="1"/>
    </x:xf>
    <x:xf numFmtId="164" fontId="14" fillId="0" borderId="8" xfId="53" applyFont="1" applyBorder="1" applyAlignment="1">
      <x:alignment horizontal="general" vertical="bottom" wrapText="1"/>
    </x:xf>
    <x:xf numFmtId="164" fontId="4" fillId="0" borderId="9" xfId="53" applyFont="1" applyBorder="1" applyAlignment="1">
      <x:alignment horizontal="general" vertical="bottom" wrapText="1"/>
    </x:xf>
    <x:xf numFmtId="164" fontId="4" fillId="0" borderId="10" xfId="53" applyFont="1" applyBorder="1" applyAlignment="1">
      <x:alignment horizontal="general" vertical="bottom" wrapText="1"/>
    </x:xf>
    <x:xf numFmtId="164" fontId="7" fillId="3" borderId="1" xfId="53" applyFont="1" applyBorder="1" applyAlignment="1">
      <x:alignment horizontal="general" vertical="top" wrapText="1"/>
    </x:xf>
    <x:xf numFmtId="164" fontId="23" fillId="3" borderId="0" xfId="53" applyFont="1" applyBorder="1" applyAlignment="1">
      <x:alignment horizontal="general" vertical="top" wrapText="1"/>
    </x:xf>
    <x:xf numFmtId="164" fontId="4" fillId="6" borderId="0" xfId="53" applyFont="1" applyBorder="1" applyAlignment="1">
      <x:alignment horizontal="general" vertical="top" wrapText="1"/>
    </x:xf>
    <x:xf numFmtId="164" fontId="9" fillId="3" borderId="0" xfId="53" applyFont="1" applyBorder="1" applyAlignment="1">
      <x:alignment horizontal="center" vertical="top" wrapText="1"/>
    </x:xf>
    <x:xf numFmtId="164" fontId="11" fillId="34" borderId="0" xfId="53" applyFont="1" applyBorder="1" applyAlignment="1">
      <x:alignment horizontal="general" vertical="top" wrapText="1"/>
    </x:xf>
    <x:xf numFmtId="164" fontId="9" fillId="3" borderId="0" xfId="53" applyFont="1" applyBorder="1" applyAlignment="1">
      <x:alignment horizontal="center" vertical="bottom" wrapText="0"/>
    </x:xf>
    <x:xf numFmtId="164" fontId="23" fillId="3" borderId="0" xfId="53" applyFont="1" applyBorder="1" applyAlignment="1">
      <x:alignment horizontal="center" vertical="bottom" wrapText="0"/>
    </x:xf>
    <x:xf numFmtId="164" fontId="9" fillId="4" borderId="0" xfId="53" applyFont="1" applyBorder="1" applyAlignment="1">
      <x:alignment horizontal="general" vertical="bottom" wrapText="1"/>
    </x:xf>
    <x:xf numFmtId="164" fontId="9" fillId="3" borderId="0" xfId="54" applyFont="1" applyBorder="0" applyAlignment="1">
      <x:alignment horizontal="center" vertical="center" wrapText="1"/>
    </x:xf>
    <x:xf numFmtId="164" fontId="4" fillId="0" borderId="0" xfId="54" applyFont="1" applyBorder="0" applyAlignment="1">
      <x:alignment horizontal="general" vertical="top" wrapText="1"/>
    </x:xf>
    <x:xf numFmtId="164" fontId="9" fillId="3" borderId="0" xfId="53" applyFont="1" applyBorder="1" applyAlignment="1">
      <x:alignment horizontal="general" vertical="bottom" wrapText="1"/>
    </x:xf>
    <x:xf numFmtId="164" fontId="23" fillId="3" borderId="0" xfId="53" applyFont="1" applyBorder="1" applyAlignment="1">
      <x:alignment horizontal="center" vertical="center" wrapText="1"/>
    </x:xf>
    <x:xf numFmtId="164" fontId="4" fillId="6" borderId="0" xfId="53" applyFont="1" applyBorder="1" applyAlignment="1">
      <x:alignment horizontal="general" vertical="bottom" wrapText="1"/>
    </x:xf>
    <x:xf numFmtId="164" fontId="9" fillId="6" borderId="0" xfId="53" applyFont="1" applyBorder="1" applyAlignment="1">
      <x:alignment horizontal="center" vertical="center" wrapText="1"/>
    </x:xf>
    <x:xf numFmtId="164" fontId="12" fillId="9" borderId="0" xfId="54" applyFont="1" applyBorder="0" applyAlignment="1">
      <x:alignment horizontal="general" vertical="top" wrapText="1"/>
    </x:xf>
    <x:xf numFmtId="164" fontId="0" fillId="0" borderId="23" xfId="0" applyNumberFormat="1" applyFont="1" applyFill="1" applyBorder="1" applyAlignment="1">
      <x:alignment horizontal="general" vertical="bottom" wrapText="0"/>
    </x:xf>
    <x:xf numFmtId="164" fontId="6" fillId="2" borderId="24" xfId="0" applyNumberFormat="1" applyFont="1" applyFill="1" applyBorder="1" applyAlignment="1">
      <x:alignment horizontal="general" vertical="top" wrapText="1"/>
    </x:xf>
    <x:xf numFmtId="164" fontId="6" fillId="3" borderId="23" xfId="0" applyNumberFormat="1" applyFont="1" applyFill="1" applyBorder="1" applyAlignment="1">
      <x:alignment horizontal="general" vertical="top" wrapText="1"/>
    </x:xf>
    <x:xf numFmtId="164" fontId="6" fillId="4" borderId="24" xfId="0" applyNumberFormat="1" applyFont="1" applyFill="1" applyBorder="1" applyAlignment="1">
      <x:alignment horizontal="general" vertical="top" wrapText="1"/>
    </x:xf>
    <x:xf numFmtId="164" fontId="7" fillId="5" borderId="24" xfId="0" applyNumberFormat="1" applyFont="1" applyFill="1" applyBorder="1" applyAlignment="1">
      <x:alignment horizontal="general" vertical="top" wrapText="1"/>
    </x:xf>
    <x:xf numFmtId="164" fontId="0" fillId="0" borderId="23" xfId="0" applyNumberFormat="1" applyFont="1" applyFill="1" applyBorder="1" applyAlignment="1">
      <x:alignment horizontal="general" vertical="top" wrapText="1"/>
    </x:xf>
    <x:xf numFmtId="164" fontId="8" fillId="6" borderId="24" xfId="0" applyNumberFormat="1" applyFont="1" applyFill="1" applyBorder="1" applyAlignment="1">
      <x:alignment horizontal="general" vertical="top" wrapText="1"/>
    </x:xf>
    <x:xf numFmtId="164" fontId="7" fillId="0" borderId="24" xfId="0" applyNumberFormat="1" applyFont="1" applyFill="1" applyBorder="1" applyAlignment="1">
      <x:alignment horizontal="general" vertical="top" wrapText="1"/>
    </x:xf>
    <x:xf numFmtId="164" fontId="7" fillId="7" borderId="24" xfId="0" applyNumberFormat="1" applyFont="1" applyFill="1" applyBorder="1" applyAlignment="1">
      <x:alignment horizontal="general" vertical="top" wrapText="1"/>
    </x:xf>
    <x:xf numFmtId="164" fontId="9" fillId="7" borderId="23" xfId="0" applyNumberFormat="1" applyFont="1" applyFill="1" applyBorder="1" applyAlignment="1">
      <x:alignment horizontal="general" vertical="top" wrapText="1"/>
    </x:xf>
    <x:xf numFmtId="164" fontId="9" fillId="3" borderId="23" xfId="0" applyNumberFormat="1" applyFont="1" applyFill="1" applyBorder="1" applyAlignment="1">
      <x:alignment horizontal="general" vertical="top" wrapText="1"/>
    </x:xf>
    <x:xf numFmtId="164" fontId="9" fillId="3" borderId="23" xfId="0" applyNumberFormat="1" applyFont="1" applyFill="1" applyBorder="1" applyAlignment="1">
      <x:alignment horizontal="center" vertical="center" wrapText="1"/>
    </x:xf>
    <x:xf numFmtId="164" fontId="6" fillId="3" borderId="24" xfId="0" applyNumberFormat="1" applyFont="1" applyFill="1" applyBorder="1" applyAlignment="1">
      <x:alignment horizontal="general" vertical="top" wrapText="1"/>
    </x:xf>
    <x:xf numFmtId="164" fontId="10" fillId="0" borderId="23" xfId="0" applyNumberFormat="1" applyFont="1" applyFill="1" applyBorder="1" applyAlignment="1">
      <x:alignment horizontal="general" vertical="top" wrapText="1"/>
    </x:xf>
    <x:xf numFmtId="164" fontId="5" fillId="0" borderId="23" xfId="0" applyNumberFormat="1" applyFont="1" applyFill="1" applyBorder="1" applyAlignment="1">
      <x:alignment horizontal="general" vertical="top" wrapText="1"/>
    </x:xf>
    <x:xf numFmtId="164" fontId="11" fillId="0" borderId="23" xfId="0" applyNumberFormat="1" applyFont="1" applyFill="1" applyBorder="1" applyAlignment="1">
      <x:alignment horizontal="general" vertical="top" wrapText="1"/>
    </x:xf>
    <x:xf numFmtId="174" fontId="8" fillId="6" borderId="24" xfId="0" applyNumberFormat="1" applyFont="1" applyFill="1" applyBorder="1" applyAlignment="1">
      <x:alignment horizontal="general" vertical="top" wrapText="1"/>
    </x:xf>
    <x:xf numFmtId="164" fontId="9" fillId="8" borderId="23" xfId="0" applyNumberFormat="1" applyFont="1" applyFill="1" applyBorder="1" applyAlignment="1">
      <x:alignment horizontal="general" vertical="top" wrapText="1"/>
    </x:xf>
    <x:xf numFmtId="164" fontId="12" fillId="9" borderId="23" xfId="0" applyNumberFormat="1" applyFont="1" applyFill="1" applyBorder="1" applyAlignment="1">
      <x:alignment horizontal="general" vertical="top" wrapText="1"/>
    </x:xf>
    <x:xf numFmtId="164" fontId="0" fillId="0" borderId="23" xfId="0" applyNumberFormat="1" applyFont="1" applyFill="1" applyBorder="1" applyAlignment="1">
      <x:alignment horizontal="general" vertical="bottom" wrapText="1"/>
    </x:xf>
    <x:xf numFmtId="164" fontId="6" fillId="10" borderId="23" xfId="0" applyNumberFormat="1" applyFont="1" applyFill="1" applyBorder="1" applyAlignment="1">
      <x:alignment horizontal="left" vertical="center" wrapText="1"/>
    </x:xf>
    <x:xf numFmtId="164" fontId="13" fillId="11" borderId="23" xfId="0" applyNumberFormat="1" applyFont="1" applyFill="1" applyBorder="1" applyAlignment="1">
      <x:alignment horizontal="left" vertical="center" wrapText="1"/>
    </x:xf>
    <x:xf numFmtId="164" fontId="7" fillId="11" borderId="24" xfId="0" applyNumberFormat="1" applyFont="1" applyFill="1" applyBorder="1" applyAlignment="1">
      <x:alignment horizontal="general" vertical="top" wrapText="1"/>
    </x:xf>
    <x:xf numFmtId="164" fontId="9" fillId="3" borderId="25" xfId="0" applyNumberFormat="1" applyFont="1" applyFill="1" applyBorder="1" applyAlignment="1">
      <x:alignment horizontal="center" vertical="center" wrapText="1"/>
    </x:xf>
    <x:xf numFmtId="164" fontId="14" fillId="6" borderId="26" xfId="0" applyNumberFormat="1" applyFont="1" applyFill="1" applyBorder="1" applyAlignment="1">
      <x:alignment horizontal="center" vertical="center" wrapText="1"/>
    </x:xf>
    <x:xf numFmtId="164" fontId="9" fillId="3" borderId="27" xfId="0" applyNumberFormat="1" applyFont="1" applyFill="1" applyBorder="1" applyAlignment="1">
      <x:alignment horizontal="center" vertical="center" wrapText="1"/>
    </x:xf>
    <x:xf numFmtId="164" fontId="9" fillId="3" borderId="28" xfId="0" applyNumberFormat="1" applyFont="1" applyFill="1" applyBorder="1" applyAlignment="1">
      <x:alignment horizontal="center" vertical="center" wrapText="1"/>
    </x:xf>
    <x:xf numFmtId="164" fontId="14" fillId="6" borderId="29" xfId="0" applyNumberFormat="1" applyFont="1" applyFill="1" applyBorder="1" applyAlignment="1">
      <x:alignment horizontal="general" vertical="center" wrapText="1"/>
    </x:xf>
    <x:xf numFmtId="164" fontId="0" fillId="0" borderId="23" xfId="0" applyNumberFormat="1" applyFont="1" applyFill="1" applyBorder="1" applyAlignment="1">
      <x:alignment horizontal="general" vertical="center" wrapText="1"/>
    </x:xf>
    <x:xf numFmtId="164" fontId="0" fillId="0" borderId="30" xfId="0" applyNumberFormat="1" applyFont="1" applyFill="1" applyBorder="1" applyAlignment="1">
      <x:alignment horizontal="general" vertical="center" wrapText="1"/>
    </x:xf>
    <x:xf numFmtId="175" fontId="0" fillId="0" borderId="23" xfId="0" applyNumberFormat="1" applyFont="1" applyFill="1" applyBorder="1" applyAlignment="1">
      <x:alignment horizontal="general" vertical="center" wrapText="1"/>
    </x:xf>
    <x:xf numFmtId="164" fontId="14" fillId="6" borderId="31" xfId="0" applyNumberFormat="1" applyFont="1" applyFill="1" applyBorder="1" applyAlignment="1">
      <x:alignment horizontal="general" vertical="center" wrapText="1"/>
    </x:xf>
    <x:xf numFmtId="175" fontId="0" fillId="0" borderId="32" xfId="0" applyNumberFormat="1" applyFont="1" applyFill="1" applyBorder="1" applyAlignment="1">
      <x:alignment horizontal="general" vertical="center" wrapText="1"/>
    </x:xf>
    <x:xf numFmtId="164" fontId="0" fillId="0" borderId="33" xfId="0" applyNumberFormat="1" applyFont="1" applyFill="1" applyBorder="1" applyAlignment="1">
      <x:alignment horizontal="general" vertical="center" wrapText="1"/>
    </x:xf>
    <x:xf numFmtId="175" fontId="0" fillId="0" borderId="23" xfId="0" applyNumberFormat="1" applyFont="1" applyFill="1" applyBorder="1" applyAlignment="1">
      <x:alignment horizontal="general" vertical="top" wrapText="1"/>
    </x:xf>
    <x:xf numFmtId="175" fontId="7" fillId="0" borderId="24" xfId="0" applyNumberFormat="1" applyFont="1" applyFill="1" applyBorder="1" applyAlignment="1">
      <x:alignment horizontal="general" vertical="top" wrapText="1"/>
    </x:xf>
    <x:xf numFmtId="175" fontId="7" fillId="5" borderId="24" xfId="0" applyNumberFormat="1" applyFont="1" applyFill="1" applyBorder="1" applyAlignment="1">
      <x:alignment horizontal="general" vertical="top" wrapText="1"/>
    </x:xf>
    <x:xf numFmtId="164" fontId="7" fillId="12" borderId="24" xfId="0" applyNumberFormat="1" applyFont="1" applyFill="1" applyBorder="1" applyAlignment="1">
      <x:alignment horizontal="general" vertical="top" wrapText="1"/>
    </x:xf>
    <x:xf numFmtId="164" fontId="5" fillId="13" borderId="23" xfId="0" applyNumberFormat="1" applyFont="1" applyFill="1" applyBorder="1" applyAlignment="1">
      <x:alignment horizontal="general" vertical="top" wrapText="1"/>
    </x:xf>
    <x:xf numFmtId="164" fontId="7" fillId="13" borderId="24" xfId="0" applyNumberFormat="1" applyFont="1" applyFill="1" applyBorder="1" applyAlignment="1">
      <x:alignment horizontal="general" vertical="top" wrapText="1"/>
    </x:xf>
    <x:xf numFmtId="164" fontId="5" fillId="12" borderId="23" xfId="0" applyNumberFormat="1" applyFont="1" applyFill="1" applyBorder="1" applyAlignment="1">
      <x:alignment horizontal="general" vertical="top" wrapText="1"/>
    </x:xf>
    <x:xf numFmtId="164" fontId="5" fillId="14" borderId="23" xfId="0" applyNumberFormat="1" applyFont="1" applyFill="1" applyBorder="1" applyAlignment="1">
      <x:alignment horizontal="general" vertical="top" wrapText="1"/>
    </x:xf>
    <x:xf numFmtId="164" fontId="7" fillId="14" borderId="24" xfId="0" applyNumberFormat="1" applyFont="1" applyFill="1" applyBorder="1" applyAlignment="1">
      <x:alignment horizontal="general" vertical="top" wrapText="1"/>
    </x:xf>
    <x:xf numFmtId="164" fontId="15" fillId="14" borderId="23" xfId="0" applyNumberFormat="1" applyFont="1" applyFill="1" applyBorder="1" applyAlignment="1">
      <x:alignment horizontal="general" vertical="top" wrapText="1"/>
    </x:xf>
    <x:xf numFmtId="164" fontId="16" fillId="14" borderId="23" xfId="0" applyNumberFormat="1" applyFont="1" applyFill="1" applyBorder="1" applyAlignment="1">
      <x:alignment horizontal="general" vertical="top" wrapText="1"/>
    </x:xf>
    <x:xf numFmtId="164" fontId="5" fillId="0" borderId="23" xfId="0" applyNumberFormat="1" applyFont="1" applyFill="1" applyBorder="1" applyAlignment="1">
      <x:alignment horizontal="general" vertical="bottom" wrapText="0"/>
    </x:xf>
    <x:xf numFmtId="176" fontId="7" fillId="5" borderId="24" xfId="0" applyNumberFormat="1" applyFont="1" applyFill="1" applyBorder="1" applyAlignment="1">
      <x:alignment horizontal="general" vertical="top" wrapText="1"/>
    </x:xf>
    <x:xf numFmtId="164" fontId="7" fillId="15" borderId="24" xfId="0" applyNumberFormat="1" applyFont="1" applyFill="1" applyBorder="1" applyAlignment="1">
      <x:alignment horizontal="general" vertical="top" wrapText="1"/>
    </x:xf>
    <x:xf numFmtId="164" fontId="9" fillId="3" borderId="23" xfId="0" applyNumberFormat="1" applyFont="1" applyFill="1" applyBorder="1" applyAlignment="1">
      <x:alignment horizontal="general" vertical="bottom" wrapText="0"/>
    </x:xf>
    <x:xf numFmtId="164" fontId="7" fillId="16" borderId="24" xfId="0" applyNumberFormat="1" applyFont="1" applyFill="1" applyBorder="1" applyAlignment="1">
      <x:alignment horizontal="general" vertical="top" wrapText="1"/>
    </x:xf>
    <x:xf numFmtId="177" fontId="7" fillId="0" borderId="24" xfId="0" applyNumberFormat="1" applyFont="1" applyFill="1" applyBorder="1" applyAlignment="1">
      <x:alignment horizontal="general" vertical="top" wrapText="1"/>
    </x:xf>
    <x:xf numFmtId="177" fontId="7" fillId="5" borderId="24" xfId="0" applyNumberFormat="1" applyFont="1" applyFill="1" applyBorder="1" applyAlignment="1">
      <x:alignment horizontal="general" vertical="top" wrapText="1"/>
    </x:xf>
    <x:xf numFmtId="164" fontId="5" fillId="0" borderId="34" xfId="0" applyNumberFormat="1" applyFont="1" applyFill="1" applyBorder="1" applyAlignment="1">
      <x:alignment horizontal="general" vertical="top" wrapText="1"/>
    </x:xf>
    <x:xf numFmtId="177" fontId="0" fillId="0" borderId="23" xfId="0" applyNumberFormat="1" applyFont="1" applyFill="1" applyBorder="1" applyAlignment="1">
      <x:alignment horizontal="general" vertical="bottom" wrapText="1"/>
    </x:xf>
    <x:xf numFmtId="164" fontId="14" fillId="6" borderId="23" xfId="0" applyNumberFormat="1" applyFont="1" applyFill="1" applyBorder="1" applyAlignment="1">
      <x:alignment horizontal="general" vertical="center" wrapText="1"/>
    </x:xf>
    <x:xf numFmtId="177" fontId="0" fillId="0" borderId="23" xfId="0" applyNumberFormat="1" applyFont="1" applyFill="1" applyBorder="1" applyAlignment="1">
      <x:alignment horizontal="general" vertical="top" wrapText="1"/>
    </x:xf>
    <x:xf numFmtId="164" fontId="11" fillId="0" borderId="23" xfId="0" applyNumberFormat="1" applyFont="1" applyFill="1" applyBorder="1" applyAlignment="1">
      <x:alignment horizontal="general" vertical="bottom" wrapText="1"/>
    </x:xf>
    <x:xf numFmtId="164" fontId="7" fillId="17" borderId="24" xfId="0" applyNumberFormat="1" applyFont="1" applyFill="1" applyBorder="1" applyAlignment="1">
      <x:alignment horizontal="general" vertical="top" wrapText="1"/>
    </x:xf>
    <x:xf numFmtId="178" fontId="7" fillId="15" borderId="24" xfId="0" applyNumberFormat="1" applyFont="1" applyFill="1" applyBorder="1" applyAlignment="1">
      <x:alignment horizontal="general" vertical="top" wrapText="1"/>
    </x:xf>
    <x:xf numFmtId="178" fontId="7" fillId="5" borderId="24" xfId="0" applyNumberFormat="1" applyFont="1" applyFill="1" applyBorder="1" applyAlignment="1">
      <x:alignment horizontal="general" vertical="top" wrapText="1"/>
    </x:xf>
    <x:xf numFmtId="164" fontId="6" fillId="3" borderId="24" xfId="0" applyNumberFormat="1" applyFont="1" applyFill="1" applyBorder="1" applyAlignment="1">
      <x:alignment horizontal="general" vertical="center" wrapText="1"/>
    </x:xf>
    <x:xf numFmtId="164" fontId="9" fillId="3" borderId="23" xfId="0" applyNumberFormat="1" applyFont="1" applyFill="1" applyBorder="1" applyAlignment="1">
      <x:alignment horizontal="general" vertical="center" wrapText="1"/>
    </x:xf>
    <x:xf numFmtId="175" fontId="7" fillId="13" borderId="24" xfId="0" applyNumberFormat="1" applyFont="1" applyFill="1" applyBorder="1" applyAlignment="1">
      <x:alignment horizontal="general" vertical="top" wrapText="1"/>
    </x:xf>
    <x:xf numFmtId="175" fontId="7" fillId="18" borderId="24" xfId="0" applyNumberFormat="1" applyFont="1" applyFill="1" applyBorder="1" applyAlignment="1">
      <x:alignment horizontal="general" vertical="top" wrapText="1"/>
    </x:xf>
    <x:xf numFmtId="164" fontId="7" fillId="19" borderId="24" xfId="0" applyNumberFormat="1" applyFont="1" applyFill="1" applyBorder="1" applyAlignment="1">
      <x:alignment horizontal="general" vertical="top" wrapText="1"/>
    </x:xf>
    <x:xf numFmtId="164" fontId="17" fillId="6" borderId="23" xfId="0" applyNumberFormat="1" applyFont="1" applyFill="1" applyBorder="1" applyAlignment="1">
      <x:alignment horizontal="general" vertical="top" wrapText="1"/>
    </x:xf>
    <x:xf numFmtId="164" fontId="7" fillId="2" borderId="24" xfId="0" applyNumberFormat="1" applyFont="1" applyFill="1" applyBorder="1" applyAlignment="1">
      <x:alignment horizontal="general" vertical="top" wrapText="1"/>
    </x:xf>
    <x:xf numFmtId="164" fontId="6" fillId="3" borderId="35" xfId="0" applyNumberFormat="1" applyFont="1" applyFill="1" applyBorder="1" applyAlignment="1">
      <x:alignment horizontal="general" vertical="top" wrapText="1"/>
    </x:xf>
    <x:xf numFmtId="164" fontId="0" fillId="0" borderId="35" xfId="0" applyNumberFormat="1" applyFont="1" applyFill="1" applyBorder="1" applyAlignment="1">
      <x:alignment horizontal="general" vertical="top" wrapText="1"/>
    </x:xf>
    <x:xf numFmtId="164" fontId="7" fillId="6" borderId="24" xfId="0" applyNumberFormat="1" applyFont="1" applyFill="1" applyBorder="1" applyAlignment="1">
      <x:alignment horizontal="general" vertical="top" wrapText="1"/>
    </x:xf>
    <x:xf numFmtId="164" fontId="0" fillId="0" borderId="36" xfId="0" applyNumberFormat="1" applyFont="1" applyFill="1" applyBorder="1" applyAlignment="1">
      <x:alignment horizontal="general" vertical="top" wrapText="1"/>
    </x:xf>
    <x:xf numFmtId="164" fontId="7" fillId="0" borderId="24" xfId="0" applyNumberFormat="1" applyFont="1" applyFill="1" applyBorder="1" applyAlignment="1">
      <x:alignment horizontal="general" vertical="top" wrapText="0"/>
    </x:xf>
    <x:xf numFmtId="164" fontId="7" fillId="5" borderId="24" xfId="0" applyNumberFormat="1" applyFont="1" applyFill="1" applyBorder="1" applyAlignment="1">
      <x:alignment horizontal="general" vertical="top" wrapText="0"/>
    </x:xf>
    <x:xf numFmtId="164" fontId="18" fillId="0" borderId="23" xfId="0" applyNumberFormat="1" applyFont="1" applyFill="1" applyBorder="1" applyAlignment="1">
      <x:alignment horizontal="general" vertical="top" wrapText="1"/>
    </x:xf>
    <x:xf numFmtId="175" fontId="5" fillId="0" borderId="23" xfId="0" applyNumberFormat="1" applyFont="1" applyFill="1" applyBorder="1" applyAlignment="1">
      <x:alignment horizontal="general" vertical="top" wrapText="1"/>
    </x:xf>
    <x:xf numFmtId="164" fontId="7" fillId="20" borderId="24" xfId="0" applyNumberFormat="1" applyFont="1" applyFill="1" applyBorder="1" applyAlignment="1">
      <x:alignment horizontal="general" vertical="top" wrapText="1"/>
    </x:xf>
    <x:xf numFmtId="164" fontId="18" fillId="21" borderId="23" xfId="0" applyNumberFormat="1" applyFont="1" applyFill="1" applyBorder="1" applyAlignment="1">
      <x:alignment horizontal="general" vertical="top" wrapText="1"/>
    </x:xf>
    <x:xf numFmtId="164" fontId="19" fillId="7" borderId="23" xfId="0" applyNumberFormat="1" applyFont="1" applyFill="1" applyBorder="1" applyAlignment="1">
      <x:alignment horizontal="general" vertical="top" wrapText="1"/>
    </x:xf>
    <x:xf numFmtId="176" fontId="8" fillId="6" borderId="24" xfId="0" applyNumberFormat="1" applyFont="1" applyFill="1" applyBorder="1" applyAlignment="1">
      <x:alignment horizontal="general" vertical="top" wrapText="1"/>
    </x:xf>
    <x:xf numFmtId="178" fontId="7" fillId="0" borderId="24" xfId="0" applyNumberFormat="1" applyFont="1" applyFill="1" applyBorder="1" applyAlignment="1">
      <x:alignment horizontal="general" vertical="top" wrapText="1"/>
    </x:xf>
    <x:xf numFmtId="176" fontId="7" fillId="0" borderId="24" xfId="0" applyNumberFormat="1" applyFont="1" applyFill="1" applyBorder="1" applyAlignment="1">
      <x:alignment horizontal="general" vertical="top" wrapText="1"/>
    </x:xf>
    <x:xf numFmtId="164" fontId="19" fillId="3" borderId="23" xfId="0" applyNumberFormat="1" applyFont="1" applyFill="1" applyBorder="1" applyAlignment="1">
      <x:alignment horizontal="general" vertical="center" wrapText="1"/>
    </x:xf>
    <x:xf numFmtId="175" fontId="19" fillId="3" borderId="23" xfId="0" applyNumberFormat="1" applyFont="1" applyFill="1" applyBorder="1" applyAlignment="1">
      <x:alignment horizontal="general" vertical="center" wrapText="1"/>
    </x:xf>
    <x:xf numFmtId="164" fontId="5" fillId="21" borderId="23" xfId="0" applyNumberFormat="1" applyFont="1" applyFill="1" applyBorder="1" applyAlignment="1">
      <x:alignment horizontal="general" vertical="top" wrapText="1"/>
    </x:xf>
    <x:xf numFmtId="164" fontId="9" fillId="3" borderId="23" xfId="0" applyNumberFormat="1" applyFont="1" applyFill="1" applyBorder="1" applyAlignment="1">
      <x:alignment horizontal="left" vertical="center" wrapText="1"/>
    </x:xf>
    <x:xf numFmtId="164" fontId="7" fillId="22" borderId="24" xfId="0" applyNumberFormat="1" applyFont="1" applyFill="1" applyBorder="1" applyAlignment="1">
      <x:alignment horizontal="general" vertical="top" wrapText="1"/>
    </x:xf>
    <x:xf numFmtId="179" fontId="7" fillId="5" borderId="24" xfId="0" applyNumberFormat="1" applyFont="1" applyFill="1" applyBorder="1" applyAlignment="1">
      <x:alignment horizontal="general" vertical="top" wrapText="1"/>
    </x:xf>
    <x:xf numFmtId="179" fontId="7" fillId="0" borderId="24" xfId="0" applyNumberFormat="1" applyFont="1" applyFill="1" applyBorder="1" applyAlignment="1">
      <x:alignment horizontal="general" vertical="top" wrapText="1"/>
    </x:xf>
    <x:xf numFmtId="179" fontId="5" fillId="0" borderId="23" xfId="0" applyNumberFormat="1" applyFont="1" applyFill="1" applyBorder="1" applyAlignment="1">
      <x:alignment horizontal="general" vertical="top" wrapText="1"/>
    </x:xf>
    <x:xf numFmtId="164" fontId="18" fillId="15" borderId="23" xfId="0" applyNumberFormat="1" applyFont="1" applyFill="1" applyBorder="1" applyAlignment="1">
      <x:alignment horizontal="general" vertical="top" wrapText="1"/>
    </x:xf>
    <x:xf numFmtId="164" fontId="8" fillId="6" borderId="37" xfId="0" applyNumberFormat="1" applyFont="1" applyFill="1" applyBorder="1" applyAlignment="1">
      <x:alignment horizontal="general" vertical="top" wrapText="1"/>
    </x:xf>
    <x:xf numFmtId="164" fontId="6" fillId="10" borderId="23" xfId="0" applyNumberFormat="1" applyFont="1" applyFill="1" applyBorder="1" applyAlignment="1">
      <x:alignment horizontal="center" vertical="top" wrapText="1"/>
    </x:xf>
    <x:xf numFmtId="164" fontId="7" fillId="5" borderId="37" xfId="0" applyNumberFormat="1" applyFont="1" applyFill="1" applyBorder="1" applyAlignment="1">
      <x:alignment horizontal="general" vertical="top" wrapText="1"/>
    </x:xf>
    <x:xf numFmtId="175" fontId="18" fillId="0" borderId="23" xfId="0" applyNumberFormat="1" applyFont="1" applyFill="1" applyBorder="1" applyAlignment="1">
      <x:alignment horizontal="general" vertical="top" wrapText="1"/>
    </x:xf>
    <x:xf numFmtId="164" fontId="9" fillId="3" borderId="26" xfId="0" applyNumberFormat="1" applyFont="1" applyFill="1" applyBorder="1" applyAlignment="1">
      <x:alignment horizontal="center" vertical="center" wrapText="1"/>
    </x:xf>
    <x:xf numFmtId="164" fontId="8" fillId="6" borderId="24" xfId="0" applyNumberFormat="1" applyFont="1" applyFill="1" applyBorder="1" applyAlignment="1">
      <x:alignment horizontal="center" vertical="top" wrapText="1"/>
    </x:xf>
    <x:xf numFmtId="164" fontId="7" fillId="8" borderId="24" xfId="0" applyNumberFormat="1" applyFont="1" applyFill="1" applyBorder="1" applyAlignment="1">
      <x:alignment horizontal="center" vertical="top" wrapText="1"/>
    </x:xf>
    <x:xf numFmtId="164" fontId="7" fillId="21" borderId="24" xfId="0" applyNumberFormat="1" applyFont="1" applyFill="1" applyBorder="1" applyAlignment="1">
      <x:alignment horizontal="center" vertical="top" wrapText="1"/>
    </x:xf>
    <x:xf numFmtId="164" fontId="0" fillId="0" borderId="29" xfId="0" applyNumberFormat="1" applyFont="1" applyFill="1" applyBorder="1" applyAlignment="1">
      <x:alignment horizontal="general" vertical="top" wrapText="1"/>
    </x:xf>
    <x:xf numFmtId="164" fontId="0" fillId="0" borderId="30" xfId="0" applyNumberFormat="1" applyFont="1" applyFill="1" applyBorder="1" applyAlignment="1">
      <x:alignment horizontal="general" vertical="top" wrapText="1"/>
    </x:xf>
    <x:xf numFmtId="164" fontId="5" fillId="15" borderId="23" xfId="0" applyNumberFormat="1" applyFont="1" applyFill="1" applyBorder="1" applyAlignment="1">
      <x:alignment horizontal="general" vertical="top" wrapText="1"/>
    </x:xf>
    <x:xf numFmtId="164" fontId="7" fillId="21" borderId="24" xfId="0" applyNumberFormat="1" applyFont="1" applyFill="1" applyBorder="1" applyAlignment="1">
      <x:alignment horizontal="general" vertical="top" wrapText="1"/>
    </x:xf>
    <x:xf numFmtId="164" fontId="0" fillId="0" borderId="31" xfId="0" applyNumberFormat="1" applyFont="1" applyFill="1" applyBorder="1" applyAlignment="1">
      <x:alignment horizontal="general" vertical="top" wrapText="1"/>
    </x:xf>
    <x:xf numFmtId="175" fontId="0" fillId="0" borderId="32" xfId="0" applyNumberFormat="1" applyFont="1" applyFill="1" applyBorder="1" applyAlignment="1">
      <x:alignment horizontal="general" vertical="top" wrapText="1"/>
    </x:xf>
    <x:xf numFmtId="164" fontId="0" fillId="0" borderId="33" xfId="0" applyNumberFormat="1" applyFont="1" applyFill="1" applyBorder="1" applyAlignment="1">
      <x:alignment horizontal="general" vertical="top" wrapText="1"/>
    </x:xf>
    <x:xf numFmtId="164" fontId="20" fillId="19" borderId="23" xfId="0" applyNumberFormat="1" applyFont="1" applyFill="1" applyBorder="1" applyAlignment="1">
      <x:alignment horizontal="general" vertical="top" wrapText="1"/>
    </x:xf>
    <x:xf numFmtId="164" fontId="21" fillId="19" borderId="23" xfId="0" applyNumberFormat="1" applyFont="1" applyFill="1" applyBorder="1" applyAlignment="1">
      <x:alignment horizontal="general" vertical="top" wrapText="1"/>
    </x:xf>
    <x:xf numFmtId="164" fontId="7" fillId="23" borderId="24" xfId="0" applyNumberFormat="1" applyFont="1" applyFill="1" applyBorder="1" applyAlignment="1">
      <x:alignment horizontal="general" vertical="top" wrapText="1"/>
    </x:xf>
    <x:xf numFmtId="164" fontId="5" fillId="24" borderId="23" xfId="0" applyNumberFormat="1" applyFont="1" applyFill="1" applyBorder="1" applyAlignment="1">
      <x:alignment horizontal="general" vertical="top" wrapText="1"/>
    </x:xf>
    <x:xf numFmtId="164" fontId="7" fillId="25" borderId="24" xfId="0" applyNumberFormat="1" applyFont="1" applyFill="1" applyBorder="1" applyAlignment="1">
      <x:alignment horizontal="general" vertical="top" wrapText="1"/>
    </x:xf>
    <x:xf numFmtId="164" fontId="7" fillId="26" borderId="24" xfId="0" applyNumberFormat="1" applyFont="1" applyFill="1" applyBorder="1" applyAlignment="1">
      <x:alignment horizontal="general" vertical="top" wrapText="1"/>
    </x:xf>
    <x:xf numFmtId="164" fontId="7" fillId="27" borderId="24" xfId="0" applyNumberFormat="1" applyFont="1" applyFill="1" applyBorder="1" applyAlignment="1">
      <x:alignment horizontal="general" vertical="top" wrapText="1"/>
    </x:xf>
    <x:xf numFmtId="164" fontId="7" fillId="24" borderId="24" xfId="0" applyNumberFormat="1" applyFont="1" applyFill="1" applyBorder="1" applyAlignment="1">
      <x:alignment horizontal="general" vertical="top" wrapText="1"/>
    </x:xf>
    <x:xf numFmtId="164" fontId="11" fillId="28" borderId="23" xfId="0" applyNumberFormat="1" applyFont="1" applyFill="1" applyBorder="1" applyAlignment="1">
      <x:alignment horizontal="general" vertical="top" wrapText="1"/>
    </x:xf>
    <x:xf numFmtId="164" fontId="22" fillId="3" borderId="24" xfId="0" applyNumberFormat="1" applyFont="1" applyFill="1" applyBorder="1" applyAlignment="1">
      <x:alignment horizontal="general" vertical="top" wrapText="1"/>
    </x:xf>
    <x:xf numFmtId="164" fontId="23" fillId="3" borderId="38" xfId="0" applyNumberFormat="1" applyFont="1" applyFill="1" applyBorder="1" applyAlignment="1">
      <x:alignment horizontal="general" vertical="top" wrapText="1"/>
    </x:xf>
    <x:xf numFmtId="164" fontId="0" fillId="0" borderId="39" xfId="0" applyNumberFormat="1" applyFont="1" applyFill="1" applyBorder="1" applyAlignment="1">
      <x:alignment horizontal="general" vertical="bottom" wrapText="0"/>
    </x:xf>
    <x:xf numFmtId="164" fontId="6" fillId="3" borderId="37" xfId="0" applyNumberFormat="1" applyFont="1" applyFill="1" applyBorder="1" applyAlignment="1">
      <x:alignment horizontal="general" vertical="top" wrapText="1"/>
    </x:xf>
    <x:xf numFmtId="164" fontId="0" fillId="0" borderId="38" xfId="0" applyNumberFormat="1" applyFont="1" applyFill="1" applyBorder="1" applyAlignment="1">
      <x:alignment horizontal="general" vertical="bottom" wrapText="0"/>
    </x:xf>
    <x:xf numFmtId="164" fontId="11" fillId="18" borderId="23" xfId="0" applyNumberFormat="1" applyFont="1" applyFill="1" applyBorder="1" applyAlignment="1">
      <x:alignment horizontal="general" vertical="top" wrapText="1"/>
    </x:xf>
    <x:xf numFmtId="164" fontId="11" fillId="9" borderId="23" xfId="0" applyNumberFormat="1" applyFont="1" applyFill="1" applyBorder="1" applyAlignment="1">
      <x:alignment horizontal="general" vertical="top" wrapText="1"/>
    </x:xf>
    <x:xf numFmtId="164" fontId="10" fillId="6" borderId="23" xfId="0" applyNumberFormat="1" applyFont="1" applyFill="1" applyBorder="1" applyAlignment="1">
      <x:alignment horizontal="general" vertical="top" wrapText="1"/>
    </x:xf>
    <x:xf numFmtId="164" fontId="11" fillId="6" borderId="23" xfId="0" applyNumberFormat="1" applyFont="1" applyFill="1" applyBorder="1" applyAlignment="1">
      <x:alignment horizontal="general" vertical="top" wrapText="1"/>
    </x:xf>
    <x:xf numFmtId="164" fontId="11" fillId="19" borderId="23" xfId="0" applyNumberFormat="1" applyFont="1" applyFill="1" applyBorder="1" applyAlignment="1">
      <x:alignment horizontal="general" vertical="top" wrapText="1"/>
    </x:xf>
    <x:xf numFmtId="164" fontId="24" fillId="29" borderId="37" xfId="0" applyNumberFormat="1" applyFont="1" applyFill="1" applyBorder="1" applyAlignment="1">
      <x:alignment horizontal="center" vertical="center" wrapText="1"/>
    </x:xf>
    <x:xf numFmtId="164" fontId="25" fillId="30" borderId="37" xfId="0" applyNumberFormat="1" applyFont="1" applyFill="1" applyBorder="1" applyAlignment="1">
      <x:alignment horizontal="general" vertical="center" wrapText="1"/>
    </x:xf>
    <x:xf numFmtId="164" fontId="6" fillId="31" borderId="40" xfId="0" applyNumberFormat="1" applyFont="1" applyFill="1" applyBorder="1" applyAlignment="1">
      <x:alignment horizontal="general" vertical="center" wrapText="1"/>
    </x:xf>
    <x:xf numFmtId="164" fontId="8" fillId="6" borderId="40" xfId="0" applyNumberFormat="1" applyFont="1" applyFill="1" applyBorder="1" applyAlignment="1">
      <x:alignment horizontal="general" vertical="top" wrapText="1"/>
    </x:xf>
    <x:xf numFmtId="164" fontId="7" fillId="0" borderId="40" xfId="0" applyNumberFormat="1" applyFont="1" applyFill="1" applyBorder="1" applyAlignment="1">
      <x:alignment horizontal="general" vertical="top" wrapText="1"/>
    </x:xf>
    <x:xf numFmtId="164" fontId="0" fillId="0" borderId="40" xfId="0" applyNumberFormat="1" applyFont="1" applyFill="1" applyBorder="1" applyAlignment="1">
      <x:alignment horizontal="general" vertical="top" wrapText="1"/>
    </x:xf>
    <x:xf numFmtId="164" fontId="7" fillId="5" borderId="40" xfId="0" applyNumberFormat="1" applyFont="1" applyFill="1" applyBorder="1" applyAlignment="1">
      <x:alignment horizontal="general" vertical="top" wrapText="1"/>
    </x:xf>
    <x:xf numFmtId="164" fontId="6" fillId="31" borderId="40" xfId="0" applyNumberFormat="1" applyFont="1" applyFill="1" applyBorder="1" applyAlignment="1">
      <x:alignment horizontal="general" vertical="top" wrapText="1"/>
    </x:xf>
    <x:xf numFmtId="164" fontId="9" fillId="31" borderId="40" xfId="0" applyNumberFormat="1" applyFont="1" applyFill="1" applyBorder="1" applyAlignment="1">
      <x:alignment horizontal="general" vertical="top" wrapText="1"/>
    </x:xf>
    <x:xf numFmtId="164" fontId="9" fillId="31" borderId="40" xfId="0" applyNumberFormat="1" applyFont="1" applyFill="1" applyBorder="1" applyAlignment="1">
      <x:alignment horizontal="general" vertical="center" wrapText="1"/>
    </x:xf>
    <x:xf numFmtId="164" fontId="0" fillId="0" borderId="40" xfId="0" applyNumberFormat="1" applyFont="1" applyFill="1" applyBorder="1" applyAlignment="1">
      <x:alignment horizontal="general" vertical="bottom" wrapText="1"/>
    </x:xf>
    <x:xf numFmtId="164" fontId="26" fillId="32" borderId="40" xfId="0" applyNumberFormat="1" applyFont="1" applyFill="1" applyBorder="1" applyAlignment="1">
      <x:alignment horizontal="center" vertical="center" wrapText="1"/>
    </x:xf>
    <x:xf numFmtId="164" fontId="7" fillId="28" borderId="24" xfId="0" applyNumberFormat="1" applyFont="1" applyFill="1" applyBorder="1" applyAlignment="1">
      <x:alignment horizontal="general" vertical="top" wrapText="1"/>
    </x:xf>
    <x:xf numFmtId="164" fontId="7" fillId="33" borderId="24" xfId="0" applyNumberFormat="1" applyFont="1" applyFill="1" applyBorder="1" applyAlignment="1">
      <x:alignment horizontal="general" vertical="top" wrapText="1"/>
    </x:xf>
    <x:xf numFmtId="164" fontId="9" fillId="23" borderId="23" xfId="0" applyNumberFormat="1" applyFont="1" applyFill="1" applyBorder="1" applyAlignment="1">
      <x:alignment horizontal="general" vertical="top" wrapText="1"/>
    </x:xf>
    <x:xf numFmtId="164" fontId="0" fillId="20" borderId="23" xfId="0" applyNumberFormat="1" applyFont="1" applyFill="1" applyBorder="1" applyAlignment="1">
      <x:alignment horizontal="general" vertical="top" wrapText="1"/>
    </x:xf>
    <x:xf numFmtId="164" fontId="27" fillId="6" borderId="23" xfId="0" applyNumberFormat="1" applyFont="1" applyFill="1" applyBorder="1" applyAlignment="1">
      <x:alignment horizontal="general" vertical="center" wrapText="1"/>
    </x:xf>
    <x:xf numFmtId="164" fontId="6" fillId="3" borderId="24" xfId="0" applyNumberFormat="1" applyFont="1" applyFill="1" applyBorder="1" applyAlignment="1">
      <x:alignment horizontal="center" vertical="center" wrapText="1"/>
    </x:xf>
    <x:xf numFmtId="164" fontId="28" fillId="4" borderId="41" xfId="0" applyNumberFormat="1" applyFont="1" applyFill="1" applyBorder="1" applyAlignment="1">
      <x:alignment horizontal="general" vertical="top" wrapText="1"/>
    </x:xf>
    <x:xf numFmtId="164" fontId="7" fillId="5" borderId="42" xfId="0" applyNumberFormat="1" applyFont="1" applyFill="1" applyBorder="1" applyAlignment="1">
      <x:alignment horizontal="general" vertical="top" wrapText="1"/>
    </x:xf>
    <x:xf numFmtId="164" fontId="7" fillId="5" borderId="43" xfId="0" applyNumberFormat="1" applyFont="1" applyFill="1" applyBorder="1" applyAlignment="1">
      <x:alignment horizontal="general" vertical="top" wrapText="1"/>
    </x:xf>
    <x:xf numFmtId="164" fontId="28" fillId="6" borderId="44" xfId="0" applyNumberFormat="1" applyFont="1" applyFill="1" applyBorder="1" applyAlignment="1">
      <x:alignment horizontal="general" vertical="top" wrapText="1"/>
    </x:xf>
    <x:xf numFmtId="164" fontId="7" fillId="0" borderId="45" xfId="0" applyNumberFormat="1" applyFont="1" applyFill="1" applyBorder="1" applyAlignment="1">
      <x:alignment horizontal="general" vertical="top" wrapText="1"/>
    </x:xf>
    <x:xf numFmtId="164" fontId="7" fillId="5" borderId="45" xfId="0" applyNumberFormat="1" applyFont="1" applyFill="1" applyBorder="1" applyAlignment="1">
      <x:alignment horizontal="general" vertical="top" wrapText="1"/>
    </x:xf>
    <x:xf numFmtId="164" fontId="14" fillId="0" borderId="29" xfId="0" applyNumberFormat="1" applyFont="1" applyFill="1" applyBorder="1" applyAlignment="1">
      <x:alignment horizontal="general" vertical="bottom" wrapText="1"/>
    </x:xf>
    <x:xf numFmtId="164" fontId="0" fillId="0" borderId="30" xfId="0" applyNumberFormat="1" applyFont="1" applyFill="1" applyBorder="1" applyAlignment="1">
      <x:alignment horizontal="general" vertical="bottom" wrapText="1"/>
    </x:xf>
    <x:xf numFmtId="164" fontId="14" fillId="0" borderId="31" xfId="0" applyNumberFormat="1" applyFont="1" applyFill="1" applyBorder="1" applyAlignment="1">
      <x:alignment horizontal="general" vertical="bottom" wrapText="1"/>
    </x:xf>
    <x:xf numFmtId="164" fontId="0" fillId="0" borderId="32" xfId="0" applyNumberFormat="1" applyFont="1" applyFill="1" applyBorder="1" applyAlignment="1">
      <x:alignment horizontal="general" vertical="bottom" wrapText="1"/>
    </x:xf>
    <x:xf numFmtId="164" fontId="0" fillId="0" borderId="33" xfId="0" applyNumberFormat="1" applyFont="1" applyFill="1" applyBorder="1" applyAlignment="1">
      <x:alignment horizontal="general" vertical="bottom" wrapText="1"/>
    </x:xf>
    <x:xf numFmtId="164" fontId="7" fillId="3" borderId="24" xfId="0" applyNumberFormat="1" applyFont="1" applyFill="1" applyBorder="1" applyAlignment="1">
      <x:alignment horizontal="general" vertical="top" wrapText="1"/>
    </x:xf>
    <x:xf numFmtId="164" fontId="23" fillId="3" borderId="23" xfId="0" applyNumberFormat="1" applyFont="1" applyFill="1" applyBorder="1" applyAlignment="1">
      <x:alignment horizontal="general" vertical="top" wrapText="1"/>
    </x:xf>
    <x:xf numFmtId="164" fontId="0" fillId="6" borderId="23" xfId="0" applyNumberFormat="1" applyFont="1" applyFill="1" applyBorder="1" applyAlignment="1">
      <x:alignment horizontal="general" vertical="top" wrapText="1"/>
    </x:xf>
    <x:xf numFmtId="164" fontId="9" fillId="3" borderId="23" xfId="0" applyNumberFormat="1" applyFont="1" applyFill="1" applyBorder="1" applyAlignment="1">
      <x:alignment horizontal="center" vertical="top" wrapText="1"/>
    </x:xf>
    <x:xf numFmtId="164" fontId="11" fillId="34" borderId="23" xfId="0" applyNumberFormat="1" applyFont="1" applyFill="1" applyBorder="1" applyAlignment="1">
      <x:alignment horizontal="general" vertical="top" wrapText="1"/>
    </x:xf>
    <x:xf numFmtId="164" fontId="9" fillId="3" borderId="23" xfId="0" applyNumberFormat="1" applyFont="1" applyFill="1" applyBorder="1" applyAlignment="1">
      <x:alignment horizontal="center" vertical="bottom" wrapText="0"/>
    </x:xf>
    <x:xf numFmtId="164" fontId="23" fillId="3" borderId="23" xfId="0" applyNumberFormat="1" applyFont="1" applyFill="1" applyBorder="1" applyAlignment="1">
      <x:alignment horizontal="center" vertical="bottom" wrapText="0"/>
    </x:xf>
    <x:xf numFmtId="164" fontId="9" fillId="4" borderId="23" xfId="0" applyNumberFormat="1" applyFont="1" applyFill="1" applyBorder="1" applyAlignment="1">
      <x:alignment horizontal="general" vertical="bottom" wrapText="1"/>
    </x:xf>
    <x:xf numFmtId="164" fontId="9" fillId="3" borderId="23" xfId="0" applyNumberFormat="1" applyFont="1" applyFill="1" applyBorder="1" applyAlignment="1">
      <x:alignment horizontal="general" vertical="bottom" wrapText="1"/>
    </x:xf>
    <x:xf numFmtId="164" fontId="23" fillId="3" borderId="23" xfId="0" applyNumberFormat="1" applyFont="1" applyFill="1" applyBorder="1" applyAlignment="1">
      <x:alignment horizontal="center" vertical="center" wrapText="1"/>
    </x:xf>
    <x:xf numFmtId="164" fontId="0" fillId="6" borderId="23" xfId="0" applyNumberFormat="1" applyFont="1" applyFill="1" applyBorder="1" applyAlignment="1">
      <x:alignment horizontal="general" vertical="bottom" wrapText="1"/>
    </x:xf>
    <x:xf numFmtId="164" fontId="9" fillId="6" borderId="23" xfId="0" applyNumberFormat="1" applyFont="1" applyFill="1" applyBorder="1" applyAlignment="1">
      <x:alignment horizontal="center" vertical="center" wrapText="1"/>
    </x:xf>
    <x:xf numFmtId="164" fontId="6" fillId="2" borderId="1" xfId="0" applyNumberFormat="1" applyFont="1" applyFill="1" applyBorder="1" applyAlignment="1">
      <x:alignment horizontal="general" vertical="top" wrapText="1"/>
    </x:xf>
    <x:xf numFmtId="164" fontId="8" fillId="6" borderId="1" xfId="0" applyNumberFormat="1" applyFont="1" applyFill="1" applyBorder="1" applyAlignment="1">
      <x:alignment horizontal="general" vertical="top" wrapText="1"/>
    </x:xf>
    <x:xf numFmtId="164" fontId="7" fillId="5" borderId="1" xfId="0" applyNumberFormat="1" applyFont="1" applyFill="1" applyBorder="1" applyAlignment="1">
      <x:alignment horizontal="general" vertical="top" wrapText="1"/>
    </x:xf>
    <x:xf numFmtId="164" fontId="7" fillId="0" borderId="1" xfId="0" applyNumberFormat="1" applyFont="1" applyFill="1" applyBorder="1" applyAlignment="1">
      <x:alignment horizontal="general" vertical="top" wrapText="1"/>
    </x:xf>
    <x:xf numFmtId="164" fontId="0" fillId="0" borderId="0" xfId="0" applyNumberFormat="1" applyFont="1" applyFill="1" applyBorder="1" applyAlignment="1">
      <x:alignment horizontal="general" vertical="top" wrapText="1"/>
    </x:xf>
    <x:xf numFmtId="175" fontId="7" fillId="0" borderId="1" xfId="0" applyNumberFormat="1" applyFont="1" applyFill="1" applyBorder="1" applyAlignment="1">
      <x:alignment horizontal="general" vertical="top" wrapText="1"/>
    </x:xf>
    <x:xf numFmtId="175" fontId="7" fillId="5" borderId="1" xfId="0" applyNumberFormat="1" applyFont="1" applyFill="1" applyBorder="1" applyAlignment="1">
      <x:alignment horizontal="general" vertical="top" wrapText="1"/>
    </x:xf>
    <x:xf numFmtId="164" fontId="7" fillId="12" borderId="1" xfId="0" applyNumberFormat="1" applyFont="1" applyFill="1" applyBorder="1" applyAlignment="1">
      <x:alignment horizontal="general" vertical="top" wrapText="1"/>
    </x:xf>
    <x:xf numFmtId="164" fontId="5" fillId="21" borderId="0" xfId="0" applyNumberFormat="1" applyFont="1" applyFill="1" applyBorder="1" applyAlignment="1">
      <x:alignment horizontal="general" vertical="top" wrapText="1"/>
    </x:xf>
    <x:xf numFmtId="164" fontId="8" fillId="6" borderId="14" xfId="0" applyNumberFormat="1" applyFont="1" applyFill="1" applyBorder="1" applyAlignment="1">
      <x:alignment horizontal="general" vertical="top" wrapText="1"/>
    </x:xf>
    <x:xf numFmtId="164" fontId="6" fillId="10" borderId="0" xfId="0" applyNumberFormat="1" applyFont="1" applyFill="1" applyBorder="1" applyAlignment="1">
      <x:alignment horizontal="center" vertical="top" wrapText="1"/>
    </x:xf>
    <x:xf numFmtId="164" fontId="6" fillId="4" borderId="1" xfId="0" applyNumberFormat="1" applyFont="1" applyFill="1" applyBorder="1" applyAlignment="1">
      <x:alignment horizontal="general" vertical="top" wrapText="1"/>
    </x:xf>
    <x:xf numFmtId="164" fontId="18" fillId="0" borderId="0" xfId="0" applyNumberFormat="1" applyFont="1" applyFill="1" applyBorder="1" applyAlignment="1">
      <x:alignment horizontal="general" vertical="top" wrapText="1"/>
    </x:xf>
    <x:xf numFmtId="164" fontId="7" fillId="5" borderId="14" xfId="0" applyNumberFormat="1" applyFont="1" applyFill="1" applyBorder="1" applyAlignment="1">
      <x:alignment horizontal="general" vertical="top" wrapText="1"/>
    </x:xf>
    <x:xf numFmtId="175" fontId="18" fillId="0" borderId="0" xfId="0" applyNumberFormat="1" applyFont="1" applyFill="1" applyBorder="1" applyAlignment="1">
      <x:alignment horizontal="general" vertical="top" wrapText="1"/>
    </x:xf>
    <x:xf numFmtId="164" fontId="9" fillId="8" borderId="0" xfId="0" applyNumberFormat="1" applyFont="1" applyFill="1" applyBorder="1" applyAlignment="1">
      <x:alignment horizontal="general" vertical="top" wrapText="1"/>
    </x:xf>
    <x:xf numFmtId="164" fontId="9" fillId="3" borderId="3" xfId="0" applyNumberFormat="1" applyFont="1" applyFill="1" applyBorder="1" applyAlignment="1">
      <x:alignment horizontal="center" vertical="center" wrapText="1"/>
    </x:xf>
    <x:xf numFmtId="164" fontId="9" fillId="3" borderId="4" xfId="0" applyNumberFormat="1" applyFont="1" applyFill="1" applyBorder="1" applyAlignment="1">
      <x:alignment horizontal="center" vertical="center" wrapText="1"/>
    </x:xf>
    <x:xf numFmtId="164" fontId="9" fillId="3" borderId="5" xfId="0" applyNumberFormat="1" applyFont="1" applyFill="1" applyBorder="1" applyAlignment="1">
      <x:alignment horizontal="center" vertical="center" wrapText="1"/>
    </x:xf>
    <x:xf numFmtId="164" fontId="8" fillId="6" borderId="1" xfId="0" applyNumberFormat="1" applyFont="1" applyFill="1" applyBorder="1" applyAlignment="1">
      <x:alignment horizontal="center" vertical="top" wrapText="1"/>
    </x:xf>
    <x:xf numFmtId="164" fontId="7" fillId="8" borderId="1" xfId="0" applyNumberFormat="1" applyFont="1" applyFill="1" applyBorder="1" applyAlignment="1">
      <x:alignment horizontal="center" vertical="top" wrapText="1"/>
    </x:xf>
    <x:xf numFmtId="164" fontId="7" fillId="21" borderId="1" xfId="0" applyNumberFormat="1" applyFont="1" applyFill="1" applyBorder="1" applyAlignment="1">
      <x:alignment horizontal="center" vertical="top" wrapText="1"/>
    </x:xf>
    <x:xf numFmtId="164" fontId="0" fillId="0" borderId="6" xfId="0" applyNumberFormat="1" applyFont="1" applyFill="1" applyBorder="1" applyAlignment="1">
      <x:alignment horizontal="general" vertical="top" wrapText="1"/>
    </x:xf>
    <x:xf numFmtId="164" fontId="0" fillId="0" borderId="7" xfId="0" applyNumberFormat="1" applyFont="1" applyFill="1" applyBorder="1" applyAlignment="1">
      <x:alignment horizontal="general" vertical="top" wrapText="1"/>
    </x:xf>
    <x:xf numFmtId="164" fontId="5" fillId="0" borderId="0" xfId="0" applyNumberFormat="1" applyFont="1" applyFill="1" applyBorder="1" applyAlignment="1">
      <x:alignment horizontal="general" vertical="top" wrapText="1"/>
    </x:xf>
    <x:xf numFmtId="164" fontId="5" fillId="15" borderId="0" xfId="0" applyNumberFormat="1" applyFont="1" applyFill="1" applyBorder="1" applyAlignment="1">
      <x:alignment horizontal="general" vertical="top" wrapText="1"/>
    </x:xf>
    <x:xf numFmtId="164" fontId="7" fillId="21" borderId="1" xfId="0" applyNumberFormat="1" applyFont="1" applyFill="1" applyBorder="1" applyAlignment="1">
      <x:alignment horizontal="general" vertical="top" wrapText="1"/>
    </x:xf>
    <x:xf numFmtId="175" fontId="0" fillId="0" borderId="0" xfId="0" applyNumberFormat="1" applyFont="1" applyFill="1" applyBorder="1" applyAlignment="1">
      <x:alignment horizontal="general" vertical="top" wrapText="1"/>
    </x:xf>
    <x:xf numFmtId="164" fontId="0" fillId="0" borderId="8" xfId="0" applyNumberFormat="1" applyFont="1" applyFill="1" applyBorder="1" applyAlignment="1">
      <x:alignment horizontal="general" vertical="top" wrapText="1"/>
    </x:xf>
    <x:xf numFmtId="175" fontId="0" fillId="0" borderId="9" xfId="0" applyNumberFormat="1" applyFont="1" applyFill="1" applyBorder="1" applyAlignment="1">
      <x:alignment horizontal="general" vertical="top" wrapText="1"/>
    </x:xf>
    <x:xf numFmtId="164" fontId="0" fillId="0" borderId="10" xfId="0" applyNumberFormat="1" applyFont="1" applyFill="1" applyBorder="1" applyAlignment="1">
      <x:alignment horizontal="general" vertical="top" wrapText="1"/>
    </x:xf>
    <x:xf numFmtId="164" fontId="20" fillId="19" borderId="0" xfId="0" applyNumberFormat="1" applyFont="1" applyFill="1" applyBorder="1" applyAlignment="1">
      <x:alignment horizontal="general" vertical="top" wrapText="1"/>
    </x:xf>
    <x:xf numFmtId="164" fontId="21" fillId="19" borderId="0" xfId="0" applyNumberFormat="1" applyFont="1" applyFill="1" applyBorder="1" applyAlignment="1">
      <x:alignment horizontal="general" vertical="top" wrapText="1"/>
    </x:xf>
    <x:xf numFmtId="164" fontId="7" fillId="23" borderId="1" xfId="0" applyNumberFormat="1" applyFont="1" applyFill="1" applyBorder="1" applyAlignment="1">
      <x:alignment horizontal="general" vertical="top" wrapText="1"/>
    </x:xf>
    <x:xf numFmtId="164" fontId="7" fillId="15" borderId="1" xfId="0" applyNumberFormat="1" applyFont="1" applyFill="1" applyBorder="1" applyAlignment="1">
      <x:alignment horizontal="general" vertical="top" wrapText="1"/>
    </x:xf>
    <x:xf numFmtId="164" fontId="5" fillId="24" borderId="0" xfId="0" applyNumberFormat="1" applyFont="1" applyFill="1" applyBorder="1" applyAlignment="1">
      <x:alignment horizontal="general" vertical="top" wrapText="1"/>
    </x:xf>
    <x:xf numFmtId="164" fontId="11" fillId="0" borderId="0" xfId="0" applyNumberFormat="1" applyFont="1" applyFill="1" applyBorder="1" applyAlignment="1">
      <x:alignment horizontal="general" vertical="bottom" wrapText="1"/>
    </x:xf>
    <x:xf numFmtId="177" fontId="0" fillId="0" borderId="0" xfId="0" applyNumberFormat="1" applyFont="1" applyFill="1" applyBorder="1" applyAlignment="1">
      <x:alignment horizontal="general" vertical="bottom" wrapText="1"/>
    </x:xf>
    <x:xf numFmtId="164" fontId="0" fillId="0" borderId="0" xfId="0" applyNumberFormat="1" applyFont="1" applyFill="1" applyBorder="1" applyAlignment="1">
      <x:alignment horizontal="general" vertical="bottom" wrapText="1"/>
    </x:xf>
    <x:xf numFmtId="164" fontId="6" fillId="3" borderId="1" xfId="0" applyNumberFormat="1" applyFont="1" applyFill="1" applyBorder="1" applyAlignment="1">
      <x:alignment horizontal="general" vertical="top" wrapText="1"/>
    </x:xf>
    <x:xf numFmtId="164" fontId="9" fillId="7" borderId="0" xfId="0" applyNumberFormat="1" applyFont="1" applyFill="1" applyBorder="1" applyAlignment="1">
      <x:alignment horizontal="general" vertical="top" wrapText="1"/>
    </x:xf>
    <x:xf numFmtId="164" fontId="10" fillId="0" borderId="0" xfId="0" applyNumberFormat="1" applyFont="1" applyFill="1" applyBorder="1" applyAlignment="1">
      <x:alignment horizontal="general" vertical="top" wrapText="1"/>
    </x:xf>
    <x:xf numFmtId="164" fontId="11" fillId="0" borderId="0" xfId="0" applyNumberFormat="1" applyFont="1" applyFill="1" applyBorder="1" applyAlignment="1">
      <x:alignment horizontal="general" vertical="top" wrapText="1"/>
    </x:xf>
    <x:xf numFmtId="174" fontId="8" fillId="6" borderId="1" xfId="0" applyNumberFormat="1" applyFont="1" applyFill="1" applyBorder="1" applyAlignment="1">
      <x:alignment horizontal="general" vertical="top" wrapText="1"/>
    </x:xf>
    <x:xf numFmtId="164" fontId="12" fillId="9" borderId="0" xfId="0" applyNumberFormat="1" applyFont="1" applyFill="1" applyBorder="1" applyAlignment="1">
      <x:alignment horizontal="general" vertical="top" wrapText="1"/>
    </x:xf>
    <x:xf numFmtId="164" fontId="23" fillId="3" borderId="0" xfId="0" applyNumberFormat="1" applyFont="1" applyFill="1" applyBorder="1" applyAlignment="1">
      <x:alignment horizontal="center" vertical="center" wrapText="1"/>
    </x:xf>
    <x:xf numFmtId="164" fontId="9" fillId="3" borderId="0" xfId="0" applyNumberFormat="1" applyFont="1" applyFill="1" applyBorder="1" applyAlignment="1">
      <x:alignment horizontal="center" vertical="center" wrapText="1"/>
    </x:xf>
    <x:xf numFmtId="164" fontId="0" fillId="6" borderId="0" xfId="0" applyNumberFormat="1" applyFont="1" applyFill="1" applyBorder="1" applyAlignment="1">
      <x:alignment horizontal="general" vertical="bottom" wrapText="1"/>
    </x:xf>
    <x:xf numFmtId="164" fontId="9" fillId="6" borderId="0" xfId="0" applyNumberFormat="1" applyFont="1" applyFill="1" applyBorder="1" applyAlignment="1">
      <x:alignment horizontal="center" vertical="center" wrapText="1"/>
    </x:xf>
    <x:xf numFmtId="164" fontId="0" fillId="0" borderId="0" xfId="0" applyNumberFormat="1" applyFont="1" applyFill="1" applyBorder="1" applyAlignment="1">
      <x:alignment horizontal="general" vertical="bottom" wrapText="0"/>
    </x:xf>
    <x:xf numFmtId="164" fontId="6" fillId="3" borderId="0" xfId="0" applyNumberFormat="1" applyFont="1" applyFill="1" applyBorder="1" applyAlignment="1">
      <x:alignment horizontal="general" vertical="top" wrapText="1"/>
    </x:xf>
    <x:xf numFmtId="164" fontId="7" fillId="7" borderId="1" xfId="0" applyNumberFormat="1" applyFont="1" applyFill="1" applyBorder="1" applyAlignment="1">
      <x:alignment horizontal="general" vertical="top" wrapText="1"/>
    </x:xf>
    <x:xf numFmtId="164" fontId="9" fillId="3" borderId="0" xfId="0" applyNumberFormat="1" applyFont="1" applyFill="1" applyBorder="1" applyAlignment="1">
      <x:alignment horizontal="general" vertical="top" wrapText="1"/>
    </x:xf>
    <x:xf numFmtId="164" fontId="6" fillId="10" borderId="0" xfId="0" applyNumberFormat="1" applyFont="1" applyFill="1" applyBorder="1" applyAlignment="1">
      <x:alignment horizontal="left" vertical="center" wrapText="1"/>
    </x:xf>
    <x:xf numFmtId="164" fontId="13" fillId="11" borderId="0" xfId="0" applyNumberFormat="1" applyFont="1" applyFill="1" applyBorder="1" applyAlignment="1">
      <x:alignment horizontal="left" vertical="center" wrapText="1"/>
    </x:xf>
    <x:xf numFmtId="164" fontId="7" fillId="11" borderId="1" xfId="0" applyNumberFormat="1" applyFont="1" applyFill="1" applyBorder="1" applyAlignment="1">
      <x:alignment horizontal="general" vertical="top" wrapText="1"/>
    </x:xf>
    <x:xf numFmtId="164" fontId="9" fillId="3" borderId="2" xfId="0" applyNumberFormat="1" applyFont="1" applyFill="1" applyBorder="1" applyAlignment="1">
      <x:alignment horizontal="center" vertical="center" wrapText="1"/>
    </x:xf>
    <x:xf numFmtId="164" fontId="14" fillId="6" borderId="3" xfId="0" applyNumberFormat="1" applyFont="1" applyFill="1" applyBorder="1" applyAlignment="1">
      <x:alignment horizontal="center" vertical="center" wrapText="1"/>
    </x:xf>
    <x:xf numFmtId="164" fontId="14" fillId="6" borderId="6" xfId="0" applyNumberFormat="1" applyFont="1" applyFill="1" applyBorder="1" applyAlignment="1">
      <x:alignment horizontal="general" vertical="center" wrapText="1"/>
    </x:xf>
    <x:xf numFmtId="164" fontId="0" fillId="0" borderId="0" xfId="0" applyNumberFormat="1" applyFont="1" applyFill="1" applyBorder="1" applyAlignment="1">
      <x:alignment horizontal="general" vertical="center" wrapText="1"/>
    </x:xf>
    <x:xf numFmtId="164" fontId="0" fillId="0" borderId="7" xfId="0" applyNumberFormat="1" applyFont="1" applyFill="1" applyBorder="1" applyAlignment="1">
      <x:alignment horizontal="general" vertical="center" wrapText="1"/>
    </x:xf>
    <x:xf numFmtId="175" fontId="0" fillId="0" borderId="0" xfId="0" applyNumberFormat="1" applyFont="1" applyFill="1" applyBorder="1" applyAlignment="1">
      <x:alignment horizontal="general" vertical="center" wrapText="1"/>
    </x:xf>
    <x:xf numFmtId="164" fontId="14" fillId="6" borderId="8" xfId="0" applyNumberFormat="1" applyFont="1" applyFill="1" applyBorder="1" applyAlignment="1">
      <x:alignment horizontal="general" vertical="center" wrapText="1"/>
    </x:xf>
    <x:xf numFmtId="175" fontId="0" fillId="0" borderId="9" xfId="0" applyNumberFormat="1" applyFont="1" applyFill="1" applyBorder="1" applyAlignment="1">
      <x:alignment horizontal="general" vertical="center" wrapText="1"/>
    </x:xf>
    <x:xf numFmtId="164" fontId="0" fillId="0" borderId="10" xfId="0" applyNumberFormat="1" applyFont="1" applyFill="1" applyBorder="1" applyAlignment="1">
      <x:alignment horizontal="general" vertical="center" wrapText="1"/>
    </x:xf>
    <x:xf numFmtId="164" fontId="5" fillId="13" borderId="0" xfId="0" applyNumberFormat="1" applyFont="1" applyFill="1" applyBorder="1" applyAlignment="1">
      <x:alignment horizontal="general" vertical="top" wrapText="1"/>
    </x:xf>
    <x:xf numFmtId="164" fontId="7" fillId="13" borderId="1" xfId="0" applyNumberFormat="1" applyFont="1" applyFill="1" applyBorder="1" applyAlignment="1">
      <x:alignment horizontal="general" vertical="top" wrapText="1"/>
    </x:xf>
    <x:xf numFmtId="164" fontId="5" fillId="12" borderId="0" xfId="0" applyNumberFormat="1" applyFont="1" applyFill="1" applyBorder="1" applyAlignment="1">
      <x:alignment horizontal="general" vertical="top" wrapText="1"/>
    </x:xf>
    <x:xf numFmtId="164" fontId="5" fillId="14" borderId="0" xfId="0" applyNumberFormat="1" applyFont="1" applyFill="1" applyBorder="1" applyAlignment="1">
      <x:alignment horizontal="general" vertical="top" wrapText="1"/>
    </x:xf>
    <x:xf numFmtId="164" fontId="7" fillId="14" borderId="1" xfId="0" applyNumberFormat="1" applyFont="1" applyFill="1" applyBorder="1" applyAlignment="1">
      <x:alignment horizontal="general" vertical="top" wrapText="1"/>
    </x:xf>
    <x:xf numFmtId="164" fontId="15" fillId="14" borderId="0" xfId="0" applyNumberFormat="1" applyFont="1" applyFill="1" applyBorder="1" applyAlignment="1">
      <x:alignment horizontal="general" vertical="top" wrapText="1"/>
    </x:xf>
    <x:xf numFmtId="164" fontId="16" fillId="14" borderId="0" xfId="0" applyNumberFormat="1" applyFont="1" applyFill="1" applyBorder="1" applyAlignment="1">
      <x:alignment horizontal="general" vertical="top" wrapText="1"/>
    </x:xf>
    <x:xf numFmtId="164" fontId="5" fillId="0" borderId="0" xfId="0" applyNumberFormat="1" applyFont="1" applyFill="1" applyBorder="1" applyAlignment="1">
      <x:alignment horizontal="general" vertical="bottom" wrapText="0"/>
    </x:xf>
    <x:xf numFmtId="176" fontId="7" fillId="5" borderId="1" xfId="0" applyNumberFormat="1" applyFont="1" applyFill="1" applyBorder="1" applyAlignment="1">
      <x:alignment horizontal="general" vertical="top" wrapText="1"/>
    </x:xf>
    <x:xf numFmtId="164" fontId="9" fillId="3" borderId="0" xfId="0" applyNumberFormat="1" applyFont="1" applyFill="1" applyBorder="1" applyAlignment="1">
      <x:alignment horizontal="general" vertical="bottom" wrapText="0"/>
    </x:xf>
    <x:xf numFmtId="164" fontId="7" fillId="16" borderId="1" xfId="0" applyNumberFormat="1" applyFont="1" applyFill="1" applyBorder="1" applyAlignment="1">
      <x:alignment horizontal="general" vertical="top" wrapText="1"/>
    </x:xf>
    <x:xf numFmtId="177" fontId="7" fillId="0" borderId="1" xfId="0" applyNumberFormat="1" applyFont="1" applyFill="1" applyBorder="1" applyAlignment="1">
      <x:alignment horizontal="general" vertical="top" wrapText="1"/>
    </x:xf>
    <x:xf numFmtId="177" fontId="7" fillId="5" borderId="1" xfId="0" applyNumberFormat="1" applyFont="1" applyFill="1" applyBorder="1" applyAlignment="1">
      <x:alignment horizontal="general" vertical="top" wrapText="1"/>
    </x:xf>
    <x:xf numFmtId="164" fontId="5" fillId="0" borderId="11" xfId="0" applyNumberFormat="1" applyFont="1" applyFill="1" applyBorder="1" applyAlignment="1">
      <x:alignment horizontal="general" vertical="top" wrapText="1"/>
    </x:xf>
    <x:xf numFmtId="164" fontId="14" fillId="6" borderId="0" xfId="0" applyNumberFormat="1" applyFont="1" applyFill="1" applyBorder="1" applyAlignment="1">
      <x:alignment horizontal="general" vertical="center" wrapText="1"/>
    </x:xf>
    <x:xf numFmtId="177" fontId="0" fillId="0" borderId="0" xfId="0" applyNumberFormat="1" applyFont="1" applyFill="1" applyBorder="1" applyAlignment="1">
      <x:alignment horizontal="general" vertical="top" wrapText="1"/>
    </x:xf>
    <x:xf numFmtId="164" fontId="7" fillId="17" borderId="1" xfId="0" applyNumberFormat="1" applyFont="1" applyFill="1" applyBorder="1" applyAlignment="1">
      <x:alignment horizontal="general" vertical="top" wrapText="1"/>
    </x:xf>
    <x:xf numFmtId="178" fontId="7" fillId="15" borderId="1" xfId="0" applyNumberFormat="1" applyFont="1" applyFill="1" applyBorder="1" applyAlignment="1">
      <x:alignment horizontal="general" vertical="top" wrapText="1"/>
    </x:xf>
    <x:xf numFmtId="178" fontId="7" fillId="5" borderId="1" xfId="0" applyNumberFormat="1" applyFont="1" applyFill="1" applyBorder="1" applyAlignment="1">
      <x:alignment horizontal="general" vertical="top" wrapText="1"/>
    </x:xf>
    <x:xf numFmtId="164" fontId="6" fillId="3" borderId="1" xfId="0" applyNumberFormat="1" applyFont="1" applyFill="1" applyBorder="1" applyAlignment="1">
      <x:alignment horizontal="general" vertical="center" wrapText="1"/>
    </x:xf>
    <x:xf numFmtId="164" fontId="9" fillId="3" borderId="0" xfId="0" applyNumberFormat="1" applyFont="1" applyFill="1" applyBorder="1" applyAlignment="1">
      <x:alignment horizontal="general" vertical="center" wrapText="1"/>
    </x:xf>
    <x:xf numFmtId="175" fontId="7" fillId="13" borderId="1" xfId="0" applyNumberFormat="1" applyFont="1" applyFill="1" applyBorder="1" applyAlignment="1">
      <x:alignment horizontal="general" vertical="top" wrapText="1"/>
    </x:xf>
    <x:xf numFmtId="175" fontId="7" fillId="18" borderId="1" xfId="0" applyNumberFormat="1" applyFont="1" applyFill="1" applyBorder="1" applyAlignment="1">
      <x:alignment horizontal="general" vertical="top" wrapText="1"/>
    </x:xf>
    <x:xf numFmtId="164" fontId="7" fillId="19" borderId="1" xfId="0" applyNumberFormat="1" applyFont="1" applyFill="1" applyBorder="1" applyAlignment="1">
      <x:alignment horizontal="general" vertical="top" wrapText="1"/>
    </x:xf>
    <x:xf numFmtId="164" fontId="17" fillId="6" borderId="0" xfId="0" applyNumberFormat="1" applyFont="1" applyFill="1" applyBorder="1" applyAlignment="1">
      <x:alignment horizontal="general" vertical="top" wrapText="1"/>
    </x:xf>
    <x:xf numFmtId="164" fontId="7" fillId="2" borderId="1" xfId="0" applyNumberFormat="1" applyFont="1" applyFill="1" applyBorder="1" applyAlignment="1">
      <x:alignment horizontal="general" vertical="top" wrapText="1"/>
    </x:xf>
    <x:xf numFmtId="164" fontId="6" fillId="3" borderId="12" xfId="0" applyNumberFormat="1" applyFont="1" applyFill="1" applyBorder="1" applyAlignment="1">
      <x:alignment horizontal="general" vertical="top" wrapText="1"/>
    </x:xf>
    <x:xf numFmtId="164" fontId="0" fillId="0" borderId="12" xfId="0" applyNumberFormat="1" applyFont="1" applyFill="1" applyBorder="1" applyAlignment="1">
      <x:alignment horizontal="general" vertical="top" wrapText="1"/>
    </x:xf>
    <x:xf numFmtId="164" fontId="7" fillId="6" borderId="1" xfId="0" applyNumberFormat="1" applyFont="1" applyFill="1" applyBorder="1" applyAlignment="1">
      <x:alignment horizontal="general" vertical="top" wrapText="1"/>
    </x:xf>
    <x:xf numFmtId="164" fontId="0" fillId="0" borderId="13" xfId="0" applyNumberFormat="1" applyFont="1" applyFill="1" applyBorder="1" applyAlignment="1">
      <x:alignment horizontal="general" vertical="top" wrapText="1"/>
    </x:xf>
    <x:xf numFmtId="164" fontId="7" fillId="0" borderId="1" xfId="0" applyNumberFormat="1" applyFont="1" applyFill="1" applyBorder="1" applyAlignment="1">
      <x:alignment horizontal="general" vertical="top" wrapText="0"/>
    </x:xf>
    <x:xf numFmtId="164" fontId="7" fillId="5" borderId="1" xfId="0" applyNumberFormat="1" applyFont="1" applyFill="1" applyBorder="1" applyAlignment="1">
      <x:alignment horizontal="general" vertical="top" wrapText="0"/>
    </x:xf>
    <x:xf numFmtId="175" fontId="5" fillId="0" borderId="0" xfId="0" applyNumberFormat="1" applyFont="1" applyFill="1" applyBorder="1" applyAlignment="1">
      <x:alignment horizontal="general" vertical="top" wrapText="1"/>
    </x:xf>
    <x:xf numFmtId="164" fontId="7" fillId="20" borderId="1" xfId="0" applyNumberFormat="1" applyFont="1" applyFill="1" applyBorder="1" applyAlignment="1">
      <x:alignment horizontal="general" vertical="top" wrapText="1"/>
    </x:xf>
    <x:xf numFmtId="164" fontId="18" fillId="21" borderId="0" xfId="0" applyNumberFormat="1" applyFont="1" applyFill="1" applyBorder="1" applyAlignment="1">
      <x:alignment horizontal="general" vertical="top" wrapText="1"/>
    </x:xf>
    <x:xf numFmtId="164" fontId="19" fillId="7" borderId="0" xfId="0" applyNumberFormat="1" applyFont="1" applyFill="1" applyBorder="1" applyAlignment="1">
      <x:alignment horizontal="general" vertical="top" wrapText="1"/>
    </x:xf>
    <x:xf numFmtId="176" fontId="8" fillId="6" borderId="1" xfId="0" applyNumberFormat="1" applyFont="1" applyFill="1" applyBorder="1" applyAlignment="1">
      <x:alignment horizontal="general" vertical="top" wrapText="1"/>
    </x:xf>
    <x:xf numFmtId="178" fontId="7" fillId="0" borderId="1" xfId="0" applyNumberFormat="1" applyFont="1" applyFill="1" applyBorder="1" applyAlignment="1">
      <x:alignment horizontal="general" vertical="top" wrapText="1"/>
    </x:xf>
    <x:xf numFmtId="176" fontId="7" fillId="0" borderId="1" xfId="0" applyNumberFormat="1" applyFont="1" applyFill="1" applyBorder="1" applyAlignment="1">
      <x:alignment horizontal="general" vertical="top" wrapText="1"/>
    </x:xf>
    <x:xf numFmtId="164" fontId="19" fillId="3" borderId="0" xfId="0" applyNumberFormat="1" applyFont="1" applyFill="1" applyBorder="1" applyAlignment="1">
      <x:alignment horizontal="general" vertical="center" wrapText="1"/>
    </x:xf>
    <x:xf numFmtId="175" fontId="19" fillId="3" borderId="0" xfId="0" applyNumberFormat="1" applyFont="1" applyFill="1" applyBorder="1" applyAlignment="1">
      <x:alignment horizontal="general" vertical="center" wrapText="1"/>
    </x:xf>
    <x:xf numFmtId="164" fontId="9" fillId="3" borderId="0" xfId="0" applyNumberFormat="1" applyFont="1" applyFill="1" applyBorder="1" applyAlignment="1">
      <x:alignment horizontal="left" vertical="center" wrapText="1"/>
    </x:xf>
    <x:xf numFmtId="164" fontId="7" fillId="22" borderId="1" xfId="0" applyNumberFormat="1" applyFont="1" applyFill="1" applyBorder="1" applyAlignment="1">
      <x:alignment horizontal="general" vertical="top" wrapText="1"/>
    </x:xf>
    <x:xf numFmtId="179" fontId="7" fillId="5" borderId="1" xfId="0" applyNumberFormat="1" applyFont="1" applyFill="1" applyBorder="1" applyAlignment="1">
      <x:alignment horizontal="general" vertical="top" wrapText="1"/>
    </x:xf>
    <x:xf numFmtId="179" fontId="7" fillId="0" borderId="1" xfId="0" applyNumberFormat="1" applyFont="1" applyFill="1" applyBorder="1" applyAlignment="1">
      <x:alignment horizontal="general" vertical="top" wrapText="1"/>
    </x:xf>
    <x:xf numFmtId="179" fontId="5" fillId="0" borderId="0" xfId="0" applyNumberFormat="1" applyFont="1" applyFill="1" applyBorder="1" applyAlignment="1">
      <x:alignment horizontal="general" vertical="top" wrapText="1"/>
    </x:xf>
    <x:xf numFmtId="164" fontId="18" fillId="15" borderId="0" xfId="0" applyNumberFormat="1" applyFont="1" applyFill="1" applyBorder="1" applyAlignment="1">
      <x:alignment horizontal="general" vertical="top" wrapText="1"/>
    </x:xf>
    <x:xf numFmtId="164" fontId="7" fillId="25" borderId="1" xfId="0" applyNumberFormat="1" applyFont="1" applyFill="1" applyBorder="1" applyAlignment="1">
      <x:alignment horizontal="general" vertical="top" wrapText="1"/>
    </x:xf>
    <x:xf numFmtId="164" fontId="7" fillId="26" borderId="1" xfId="0" applyNumberFormat="1" applyFont="1" applyFill="1" applyBorder="1" applyAlignment="1">
      <x:alignment horizontal="general" vertical="top" wrapText="1"/>
    </x:xf>
    <x:xf numFmtId="164" fontId="7" fillId="27" borderId="1" xfId="0" applyNumberFormat="1" applyFont="1" applyFill="1" applyBorder="1" applyAlignment="1">
      <x:alignment horizontal="general" vertical="top" wrapText="1"/>
    </x:xf>
    <x:xf numFmtId="164" fontId="7" fillId="24" borderId="1" xfId="0" applyNumberFormat="1" applyFont="1" applyFill="1" applyBorder="1" applyAlignment="1">
      <x:alignment horizontal="general" vertical="top" wrapText="1"/>
    </x:xf>
    <x:xf numFmtId="164" fontId="11" fillId="28" borderId="0" xfId="0" applyNumberFormat="1" applyFont="1" applyFill="1" applyBorder="1" applyAlignment="1">
      <x:alignment horizontal="general" vertical="top" wrapText="1"/>
    </x:xf>
    <x:xf numFmtId="164" fontId="22" fillId="3" borderId="1" xfId="0" applyNumberFormat="1" applyFont="1" applyFill="1" applyBorder="1" applyAlignment="1">
      <x:alignment horizontal="general" vertical="top" wrapText="1"/>
    </x:xf>
    <x:xf numFmtId="164" fontId="23" fillId="3" borderId="15" xfId="0" applyNumberFormat="1" applyFont="1" applyFill="1" applyBorder="1" applyAlignment="1">
      <x:alignment horizontal="general" vertical="top" wrapText="1"/>
    </x:xf>
    <x:xf numFmtId="164" fontId="0" fillId="0" borderId="16" xfId="0" applyNumberFormat="1" applyFont="1" applyFill="1" applyBorder="1" applyAlignment="1">
      <x:alignment horizontal="general" vertical="bottom" wrapText="0"/>
    </x:xf>
    <x:xf numFmtId="164" fontId="6" fillId="3" borderId="14" xfId="0" applyNumberFormat="1" applyFont="1" applyFill="1" applyBorder="1" applyAlignment="1">
      <x:alignment horizontal="general" vertical="top" wrapText="1"/>
    </x:xf>
    <x:xf numFmtId="164" fontId="0" fillId="0" borderId="15" xfId="0" applyNumberFormat="1" applyFont="1" applyFill="1" applyBorder="1" applyAlignment="1">
      <x:alignment horizontal="general" vertical="bottom" wrapText="0"/>
    </x:xf>
    <x:xf numFmtId="164" fontId="11" fillId="18" borderId="0" xfId="0" applyNumberFormat="1" applyFont="1" applyFill="1" applyBorder="1" applyAlignment="1">
      <x:alignment horizontal="general" vertical="top" wrapText="1"/>
    </x:xf>
    <x:xf numFmtId="164" fontId="11" fillId="9" borderId="0" xfId="0" applyNumberFormat="1" applyFont="1" applyFill="1" applyBorder="1" applyAlignment="1">
      <x:alignment horizontal="general" vertical="top" wrapText="1"/>
    </x:xf>
    <x:xf numFmtId="164" fontId="10" fillId="6" borderId="0" xfId="0" applyNumberFormat="1" applyFont="1" applyFill="1" applyBorder="1" applyAlignment="1">
      <x:alignment horizontal="general" vertical="top" wrapText="1"/>
    </x:xf>
    <x:xf numFmtId="164" fontId="11" fillId="6" borderId="0" xfId="0" applyNumberFormat="1" applyFont="1" applyFill="1" applyBorder="1" applyAlignment="1">
      <x:alignment horizontal="general" vertical="top" wrapText="1"/>
    </x:xf>
    <x:xf numFmtId="164" fontId="11" fillId="19" borderId="0" xfId="0" applyNumberFormat="1" applyFont="1" applyFill="1" applyBorder="1" applyAlignment="1">
      <x:alignment horizontal="general" vertical="top" wrapText="1"/>
    </x:xf>
    <x:xf numFmtId="164" fontId="24" fillId="29" borderId="14" xfId="0" applyNumberFormat="1" applyFont="1" applyFill="1" applyBorder="1" applyAlignment="1">
      <x:alignment horizontal="center" vertical="center" wrapText="1"/>
    </x:xf>
    <x:xf numFmtId="164" fontId="25" fillId="30" borderId="14" xfId="0" applyNumberFormat="1" applyFont="1" applyFill="1" applyBorder="1" applyAlignment="1">
      <x:alignment horizontal="general" vertical="center" wrapText="1"/>
    </x:xf>
    <x:xf numFmtId="164" fontId="6" fillId="31" borderId="17" xfId="0" applyNumberFormat="1" applyFont="1" applyFill="1" applyBorder="1" applyAlignment="1">
      <x:alignment horizontal="general" vertical="center" wrapText="1"/>
    </x:xf>
    <x:xf numFmtId="164" fontId="8" fillId="6" borderId="17" xfId="0" applyNumberFormat="1" applyFont="1" applyFill="1" applyBorder="1" applyAlignment="1">
      <x:alignment horizontal="general" vertical="top" wrapText="1"/>
    </x:xf>
    <x:xf numFmtId="164" fontId="7" fillId="0" borderId="17" xfId="0" applyNumberFormat="1" applyFont="1" applyFill="1" applyBorder="1" applyAlignment="1">
      <x:alignment horizontal="general" vertical="top" wrapText="1"/>
    </x:xf>
    <x:xf numFmtId="164" fontId="0" fillId="0" borderId="17" xfId="0" applyNumberFormat="1" applyFont="1" applyFill="1" applyBorder="1" applyAlignment="1">
      <x:alignment horizontal="general" vertical="top" wrapText="1"/>
    </x:xf>
    <x:xf numFmtId="164" fontId="7" fillId="5" borderId="17" xfId="0" applyNumberFormat="1" applyFont="1" applyFill="1" applyBorder="1" applyAlignment="1">
      <x:alignment horizontal="general" vertical="top" wrapText="1"/>
    </x:xf>
    <x:xf numFmtId="164" fontId="6" fillId="31" borderId="17" xfId="0" applyNumberFormat="1" applyFont="1" applyFill="1" applyBorder="1" applyAlignment="1">
      <x:alignment horizontal="general" vertical="top" wrapText="1"/>
    </x:xf>
    <x:xf numFmtId="164" fontId="9" fillId="31" borderId="17" xfId="0" applyNumberFormat="1" applyFont="1" applyFill="1" applyBorder="1" applyAlignment="1">
      <x:alignment horizontal="general" vertical="top" wrapText="1"/>
    </x:xf>
    <x:xf numFmtId="164" fontId="9" fillId="31" borderId="17" xfId="0" applyNumberFormat="1" applyFont="1" applyFill="1" applyBorder="1" applyAlignment="1">
      <x:alignment horizontal="general" vertical="center" wrapText="1"/>
    </x:xf>
    <x:xf numFmtId="164" fontId="0" fillId="0" borderId="17" xfId="0" applyNumberFormat="1" applyFont="1" applyFill="1" applyBorder="1" applyAlignment="1">
      <x:alignment horizontal="general" vertical="bottom" wrapText="1"/>
    </x:xf>
    <x:xf numFmtId="164" fontId="26" fillId="32" borderId="17" xfId="0" applyNumberFormat="1" applyFont="1" applyFill="1" applyBorder="1" applyAlignment="1">
      <x:alignment horizontal="center" vertical="center" wrapText="1"/>
    </x:xf>
    <x:xf numFmtId="164" fontId="7" fillId="28" borderId="1" xfId="0" applyNumberFormat="1" applyFont="1" applyFill="1" applyBorder="1" applyAlignment="1">
      <x:alignment horizontal="general" vertical="top" wrapText="1"/>
    </x:xf>
    <x:xf numFmtId="164" fontId="7" fillId="33" borderId="1" xfId="0" applyNumberFormat="1" applyFont="1" applyFill="1" applyBorder="1" applyAlignment="1">
      <x:alignment horizontal="general" vertical="top" wrapText="1"/>
    </x:xf>
    <x:xf numFmtId="164" fontId="9" fillId="23" borderId="0" xfId="0" applyNumberFormat="1" applyFont="1" applyFill="1" applyBorder="1" applyAlignment="1">
      <x:alignment horizontal="general" vertical="top" wrapText="1"/>
    </x:xf>
    <x:xf numFmtId="164" fontId="0" fillId="20" borderId="0" xfId="0" applyNumberFormat="1" applyFont="1" applyFill="1" applyBorder="1" applyAlignment="1">
      <x:alignment horizontal="general" vertical="top" wrapText="1"/>
    </x:xf>
    <x:xf numFmtId="164" fontId="27" fillId="6" borderId="0" xfId="0" applyNumberFormat="1" applyFont="1" applyFill="1" applyBorder="1" applyAlignment="1">
      <x:alignment horizontal="general" vertical="center" wrapText="1"/>
    </x:xf>
    <x:xf numFmtId="164" fontId="6" fillId="3" borderId="1" xfId="0" applyNumberFormat="1" applyFont="1" applyFill="1" applyBorder="1" applyAlignment="1">
      <x:alignment horizontal="center" vertical="center" wrapText="1"/>
    </x:xf>
    <x:xf numFmtId="164" fontId="28" fillId="4" borderId="18" xfId="0" applyNumberFormat="1" applyFont="1" applyFill="1" applyBorder="1" applyAlignment="1">
      <x:alignment horizontal="general" vertical="top" wrapText="1"/>
    </x:xf>
    <x:xf numFmtId="164" fontId="7" fillId="5" borderId="19" xfId="0" applyNumberFormat="1" applyFont="1" applyFill="1" applyBorder="1" applyAlignment="1">
      <x:alignment horizontal="general" vertical="top" wrapText="1"/>
    </x:xf>
    <x:xf numFmtId="164" fontId="7" fillId="5" borderId="20" xfId="0" applyNumberFormat="1" applyFont="1" applyFill="1" applyBorder="1" applyAlignment="1">
      <x:alignment horizontal="general" vertical="top" wrapText="1"/>
    </x:xf>
    <x:xf numFmtId="164" fontId="28" fillId="6" borderId="21" xfId="0" applyNumberFormat="1" applyFont="1" applyFill="1" applyBorder="1" applyAlignment="1">
      <x:alignment horizontal="general" vertical="top" wrapText="1"/>
    </x:xf>
    <x:xf numFmtId="164" fontId="7" fillId="0" borderId="22" xfId="0" applyNumberFormat="1" applyFont="1" applyFill="1" applyBorder="1" applyAlignment="1">
      <x:alignment horizontal="general" vertical="top" wrapText="1"/>
    </x:xf>
    <x:xf numFmtId="164" fontId="7" fillId="5" borderId="22" xfId="0" applyNumberFormat="1" applyFont="1" applyFill="1" applyBorder="1" applyAlignment="1">
      <x:alignment horizontal="general" vertical="top" wrapText="1"/>
    </x:xf>
    <x:xf numFmtId="164" fontId="14" fillId="0" borderId="6" xfId="0" applyNumberFormat="1" applyFont="1" applyFill="1" applyBorder="1" applyAlignment="1">
      <x:alignment horizontal="general" vertical="bottom" wrapText="1"/>
    </x:xf>
    <x:xf numFmtId="164" fontId="0" fillId="0" borderId="7" xfId="0" applyNumberFormat="1" applyFont="1" applyFill="1" applyBorder="1" applyAlignment="1">
      <x:alignment horizontal="general" vertical="bottom" wrapText="1"/>
    </x:xf>
    <x:xf numFmtId="164" fontId="14" fillId="0" borderId="8" xfId="0" applyNumberFormat="1" applyFont="1" applyFill="1" applyBorder="1" applyAlignment="1">
      <x:alignment horizontal="general" vertical="bottom" wrapText="1"/>
    </x:xf>
    <x:xf numFmtId="164" fontId="0" fillId="0" borderId="9" xfId="0" applyNumberFormat="1" applyFont="1" applyFill="1" applyBorder="1" applyAlignment="1">
      <x:alignment horizontal="general" vertical="bottom" wrapText="1"/>
    </x:xf>
    <x:xf numFmtId="164" fontId="0" fillId="0" borderId="10" xfId="0" applyNumberFormat="1" applyFont="1" applyFill="1" applyBorder="1" applyAlignment="1">
      <x:alignment horizontal="general" vertical="bottom" wrapText="1"/>
    </x:xf>
    <x:xf numFmtId="164" fontId="7" fillId="3" borderId="1" xfId="0" applyNumberFormat="1" applyFont="1" applyFill="1" applyBorder="1" applyAlignment="1">
      <x:alignment horizontal="general" vertical="top" wrapText="1"/>
    </x:xf>
    <x:xf numFmtId="164" fontId="23" fillId="3" borderId="0" xfId="0" applyNumberFormat="1" applyFont="1" applyFill="1" applyBorder="1" applyAlignment="1">
      <x:alignment horizontal="general" vertical="top" wrapText="1"/>
    </x:xf>
    <x:xf numFmtId="164" fontId="0" fillId="6" borderId="0" xfId="0" applyNumberFormat="1" applyFont="1" applyFill="1" applyBorder="1" applyAlignment="1">
      <x:alignment horizontal="general" vertical="top" wrapText="1"/>
    </x:xf>
    <x:xf numFmtId="164" fontId="9" fillId="3" borderId="0" xfId="0" applyNumberFormat="1" applyFont="1" applyFill="1" applyBorder="1" applyAlignment="1">
      <x:alignment horizontal="center" vertical="top" wrapText="1"/>
    </x:xf>
    <x:xf numFmtId="164" fontId="11" fillId="34" borderId="0" xfId="0" applyNumberFormat="1" applyFont="1" applyFill="1" applyBorder="1" applyAlignment="1">
      <x:alignment horizontal="general" vertical="top" wrapText="1"/>
    </x:xf>
    <x:xf numFmtId="164" fontId="9" fillId="3" borderId="0" xfId="0" applyNumberFormat="1" applyFont="1" applyFill="1" applyBorder="1" applyAlignment="1">
      <x:alignment horizontal="center" vertical="bottom" wrapText="0"/>
    </x:xf>
    <x:xf numFmtId="164" fontId="23" fillId="3" borderId="0" xfId="0" applyNumberFormat="1" applyFont="1" applyFill="1" applyBorder="1" applyAlignment="1">
      <x:alignment horizontal="center" vertical="bottom" wrapText="0"/>
    </x:xf>
    <x:xf numFmtId="164" fontId="9" fillId="4" borderId="0" xfId="0" applyNumberFormat="1" applyFont="1" applyFill="1" applyBorder="1" applyAlignment="1">
      <x:alignment horizontal="general" vertical="bottom" wrapText="1"/>
    </x:xf>
    <x:xf numFmtId="164" fontId="9" fillId="3" borderId="0" xfId="0" applyNumberFormat="1" applyFont="1" applyFill="1" applyBorder="1" applyAlignment="1">
      <x:alignment horizontal="general" vertical="bottom" wrapText="1"/>
    </x:xf>
    <x:xf numFmtId="164" fontId="29" fillId="7" borderId="1" xfId="0" applyNumberFormat="1" applyFont="1" applyFill="1" applyBorder="1" applyAlignment="1">
      <x:alignment horizontal="general" vertical="top" wrapText="1"/>
    </x:xf>
  </x:cellXfs>
  <x:cellStyles count="49">
    <x:cellStyle name="Normal" xfId="0"/>
    <x:cellStyle name="Comma" xfId="15"/>
    <x:cellStyle name="Comma [0]" xfId="16"/>
    <x:cellStyle name="Currency" xfId="17"/>
    <x:cellStyle name="Currency [0]" xfId="18"/>
    <x:cellStyle name="Percent" xfId="19"/>
    <x:cellStyle name="Comma" xfId="20"/>
    <x:cellStyle name="Comma 1" xfId="21"/>
    <x:cellStyle name="Comma 2" xfId="22"/>
    <x:cellStyle name="Comma 3" xfId="23"/>
    <x:cellStyle name="Comma 4" xfId="24"/>
    <x:cellStyle name="Comma 5" xfId="25"/>
    <x:cellStyle name="Comma 6" xfId="26"/>
    <x:cellStyle name="Comma [0]" xfId="27"/>
    <x:cellStyle name="Comma [0] 2" xfId="28"/>
    <x:cellStyle name="Comma [0] 3" xfId="29"/>
    <x:cellStyle name="Comma [0] 4" xfId="30"/>
    <x:cellStyle name="Comma [0] 5" xfId="31"/>
    <x:cellStyle name="Comma [0] 6" xfId="32"/>
    <x:cellStyle name="Comma [0] 7" xfId="33"/>
    <x:cellStyle name="Currency" xfId="34"/>
    <x:cellStyle name="Currency 3" xfId="35"/>
    <x:cellStyle name="Currency 4" xfId="36"/>
    <x:cellStyle name="Currency 5" xfId="37"/>
    <x:cellStyle name="Currency 6" xfId="38"/>
    <x:cellStyle name="Currency 7" xfId="39"/>
    <x:cellStyle name="Currency 8" xfId="40"/>
    <x:cellStyle name="Currency [0]" xfId="41"/>
    <x:cellStyle name="Currency [0] 4" xfId="42"/>
    <x:cellStyle name="Currency [0] 5" xfId="43"/>
    <x:cellStyle name="Currency [0] 6" xfId="44"/>
    <x:cellStyle name="Currency [0] 7" xfId="45"/>
    <x:cellStyle name="Currency [0] 8" xfId="46"/>
    <x:cellStyle name="Currency [0] 9" xfId="47"/>
    <x:cellStyle name="Normal" xfId="48"/>
    <x:cellStyle name="Normal 10" xfId="49"/>
    <x:cellStyle name="Normal 2" xfId="50"/>
    <x:cellStyle name="Normal 5" xfId="51"/>
    <x:cellStyle name="Normal 6" xfId="52"/>
    <x:cellStyle name="Normal 7" xfId="53"/>
    <x:cellStyle name="Normal 8" xfId="54"/>
    <x:cellStyle name="Normal 9" xfId="55"/>
    <x:cellStyle name="Percent" xfId="56"/>
    <x:cellStyle name="Percent 10" xfId="57"/>
    <x:cellStyle name="Percent 11" xfId="58"/>
    <x:cellStyle name="Percent 6" xfId="59"/>
    <x:cellStyle name="Percent 7" xfId="60"/>
    <x:cellStyle name="Percent 8" xfId="61"/>
    <x:cellStyle name="Percent 9" xfId="62"/>
  </x:cellStyles>
  <x:dxfs count="13">
    <x:dxf>
      <x:fill>
        <x:patternFill>
          <x:bgColor rgb="FFD9EAF7"/>
        </x:patternFill>
      </x:fill>
    </x:dxf>
    <x:dxf>
      <x:fill>
        <x:patternFill>
          <x:bgColor rgb="FF000000"/>
        </x:patternFill>
      </x:fill>
    </x:dxf>
    <x:dxf>
      <x:fill>
        <x:patternFill>
          <x:bgColor rgb="FF1F1F1F"/>
        </x:patternFill>
      </x:fill>
    </x:dxf>
    <x:dxf>
      <x:fill>
        <x:patternFill>
          <x:bgColor rgb="FF1F4E79"/>
        </x:patternFill>
      </x:fill>
    </x:dxf>
    <x:dxf>
      <x:fill>
        <x:patternFill>
          <x:bgColor rgb="FFEAF3F8"/>
        </x:patternFill>
      </x:fill>
    </x:dxf>
    <x:dxf>
      <x:fill>
        <x:patternFill>
          <x:bgColor rgb="FF2F75B5"/>
        </x:patternFill>
      </x:fill>
    </x:dxf>
    <x:dxf>
      <x:fill>
        <x:patternFill>
          <x:bgColor rgb="FFFFFFFF"/>
        </x:patternFill>
      </x:fill>
    </x:dxf>
    <x:dxf>
      <x:fill>
        <x:patternFill>
          <x:bgColor rgb="FFE2F0D9"/>
        </x:patternFill>
      </x:fill>
    </x:dxf>
    <x:dxf>
      <x:fill>
        <x:patternFill>
          <x:bgColor rgb="FFFCE4D6"/>
        </x:patternFill>
      </x:fill>
    </x:dxf>
    <x:dxf>
      <x:fill>
        <x:patternFill>
          <x:bgColor rgb="FF006100"/>
        </x:patternFill>
      </x:fill>
    </x:dxf>
    <x:dxf>
      <x:fill>
        <x:patternFill>
          <x:bgColor rgb="FF9C0006"/>
        </x:patternFill>
      </x:fill>
    </x:dxf>
    <x:dxf>
      <x:font>
        <x:b/>
        <x:color rgb="FF9C0006"/>
      </x:font>
      <x:fill>
        <x:patternFill>
          <x:bgColor rgb="FFFCE4D6"/>
        </x:patternFill>
      </x:fill>
    </x:dxf>
    <x:dxf>
      <x:font>
        <x:b/>
        <x:color rgb="FF006100"/>
      </x:font>
      <x:fill>
        <x:patternFill>
          <x:bgColor rgb="FFE2F0D9"/>
        </x:patternFill>
      </x:fill>
    </x:dxf>
  </x:dxfs>
  <x:colors>
    <x:indexedColors>
      <x:rgbColor rgb="FF000000"/>
      <x:rgbColor rgb="FFFFFFFF"/>
      <x:rgbColor rgb="FFC00000"/>
      <x:rgbColor rgb="FFEAF3F8"/>
      <x:rgbColor rgb="FF0000FF"/>
      <x:rgbColor rgb="FFFFF2CC"/>
      <x:rgbColor rgb="FFFF00FF"/>
      <x:rgbColor rgb="FFDCEAF5"/>
      <x:rgbColor rgb="FF9C0006"/>
      <x:rgbColor rgb="FF006100"/>
      <x:rgbColor rgb="FF0F172A"/>
      <x:rgbColor rgb="FF204A2A"/>
      <x:rgbColor rgb="FF800080"/>
      <x:rgbColor rgb="FF0F766E"/>
      <x:rgbColor rgb="FFBFBFBF"/>
      <x:rgbColor rgb="FF1F4E79"/>
      <x:rgbColor rgb="FF5B9BD5"/>
      <x:rgbColor rgb="FFEEF2FF"/>
      <x:rgbColor rgb="FFFFFFCC"/>
      <x:rgbColor rgb="FFE0F2FE"/>
      <x:rgbColor rgb="FF660066"/>
      <x:rgbColor rgb="FFE2EFDA"/>
      <x:rgbColor rgb="FF2F75B5"/>
      <x:rgbColor rgb="FFC8D4DE"/>
      <x:rgbColor rgb="FF17365D"/>
      <x:rgbColor rgb="FFFF00FF"/>
      <x:rgbColor rgb="FFFFE6CC"/>
      <x:rgbColor rgb="FFDDEBF7"/>
      <x:rgbColor rgb="FF800080"/>
      <x:rgbColor rgb="FF800000"/>
      <x:rgbColor rgb="FF155E75"/>
      <x:rgbColor rgb="FF0000FF"/>
      <x:rgbColor rgb="FFE8F0FE"/>
      <x:rgbColor rgb="FFE0F2F1"/>
      <x:rgbColor rgb="FFC6EFCE"/>
      <x:rgbColor rgb="FFFFEB9C"/>
      <x:rgbColor rgb="FFB4C7E7"/>
      <x:rgbColor rgb="FFFFC7CE"/>
      <x:rgbColor rgb="FFCCCCCC"/>
      <x:rgbColor rgb="FFFFCCCC"/>
      <x:rgbColor rgb="FF2E75B6"/>
      <x:rgbColor rgb="FFD9EAF7"/>
      <x:rgbColor rgb="FFD9EAD3"/>
      <x:rgbColor rgb="FFFCE4D6"/>
      <x:rgbColor rgb="FFE2F0D9"/>
      <x:rgbColor rgb="FFE8F2E8"/>
      <x:rgbColor rgb="FF2F6F9F"/>
      <x:rgbColor rgb="FFD9D9D9"/>
      <x:rgbColor rgb="FF123B5D"/>
      <x:rgbColor rgb="FF1F4E78"/>
      <x:rgbColor rgb="FF1F2937"/>
      <x:rgbColor rgb="FF1F1F1F"/>
      <x:rgbColor rgb="FF993300"/>
      <x:rgbColor rgb="FF993366"/>
      <x:rgbColor rgb="FF334155"/>
      <x:rgbColor rgb="FF203040"/>
    </x:indexedColors>
  </x:colors>
</x:styleSheet>
</file>

<file path=xl/_rels/workbook.xml.rels>&#65279;<?xml version="1.0" encoding="utf-8"?><Relationships xmlns="http://schemas.openxmlformats.org/package/2006/relationships"><Relationship Type="http://schemas.openxmlformats.org/officeDocument/2006/relationships/styles" Target="/xl/styles.xml" Id="Rba253ec0bbe843eb" /><Relationship Type="http://schemas.openxmlformats.org/officeDocument/2006/relationships/theme" Target="/xl/theme/theme1.xml" Id="Rbf72d47378914dcb" /><Relationship Type="http://schemas.openxmlformats.org/officeDocument/2006/relationships/sharedStrings" Target="/xl/sharedStrings.xml" Id="R14094621c4964023" /><Relationship Type="http://schemas.openxmlformats.org/officeDocument/2006/relationships/worksheet" Target="/xl/worksheets/sheet1.xml" Id="R36ad3180d6e149a1" /><Relationship Type="http://schemas.openxmlformats.org/officeDocument/2006/relationships/worksheet" Target="/xl/worksheets/sheet2.xml" Id="R55653e224d5a4f20" /><Relationship Type="http://schemas.openxmlformats.org/officeDocument/2006/relationships/worksheet" Target="/xl/worksheets/sheet3.xml" Id="Raab5703bfadd4814" /><Relationship Type="http://schemas.openxmlformats.org/officeDocument/2006/relationships/worksheet" Target="/xl/worksheets/sheet4.xml" Id="Rd5b1aa3940b948b5" /><Relationship Type="http://schemas.openxmlformats.org/officeDocument/2006/relationships/worksheet" Target="/xl/worksheets/sheet5.xml" Id="R755ed70289c34155" /><Relationship Type="http://schemas.openxmlformats.org/officeDocument/2006/relationships/worksheet" Target="/xl/worksheets/sheet6.xml" Id="Rea28d6ad811d434f" /><Relationship Type="http://schemas.openxmlformats.org/officeDocument/2006/relationships/worksheet" Target="/xl/worksheets/sheet7.xml" Id="R01b3271269a3457c" /><Relationship Type="http://schemas.openxmlformats.org/officeDocument/2006/relationships/worksheet" Target="/xl/worksheets/sheet8.xml" Id="R10b8e469288649fc" /><Relationship Type="http://schemas.openxmlformats.org/officeDocument/2006/relationships/worksheet" Target="/xl/worksheets/sheet9.xml" Id="R8ddfdd9676a047a8" /><Relationship Type="http://schemas.openxmlformats.org/officeDocument/2006/relationships/worksheet" Target="/xl/worksheets/sheet10.xml" Id="Rbe5d51dbd3c14051" /><Relationship Type="http://schemas.openxmlformats.org/officeDocument/2006/relationships/worksheet" Target="/xl/worksheets/sheet11.xml" Id="R055ad1109f34479e" /><Relationship Type="http://schemas.openxmlformats.org/officeDocument/2006/relationships/worksheet" Target="/xl/worksheets/sheet12.xml" Id="R91e34ecc04ba4d84" /><Relationship Type="http://schemas.openxmlformats.org/officeDocument/2006/relationships/worksheet" Target="/xl/worksheets/sheet13.xml" Id="R98a408c25e0443e7" /><Relationship Type="http://schemas.openxmlformats.org/officeDocument/2006/relationships/worksheet" Target="/xl/worksheets/sheet14.xml" Id="R4f2a249a63c84013" /><Relationship Type="http://schemas.openxmlformats.org/officeDocument/2006/relationships/worksheet" Target="/xl/worksheets/sheet15.xml" Id="R8ff5f0e9d4d24ad4" /><Relationship Type="http://schemas.openxmlformats.org/officeDocument/2006/relationships/worksheet" Target="/xl/worksheets/sheet16.xml" Id="R9838ba11ce874920" /><Relationship Type="http://schemas.openxmlformats.org/officeDocument/2006/relationships/worksheet" Target="/xl/worksheets/sheet17.xml" Id="R26f11dbcf6344121" /><Relationship Type="http://schemas.openxmlformats.org/officeDocument/2006/relationships/worksheet" Target="/xl/worksheets/sheet18.xml" Id="Rd137accadc3c4704" /><Relationship Type="http://schemas.openxmlformats.org/officeDocument/2006/relationships/worksheet" Target="/xl/worksheets/sheet19.xml" Id="R0396420403664073" /><Relationship Type="http://schemas.openxmlformats.org/officeDocument/2006/relationships/worksheet" Target="/xl/worksheets/sheet20.xml" Id="R9bc1f8786dba4a3d" /><Relationship Type="http://schemas.openxmlformats.org/officeDocument/2006/relationships/worksheet" Target="/xl/worksheets/sheet21.xml" Id="R974865cb7d9f4bf2" /><Relationship Type="http://schemas.openxmlformats.org/officeDocument/2006/relationships/worksheet" Target="/xl/worksheets/sheet22.xml" Id="R733584705c034d19" /><Relationship Type="http://schemas.openxmlformats.org/officeDocument/2006/relationships/worksheet" Target="/xl/worksheets/sheet23.xml" Id="R8c5b66d74fa74b71" /><Relationship Type="http://schemas.openxmlformats.org/officeDocument/2006/relationships/worksheet" Target="/xl/worksheets/sheet24.xml" Id="R21fc83b71cbb4b16" /><Relationship Type="http://schemas.openxmlformats.org/officeDocument/2006/relationships/worksheet" Target="/xl/worksheets/sheet25.xml" Id="Rf2e38331205f47c3" /><Relationship Type="http://schemas.openxmlformats.org/officeDocument/2006/relationships/worksheet" Target="/xl/worksheets/sheet26.xml" Id="R51012ebe0a8b46e8" /><Relationship Type="http://schemas.openxmlformats.org/officeDocument/2006/relationships/worksheet" Target="/xl/worksheets/sheet27.xml" Id="Rcc154988997d43d2" /><Relationship Type="http://schemas.openxmlformats.org/officeDocument/2006/relationships/worksheet" Target="/xl/worksheets/sheet28.xml" Id="Rd06f84f359454e08" /><Relationship Type="http://schemas.openxmlformats.org/officeDocument/2006/relationships/worksheet" Target="/xl/worksheets/sheet29.xml" Id="R24e128452f5b4977" /><Relationship Type="http://schemas.openxmlformats.org/officeDocument/2006/relationships/worksheet" Target="/xl/worksheets/sheet30.xml" Id="R4e1cfc7ee9cf47cf" /><Relationship Type="http://schemas.openxmlformats.org/officeDocument/2006/relationships/worksheet" Target="/xl/worksheets/sheet31.xml" Id="Rd3dcd5e796234169" /><Relationship Type="http://schemas.openxmlformats.org/officeDocument/2006/relationships/worksheet" Target="/xl/worksheets/sheet32.xml" Id="Rb8b5e002f00a4596" /><Relationship Type="http://schemas.openxmlformats.org/officeDocument/2006/relationships/worksheet" Target="/xl/worksheets/sheet33.xml" Id="Re9953ef478844459" /><Relationship Type="http://schemas.openxmlformats.org/officeDocument/2006/relationships/worksheet" Target="/xl/worksheets/sheet34.xml" Id="R18c4ad67f1cb4ad6" /><Relationship Type="http://schemas.openxmlformats.org/officeDocument/2006/relationships/worksheet" Target="/xl/worksheets/sheet35.xml" Id="R42ea66313cbe44df" /><Relationship Type="http://schemas.openxmlformats.org/officeDocument/2006/relationships/worksheet" Target="/xl/worksheets/sheet36.xml" Id="R7fc354a1f81a4a25" /><Relationship Type="http://schemas.openxmlformats.org/officeDocument/2006/relationships/worksheet" Target="/xl/worksheets/sheet37.xml" Id="R6e003eb7432c42cf" /><Relationship Type="http://schemas.openxmlformats.org/officeDocument/2006/relationships/worksheet" Target="/xl/worksheets/sheet38.xml" Id="Rd6009694df7d4e3a" /><Relationship Type="http://schemas.openxmlformats.org/officeDocument/2006/relationships/worksheet" Target="/xl/worksheets/sheet39.xml" Id="R4563e79fafb1489f" /><Relationship Type="http://schemas.openxmlformats.org/officeDocument/2006/relationships/worksheet" Target="/xl/worksheets/sheet40.xml" Id="Rc282f201c8254164" /><Relationship Type="http://schemas.openxmlformats.org/officeDocument/2006/relationships/worksheet" Target="/xl/worksheets/sheet41.xml" Id="R521fcbd3fb48448f" /><Relationship Type="http://schemas.openxmlformats.org/officeDocument/2006/relationships/worksheet" Target="/xl/worksheets/sheet42.xml" Id="R905c91374c1248e4" /><Relationship Type="http://schemas.openxmlformats.org/officeDocument/2006/relationships/worksheet" Target="/xl/worksheets/sheet43.xml" Id="R21b32bbea29e4973" /><Relationship Type="http://schemas.openxmlformats.org/officeDocument/2006/relationships/worksheet" Target="/xl/worksheets/sheet44.xml" Id="R57e02489ad794b5a" /><Relationship Type="http://schemas.openxmlformats.org/officeDocument/2006/relationships/worksheet" Target="/xl/worksheets/sheet45.xml" Id="R2aeec532b6bd48fb" /><Relationship Type="http://schemas.openxmlformats.org/officeDocument/2006/relationships/worksheet" Target="/xl/worksheets/sheet46.xml" Id="R749676d453f449b9" /><Relationship Type="http://schemas.openxmlformats.org/officeDocument/2006/relationships/worksheet" Target="/xl/worksheets/sheet47.xml" Id="R6c9af4d08c4e431b" /><Relationship Type="http://schemas.openxmlformats.org/officeDocument/2006/relationships/worksheet" Target="/xl/worksheets/sheet48.xml" Id="Ra2c6b64720584e55" /><Relationship Type="http://schemas.openxmlformats.org/officeDocument/2006/relationships/worksheet" Target="/xl/worksheets/sheet49.xml" Id="Rd541393b0f754947" /><Relationship Type="http://schemas.openxmlformats.org/officeDocument/2006/relationships/worksheet" Target="/xl/worksheets/sheet50.xml" Id="R84f8e311c67741c6" /><Relationship Type="http://schemas.openxmlformats.org/officeDocument/2006/relationships/worksheet" Target="/xl/worksheets/sheet51.xml" Id="R81ba42432edc4d64" /><Relationship Type="http://schemas.openxmlformats.org/officeDocument/2006/relationships/worksheet" Target="/xl/worksheets/sheet52.xml" Id="R52cb717f34854a09" /><Relationship Type="http://schemas.openxmlformats.org/officeDocument/2006/relationships/worksheet" Target="/xl/worksheets/sheet53.xml" Id="R536edf93ef514714" /><Relationship Type="http://schemas.openxmlformats.org/officeDocument/2006/relationships/worksheet" Target="/xl/worksheets/sheet54.xml" Id="Rf08216a155fd4f6a" /><Relationship Type="http://schemas.openxmlformats.org/officeDocument/2006/relationships/worksheet" Target="/xl/worksheets/sheet55.xml" Id="Reb36c6c204db4ff0" /><Relationship Type="http://schemas.openxmlformats.org/officeDocument/2006/relationships/worksheet" Target="/xl/worksheets/sheet56.xml" Id="R7c7341bbf94440fd" /><Relationship Type="http://schemas.openxmlformats.org/officeDocument/2006/relationships/worksheet" Target="/xl/worksheets/sheet57.xml" Id="R34a1c4b64aa0457b" /><Relationship Type="http://schemas.openxmlformats.org/officeDocument/2006/relationships/worksheet" Target="/xl/worksheets/sheet58.xml" Id="R8ad270a65bea4773" /><Relationship Type="http://schemas.openxmlformats.org/officeDocument/2006/relationships/worksheet" Target="/xl/worksheets/sheet59.xml" Id="Rafd47a5ad99b4e3f" /><Relationship Type="http://schemas.openxmlformats.org/officeDocument/2006/relationships/worksheet" Target="/xl/worksheets/sheet60.xml" Id="R49778d0cc3984ba6" /><Relationship Type="http://schemas.openxmlformats.org/officeDocument/2006/relationships/worksheet" Target="/xl/worksheets/sheet61.xml" Id="R4e9585bf2d964e61" /><Relationship Type="http://schemas.openxmlformats.org/officeDocument/2006/relationships/worksheet" Target="/xl/worksheets/sheet62.xml" Id="Rc122c444ae7d4e08" /><Relationship Type="http://schemas.openxmlformats.org/officeDocument/2006/relationships/worksheet" Target="/xl/worksheets/sheet63.xml" Id="Rbd866264549d46d0" /><Relationship Type="http://schemas.openxmlformats.org/officeDocument/2006/relationships/worksheet" Target="/xl/worksheets/sheet64.xml" Id="R98ee90883c2d4d08" /><Relationship Type="http://schemas.openxmlformats.org/officeDocument/2006/relationships/worksheet" Target="/xl/worksheets/sheet65.xml" Id="R8d88ff906555466e" /><Relationship Type="http://schemas.openxmlformats.org/officeDocument/2006/relationships/worksheet" Target="/xl/worksheets/sheet66.xml" Id="R05351f3215a8477b" /><Relationship Type="http://schemas.openxmlformats.org/officeDocument/2006/relationships/worksheet" Target="/xl/worksheets/sheet67.xml" Id="R43811a25e59a4660" /><Relationship Type="http://schemas.openxmlformats.org/officeDocument/2006/relationships/worksheet" Target="/xl/worksheets/sheet68.xml" Id="R26969b9f5032498f" /><Relationship Type="http://schemas.openxmlformats.org/officeDocument/2006/relationships/worksheet" Target="/xl/worksheets/sheet69.xml" Id="R94045c588ad74e76" /><Relationship Type="http://schemas.openxmlformats.org/officeDocument/2006/relationships/worksheet" Target="/xl/worksheets/sheet70.xml" Id="R460bd8cd81824e79" /><Relationship Type="http://schemas.openxmlformats.org/officeDocument/2006/relationships/worksheet" Target="/xl/worksheets/sheet71.xml" Id="Raa492cdb279b40cf" /><Relationship Type="http://schemas.openxmlformats.org/officeDocument/2006/relationships/worksheet" Target="/xl/worksheets/sheet72.xml" Id="R77592540514543d5" /><Relationship Type="http://schemas.openxmlformats.org/officeDocument/2006/relationships/worksheet" Target="/xl/worksheets/sheet73.xml" Id="Rb5ae53d4ecad4407" /><Relationship Type="http://schemas.openxmlformats.org/officeDocument/2006/relationships/worksheet" Target="/xl/worksheets/sheet74.xml" Id="R94facd228de14db9" /><Relationship Type="http://schemas.openxmlformats.org/officeDocument/2006/relationships/worksheet" Target="/xl/worksheets/sheet75.xml" Id="Rca7dc84d5c424858" /><Relationship Type="http://schemas.openxmlformats.org/officeDocument/2006/relationships/worksheet" Target="/xl/worksheets/sheet76.xml" Id="R8cc2e24a3c1c48eb" /><Relationship Type="http://schemas.openxmlformats.org/officeDocument/2006/relationships/worksheet" Target="/xl/worksheets/sheet77.xml" Id="R4000c98f0462407a" /><Relationship Type="http://schemas.openxmlformats.org/officeDocument/2006/relationships/worksheet" Target="/xl/worksheets/sheet78.xml" Id="R9eaa90bd71264ae8" /><Relationship Type="http://schemas.openxmlformats.org/officeDocument/2006/relationships/worksheet" Target="/xl/worksheets/sheet79.xml" Id="R54aa03a34e4a4e4f" /><Relationship Type="http://schemas.openxmlformats.org/officeDocument/2006/relationships/worksheet" Target="/xl/worksheets/sheet80.xml" Id="Re0d0ffda3abf486a" /><Relationship Type="http://schemas.openxmlformats.org/officeDocument/2006/relationships/worksheet" Target="/xl/worksheets/sheet81.xml" Id="R57736794552b45be" /><Relationship Type="http://schemas.openxmlformats.org/officeDocument/2006/relationships/worksheet" Target="/xl/worksheets/sheet82.xml" Id="R55723c9888c34a16" /><Relationship Type="http://schemas.openxmlformats.org/officeDocument/2006/relationships/worksheet" Target="/xl/worksheets/sheet83.xml" Id="R74a16dbfdffa464a" /><Relationship Type="http://schemas.openxmlformats.org/officeDocument/2006/relationships/worksheet" Target="/xl/worksheets/sheet84.xml" Id="R1a54d1eb94764fa7" /><Relationship Type="http://schemas.openxmlformats.org/officeDocument/2006/relationships/worksheet" Target="/xl/worksheets/sheet85.xml" Id="Racd3988f5aab46da" /><Relationship Type="http://schemas.openxmlformats.org/officeDocument/2006/relationships/worksheet" Target="/xl/worksheets/sheet86.xml" Id="R725950fb2b6b47ff" /><Relationship Type="http://schemas.openxmlformats.org/officeDocument/2006/relationships/worksheet" Target="/xl/worksheets/sheet87.xml" Id="R86757d862f8c404a" /><Relationship Type="http://schemas.microsoft.com/office/2017/10/relationships/person" Target="/xl/persons/person.xml" Id="R8b2fb603b0e944fa" /></Relationships>
</file>

<file path=xl/persons/person.xml><?xml version="1.0" encoding="utf-8"?>
<xltc:personList xmlns:xltc="http://schemas.microsoft.com/office/spreadsheetml/2018/threadedcomments">
  <xltc:person displayName="Unknown Author" id="{9605AD4D-54DD-4807-CD1D-84A7BA6C340C}"/>
</xltc:personList>
</file>

<file path=xl/tables/table1.xml><?xml version="1.0" encoding="utf-8"?>
<x:table xmlns:x="http://schemas.openxmlformats.org/spreadsheetml/2006/main" id="1" name="CategoryGroundingTable" displayName="CategoryGroundingTable" ref="A7:O30" headerRowCount="1" totalsRowCount="0" totalsRowShown="0">
  <x:tableColumns count="15">
    <x:tableColumn id="1" name="Material Category"/>
    <x:tableColumn id="2" name="Category Role"/>
    <x:tableColumn id="3" name="Primitive Basis"/>
    <x:tableColumn id="4" name="Category Definition"/>
    <x:tableColumn id="5" name="Inclusion Boundary"/>
    <x:tableColumn id="6" name="Exclusion Boundary"/>
    <x:tableColumn id="7" name="Reference Structure"/>
    <x:tableColumn id="8" name="Evidence Surface"/>
    <x:tableColumn id="9" name="Maturity Status"/>
    <x:tableColumn id="10" name="Semantic Debt"/>
    <x:tableColumn id="11" name="Falsification / Revision Trigger"/>
    <x:tableColumn id="12" name="Reviewer Status"/>
    <x:tableColumn id="13" name="Required Claim Action"/>
    <x:tableColumn id="14" name="Failure Class"/>
    <x:tableColumn id="15" name="Auto Guardrail Recommendation"/>
  </x:tableColumns>
  <x:tableStyleInfo showFirstColumn="0" showLastColumn="0" showRowStripes="0" showColumnStripes="0"/>
</x:table>
</file>

<file path=xl/tables/table2.xml><?xml version="1.0" encoding="utf-8"?>
<x:table xmlns:x="http://schemas.openxmlformats.org/spreadsheetml/2006/main" id="2" name="ReferenceStructureRecordTable" displayName="ReferenceStructureRecordTable" ref="A1:Z50" headerRowCount="1" totalsRowCount="0" totalsRowShown="0">
  <x:tableColumns count="26">
    <x:tableColumn id="1" name="decision_id"/>
    <x:tableColumn id="2" name="option_id"/>
    <x:tableColumn id="3" name="claim_scope"/>
    <x:tableColumn id="4" name="decision_boundary"/>
    <x:tableColumn id="5" name="reference_object"/>
    <x:tableColumn id="6" name="physical_reference"/>
    <x:tableColumn id="7" name="biological_reference"/>
    <x:tableColumn id="8" name="social_reference"/>
    <x:tableColumn id="9" name="ethical_rights_reference"/>
    <x:tableColumn id="10" name="risk_reference"/>
    <x:tableColumn id="11" name="governance_authority_reference"/>
    <x:tableColumn id="12" name="epistemic_reference"/>
    <x:tableColumn id="13" name="operational_audit_reference"/>
    <x:tableColumn id="14" name="invariant_constraints"/>
    <x:tableColumn id="15" name="causal_pathway"/>
    <x:tableColumn id="16" name="evidence_source"/>
    <x:tableColumn id="17" name="evidence_status_token"/>
    <x:tableColumn id="18" name="measurement_maturity_status"/>
    <x:tableColumn id="19" name="falsification_condition"/>
    <x:tableColumn id="20" name="adaptation_boundary"/>
    <x:tableColumn id="21" name="authority_boundary"/>
    <x:tableColumn id="22" name="refusal_trigger"/>
    <x:tableColumn id="23" name="reviewer_status"/>
    <x:tableColumn id="24" name="artifact_hash"/>
    <x:tableColumn id="25" name="notes"/>
    <x:tableColumn id="26" name="ReferenceStructureRecord_Status"/>
  </x:tableColumns>
  <x:tableStyleInfo showFirstColumn="0" showLastColumn="0" showRowStripes="0" showColumnStripes="0"/>
</x:table>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prstDash val="solid"/>
        </a:ln>
        <a:ln w="6350">
          <a:prstDash val="solid"/>
        </a:ln>
        <a:ln w="6350">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4.xml.rels>&#65279;<?xml version="1.0" encoding="utf-8"?><Relationships xmlns="http://schemas.openxmlformats.org/package/2006/relationships"><Relationship Type="http://schemas.openxmlformats.org/officeDocument/2006/relationships/comments" Target="/xl/comments1.xml" Id="R198431af531b4c73" /><Relationship Type="http://schemas.openxmlformats.org/officeDocument/2006/relationships/vmlDrawing" Target="/xl/drawings/vmldrawing.vml" Id="R5900317227cd49ad" /></Relationships>
</file>

<file path=xl/worksheets/_rels/sheet17.xml.rels>&#65279;<?xml version="1.0" encoding="utf-8"?><Relationships xmlns="http://schemas.openxmlformats.org/package/2006/relationships"><Relationship Type="http://schemas.openxmlformats.org/officeDocument/2006/relationships/table" Target="/xl/tables/table1.xml" Id="Rbb7c861b5e124f2a" /></Relationships>
</file>

<file path=xl/worksheets/_rels/sheet63.xml.rels>&#65279;<?xml version="1.0" encoding="utf-8"?><Relationships xmlns="http://schemas.openxmlformats.org/package/2006/relationships"><Relationship Type="http://schemas.openxmlformats.org/officeDocument/2006/relationships/table" Target="/xl/tables/table2.xml" Id="R065882c227394e14" /></Relationships>
</file>

<file path=xl/worksheets/sheet1.xml><?xml version="1.0" encoding="utf-8"?>
<x:worksheet xmlns:x="http://schemas.openxmlformats.org/spreadsheetml/2006/main">
  <x:sheetViews>
    <x:sheetView showGridLines="1" workbookViewId="0"/>
  </x:sheetViews>
  <x:sheetFormatPr defaultColWidth="8.6796875" defaultRowHeight="15"/>
  <x:cols>
    <x:col min="1" max="2" width="36" style="1" hidden="0" customWidth="1"/>
    <x:col min="3" max="8" width="16" style="1" hidden="0" customWidth="1"/>
  </x:cols>
  <x:sheetData>
    <x:row r="1" s="1" customFormat="1" ht="32" hidden="0" customHeight="1">
      <x:c r="A1" s="2" t="s">
        <x:v>0</x:v>
      </x:c>
      <x:c r="B1" s="2"/>
      <x:c r="C1" s="3"/>
      <x:c r="D1" s="3"/>
      <x:c r="E1" s="3"/>
      <x:c r="F1" s="3"/>
      <x:c r="G1" s="3"/>
      <x:c r="H1" s="3"/>
    </x:row>
    <x:row r="2" s="1" customFormat="1" ht="36" hidden="0" customHeight="1">
      <x:c r="A2" s="4" t="s">
        <x:v>1</x:v>
      </x:c>
      <x:c r="B2" s="5" t="s">
        <x:v>2</x:v>
      </x:c>
      <x:c r="C2" s="6"/>
      <x:c r="D2" s="6"/>
      <x:c r="E2" s="6"/>
      <x:c r="F2" s="6"/>
      <x:c r="G2" s="6"/>
      <x:c r="H2" s="6"/>
    </x:row>
    <x:row r="3" s="1" customFormat="1" ht="36" hidden="0" customHeight="1">
      <x:c r="A3" s="7" t="s">
        <x:v>3</x:v>
      </x:c>
      <x:c r="B3" s="8" t="str">
        <x:v>Edit only declared input and review surfaces unless creating a new version. Protected calculation/output surfaces are release-build artifacts; input edits require rebuild and re-verification before downstream results are relied upon.</x:v>
      </x:c>
      <x:c r="C3" s="6"/>
      <x:c r="D3" s="6"/>
      <x:c r="E3" s="6"/>
      <x:c r="F3" s="6"/>
      <x:c r="G3" s="6"/>
      <x:c r="H3" s="6"/>
    </x:row>
    <x:row r="4" s="1" customFormat="1" ht="24" hidden="0" customHeight="1">
      <x:c r="A4" s="7" t="s">
        <x:v>4</x:v>
      </x:c>
      <x:c r="B4" s="5" t="str">
        <x:v>1. Read Release_Notes and CANON. 2. Review declared assumptions in Config/Parameters. 3. If you change option or impact inputs for exploration, rebuild and re-verify the build-frozen downstream tables before interpreting a new verdict.</x:v>
      </x:c>
      <x:c r="C4" s="6"/>
      <x:c r="D4" s="6"/>
      <x:c r="E4" s="6"/>
      <x:c r="F4" s="6"/>
      <x:c r="G4" s="6"/>
      <x:c r="H4" s="6"/>
    </x:row>
    <x:row r="5" s="1" customFormat="1" ht="36" hidden="0" customHeight="1">
      <x:c r="A5" s="7" t="s">
        <x:v>5</x:v>
      </x:c>
      <x:c r="B5" s="524" t="s">
        <x:v>6</x:v>
      </x:c>
      <x:c r="C5" s="10"/>
      <x:c r="D5" s="10"/>
      <x:c r="E5" s="10"/>
      <x:c r="F5" s="10"/>
      <x:c r="G5" s="10"/>
      <x:c r="H5" s="10"/>
    </x:row>
    <x:row r="6" s="1" customFormat="1" ht="24" hidden="0" customHeight="1">
      <x:c r="A6" s="7" t="s">
        <x:v>7</x:v>
      </x:c>
      <x:c r="B6" s="5" t="s">
        <x:v>8</x:v>
      </x:c>
      <x:c r="C6" s="6"/>
      <x:c r="D6" s="6"/>
      <x:c r="E6" s="6"/>
      <x:c r="F6" s="6"/>
      <x:c r="G6" s="6"/>
      <x:c r="H6" s="6"/>
    </x:row>
    <x:row r="7" s="1" customFormat="1" ht="24" hidden="0" customHeight="1">
      <x:c r="A7" s="7" t="s">
        <x:v>9</x:v>
      </x:c>
      <x:c r="B7" s="8" t="s">
        <x:v>10</x:v>
      </x:c>
      <x:c r="C7" s="6"/>
      <x:c r="D7" s="6"/>
      <x:c r="E7" s="6"/>
      <x:c r="F7" s="6"/>
      <x:c r="G7" s="6"/>
      <x:c r="H7" s="6"/>
    </x:row>
    <x:row r="8" s="1" customFormat="1" ht="24" hidden="0" customHeight="1">
      <x:c r="A8" s="7" t="s">
        <x:v>11</x:v>
      </x:c>
      <x:c r="B8" s="5" t="s">
        <x:v>12</x:v>
      </x:c>
      <x:c r="C8" s="6"/>
      <x:c r="D8" s="6"/>
      <x:c r="E8" s="6"/>
      <x:c r="F8" s="6"/>
      <x:c r="G8" s="6"/>
      <x:c r="H8" s="6"/>
    </x:row>
    <x:row r="9" s="1" customFormat="1" ht="36" hidden="0" customHeight="1">
      <x:c r="A9" s="7" t="s">
        <x:v>13</x:v>
      </x:c>
      <x:c r="B9" s="8" t="s">
        <x:v>14</x:v>
      </x:c>
      <x:c r="C9" s="6"/>
      <x:c r="D9" s="6"/>
      <x:c r="E9" s="6"/>
      <x:c r="F9" s="6"/>
      <x:c r="G9" s="6"/>
      <x:c r="H9" s="6"/>
    </x:row>
    <x:row r="10" s="1" customFormat="1" ht="24" hidden="0" customHeight="1">
      <x:c r="A10" s="7" t="s">
        <x:v>15</x:v>
      </x:c>
      <x:c r="B10" s="5" t="s">
        <x:v>16</x:v>
      </x:c>
      <x:c r="C10" s="6"/>
      <x:c r="D10" s="6"/>
      <x:c r="E10" s="6"/>
      <x:c r="F10" s="6"/>
      <x:c r="G10" s="6"/>
      <x:c r="H10" s="6"/>
    </x:row>
    <x:row r="11" s="1" customFormat="1" ht="24" hidden="0" customHeight="1">
      <x:c r="A11" s="7" t="s">
        <x:v>17</x:v>
      </x:c>
      <x:c r="B11" s="8" t="s">
        <x:v>18</x:v>
      </x:c>
      <x:c r="C11" s="6"/>
      <x:c r="D11" s="6"/>
      <x:c r="E11" s="6"/>
      <x:c r="F11" s="6"/>
      <x:c r="G11" s="6"/>
      <x:c r="H11" s="6"/>
    </x:row>
    <x:row r="12" s="1" customFormat="1" ht="24" hidden="0" customHeight="1">
      <x:c r="A12" s="7" t="s">
        <x:v>19</x:v>
      </x:c>
      <x:c r="B12" s="5" t="str">
        <x:v>Release boundary: Canon v12.6 / SGP v8.5 / ripple.md v5.5 / Agent System v12.5 / Primer v4.4 / Sheet v5.6 / WDBIP v1.6.</x:v>
      </x:c>
      <x:c r="C12" s="6"/>
      <x:c r="D12" s="6"/>
      <x:c r="E12" s="6"/>
      <x:c r="F12" s="6"/>
      <x:c r="G12" s="6"/>
      <x:c r="H12" s="6"/>
    </x:row>
    <x:row r="13" s="1" customFormat="1" ht="15" hidden="0" customHeight="1">
      <x:c r="A13" s="11" t="s">
        <x:v>20</x:v>
      </x:c>
      <x:c r="B13" s="11"/>
      <x:c r="C13" s="6"/>
      <x:c r="D13" s="6"/>
      <x:c r="E13" s="6"/>
      <x:c r="F13" s="6"/>
      <x:c r="G13" s="6"/>
      <x:c r="H13" s="6"/>
    </x:row>
    <x:row r="14" s="1" customFormat="1" ht="15" hidden="0" customHeight="1">
      <x:c r="A14" s="12" t="s">
        <x:v>21</x:v>
      </x:c>
      <x:c r="B14" s="12" t="s">
        <x:v>22</x:v>
      </x:c>
      <x:c r="C14" s="6"/>
      <x:c r="D14" s="6"/>
      <x:c r="E14" s="6"/>
      <x:c r="F14" s="6"/>
      <x:c r="G14" s="6"/>
      <x:c r="H14" s="6"/>
    </x:row>
    <x:row r="15" s="1" customFormat="1" ht="15" hidden="0" customHeight="1">
      <x:c r="A15" s="12" t="s">
        <x:v>23</x:v>
      </x:c>
      <x:c r="B15" s="12" t="s">
        <x:v>24</x:v>
      </x:c>
      <x:c r="C15" s="6"/>
      <x:c r="D15" s="6"/>
      <x:c r="E15" s="6"/>
      <x:c r="F15" s="6"/>
      <x:c r="G15" s="6"/>
      <x:c r="H15" s="6"/>
    </x:row>
    <x:row r="16" s="1" customFormat="1" ht="15" hidden="0" customHeight="1">
      <x:c r="A16" s="12" t="s">
        <x:v>25</x:v>
      </x:c>
      <x:c r="B16" s="12" t="s">
        <x:v>26</x:v>
      </x:c>
      <x:c r="C16" s="6"/>
      <x:c r="D16" s="6"/>
      <x:c r="E16" s="6"/>
      <x:c r="F16" s="6"/>
      <x:c r="G16" s="6"/>
      <x:c r="H16" s="6"/>
    </x:row>
    <x:row r="17" s="1" customFormat="1" ht="15" hidden="0" customHeight="1">
      <x:c r="A17" s="12" t="s">
        <x:v>27</x:v>
      </x:c>
      <x:c r="B17" s="12" t="s">
        <x:v>28</x:v>
      </x:c>
      <x:c r="C17" s="6"/>
      <x:c r="D17" s="6"/>
      <x:c r="E17" s="6"/>
      <x:c r="F17" s="6"/>
      <x:c r="G17" s="6"/>
      <x:c r="H17" s="6"/>
    </x:row>
    <x:row r="18" s="1" customFormat="1" ht="15" hidden="0" customHeight="1">
      <x:c r="A18" s="12" t="s">
        <x:v>29</x:v>
      </x:c>
      <x:c r="B18" s="12" t="s">
        <x:v>30</x:v>
      </x:c>
      <x:c r="C18" s="6"/>
      <x:c r="D18" s="6"/>
      <x:c r="E18" s="6"/>
      <x:c r="F18" s="6"/>
      <x:c r="G18" s="6"/>
      <x:c r="H18" s="6"/>
    </x:row>
    <x:row r="19" s="1" customFormat="1" ht="15" hidden="0" customHeight="1">
      <x:c r="A19" s="13" t="s">
        <x:v>31</x:v>
      </x:c>
      <x:c r="B19" s="13"/>
      <x:c r="C19" s="6"/>
      <x:c r="D19" s="6"/>
      <x:c r="E19" s="6"/>
      <x:c r="F19" s="6"/>
      <x:c r="G19" s="6"/>
      <x:c r="H19" s="6"/>
    </x:row>
    <x:row r="20" s="1" customFormat="1" ht="15" hidden="0" customHeight="1">
      <x:c r="A20" s="14" t="s">
        <x:v>32</x:v>
      </x:c>
      <x:c r="B20" s="14" t="s">
        <x:v>33</x:v>
      </x:c>
      <x:c r="C20" s="6"/>
      <x:c r="D20" s="6"/>
      <x:c r="E20" s="6"/>
      <x:c r="F20" s="6"/>
      <x:c r="G20" s="6"/>
      <x:c r="H20" s="6"/>
    </x:row>
    <x:row r="21" ht="46.25" hidden="0">
      <x:c r="A21" s="14" t="s">
        <x:v>34</x:v>
      </x:c>
      <x:c r="B21" s="14" t="s">
        <x:v>35</x:v>
      </x:c>
    </x:row>
    <x:row r="22" ht="46.25" hidden="0">
      <x:c r="A22" s="14" t="s">
        <x:v>36</x:v>
      </x:c>
      <x:c r="B22" s="14" t="s">
        <x:v>37</x:v>
      </x:c>
    </x:row>
    <x:row r="23" ht="46.25" hidden="0">
      <x:c r="A23" s="14" t="s">
        <x:v>38</x:v>
      </x:c>
      <x:c r="B23" s="14" t="s">
        <x:v>39</x:v>
      </x:c>
    </x:row>
    <x:row r="24">
      <x:c r="A24" t="str">
        <x:v>Viewer / recalculation note</x:v>
      </x:c>
      <x:c r="B24" t="str">
        <x:v>Formula-driven view sheets require a recalculating spreadsheet engine. Non-recalculating previews are not authoritative; use the packaged PDF/Markdown standards for static reading.</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defaultColWidth="8.66796875" defaultRowHeight="12.75"/>
  <x:cols>
    <x:col min="1" max="4" width="36" style="1" hidden="0" customWidth="1"/>
    <x:col min="5" max="26" width="16" style="1" hidden="0" customWidth="1"/>
  </x:cols>
  <x:sheetData>
    <x:row r="1" s="1" customFormat="1" ht="28" hidden="0" customHeight="1">
      <x:c r="A1" s="398" t="s">
        <x:v>40</x:v>
      </x:c>
      <x:c r="B1" s="398"/>
      <x:c r="C1" s="398"/>
      <x:c r="D1" s="398"/>
      <x:c r="E1" s="3"/>
      <x:c r="F1" s="3"/>
      <x:c r="G1" s="3"/>
      <x:c r="H1" s="3"/>
      <x:c r="I1" s="3"/>
      <x:c r="J1" s="3"/>
      <x:c r="K1" s="3"/>
      <x:c r="L1" s="3"/>
      <x:c r="M1" s="3"/>
      <x:c r="N1" s="3"/>
      <x:c r="O1" s="3"/>
      <x:c r="P1" s="3"/>
      <x:c r="Q1" s="3"/>
      <x:c r="R1" s="3"/>
      <x:c r="S1" s="3"/>
      <x:c r="T1" s="3"/>
      <x:c r="U1" s="3"/>
      <x:c r="V1" s="3"/>
      <x:c r="W1" s="3"/>
      <x:c r="X1" s="3"/>
      <x:c r="Y1" s="3"/>
      <x:c r="Z1" s="3"/>
    </x:row>
    <x:row r="2" s="1" customFormat="1" ht="95" hidden="0" customHeight="1">
      <x:c r="A2" s="370" t="s">
        <x:v>41</x:v>
      </x:c>
      <x:c r="B2" s="361" t="s">
        <x:v>42</x:v>
      </x:c>
      <x:c r="C2" s="363"/>
      <x:c r="D2" s="363"/>
      <x:c r="E2" s="6"/>
      <x:c r="F2" s="6"/>
      <x:c r="G2" s="6"/>
      <x:c r="H2" s="6"/>
      <x:c r="I2" s="6"/>
      <x:c r="J2" s="6"/>
      <x:c r="K2" s="6"/>
      <x:c r="L2" s="6"/>
      <x:c r="M2" s="6"/>
      <x:c r="N2" s="6"/>
      <x:c r="O2" s="6"/>
      <x:c r="P2" s="6"/>
      <x:c r="Q2" s="6"/>
      <x:c r="R2" s="6"/>
      <x:c r="S2" s="6"/>
      <x:c r="T2" s="6"/>
      <x:c r="U2" s="6"/>
      <x:c r="V2" s="6"/>
      <x:c r="W2" s="6"/>
      <x:c r="X2" s="6"/>
      <x:c r="Y2" s="6"/>
      <x:c r="Z2" s="6"/>
    </x:row>
    <x:row r="3" s="1" customFormat="1" ht="42" hidden="0" customHeight="1">
      <x:c r="A3" s="360" t="s">
        <x:v>43</x:v>
      </x:c>
      <x:c r="B3" s="362" t="s">
        <x:v>44</x:v>
      </x:c>
      <x:c r="C3" s="362" t="s">
        <x:v>45</x:v>
      </x:c>
      <x:c r="D3" s="362" t="s">
        <x:v>46</x:v>
      </x:c>
    </x:row>
    <x:row r="4" s="1" customFormat="1" ht="36" hidden="0" customHeight="1">
      <x:c r="A4" s="360" t="s">
        <x:v>47</x:v>
      </x:c>
      <x:c r="B4" s="361" t="s">
        <x:v>48</x:v>
      </x:c>
      <x:c r="C4" s="363" t="s">
        <x:v>49</x:v>
      </x:c>
      <x:c r="D4" s="363" t="s">
        <x:v>50</x:v>
      </x:c>
      <x:c r="E4" s="6"/>
      <x:c r="F4" s="6"/>
      <x:c r="G4" s="6"/>
      <x:c r="H4" s="6"/>
      <x:c r="I4" s="6"/>
      <x:c r="J4" s="6"/>
      <x:c r="K4" s="6"/>
      <x:c r="L4" s="6"/>
      <x:c r="M4" s="6"/>
      <x:c r="N4" s="6"/>
      <x:c r="O4" s="6"/>
      <x:c r="P4" s="6"/>
      <x:c r="Q4" s="6"/>
      <x:c r="R4" s="6"/>
      <x:c r="S4" s="6"/>
      <x:c r="T4" s="6"/>
      <x:c r="U4" s="6"/>
      <x:c r="V4" s="6"/>
      <x:c r="W4" s="6"/>
      <x:c r="X4" s="6"/>
      <x:c r="Y4" s="6"/>
      <x:c r="Z4" s="6"/>
    </x:row>
    <x:row r="5" s="1" customFormat="1" ht="62" hidden="0" customHeight="1">
      <x:c r="A5" s="360" t="s">
        <x:v>51</x:v>
      </x:c>
      <x:c r="B5" s="362" t="s">
        <x:v>52</x:v>
      </x:c>
      <x:c r="C5" s="363" t="s">
        <x:v>53</x:v>
      </x:c>
      <x:c r="D5" s="363"/>
      <x:c r="E5" s="6"/>
      <x:c r="F5" s="6"/>
      <x:c r="G5" s="6"/>
      <x:c r="H5" s="6"/>
      <x:c r="I5" s="6"/>
      <x:c r="J5" s="6"/>
      <x:c r="K5" s="6"/>
      <x:c r="L5" s="6"/>
      <x:c r="M5" s="6"/>
      <x:c r="N5" s="6"/>
      <x:c r="O5" s="6"/>
      <x:c r="P5" s="6"/>
      <x:c r="Q5" s="6"/>
      <x:c r="R5" s="6"/>
      <x:c r="S5" s="6"/>
      <x:c r="T5" s="6"/>
      <x:c r="U5" s="6"/>
      <x:c r="V5" s="6"/>
      <x:c r="W5" s="6"/>
      <x:c r="X5" s="6"/>
      <x:c r="Y5" s="6"/>
      <x:c r="Z5" s="6"/>
    </x:row>
    <x:row r="6" s="1" customFormat="1" ht="36" hidden="0" customHeight="1">
      <x:c r="A6" s="360" t="s">
        <x:v>54</x:v>
      </x:c>
      <x:c r="B6" s="361" t="s">
        <x:v>55</x:v>
      </x:c>
      <x:c r="C6" s="361" t="s">
        <x:v>56</x:v>
      </x:c>
      <x:c r="D6" s="399"/>
      <x:c r="E6" s="10"/>
      <x:c r="F6" s="10"/>
      <x:c r="G6" s="10"/>
      <x:c r="H6" s="10"/>
      <x:c r="I6" s="6"/>
      <x:c r="J6" s="6"/>
      <x:c r="K6" s="6"/>
      <x:c r="L6" s="6"/>
      <x:c r="M6" s="6"/>
      <x:c r="N6" s="6"/>
      <x:c r="O6" s="6"/>
      <x:c r="P6" s="6"/>
      <x:c r="Q6" s="6"/>
      <x:c r="R6" s="6"/>
      <x:c r="S6" s="6"/>
      <x:c r="T6" s="6"/>
      <x:c r="U6" s="6"/>
      <x:c r="V6" s="6"/>
      <x:c r="W6" s="6"/>
      <x:c r="X6" s="6"/>
      <x:c r="Y6" s="6"/>
      <x:c r="Z6" s="6"/>
    </x:row>
    <x:row r="7" s="1" customFormat="1" ht="24" hidden="0" customHeight="1">
      <x:c r="A7" s="360" t="s">
        <x:v>57</x:v>
      </x:c>
      <x:c r="B7" s="362" t="n">
        <x:v>2</x:v>
      </x:c>
      <x:c r="C7" s="362" t="s">
        <x:v>58</x:v>
      </x:c>
      <x:c r="D7" s="363"/>
      <x:c r="E7" s="6"/>
      <x:c r="F7" s="6"/>
      <x:c r="G7" s="6"/>
      <x:c r="H7" s="6"/>
      <x:c r="I7" s="6"/>
      <x:c r="J7" s="6"/>
      <x:c r="K7" s="6"/>
      <x:c r="L7" s="6"/>
      <x:c r="M7" s="6"/>
      <x:c r="N7" s="6"/>
      <x:c r="O7" s="6"/>
      <x:c r="P7" s="6"/>
      <x:c r="Q7" s="6"/>
      <x:c r="R7" s="6"/>
      <x:c r="S7" s="6"/>
      <x:c r="T7" s="6"/>
      <x:c r="U7" s="6"/>
      <x:c r="V7" s="6"/>
      <x:c r="W7" s="6"/>
      <x:c r="X7" s="6"/>
      <x:c r="Y7" s="6"/>
      <x:c r="Z7" s="6"/>
    </x:row>
    <x:row r="8" s="1" customFormat="1" ht="12.75" hidden="0" customHeight="1">
      <x:c r="A8" s="360" t="s">
        <x:v>59</x:v>
      </x:c>
      <x:c r="B8" s="361" t="s">
        <x:v>60</x:v>
      </x:c>
      <x:c r="C8" s="363"/>
      <x:c r="D8" s="363"/>
      <x:c r="E8" s="6"/>
      <x:c r="F8" s="6"/>
      <x:c r="G8" s="6"/>
      <x:c r="H8" s="6"/>
      <x:c r="I8" s="6"/>
      <x:c r="J8" s="6"/>
      <x:c r="K8" s="6"/>
      <x:c r="L8" s="6"/>
      <x:c r="M8" s="6"/>
      <x:c r="N8" s="6"/>
      <x:c r="O8" s="6"/>
      <x:c r="P8" s="6"/>
      <x:c r="Q8" s="6"/>
      <x:c r="R8" s="6"/>
      <x:c r="S8" s="6"/>
      <x:c r="T8" s="6"/>
      <x:c r="U8" s="6"/>
      <x:c r="V8" s="6"/>
      <x:c r="W8" s="6"/>
      <x:c r="X8" s="6"/>
      <x:c r="Y8" s="6"/>
      <x:c r="Z8" s="6"/>
    </x:row>
    <x:row r="9" s="1" customFormat="1" ht="62" hidden="0" customHeight="1">
      <x:c r="A9" s="360" t="s">
        <x:v>61</x:v>
      </x:c>
      <x:c r="B9" s="362" t="s">
        <x:v>62</x:v>
      </x:c>
      <x:c r="C9" s="363"/>
      <x:c r="D9" s="363"/>
      <x:c r="E9" s="6"/>
      <x:c r="F9" s="6"/>
      <x:c r="G9" s="6"/>
      <x:c r="H9" s="6"/>
      <x:c r="I9" s="6"/>
      <x:c r="J9" s="6"/>
      <x:c r="K9" s="6"/>
      <x:c r="L9" s="6"/>
      <x:c r="M9" s="6"/>
      <x:c r="N9" s="6"/>
      <x:c r="O9" s="6"/>
      <x:c r="P9" s="6"/>
      <x:c r="Q9" s="6"/>
      <x:c r="R9" s="6"/>
      <x:c r="S9" s="6"/>
      <x:c r="T9" s="6"/>
      <x:c r="U9" s="6"/>
      <x:c r="V9" s="6"/>
      <x:c r="W9" s="6"/>
      <x:c r="X9" s="6"/>
      <x:c r="Y9" s="6"/>
      <x:c r="Z9" s="6"/>
    </x:row>
    <x:row r="10" s="1" customFormat="1" ht="13.199999809265137" hidden="0" customHeight="1">
      <x:c r="A10" s="400"/>
      <x:c r="B10" s="383"/>
      <x:c r="C10" s="363"/>
      <x:c r="D10" s="363"/>
      <x:c r="E10" s="6"/>
      <x:c r="F10" s="6"/>
      <x:c r="G10" s="6"/>
      <x:c r="H10" s="6"/>
      <x:c r="I10" s="6"/>
      <x:c r="J10" s="6"/>
      <x:c r="K10" s="6"/>
      <x:c r="L10" s="6"/>
      <x:c r="M10" s="6"/>
      <x:c r="N10" s="6"/>
      <x:c r="O10" s="6"/>
      <x:c r="P10" s="6"/>
      <x:c r="Q10" s="6"/>
      <x:c r="R10" s="6"/>
      <x:c r="S10" s="6"/>
      <x:c r="T10" s="6"/>
      <x:c r="U10" s="6"/>
      <x:c r="V10" s="6"/>
      <x:c r="W10" s="6"/>
      <x:c r="X10" s="6"/>
      <x:c r="Y10" s="6"/>
      <x:c r="Z10" s="6"/>
    </x:row>
    <x:row r="11" s="1" customFormat="1" ht="44" hidden="0" customHeight="1">
      <x:c r="A11" s="360" t="s">
        <x:v>63</x:v>
      </x:c>
      <x:c r="B11" s="362" t="str">
        <x:v>NONE</x:v>
      </x:c>
      <x:c r="C11" s="363"/>
      <x:c r="D11" s="363"/>
      <x:c r="E11" s="6"/>
      <x:c r="F11" s="6"/>
      <x:c r="G11" s="6"/>
      <x:c r="H11" s="6"/>
      <x:c r="I11" s="6"/>
      <x:c r="J11" s="6"/>
      <x:c r="K11" s="6"/>
      <x:c r="L11" s="6"/>
      <x:c r="M11" s="6"/>
      <x:c r="N11" s="6"/>
      <x:c r="O11" s="6"/>
      <x:c r="P11" s="6"/>
      <x:c r="Q11" s="6"/>
      <x:c r="R11" s="6"/>
      <x:c r="S11" s="6"/>
      <x:c r="T11" s="6"/>
      <x:c r="U11" s="6"/>
      <x:c r="V11" s="6"/>
      <x:c r="W11" s="6"/>
      <x:c r="X11" s="6"/>
      <x:c r="Y11" s="6"/>
      <x:c r="Z11" s="6"/>
    </x:row>
    <x:row r="12" s="1" customFormat="1" ht="38" hidden="0" customHeight="1">
      <x:c r="A12" s="360" t="s">
        <x:v>64</x:v>
      </x:c>
      <x:c r="B12" s="361" t="str">
        <x:v>0 / 2 / 1 / 0</x:v>
      </x:c>
      <x:c r="C12" s="363"/>
      <x:c r="D12" s="363"/>
      <x:c r="E12" s="6"/>
      <x:c r="F12" s="6"/>
      <x:c r="G12" s="6"/>
      <x:c r="H12" s="6"/>
      <x:c r="I12" s="6"/>
      <x:c r="J12" s="6"/>
      <x:c r="K12" s="6"/>
      <x:c r="L12" s="6"/>
      <x:c r="M12" s="6"/>
      <x:c r="N12" s="6"/>
      <x:c r="O12" s="6"/>
      <x:c r="P12" s="6"/>
      <x:c r="Q12" s="6"/>
      <x:c r="R12" s="6"/>
      <x:c r="S12" s="6"/>
      <x:c r="T12" s="6"/>
      <x:c r="U12" s="6"/>
      <x:c r="V12" s="6"/>
      <x:c r="W12" s="6"/>
      <x:c r="X12" s="6"/>
      <x:c r="Y12" s="6"/>
      <x:c r="Z12" s="6"/>
    </x:row>
    <x:row r="13" s="1" customFormat="1" ht="12.75" hidden="0" customHeight="1">
      <x:c r="A13" s="363"/>
      <x:c r="B13" s="363"/>
      <x:c r="C13" s="363"/>
      <x:c r="D13" s="363"/>
      <x:c r="E13" s="6"/>
      <x:c r="F13" s="6"/>
      <x:c r="G13" s="6"/>
      <x:c r="H13" s="6"/>
      <x:c r="I13" s="6"/>
      <x:c r="J13" s="6"/>
      <x:c r="K13" s="6"/>
      <x:c r="L13" s="6"/>
      <x:c r="M13" s="6"/>
      <x:c r="N13" s="6"/>
      <x:c r="O13" s="6"/>
      <x:c r="P13" s="6"/>
      <x:c r="Q13" s="6"/>
      <x:c r="R13" s="6"/>
      <x:c r="S13" s="6"/>
      <x:c r="T13" s="6"/>
      <x:c r="U13" s="6"/>
      <x:c r="V13" s="6"/>
      <x:c r="W13" s="6"/>
      <x:c r="X13" s="6"/>
      <x:c r="Y13" s="6"/>
      <x:c r="Z13" s="6"/>
    </x:row>
    <x:row r="14" s="1" customFormat="1" ht="85" hidden="0" customHeight="1">
      <x:c r="A14" s="360" t="s">
        <x:v>65</x:v>
      </x:c>
      <x:c r="B14" s="361" t="str">
        <x:v>Tier-2 worked-run exemplar aligned to RippleLogic v12.6, SGP v8.5, ripple.md v5.5, Agent System v12.5, Primer v4.4, WDBIP v1.6, and Aligners Sheet v5.6. This workbook demonstrates qualification continuity and requalification; it is not empirical validation or authorization.</x:v>
      </x:c>
      <x:c r="C14" s="363"/>
      <x:c r="D14" s="363"/>
      <x:c r="E14" s="6"/>
      <x:c r="F14" s="6"/>
      <x:c r="G14" s="6"/>
      <x:c r="H14" s="6"/>
      <x:c r="I14" s="6"/>
      <x:c r="J14" s="6"/>
      <x:c r="K14" s="6"/>
      <x:c r="L14" s="6"/>
      <x:c r="M14" s="6"/>
      <x:c r="N14" s="6"/>
      <x:c r="O14" s="6"/>
      <x:c r="P14" s="6"/>
      <x:c r="Q14" s="6"/>
      <x:c r="R14" s="6"/>
      <x:c r="S14" s="6"/>
      <x:c r="T14" s="6"/>
      <x:c r="U14" s="6"/>
      <x:c r="V14" s="6"/>
      <x:c r="W14" s="6"/>
      <x:c r="X14" s="6"/>
      <x:c r="Y14" s="6"/>
      <x:c r="Z14" s="6"/>
    </x:row>
    <x:row r="15" s="1" customFormat="1" ht="112" hidden="0" customHeight="1">
      <x:c r="A15" s="360" t="s">
        <x:v>66</x:v>
      </x:c>
      <x:c r="B15" s="362" t="s">
        <x:v>67</x:v>
      </x:c>
      <x:c r="C15" s="363"/>
      <x:c r="D15" s="363"/>
      <x:c r="E15" s="6"/>
      <x:c r="F15" s="6"/>
      <x:c r="G15" s="6"/>
      <x:c r="H15" s="6"/>
      <x:c r="I15" s="6"/>
      <x:c r="J15" s="6"/>
      <x:c r="K15" s="6"/>
      <x:c r="L15" s="6"/>
      <x:c r="M15" s="6"/>
      <x:c r="N15" s="6"/>
      <x:c r="O15" s="6"/>
      <x:c r="P15" s="6"/>
      <x:c r="Q15" s="6"/>
      <x:c r="R15" s="6"/>
      <x:c r="S15" s="6"/>
      <x:c r="T15" s="6"/>
      <x:c r="U15" s="6"/>
      <x:c r="V15" s="6"/>
      <x:c r="W15" s="6"/>
      <x:c r="X15" s="6"/>
      <x:c r="Y15" s="6"/>
      <x:c r="Z15" s="6"/>
    </x:row>
    <x:row r="16" s="1" customFormat="1" ht="95" hidden="0" customHeight="1">
      <x:c r="A16" s="360" t="s">
        <x:v>68</x:v>
      </x:c>
      <x:c r="B16" s="361" t="s">
        <x:v>69</x:v>
      </x:c>
      <x:c r="C16" s="363"/>
      <x:c r="D16" s="363"/>
      <x:c r="E16" s="6"/>
      <x:c r="F16" s="6"/>
      <x:c r="G16" s="6"/>
      <x:c r="H16" s="6"/>
      <x:c r="I16" s="6"/>
      <x:c r="J16" s="6"/>
      <x:c r="K16" s="6"/>
      <x:c r="L16" s="6"/>
      <x:c r="M16" s="6"/>
      <x:c r="N16" s="6"/>
      <x:c r="O16" s="6"/>
      <x:c r="P16" s="6"/>
      <x:c r="Q16" s="6"/>
      <x:c r="R16" s="6"/>
      <x:c r="S16" s="6"/>
      <x:c r="T16" s="6"/>
      <x:c r="U16" s="6"/>
      <x:c r="V16" s="6"/>
      <x:c r="W16" s="6"/>
      <x:c r="X16" s="6"/>
      <x:c r="Y16" s="6"/>
      <x:c r="Z16" s="6"/>
    </x:row>
    <x:row r="17" s="1" customFormat="1" ht="70" hidden="0" customHeight="1">
      <x:c r="A17" s="360" t="s">
        <x:v>70</x:v>
      </x:c>
      <x:c r="B17" s="362" t="str">
        <x:v>RippleLogic v12.6 / SGP v8.5 / ripple.md v5.5 / Agent v12.5 / Primer v4.4 / WDBIP v1.6 / Sheet v5.6</x:v>
      </x:c>
      <x:c r="C17" s="363"/>
      <x:c r="D17" s="363"/>
      <x:c r="E17" s="6"/>
      <x:c r="F17" s="6"/>
      <x:c r="G17" s="6"/>
      <x:c r="H17" s="6"/>
      <x:c r="I17" s="6"/>
      <x:c r="J17" s="6"/>
      <x:c r="K17" s="6"/>
      <x:c r="L17" s="6"/>
      <x:c r="M17" s="6"/>
      <x:c r="N17" s="6"/>
      <x:c r="O17" s="6"/>
      <x:c r="P17" s="6"/>
      <x:c r="Q17" s="6"/>
      <x:c r="R17" s="6"/>
      <x:c r="S17" s="6"/>
      <x:c r="T17" s="6"/>
      <x:c r="U17" s="6"/>
      <x:c r="V17" s="6"/>
      <x:c r="W17" s="6"/>
      <x:c r="X17" s="6"/>
      <x:c r="Y17" s="6"/>
      <x:c r="Z17" s="6"/>
    </x:row>
    <x:row r="18" s="1" customFormat="1" ht="68" hidden="0" customHeight="1">
      <x:c r="A18" s="360" t="s">
        <x:v>71</x:v>
      </x:c>
      <x:c r="B18" s="361" t="s">
        <x:v>72</x:v>
      </x:c>
      <x:c r="C18" s="363"/>
      <x:c r="D18" s="363"/>
      <x:c r="E18" s="6"/>
      <x:c r="F18" s="6"/>
      <x:c r="G18" s="6"/>
      <x:c r="H18" s="6"/>
      <x:c r="I18" s="6"/>
      <x:c r="J18" s="6"/>
      <x:c r="K18" s="6"/>
      <x:c r="L18" s="6"/>
      <x:c r="M18" s="6"/>
      <x:c r="N18" s="6"/>
      <x:c r="O18" s="6"/>
      <x:c r="P18" s="6"/>
      <x:c r="Q18" s="6"/>
      <x:c r="R18" s="6"/>
      <x:c r="S18" s="6"/>
      <x:c r="T18" s="6"/>
      <x:c r="U18" s="6"/>
      <x:c r="V18" s="6"/>
      <x:c r="W18" s="6"/>
      <x:c r="X18" s="6"/>
      <x:c r="Y18" s="6"/>
      <x:c r="Z18" s="6"/>
    </x:row>
    <x:row r="19" s="1" customFormat="1" ht="12.75" hidden="0" customHeight="1">
      <x:c r="A19" s="363"/>
      <x:c r="B19" s="363"/>
      <x:c r="C19" s="363"/>
      <x:c r="D19" s="363"/>
      <x:c r="E19" s="6"/>
      <x:c r="F19" s="6"/>
      <x:c r="G19" s="6"/>
      <x:c r="H19" s="6"/>
      <x:c r="I19" s="6"/>
      <x:c r="J19" s="6"/>
      <x:c r="K19" s="6"/>
      <x:c r="L19" s="6"/>
      <x:c r="M19" s="6"/>
      <x:c r="N19" s="6"/>
      <x:c r="O19" s="6"/>
      <x:c r="P19" s="6"/>
      <x:c r="Q19" s="6"/>
      <x:c r="R19" s="6"/>
      <x:c r="S19" s="6"/>
      <x:c r="T19" s="6"/>
      <x:c r="U19" s="6"/>
      <x:c r="V19" s="6"/>
      <x:c r="W19" s="6"/>
      <x:c r="X19" s="6"/>
      <x:c r="Y19" s="6"/>
      <x:c r="Z19" s="6"/>
    </x:row>
    <x:row r="20" s="1" customFormat="1" ht="56" hidden="0" customHeight="1">
      <x:c r="A20" s="360" t="s">
        <x:v>73</x:v>
      </x:c>
      <x:c r="B20" s="361" t="str">
        <x:v>COMPLETE - all four floor-preserving PLSS prominence constructions preserve the point-score ordering; the governing framework result remains non-decisive because the σ×2 uncertainty stress changes decisiveness.</x:v>
      </x:c>
      <x:c r="C20" s="363"/>
      <x:c r="D20" s="363"/>
      <x:c r="E20" s="6"/>
      <x:c r="F20" s="6"/>
      <x:c r="G20" s="6"/>
      <x:c r="H20" s="6"/>
      <x:c r="I20" s="6"/>
      <x:c r="J20" s="6"/>
      <x:c r="K20" s="6"/>
      <x:c r="L20" s="6"/>
      <x:c r="M20" s="6"/>
      <x:c r="N20" s="6"/>
      <x:c r="O20" s="6"/>
      <x:c r="P20" s="6"/>
      <x:c r="Q20" s="6"/>
      <x:c r="R20" s="6"/>
      <x:c r="S20" s="6"/>
      <x:c r="T20" s="6"/>
      <x:c r="U20" s="6"/>
      <x:c r="V20" s="6"/>
      <x:c r="W20" s="6"/>
      <x:c r="X20" s="6"/>
      <x:c r="Y20" s="6"/>
      <x:c r="Z20" s="6"/>
    </x:row>
    <x:row r="21" s="1" customFormat="1" ht="70" hidden="0" customHeight="1">
      <x:c r="A21" s="360" t="s">
        <x:v>74</x:v>
      </x:c>
      <x:c r="B21" s="362" t="str">
        <x:v>COMPLETE — Option A remains the higher point-score option across all four PLSS constructions. None overrides the unvalidated uncertainty sensitivity; FrameworkVerdict is REFUSE_DETERMINISTIC_SELECTION and A is a separate authority selection.</x:v>
      </x:c>
      <x:c r="C21" s="363"/>
      <x:c r="D21" s="363"/>
      <x:c r="E21" s="6"/>
      <x:c r="F21" s="6"/>
      <x:c r="G21" s="6"/>
      <x:c r="H21" s="6"/>
      <x:c r="I21" s="6"/>
      <x:c r="J21" s="6"/>
      <x:c r="K21" s="6"/>
      <x:c r="L21" s="6"/>
      <x:c r="M21" s="6"/>
      <x:c r="N21" s="6"/>
      <x:c r="O21" s="6"/>
      <x:c r="P21" s="6"/>
      <x:c r="Q21" s="6"/>
      <x:c r="R21" s="6"/>
      <x:c r="S21" s="6"/>
      <x:c r="T21" s="6"/>
      <x:c r="U21" s="6"/>
      <x:c r="V21" s="6"/>
      <x:c r="W21" s="6"/>
      <x:c r="X21" s="6"/>
      <x:c r="Y21" s="6"/>
      <x:c r="Z21" s="6"/>
    </x:row>
    <x:row r="22" s="1" customFormat="1" ht="12.75" hidden="0" customHeight="1">
      <x:c r="A22" s="363"/>
      <x:c r="B22" s="363"/>
      <x:c r="C22" s="363"/>
      <x:c r="D22" s="363"/>
      <x:c r="E22" s="6"/>
      <x:c r="F22" s="6"/>
      <x:c r="G22" s="6"/>
      <x:c r="H22" s="6"/>
      <x:c r="I22" s="6"/>
      <x:c r="J22" s="6"/>
      <x:c r="K22" s="6"/>
      <x:c r="L22" s="6"/>
      <x:c r="M22" s="6"/>
      <x:c r="N22" s="6"/>
      <x:c r="O22" s="6"/>
      <x:c r="P22" s="6"/>
      <x:c r="Q22" s="6"/>
      <x:c r="R22" s="6"/>
      <x:c r="S22" s="6"/>
      <x:c r="T22" s="6"/>
      <x:c r="U22" s="6"/>
      <x:c r="V22" s="6"/>
      <x:c r="W22" s="6"/>
      <x:c r="X22" s="6"/>
      <x:c r="Y22" s="6"/>
      <x:c r="Z22" s="6"/>
    </x:row>
    <x:row r="23" s="1" customFormat="1" ht="12.75" hidden="0" customHeight="1">
      <x:c r="A23" s="360" t="s">
        <x:v>75</x:v>
      </x:c>
      <x:c r="B23" s="362" t="s">
        <x:v>76</x:v>
      </x:c>
      <x:c r="C23" s="401"/>
      <x:c r="D23" s="401"/>
      <x:c r="E23" s="6"/>
      <x:c r="F23" s="6"/>
      <x:c r="G23" s="6"/>
      <x:c r="H23" s="6"/>
      <x:c r="I23" s="6"/>
      <x:c r="J23" s="6"/>
      <x:c r="K23" s="6"/>
      <x:c r="L23" s="6"/>
      <x:c r="M23" s="6"/>
      <x:c r="N23" s="6"/>
      <x:c r="O23" s="6"/>
      <x:c r="P23" s="6"/>
      <x:c r="Q23" s="6"/>
      <x:c r="R23" s="6"/>
      <x:c r="S23" s="6"/>
      <x:c r="T23" s="6"/>
      <x:c r="U23" s="6"/>
      <x:c r="V23" s="6"/>
      <x:c r="W23" s="6"/>
      <x:c r="X23" s="6"/>
      <x:c r="Y23" s="6"/>
      <x:c r="Z23" s="6"/>
    </x:row>
    <x:row r="24" s="1" customFormat="1" ht="70" hidden="0" customHeight="1">
      <x:c r="A24" s="360" t="str">
        <x:v>Non-decisive technical-selection handling</x:v>
      </x:c>
      <x:c r="B24" s="361" t="str">
        <x:v>The base Method C demonstration Gap exceeds δ, but k_flip&lt;2 and the σ×2 stress is non-decisive. Canon §10.4A therefore requires REFUSE_DETERMINISTIC_SELECTION and transparent authority routing; this is not empirical calibration or operational authorization.</x:v>
      </x:c>
      <x:c r="C24" s="363"/>
      <x:c r="D24" s="363"/>
      <x:c r="E24" s="6"/>
      <x:c r="F24" s="6"/>
      <x:c r="G24" s="6"/>
      <x:c r="H24" s="6"/>
      <x:c r="I24" s="6"/>
      <x:c r="J24" s="6"/>
      <x:c r="K24" s="6"/>
      <x:c r="L24" s="6"/>
      <x:c r="M24" s="6"/>
      <x:c r="N24" s="6"/>
      <x:c r="O24" s="6"/>
      <x:c r="P24" s="6"/>
      <x:c r="Q24" s="6"/>
      <x:c r="R24" s="6"/>
      <x:c r="S24" s="6"/>
      <x:c r="T24" s="6"/>
      <x:c r="U24" s="6"/>
      <x:c r="V24" s="6"/>
      <x:c r="W24" s="6"/>
      <x:c r="X24" s="6"/>
      <x:c r="Y24" s="6"/>
      <x:c r="Z24" s="6"/>
    </x:row>
    <x:row r="25" s="1" customFormat="1" ht="26.25" hidden="0" customHeight="1">
      <x:c r="A25" s="402" t="s">
        <x:v>77</x:v>
      </x:c>
      <x:c r="B25" s="362" t="s">
        <x:v>78</x:v>
      </x:c>
      <x:c r="C25" s="363"/>
      <x:c r="D25" s="363"/>
      <x:c r="E25" s="6"/>
      <x:c r="F25" s="6"/>
      <x:c r="G25" s="6"/>
      <x:c r="H25" s="6"/>
      <x:c r="I25" s="6"/>
      <x:c r="J25" s="6"/>
      <x:c r="K25" s="6"/>
      <x:c r="L25" s="6"/>
      <x:c r="M25" s="6"/>
      <x:c r="N25" s="6"/>
      <x:c r="O25" s="6"/>
      <x:c r="P25" s="6"/>
      <x:c r="Q25" s="6"/>
      <x:c r="R25" s="6"/>
      <x:c r="S25" s="6"/>
      <x:c r="T25" s="6"/>
      <x:c r="U25" s="6"/>
      <x:c r="V25" s="6"/>
      <x:c r="W25" s="6"/>
      <x:c r="X25" s="6"/>
      <x:c r="Y25" s="6"/>
      <x:c r="Z25" s="6"/>
    </x:row>
    <x:row r="26" s="1" customFormat="1" ht="36" hidden="0" customHeight="1">
      <x:c r="A26" s="402" t="n">
        <x:v>46161</x:v>
      </x:c>
      <x:c r="B26" s="361" t="s">
        <x:v>79</x:v>
      </x:c>
      <x:c r="C26" s="363"/>
      <x:c r="D26" s="363"/>
      <x:c r="E26" s="6"/>
      <x:c r="F26" s="6"/>
      <x:c r="G26" s="6"/>
      <x:c r="H26" s="6"/>
      <x:c r="I26" s="6"/>
      <x:c r="J26" s="6"/>
      <x:c r="K26" s="6"/>
      <x:c r="L26" s="6"/>
      <x:c r="M26" s="6"/>
      <x:c r="N26" s="6"/>
      <x:c r="O26" s="6"/>
      <x:c r="P26" s="6"/>
      <x:c r="Q26" s="6"/>
      <x:c r="R26" s="6"/>
      <x:c r="S26" s="6"/>
      <x:c r="T26" s="6"/>
      <x:c r="U26" s="6"/>
      <x:c r="V26" s="6"/>
      <x:c r="W26" s="6"/>
      <x:c r="X26" s="6"/>
      <x:c r="Y26" s="6"/>
      <x:c r="Z26" s="6"/>
    </x:row>
    <x:row r="27" s="1" customFormat="1" ht="12.75" hidden="0" customHeight="1">
      <x:c r="A27" s="360" t="s">
        <x:v>80</x:v>
      </x:c>
      <x:c r="B27" s="362" t="s">
        <x:v>81</x:v>
      </x:c>
      <x:c r="C27" s="362" t="s">
        <x:v>82</x:v>
      </x:c>
      <x:c r="D27" s="362" t="s">
        <x:v>83</x:v>
      </x:c>
      <x:c r="E27" s="6"/>
      <x:c r="F27" s="6"/>
      <x:c r="G27" s="6"/>
      <x:c r="H27" s="6"/>
      <x:c r="I27" s="6"/>
      <x:c r="J27" s="6"/>
      <x:c r="K27" s="6"/>
      <x:c r="L27" s="6"/>
      <x:c r="M27" s="6"/>
      <x:c r="N27" s="6"/>
      <x:c r="O27" s="6"/>
      <x:c r="P27" s="6"/>
      <x:c r="Q27" s="6"/>
      <x:c r="R27" s="6"/>
      <x:c r="S27" s="6"/>
      <x:c r="T27" s="6"/>
      <x:c r="U27" s="6"/>
      <x:c r="V27" s="6"/>
      <x:c r="W27" s="6"/>
      <x:c r="X27" s="6"/>
      <x:c r="Y27" s="6"/>
      <x:c r="Z27" s="6"/>
    </x:row>
    <x:row r="28" s="1" customFormat="1" ht="84" hidden="0" customHeight="1">
      <x:c r="A28" s="363"/>
      <x:c r="B28" s="363"/>
      <x:c r="C28" s="363"/>
      <x:c r="D28" s="363"/>
      <x:c r="E28" s="6"/>
      <x:c r="F28" s="6"/>
      <x:c r="G28" s="6"/>
      <x:c r="H28" s="6"/>
      <x:c r="I28" s="6"/>
      <x:c r="J28" s="6"/>
      <x:c r="K28" s="6"/>
      <x:c r="L28" s="6"/>
      <x:c r="M28" s="6"/>
      <x:c r="N28" s="6"/>
      <x:c r="O28" s="6"/>
      <x:c r="P28" s="6"/>
      <x:c r="Q28" s="6"/>
      <x:c r="R28" s="6"/>
      <x:c r="S28" s="6"/>
      <x:c r="T28" s="6"/>
      <x:c r="U28" s="6"/>
      <x:c r="V28" s="6"/>
      <x:c r="W28" s="6"/>
      <x:c r="X28" s="6"/>
      <x:c r="Y28" s="6"/>
      <x:c r="Z28" s="6"/>
    </x:row>
    <x:row r="29" s="1" customFormat="1" ht="84" hidden="0" customHeight="1">
      <x:c r="A29" s="360" t="s">
        <x:v>84</x:v>
      </x:c>
      <x:c r="B29" s="362" t="s">
        <x:v>85</x:v>
      </x:c>
      <x:c r="C29" s="362" t="s">
        <x:v>86</x:v>
      </x:c>
      <x:c r="D29" s="362" t="s">
        <x:v>87</x:v>
      </x:c>
      <x:c r="E29" s="6"/>
      <x:c r="F29" s="6"/>
      <x:c r="G29" s="6"/>
      <x:c r="H29" s="6"/>
      <x:c r="I29" s="6"/>
      <x:c r="J29" s="6"/>
      <x:c r="K29" s="6"/>
      <x:c r="L29" s="6"/>
      <x:c r="M29" s="6"/>
      <x:c r="N29" s="6"/>
      <x:c r="O29" s="6"/>
      <x:c r="P29" s="6"/>
      <x:c r="Q29" s="6"/>
      <x:c r="R29" s="6"/>
      <x:c r="S29" s="6"/>
      <x:c r="T29" s="6"/>
      <x:c r="U29" s="6"/>
      <x:c r="V29" s="6"/>
      <x:c r="W29" s="6"/>
      <x:c r="X29" s="6"/>
      <x:c r="Y29" s="6"/>
      <x:c r="Z29" s="6"/>
    </x:row>
    <x:row r="30" s="1" customFormat="1" ht="12.75" hidden="0" customHeight="1">
      <x:c r="A30" s="360" t="s">
        <x:v>84</x:v>
      </x:c>
      <x:c r="B30" s="361" t="s">
        <x:v>85</x:v>
      </x:c>
      <x:c r="C30" s="361" t="s">
        <x:v>88</x:v>
      </x:c>
      <x:c r="D30" s="361" t="s">
        <x:v>89</x:v>
      </x:c>
      <x:c r="E30" s="6"/>
      <x:c r="F30" s="6"/>
      <x:c r="G30" s="6"/>
      <x:c r="H30" s="6"/>
      <x:c r="I30" s="6"/>
      <x:c r="J30" s="6"/>
      <x:c r="K30" s="6"/>
      <x:c r="L30" s="6"/>
      <x:c r="M30" s="6"/>
      <x:c r="N30" s="6"/>
      <x:c r="O30" s="6"/>
      <x:c r="P30" s="6"/>
      <x:c r="Q30" s="6"/>
      <x:c r="R30" s="6"/>
      <x:c r="S30" s="6"/>
      <x:c r="T30" s="6"/>
      <x:c r="U30" s="6"/>
      <x:c r="V30" s="6"/>
      <x:c r="W30" s="6"/>
      <x:c r="X30" s="6"/>
      <x:c r="Y30" s="6"/>
      <x:c r="Z30" s="6"/>
    </x:row>
    <x:row r="31" s="1" customFormat="1" ht="70" hidden="0" customHeight="1">
      <x:c r="A31" s="360" t="s">
        <x:v>90</x:v>
      </x:c>
      <x:c r="B31" s="362" t="str">
        <x:v>Worked-run publishability is not ecosystem ProofPack readiness. The current workbook is publishable as a bounded exemplar; RippleLogic refuses deterministic selection because uncertainty sensitivity changes decisiveness. Option A is separately authority-selected, without creating legal authority, execution permission, empirical validation, or deployment certification.</x:v>
      </x:c>
      <x:c r="C31" s="363"/>
      <x:c r="D31" s="363"/>
      <x:c r="E31" s="6"/>
      <x:c r="F31" s="6"/>
      <x:c r="G31" s="6"/>
      <x:c r="H31" s="6"/>
      <x:c r="I31" s="6"/>
      <x:c r="J31" s="6"/>
      <x:c r="K31" s="6"/>
      <x:c r="L31" s="6"/>
      <x:c r="M31" s="6"/>
      <x:c r="N31" s="6"/>
      <x:c r="O31" s="6"/>
      <x:c r="P31" s="6"/>
      <x:c r="Q31" s="6"/>
      <x:c r="R31" s="6"/>
      <x:c r="S31" s="6"/>
      <x:c r="T31" s="6"/>
      <x:c r="U31" s="6"/>
      <x:c r="V31" s="6"/>
      <x:c r="W31" s="6"/>
      <x:c r="X31" s="6"/>
      <x:c r="Y31" s="6"/>
      <x:c r="Z31" s="6"/>
    </x:row>
    <x:row r="32" s="1" customFormat="1" ht="44" hidden="0" customHeight="1">
      <x:c r="A32" s="360" t="s">
        <x:v>91</x:v>
      </x:c>
      <x:c r="B32" s="361" t="str">
        <x:v>NONDECISIVE_GAP_REVIEW is active and Canon-aligned; explicit authority selection and uncertainty disclosure are complete.</x:v>
      </x:c>
      <x:c r="C32" s="363"/>
      <x:c r="D32" s="363"/>
      <x:c r="E32" s="6"/>
      <x:c r="F32" s="6"/>
      <x:c r="G32" s="6"/>
      <x:c r="H32" s="6"/>
      <x:c r="I32" s="6"/>
      <x:c r="J32" s="6"/>
      <x:c r="K32" s="6"/>
      <x:c r="L32" s="6"/>
      <x:c r="M32" s="6"/>
      <x:c r="N32" s="6"/>
      <x:c r="O32" s="6"/>
      <x:c r="P32" s="6"/>
      <x:c r="Q32" s="6"/>
      <x:c r="R32" s="6"/>
      <x:c r="S32" s="6"/>
      <x:c r="T32" s="6"/>
      <x:c r="U32" s="6"/>
      <x:c r="V32" s="6"/>
      <x:c r="W32" s="6"/>
      <x:c r="X32" s="6"/>
      <x:c r="Y32" s="6"/>
      <x:c r="Z32" s="6"/>
    </x:row>
    <x:row r="33" s="1" customFormat="1" ht="12.75" hidden="0" customHeight="1">
      <x:c r="A33" s="363"/>
      <x:c r="B33" s="363"/>
      <x:c r="C33" s="363"/>
      <x:c r="D33" s="363"/>
      <x:c r="E33" s="6"/>
      <x:c r="F33" s="6"/>
      <x:c r="G33" s="6"/>
      <x:c r="H33" s="6"/>
      <x:c r="I33" s="6"/>
      <x:c r="J33" s="6"/>
      <x:c r="K33" s="6"/>
      <x:c r="L33" s="6"/>
      <x:c r="M33" s="6"/>
      <x:c r="N33" s="6"/>
      <x:c r="O33" s="6"/>
      <x:c r="P33" s="6"/>
      <x:c r="Q33" s="6"/>
      <x:c r="R33" s="6"/>
      <x:c r="S33" s="6"/>
      <x:c r="T33" s="6"/>
      <x:c r="U33" s="6"/>
      <x:c r="V33" s="6"/>
      <x:c r="W33" s="6"/>
      <x:c r="X33" s="6"/>
      <x:c r="Y33" s="6"/>
      <x:c r="Z33" s="6"/>
    </x:row>
    <x:row r="34" s="1" customFormat="1" ht="12.75" hidden="0" customHeight="1">
      <x:c r="A34" s="360" t="s">
        <x:v>92</x:v>
      </x:c>
      <x:c r="B34" s="374"/>
      <x:c r="C34" s="374"/>
      <x:c r="D34" s="374"/>
      <x:c r="E34" s="6"/>
      <x:c r="F34" s="6"/>
      <x:c r="G34" s="6"/>
      <x:c r="H34" s="6"/>
      <x:c r="I34" s="6"/>
      <x:c r="J34" s="6"/>
      <x:c r="K34" s="6"/>
      <x:c r="L34" s="6"/>
      <x:c r="M34" s="6"/>
      <x:c r="N34" s="6"/>
      <x:c r="O34" s="6"/>
      <x:c r="P34" s="6"/>
      <x:c r="Q34" s="6"/>
      <x:c r="R34" s="6"/>
      <x:c r="S34" s="6"/>
      <x:c r="T34" s="6"/>
      <x:c r="U34" s="6"/>
      <x:c r="V34" s="6"/>
      <x:c r="W34" s="6"/>
      <x:c r="X34" s="6"/>
      <x:c r="Y34" s="6"/>
      <x:c r="Z34" s="6"/>
    </x:row>
    <x:row r="35" s="1" customFormat="1" ht="12.75" hidden="0" customHeight="1">
      <x:c r="A35" s="360" t="s">
        <x:v>93</x:v>
      </x:c>
      <x:c r="B35" s="362" t="s">
        <x:v>94</x:v>
      </x:c>
      <x:c r="C35" s="363"/>
      <x:c r="D35" s="363"/>
      <x:c r="E35" s="6"/>
      <x:c r="F35" s="6"/>
      <x:c r="G35" s="6"/>
      <x:c r="H35" s="6"/>
      <x:c r="I35" s="6"/>
      <x:c r="J35" s="6"/>
      <x:c r="K35" s="6"/>
      <x:c r="L35" s="6"/>
      <x:c r="M35" s="6"/>
      <x:c r="N35" s="6"/>
      <x:c r="O35" s="6"/>
      <x:c r="P35" s="6"/>
      <x:c r="Q35" s="6"/>
      <x:c r="R35" s="6"/>
      <x:c r="S35" s="6"/>
      <x:c r="T35" s="6"/>
      <x:c r="U35" s="6"/>
      <x:c r="V35" s="6"/>
      <x:c r="W35" s="6"/>
      <x:c r="X35" s="6"/>
      <x:c r="Y35" s="6"/>
      <x:c r="Z35" s="6"/>
    </x:row>
    <x:row r="36" s="1" customFormat="1" ht="12.75" hidden="0" customHeight="1">
      <x:c r="A36" s="360" t="s">
        <x:v>88</x:v>
      </x:c>
      <x:c r="B36" s="361" t="s">
        <x:v>95</x:v>
      </x:c>
      <x:c r="C36" s="363"/>
      <x:c r="D36" s="363"/>
      <x:c r="E36" s="6"/>
      <x:c r="F36" s="6"/>
      <x:c r="G36" s="6"/>
      <x:c r="H36" s="6"/>
      <x:c r="I36" s="6"/>
      <x:c r="J36" s="6"/>
      <x:c r="K36" s="6"/>
      <x:c r="L36" s="6"/>
      <x:c r="M36" s="6"/>
      <x:c r="N36" s="6"/>
      <x:c r="O36" s="6"/>
      <x:c r="P36" s="6"/>
      <x:c r="Q36" s="6"/>
      <x:c r="R36" s="6"/>
      <x:c r="S36" s="6"/>
      <x:c r="T36" s="6"/>
      <x:c r="U36" s="6"/>
      <x:c r="V36" s="6"/>
      <x:c r="W36" s="6"/>
      <x:c r="X36" s="6"/>
      <x:c r="Y36" s="6"/>
      <x:c r="Z36" s="6"/>
    </x:row>
    <x:row r="37" s="1" customFormat="1" ht="12.75" hidden="0" customHeight="1">
      <x:c r="A37" s="360" t="s">
        <x:v>96</x:v>
      </x:c>
      <x:c r="B37" s="362" t="s">
        <x:v>97</x:v>
      </x:c>
      <x:c r="C37" s="363"/>
      <x:c r="D37" s="363"/>
      <x:c r="E37" s="6"/>
      <x:c r="F37" s="6"/>
      <x:c r="G37" s="6"/>
      <x:c r="H37" s="6"/>
      <x:c r="I37" s="6"/>
      <x:c r="J37" s="6"/>
      <x:c r="K37" s="6"/>
      <x:c r="L37" s="6"/>
      <x:c r="M37" s="6"/>
      <x:c r="N37" s="6"/>
      <x:c r="O37" s="6"/>
      <x:c r="P37" s="6"/>
      <x:c r="Q37" s="6"/>
      <x:c r="R37" s="6"/>
      <x:c r="S37" s="6"/>
      <x:c r="T37" s="6"/>
      <x:c r="U37" s="6"/>
      <x:c r="V37" s="6"/>
      <x:c r="W37" s="6"/>
      <x:c r="X37" s="6"/>
      <x:c r="Y37" s="6"/>
      <x:c r="Z37" s="6"/>
    </x:row>
    <x:row r="38" s="1" customFormat="1" ht="12.75" hidden="0" customHeight="1">
      <x:c r="A38" s="360" t="s">
        <x:v>98</x:v>
      </x:c>
      <x:c r="B38" s="361" t="s">
        <x:v>99</x:v>
      </x:c>
      <x:c r="C38" s="363"/>
      <x:c r="D38" s="363"/>
      <x:c r="E38" s="6"/>
      <x:c r="F38" s="6"/>
      <x:c r="G38" s="6"/>
      <x:c r="H38" s="6"/>
      <x:c r="I38" s="6"/>
      <x:c r="J38" s="6"/>
      <x:c r="K38" s="6"/>
      <x:c r="L38" s="6"/>
      <x:c r="M38" s="6"/>
      <x:c r="N38" s="6"/>
      <x:c r="O38" s="6"/>
      <x:c r="P38" s="6"/>
      <x:c r="Q38" s="6"/>
      <x:c r="R38" s="6"/>
      <x:c r="S38" s="6"/>
      <x:c r="T38" s="6"/>
      <x:c r="U38" s="6"/>
      <x:c r="V38" s="6"/>
      <x:c r="W38" s="6"/>
      <x:c r="X38" s="6"/>
      <x:c r="Y38" s="6"/>
      <x:c r="Z38" s="6"/>
    </x:row>
    <x:row r="39" s="1" customFormat="1" ht="12.75" hidden="0" customHeight="1">
      <x:c r="A39" s="360" t="s">
        <x:v>100</x:v>
      </x:c>
      <x:c r="B39" s="362" t="s">
        <x:v>101</x:v>
      </x:c>
      <x:c r="C39" s="363"/>
      <x:c r="D39" s="363"/>
      <x:c r="E39" s="6"/>
      <x:c r="F39" s="6"/>
      <x:c r="G39" s="6"/>
      <x:c r="H39" s="6"/>
      <x:c r="I39" s="6"/>
      <x:c r="J39" s="6"/>
      <x:c r="K39" s="6"/>
      <x:c r="L39" s="6"/>
      <x:c r="M39" s="6"/>
      <x:c r="N39" s="6"/>
      <x:c r="O39" s="6"/>
      <x:c r="P39" s="6"/>
      <x:c r="Q39" s="6"/>
      <x:c r="R39" s="6"/>
      <x:c r="S39" s="6"/>
      <x:c r="T39" s="6"/>
      <x:c r="U39" s="6"/>
      <x:c r="V39" s="6"/>
      <x:c r="W39" s="6"/>
      <x:c r="X39" s="6"/>
      <x:c r="Y39" s="6"/>
      <x:c r="Z39" s="6"/>
    </x:row>
    <x:row r="40" s="1" customFormat="1" ht="12.75" hidden="0" customHeight="1">
      <x:c r="A40" s="360" t="s">
        <x:v>102</x:v>
      </x:c>
      <x:c r="B40" s="361" t="s">
        <x:v>103</x:v>
      </x:c>
      <x:c r="C40" s="363"/>
      <x:c r="D40" s="363"/>
      <x:c r="E40" s="6"/>
      <x:c r="F40" s="6"/>
      <x:c r="G40" s="6"/>
      <x:c r="H40" s="6"/>
      <x:c r="I40" s="6"/>
      <x:c r="J40" s="6"/>
      <x:c r="K40" s="6"/>
      <x:c r="L40" s="6"/>
      <x:c r="M40" s="6"/>
      <x:c r="N40" s="6"/>
      <x:c r="O40" s="6"/>
      <x:c r="P40" s="6"/>
      <x:c r="Q40" s="6"/>
      <x:c r="R40" s="6"/>
      <x:c r="S40" s="6"/>
      <x:c r="T40" s="6"/>
      <x:c r="U40" s="6"/>
      <x:c r="V40" s="6"/>
      <x:c r="W40" s="6"/>
      <x:c r="X40" s="6"/>
      <x:c r="Y40" s="6"/>
      <x:c r="Z40" s="6"/>
    </x:row>
    <x:row r="41" s="1" customFormat="1" ht="24" hidden="0" customHeight="1">
      <x:c r="A41" s="363"/>
      <x:c r="B41" s="363"/>
      <x:c r="C41" s="363"/>
      <x:c r="D41" s="363"/>
      <x:c r="E41" s="6"/>
      <x:c r="F41" s="6"/>
      <x:c r="G41" s="6"/>
      <x:c r="H41" s="6"/>
      <x:c r="I41" s="6"/>
      <x:c r="J41" s="6"/>
      <x:c r="K41" s="6"/>
      <x:c r="L41" s="6"/>
      <x:c r="M41" s="6"/>
      <x:c r="N41" s="6"/>
      <x:c r="O41" s="6"/>
      <x:c r="P41" s="6"/>
      <x:c r="Q41" s="6"/>
      <x:c r="R41" s="6"/>
      <x:c r="S41" s="6"/>
      <x:c r="T41" s="6"/>
      <x:c r="U41" s="6"/>
      <x:c r="V41" s="6"/>
      <x:c r="W41" s="6"/>
      <x:c r="X41" s="6"/>
      <x:c r="Y41" s="6"/>
      <x:c r="Z41" s="6"/>
    </x:row>
    <x:row r="42" s="1" customFormat="1" ht="36" hidden="0" customHeight="1">
      <x:c r="A42" s="360" t="s">
        <x:v>104</x:v>
      </x:c>
      <x:c r="B42" s="361" t="s">
        <x:v>105</x:v>
      </x:c>
      <x:c r="C42" s="361" t="s">
        <x:v>106</x:v>
      </x:c>
      <x:c r="D42" s="361" t="s">
        <x:v>107</x:v>
      </x:c>
      <x:c r="E42" s="6"/>
      <x:c r="F42" s="6"/>
      <x:c r="G42" s="6"/>
      <x:c r="H42" s="6"/>
      <x:c r="I42" s="6"/>
      <x:c r="J42" s="6"/>
      <x:c r="K42" s="6"/>
      <x:c r="L42" s="6"/>
      <x:c r="M42" s="6"/>
      <x:c r="N42" s="6"/>
      <x:c r="O42" s="6"/>
      <x:c r="P42" s="6"/>
      <x:c r="Q42" s="6"/>
      <x:c r="R42" s="6"/>
      <x:c r="S42" s="6"/>
      <x:c r="T42" s="6"/>
      <x:c r="U42" s="6"/>
      <x:c r="V42" s="6"/>
      <x:c r="W42" s="6"/>
      <x:c r="X42" s="6"/>
      <x:c r="Y42" s="6"/>
      <x:c r="Z42" s="6"/>
    </x:row>
    <x:row r="43" s="1" customFormat="1" ht="36" hidden="0" customHeight="1">
      <x:c r="A43" s="360" t="s">
        <x:v>88</x:v>
      </x:c>
      <x:c r="B43" s="362" t="s">
        <x:v>108</x:v>
      </x:c>
      <x:c r="C43" s="362" t="s">
        <x:v>109</x:v>
      </x:c>
      <x:c r="D43" s="362" t="s">
        <x:v>110</x:v>
      </x:c>
      <x:c r="E43" s="6"/>
      <x:c r="F43" s="6"/>
      <x:c r="G43" s="6"/>
      <x:c r="H43" s="6"/>
      <x:c r="I43" s="6"/>
      <x:c r="J43" s="6"/>
      <x:c r="K43" s="6"/>
      <x:c r="L43" s="6"/>
      <x:c r="M43" s="6"/>
      <x:c r="N43" s="6"/>
      <x:c r="O43" s="6"/>
      <x:c r="P43" s="6"/>
      <x:c r="Q43" s="6"/>
      <x:c r="R43" s="6"/>
      <x:c r="S43" s="6"/>
      <x:c r="T43" s="6"/>
      <x:c r="U43" s="6"/>
      <x:c r="V43" s="6"/>
      <x:c r="W43" s="6"/>
      <x:c r="X43" s="6"/>
      <x:c r="Y43" s="6"/>
      <x:c r="Z43" s="6"/>
    </x:row>
    <x:row r="44" s="1" customFormat="1" ht="12.75" hidden="0" customHeight="1">
      <x:c r="A44" s="360" t="s">
        <x:v>111</x:v>
      </x:c>
      <x:c r="B44" s="361" t="s">
        <x:v>112</x:v>
      </x:c>
      <x:c r="C44" s="361" t="s">
        <x:v>113</x:v>
      </x:c>
      <x:c r="D44" s="361" t="s">
        <x:v>114</x:v>
      </x:c>
      <x:c r="E44" s="6"/>
      <x:c r="F44" s="6"/>
      <x:c r="G44" s="6"/>
      <x:c r="H44" s="6"/>
      <x:c r="I44" s="6"/>
      <x:c r="J44" s="6"/>
      <x:c r="K44" s="6"/>
      <x:c r="L44" s="6"/>
      <x:c r="M44" s="6"/>
      <x:c r="N44" s="6"/>
      <x:c r="O44" s="6"/>
      <x:c r="P44" s="6"/>
      <x:c r="Q44" s="6"/>
      <x:c r="R44" s="6"/>
      <x:c r="S44" s="6"/>
      <x:c r="T44" s="6"/>
      <x:c r="U44" s="6"/>
      <x:c r="V44" s="6"/>
      <x:c r="W44" s="6"/>
      <x:c r="X44" s="6"/>
      <x:c r="Y44" s="6"/>
      <x:c r="Z44" s="6"/>
    </x:row>
    <x:row r="45" s="1" customFormat="1" ht="48" hidden="0" customHeight="1">
      <x:c r="A45" s="363"/>
      <x:c r="B45" s="363"/>
      <x:c r="C45" s="363"/>
      <x:c r="D45" s="363"/>
      <x:c r="E45" s="6"/>
      <x:c r="F45" s="6"/>
      <x:c r="G45" s="6"/>
      <x:c r="H45" s="6"/>
      <x:c r="I45" s="6"/>
      <x:c r="J45" s="6"/>
      <x:c r="K45" s="6"/>
      <x:c r="L45" s="6"/>
      <x:c r="M45" s="6"/>
      <x:c r="N45" s="6"/>
      <x:c r="O45" s="6"/>
      <x:c r="P45" s="6"/>
      <x:c r="Q45" s="6"/>
      <x:c r="R45" s="6"/>
      <x:c r="S45" s="6"/>
      <x:c r="T45" s="6"/>
      <x:c r="U45" s="6"/>
      <x:c r="V45" s="6"/>
      <x:c r="W45" s="6"/>
      <x:c r="X45" s="6"/>
      <x:c r="Y45" s="6"/>
      <x:c r="Z45" s="6"/>
    </x:row>
    <x:row r="46" s="1" customFormat="1" ht="24" hidden="0" customHeight="1">
      <x:c r="A46" s="360" t="s">
        <x:v>115</x:v>
      </x:c>
      <x:c r="B46" s="361" t="s">
        <x:v>116</x:v>
      </x:c>
      <x:c r="C46" s="361" t="s">
        <x:v>117</x:v>
      </x:c>
      <x:c r="D46" s="361" t="s">
        <x:v>118</x:v>
      </x:c>
      <x:c r="E46" s="6"/>
      <x:c r="F46" s="6"/>
      <x:c r="G46" s="6"/>
      <x:c r="H46" s="6"/>
      <x:c r="I46" s="6"/>
      <x:c r="J46" s="6"/>
      <x:c r="K46" s="6"/>
      <x:c r="L46" s="6"/>
      <x:c r="M46" s="6"/>
      <x:c r="N46" s="6"/>
      <x:c r="O46" s="6"/>
      <x:c r="P46" s="6"/>
      <x:c r="Q46" s="6"/>
      <x:c r="R46" s="6"/>
      <x:c r="S46" s="6"/>
      <x:c r="T46" s="6"/>
      <x:c r="U46" s="6"/>
      <x:c r="V46" s="6"/>
      <x:c r="W46" s="6"/>
      <x:c r="X46" s="6"/>
      <x:c r="Y46" s="6"/>
      <x:c r="Z46" s="6"/>
    </x:row>
    <x:row r="47" s="1" customFormat="1" ht="12.75" hidden="0" customHeight="1">
      <x:c r="A47" s="360" t="s">
        <x:v>119</x:v>
      </x:c>
      <x:c r="B47" s="363"/>
      <x:c r="C47" s="363"/>
      <x:c r="D47" s="363"/>
      <x:c r="E47" s="6"/>
      <x:c r="F47" s="6"/>
      <x:c r="G47" s="6"/>
      <x:c r="H47" s="6"/>
      <x:c r="I47" s="6"/>
      <x:c r="J47" s="6"/>
      <x:c r="K47" s="6"/>
      <x:c r="L47" s="6"/>
      <x:c r="M47" s="6"/>
      <x:c r="N47" s="6"/>
      <x:c r="O47" s="6"/>
      <x:c r="P47" s="6"/>
      <x:c r="Q47" s="6"/>
      <x:c r="R47" s="6"/>
      <x:c r="S47" s="6"/>
      <x:c r="T47" s="6"/>
      <x:c r="U47" s="6"/>
      <x:c r="V47" s="6"/>
      <x:c r="W47" s="6"/>
      <x:c r="X47" s="6"/>
      <x:c r="Y47" s="6"/>
      <x:c r="Z47" s="6"/>
    </x:row>
    <x:row r="48" s="1" customFormat="1" ht="12.75" hidden="0" customHeight="1">
      <x:c r="A48" s="360" t="s">
        <x:v>120</x:v>
      </x:c>
      <x:c r="B48" s="361" t="s">
        <x:v>121</x:v>
      </x:c>
      <x:c r="C48" s="363"/>
      <x:c r="D48" s="363"/>
      <x:c r="E48" s="6"/>
      <x:c r="F48" s="6"/>
      <x:c r="G48" s="6"/>
      <x:c r="H48" s="6"/>
      <x:c r="I48" s="6"/>
      <x:c r="J48" s="6"/>
      <x:c r="K48" s="6"/>
      <x:c r="L48" s="6"/>
      <x:c r="M48" s="6"/>
      <x:c r="N48" s="6"/>
      <x:c r="O48" s="6"/>
      <x:c r="P48" s="6"/>
      <x:c r="Q48" s="6"/>
      <x:c r="R48" s="6"/>
      <x:c r="S48" s="6"/>
      <x:c r="T48" s="6"/>
      <x:c r="U48" s="6"/>
      <x:c r="V48" s="6"/>
      <x:c r="W48" s="6"/>
      <x:c r="X48" s="6"/>
      <x:c r="Y48" s="6"/>
      <x:c r="Z48" s="6"/>
    </x:row>
    <x:row r="49" s="1" customFormat="1" ht="12.75" hidden="0" customHeight="1">
      <x:c r="A49" s="360" t="s">
        <x:v>122</x:v>
      </x:c>
      <x:c r="B49" s="362" t="s">
        <x:v>123</x:v>
      </x:c>
      <x:c r="C49" s="363"/>
      <x:c r="D49" s="363"/>
      <x:c r="E49" s="6"/>
      <x:c r="F49" s="6"/>
      <x:c r="G49" s="6"/>
      <x:c r="H49" s="6"/>
      <x:c r="I49" s="6"/>
      <x:c r="J49" s="6"/>
      <x:c r="K49" s="6"/>
      <x:c r="L49" s="6"/>
      <x:c r="M49" s="6"/>
      <x:c r="N49" s="6"/>
      <x:c r="O49" s="6"/>
      <x:c r="P49" s="6"/>
      <x:c r="Q49" s="6"/>
      <x:c r="R49" s="6"/>
      <x:c r="S49" s="6"/>
      <x:c r="T49" s="6"/>
      <x:c r="U49" s="6"/>
      <x:c r="V49" s="6"/>
      <x:c r="W49" s="6"/>
      <x:c r="X49" s="6"/>
      <x:c r="Y49" s="6"/>
      <x:c r="Z49" s="6"/>
    </x:row>
    <x:row r="50" s="1" customFormat="1" ht="12.75" hidden="0" customHeight="1">
      <x:c r="A50" s="360" t="s">
        <x:v>124</x:v>
      </x:c>
      <x:c r="B50" s="361" t="s">
        <x:v>125</x:v>
      </x:c>
      <x:c r="C50" s="363"/>
      <x:c r="D50" s="363"/>
      <x:c r="E50" s="6"/>
      <x:c r="F50" s="6"/>
      <x:c r="G50" s="6"/>
      <x:c r="H50" s="6"/>
      <x:c r="I50" s="6"/>
      <x:c r="J50" s="6"/>
      <x:c r="K50" s="6"/>
      <x:c r="L50" s="6"/>
      <x:c r="M50" s="6"/>
      <x:c r="N50" s="6"/>
      <x:c r="O50" s="6"/>
      <x:c r="P50" s="6"/>
      <x:c r="Q50" s="6"/>
      <x:c r="R50" s="6"/>
      <x:c r="S50" s="6"/>
      <x:c r="T50" s="6"/>
      <x:c r="U50" s="6"/>
      <x:c r="V50" s="6"/>
      <x:c r="W50" s="6"/>
      <x:c r="X50" s="6"/>
      <x:c r="Y50" s="6"/>
      <x:c r="Z50" s="6"/>
    </x:row>
    <x:row r="51" s="1" customFormat="1" ht="12.75" hidden="0" customHeight="1">
      <x:c r="A51" s="360" t="s">
        <x:v>88</x:v>
      </x:c>
      <x:c r="B51" s="362" t="s">
        <x:v>126</x:v>
      </x:c>
      <x:c r="C51" s="363"/>
      <x:c r="D51" s="363"/>
      <x:c r="E51" s="6"/>
      <x:c r="F51" s="6"/>
      <x:c r="G51" s="6"/>
      <x:c r="H51" s="6"/>
      <x:c r="I51" s="6"/>
      <x:c r="J51" s="6"/>
      <x:c r="K51" s="6"/>
      <x:c r="L51" s="6"/>
      <x:c r="M51" s="6"/>
      <x:c r="N51" s="6"/>
      <x:c r="O51" s="6"/>
      <x:c r="P51" s="6"/>
      <x:c r="Q51" s="6"/>
      <x:c r="R51" s="6"/>
      <x:c r="S51" s="6"/>
      <x:c r="T51" s="6"/>
      <x:c r="U51" s="6"/>
      <x:c r="V51" s="6"/>
      <x:c r="W51" s="6"/>
      <x:c r="X51" s="6"/>
      <x:c r="Y51" s="6"/>
      <x:c r="Z51" s="6"/>
    </x:row>
    <x:row r="52" s="1" customFormat="1" ht="12.75" hidden="0" customHeight="1">
      <x:c r="A52" s="363"/>
      <x:c r="B52" s="363"/>
      <x:c r="C52" s="363"/>
      <x:c r="D52" s="363"/>
      <x:c r="E52" s="6"/>
      <x:c r="F52" s="6"/>
      <x:c r="G52" s="6"/>
      <x:c r="H52" s="6"/>
      <x:c r="I52" s="6"/>
      <x:c r="J52" s="6"/>
      <x:c r="K52" s="6"/>
      <x:c r="L52" s="6"/>
      <x:c r="M52" s="6"/>
      <x:c r="N52" s="6"/>
      <x:c r="O52" s="6"/>
      <x:c r="P52" s="6"/>
      <x:c r="Q52" s="6"/>
      <x:c r="R52" s="6"/>
      <x:c r="S52" s="6"/>
      <x:c r="T52" s="6"/>
      <x:c r="U52" s="6"/>
      <x:c r="V52" s="6"/>
      <x:c r="W52" s="6"/>
      <x:c r="X52" s="6"/>
      <x:c r="Y52" s="6"/>
      <x:c r="Z52" s="6"/>
    </x:row>
    <x:row r="53" s="1" customFormat="1" ht="12.75" hidden="0" customHeight="1">
      <x:c r="A53" s="363"/>
      <x:c r="B53" s="363"/>
      <x:c r="C53" s="363"/>
      <x:c r="D53" s="363"/>
      <x:c r="E53" s="6"/>
      <x:c r="F53" s="6"/>
      <x:c r="G53" s="6"/>
      <x:c r="H53" s="6"/>
      <x:c r="I53" s="6"/>
      <x:c r="J53" s="6"/>
      <x:c r="K53" s="6"/>
      <x:c r="L53" s="6"/>
      <x:c r="M53" s="6"/>
      <x:c r="N53" s="6"/>
      <x:c r="O53" s="6"/>
      <x:c r="P53" s="6"/>
      <x:c r="Q53" s="6"/>
      <x:c r="R53" s="6"/>
      <x:c r="S53" s="6"/>
      <x:c r="T53" s="6"/>
      <x:c r="U53" s="6"/>
      <x:c r="V53" s="6"/>
      <x:c r="W53" s="6"/>
      <x:c r="X53" s="6"/>
      <x:c r="Y53" s="6"/>
      <x:c r="Z53" s="6"/>
    </x:row>
    <x:row r="54" s="1" customFormat="1" ht="12.75" hidden="0" customHeight="1">
      <x:c r="A54" s="363"/>
      <x:c r="B54" s="363"/>
      <x:c r="C54" s="363"/>
      <x:c r="D54" s="363"/>
      <x:c r="E54" s="6"/>
      <x:c r="F54" s="6"/>
      <x:c r="G54" s="6"/>
      <x:c r="H54" s="6"/>
      <x:c r="I54" s="6"/>
      <x:c r="J54" s="6"/>
      <x:c r="K54" s="6"/>
      <x:c r="L54" s="6"/>
      <x:c r="M54" s="6"/>
      <x:c r="N54" s="6"/>
      <x:c r="O54" s="6"/>
      <x:c r="P54" s="6"/>
      <x:c r="Q54" s="6"/>
      <x:c r="R54" s="6"/>
      <x:c r="S54" s="6"/>
      <x:c r="T54" s="6"/>
      <x:c r="U54" s="6"/>
      <x:c r="V54" s="6"/>
      <x:c r="W54" s="6"/>
      <x:c r="X54" s="6"/>
      <x:c r="Y54" s="6"/>
      <x:c r="Z54" s="6"/>
    </x:row>
    <x:row r="55" s="1" customFormat="1" ht="12.75" hidden="0" customHeight="1">
      <x:c r="A55" s="363"/>
      <x:c r="B55" s="363"/>
      <x:c r="C55" s="363"/>
      <x:c r="D55" s="363"/>
      <x:c r="E55" s="6"/>
      <x:c r="F55" s="6"/>
      <x:c r="G55" s="6"/>
      <x:c r="H55" s="6"/>
      <x:c r="I55" s="6"/>
      <x:c r="J55" s="6"/>
      <x:c r="K55" s="6"/>
      <x:c r="L55" s="6"/>
      <x:c r="M55" s="6"/>
      <x:c r="N55" s="6"/>
      <x:c r="O55" s="6"/>
      <x:c r="P55" s="6"/>
      <x:c r="Q55" s="6"/>
      <x:c r="R55" s="6"/>
      <x:c r="S55" s="6"/>
      <x:c r="T55" s="6"/>
      <x:c r="U55" s="6"/>
      <x:c r="V55" s="6"/>
      <x:c r="W55" s="6"/>
      <x:c r="X55" s="6"/>
      <x:c r="Y55" s="6"/>
      <x:c r="Z55" s="6"/>
    </x:row>
    <x:row r="56" s="1" customFormat="1" ht="12.75" hidden="0" customHeight="1">
      <x:c r="A56" s="363"/>
      <x:c r="B56" s="363"/>
      <x:c r="C56" s="363"/>
      <x:c r="D56" s="363"/>
      <x:c r="E56" s="6"/>
      <x:c r="F56" s="6"/>
      <x:c r="G56" s="6"/>
      <x:c r="H56" s="6"/>
      <x:c r="I56" s="6"/>
      <x:c r="J56" s="6"/>
      <x:c r="K56" s="6"/>
      <x:c r="L56" s="6"/>
      <x:c r="M56" s="6"/>
      <x:c r="N56" s="6"/>
      <x:c r="O56" s="6"/>
      <x:c r="P56" s="6"/>
      <x:c r="Q56" s="6"/>
      <x:c r="R56" s="6"/>
      <x:c r="S56" s="6"/>
      <x:c r="T56" s="6"/>
      <x:c r="U56" s="6"/>
      <x:c r="V56" s="6"/>
      <x:c r="W56" s="6"/>
      <x:c r="X56" s="6"/>
      <x:c r="Y56" s="6"/>
      <x:c r="Z56" s="6"/>
    </x:row>
    <x:row r="57" s="1" customFormat="1" ht="12.75" hidden="0" customHeight="1">
      <x:c r="A57" s="363"/>
      <x:c r="B57" s="363"/>
      <x:c r="C57" s="363"/>
      <x:c r="D57" s="363"/>
      <x:c r="E57" s="6"/>
      <x:c r="F57" s="6"/>
      <x:c r="G57" s="6"/>
      <x:c r="H57" s="6"/>
      <x:c r="I57" s="6"/>
      <x:c r="J57" s="6"/>
      <x:c r="K57" s="6"/>
      <x:c r="L57" s="6"/>
      <x:c r="M57" s="6"/>
      <x:c r="N57" s="6"/>
      <x:c r="O57" s="6"/>
      <x:c r="P57" s="6"/>
      <x:c r="Q57" s="6"/>
      <x:c r="R57" s="6"/>
      <x:c r="S57" s="6"/>
      <x:c r="T57" s="6"/>
      <x:c r="U57" s="6"/>
      <x:c r="V57" s="6"/>
      <x:c r="W57" s="6"/>
      <x:c r="X57" s="6"/>
      <x:c r="Y57" s="6"/>
      <x:c r="Z57" s="6"/>
    </x:row>
    <x:row r="58" s="1" customFormat="1" ht="12.75" hidden="0" customHeight="1">
      <x:c r="A58" s="363"/>
      <x:c r="B58" s="363"/>
      <x:c r="C58" s="363"/>
      <x:c r="D58" s="363"/>
      <x:c r="E58" s="6"/>
      <x:c r="F58" s="6"/>
      <x:c r="G58" s="6"/>
      <x:c r="H58" s="6"/>
      <x:c r="I58" s="6"/>
      <x:c r="J58" s="6"/>
      <x:c r="K58" s="6"/>
      <x:c r="L58" s="6"/>
      <x:c r="M58" s="6"/>
      <x:c r="N58" s="6"/>
      <x:c r="O58" s="6"/>
      <x:c r="P58" s="6"/>
      <x:c r="Q58" s="6"/>
      <x:c r="R58" s="6"/>
      <x:c r="S58" s="6"/>
      <x:c r="T58" s="6"/>
      <x:c r="U58" s="6"/>
      <x:c r="V58" s="6"/>
      <x:c r="W58" s="6"/>
      <x:c r="X58" s="6"/>
      <x:c r="Y58" s="6"/>
      <x:c r="Z58" s="6"/>
    </x:row>
    <x:row r="59" s="1" customFormat="1" ht="12.75" hidden="0" customHeight="1">
      <x:c r="A59" s="363"/>
      <x:c r="B59" s="363"/>
      <x:c r="C59" s="363"/>
      <x:c r="D59" s="363"/>
      <x:c r="E59" s="6"/>
      <x:c r="F59" s="6"/>
      <x:c r="G59" s="6"/>
      <x:c r="H59" s="6"/>
      <x:c r="I59" s="6"/>
      <x:c r="J59" s="6"/>
      <x:c r="K59" s="6"/>
      <x:c r="L59" s="6"/>
      <x:c r="M59" s="6"/>
      <x:c r="N59" s="6"/>
      <x:c r="O59" s="6"/>
      <x:c r="P59" s="6"/>
      <x:c r="Q59" s="6"/>
      <x:c r="R59" s="6"/>
      <x:c r="S59" s="6"/>
      <x:c r="T59" s="6"/>
      <x:c r="U59" s="6"/>
      <x:c r="V59" s="6"/>
      <x:c r="W59" s="6"/>
      <x:c r="X59" s="6"/>
      <x:c r="Y59" s="6"/>
      <x:c r="Z59" s="6"/>
    </x:row>
    <x:row r="60" s="1" customFormat="1" ht="12.75" hidden="0" customHeight="1">
      <x:c r="A60" s="363"/>
      <x:c r="B60" s="363"/>
      <x:c r="C60" s="363"/>
      <x:c r="D60" s="363"/>
      <x:c r="E60" s="6"/>
      <x:c r="F60" s="6"/>
      <x:c r="G60" s="6"/>
      <x:c r="H60" s="6"/>
      <x:c r="I60" s="6"/>
      <x:c r="J60" s="6"/>
      <x:c r="K60" s="6"/>
      <x:c r="L60" s="6"/>
      <x:c r="M60" s="6"/>
      <x:c r="N60" s="6"/>
      <x:c r="O60" s="6"/>
      <x:c r="P60" s="6"/>
      <x:c r="Q60" s="6"/>
      <x:c r="R60" s="6"/>
      <x:c r="S60" s="6"/>
      <x:c r="T60" s="6"/>
      <x:c r="U60" s="6"/>
      <x:c r="V60" s="6"/>
      <x:c r="W60" s="6"/>
      <x:c r="X60" s="6"/>
      <x:c r="Y60" s="6"/>
      <x:c r="Z60" s="6"/>
    </x:row>
    <x:row r="61" s="1" customFormat="1" ht="12.75" hidden="0" customHeight="1">
      <x:c r="A61" s="363"/>
      <x:c r="B61" s="363"/>
      <x:c r="C61" s="363"/>
      <x:c r="D61" s="363"/>
      <x:c r="E61" s="6"/>
      <x:c r="F61" s="6"/>
      <x:c r="G61" s="6"/>
      <x:c r="H61" s="6"/>
      <x:c r="I61" s="6"/>
      <x:c r="J61" s="6"/>
      <x:c r="K61" s="6"/>
      <x:c r="L61" s="6"/>
      <x:c r="M61" s="6"/>
      <x:c r="N61" s="6"/>
      <x:c r="O61" s="6"/>
      <x:c r="P61" s="6"/>
      <x:c r="Q61" s="6"/>
      <x:c r="R61" s="6"/>
      <x:c r="S61" s="6"/>
      <x:c r="T61" s="6"/>
      <x:c r="U61" s="6"/>
      <x:c r="V61" s="6"/>
      <x:c r="W61" s="6"/>
      <x:c r="X61" s="6"/>
      <x:c r="Y61" s="6"/>
      <x:c r="Z61" s="6"/>
    </x:row>
    <x:row r="62" s="1" customFormat="1" ht="12.75" hidden="0" customHeight="1">
      <x:c r="A62" s="363"/>
      <x:c r="B62" s="363"/>
      <x:c r="C62" s="363"/>
      <x:c r="D62" s="363"/>
      <x:c r="E62" s="6"/>
      <x:c r="F62" s="6"/>
      <x:c r="G62" s="6"/>
      <x:c r="H62" s="6"/>
      <x:c r="I62" s="6"/>
      <x:c r="J62" s="6"/>
      <x:c r="K62" s="6"/>
      <x:c r="L62" s="6"/>
      <x:c r="M62" s="6"/>
      <x:c r="N62" s="6"/>
      <x:c r="O62" s="6"/>
      <x:c r="P62" s="6"/>
      <x:c r="Q62" s="6"/>
      <x:c r="R62" s="6"/>
      <x:c r="S62" s="6"/>
      <x:c r="T62" s="6"/>
      <x:c r="U62" s="6"/>
      <x:c r="V62" s="6"/>
      <x:c r="W62" s="6"/>
      <x:c r="X62" s="6"/>
      <x:c r="Y62" s="6"/>
      <x:c r="Z62" s="6"/>
    </x:row>
    <x:row r="63" s="1" customFormat="1" ht="12.75" hidden="0" customHeight="1">
      <x:c r="A63" s="363"/>
      <x:c r="B63" s="363"/>
      <x:c r="C63" s="363"/>
      <x:c r="D63" s="363"/>
      <x:c r="E63" s="6"/>
      <x:c r="F63" s="6"/>
      <x:c r="G63" s="6"/>
      <x:c r="H63" s="6"/>
      <x:c r="I63" s="6"/>
      <x:c r="J63" s="6"/>
      <x:c r="K63" s="6"/>
      <x:c r="L63" s="6"/>
      <x:c r="M63" s="6"/>
      <x:c r="N63" s="6"/>
      <x:c r="O63" s="6"/>
      <x:c r="P63" s="6"/>
      <x:c r="Q63" s="6"/>
      <x:c r="R63" s="6"/>
      <x:c r="S63" s="6"/>
      <x:c r="T63" s="6"/>
      <x:c r="U63" s="6"/>
      <x:c r="V63" s="6"/>
      <x:c r="W63" s="6"/>
      <x:c r="X63" s="6"/>
      <x:c r="Y63" s="6"/>
      <x:c r="Z63" s="6"/>
    </x:row>
    <x:row r="64" s="1" customFormat="1" ht="12.75" hidden="0" customHeight="1">
      <x:c r="A64" s="363"/>
      <x:c r="B64" s="363"/>
      <x:c r="C64" s="363"/>
      <x:c r="D64" s="363"/>
      <x:c r="E64" s="6"/>
      <x:c r="F64" s="6"/>
      <x:c r="G64" s="6"/>
      <x:c r="H64" s="6"/>
      <x:c r="I64" s="6"/>
      <x:c r="J64" s="6"/>
      <x:c r="K64" s="6"/>
      <x:c r="L64" s="6"/>
      <x:c r="M64" s="6"/>
      <x:c r="N64" s="6"/>
      <x:c r="O64" s="6"/>
      <x:c r="P64" s="6"/>
      <x:c r="Q64" s="6"/>
      <x:c r="R64" s="6"/>
      <x:c r="S64" s="6"/>
      <x:c r="T64" s="6"/>
      <x:c r="U64" s="6"/>
      <x:c r="V64" s="6"/>
      <x:c r="W64" s="6"/>
      <x:c r="X64" s="6"/>
      <x:c r="Y64" s="6"/>
      <x:c r="Z64" s="6"/>
    </x:row>
    <x:row r="65" s="1" customFormat="1" ht="12.75" hidden="0" customHeight="1">
      <x:c r="A65" s="363"/>
      <x:c r="B65" s="363"/>
      <x:c r="C65" s="363"/>
      <x:c r="D65" s="363"/>
      <x:c r="E65" s="6"/>
      <x:c r="F65" s="6"/>
      <x:c r="G65" s="6"/>
      <x:c r="H65" s="6"/>
      <x:c r="I65" s="6"/>
      <x:c r="J65" s="6"/>
      <x:c r="K65" s="6"/>
      <x:c r="L65" s="6"/>
      <x:c r="M65" s="6"/>
      <x:c r="N65" s="6"/>
      <x:c r="O65" s="6"/>
      <x:c r="P65" s="6"/>
      <x:c r="Q65" s="6"/>
      <x:c r="R65" s="6"/>
      <x:c r="S65" s="6"/>
      <x:c r="T65" s="6"/>
      <x:c r="U65" s="6"/>
      <x:c r="V65" s="6"/>
      <x:c r="W65" s="6"/>
      <x:c r="X65" s="6"/>
      <x:c r="Y65" s="6"/>
      <x:c r="Z65" s="6"/>
    </x:row>
    <x:row r="66" s="1" customFormat="1" ht="12.75" hidden="0" customHeight="1">
      <x:c r="A66" s="363"/>
      <x:c r="B66" s="363"/>
      <x:c r="C66" s="363"/>
      <x:c r="D66" s="363"/>
      <x:c r="E66" s="6"/>
      <x:c r="F66" s="6"/>
      <x:c r="G66" s="6"/>
      <x:c r="H66" s="6"/>
      <x:c r="I66" s="6"/>
      <x:c r="J66" s="6"/>
      <x:c r="K66" s="6"/>
      <x:c r="L66" s="6"/>
      <x:c r="M66" s="6"/>
      <x:c r="N66" s="6"/>
      <x:c r="O66" s="6"/>
      <x:c r="P66" s="6"/>
      <x:c r="Q66" s="6"/>
      <x:c r="R66" s="6"/>
      <x:c r="S66" s="6"/>
      <x:c r="T66" s="6"/>
      <x:c r="U66" s="6"/>
      <x:c r="V66" s="6"/>
      <x:c r="W66" s="6"/>
      <x:c r="X66" s="6"/>
      <x:c r="Y66" s="6"/>
      <x:c r="Z66" s="6"/>
    </x:row>
    <x:row r="67" s="1" customFormat="1" ht="12.75" hidden="0" customHeight="1">
      <x:c r="A67" s="363"/>
      <x:c r="B67" s="363"/>
      <x:c r="C67" s="363"/>
      <x:c r="D67" s="363"/>
      <x:c r="E67" s="6"/>
      <x:c r="F67" s="6"/>
      <x:c r="G67" s="6"/>
      <x:c r="H67" s="6"/>
      <x:c r="I67" s="6"/>
      <x:c r="J67" s="6"/>
      <x:c r="K67" s="6"/>
      <x:c r="L67" s="6"/>
      <x:c r="M67" s="6"/>
      <x:c r="N67" s="6"/>
      <x:c r="O67" s="6"/>
      <x:c r="P67" s="6"/>
      <x:c r="Q67" s="6"/>
      <x:c r="R67" s="6"/>
      <x:c r="S67" s="6"/>
      <x:c r="T67" s="6"/>
      <x:c r="U67" s="6"/>
      <x:c r="V67" s="6"/>
      <x:c r="W67" s="6"/>
      <x:c r="X67" s="6"/>
      <x:c r="Y67" s="6"/>
      <x:c r="Z67" s="6"/>
    </x:row>
    <x:row r="68" s="1" customFormat="1" ht="12.75" hidden="0" customHeight="1">
      <x:c r="A68" s="363"/>
      <x:c r="B68" s="363"/>
      <x:c r="C68" s="363"/>
      <x:c r="D68" s="363"/>
      <x:c r="E68" s="6"/>
      <x:c r="F68" s="6"/>
      <x:c r="G68" s="6"/>
      <x:c r="H68" s="6"/>
      <x:c r="I68" s="6"/>
      <x:c r="J68" s="6"/>
      <x:c r="K68" s="6"/>
      <x:c r="L68" s="6"/>
      <x:c r="M68" s="6"/>
      <x:c r="N68" s="6"/>
      <x:c r="O68" s="6"/>
      <x:c r="P68" s="6"/>
      <x:c r="Q68" s="6"/>
      <x:c r="R68" s="6"/>
      <x:c r="S68" s="6"/>
      <x:c r="T68" s="6"/>
      <x:c r="U68" s="6"/>
      <x:c r="V68" s="6"/>
      <x:c r="W68" s="6"/>
      <x:c r="X68" s="6"/>
      <x:c r="Y68" s="6"/>
      <x:c r="Z68" s="6"/>
    </x:row>
    <x:row r="69" s="1" customFormat="1" ht="12.75" hidden="0" customHeight="1">
      <x:c r="A69" s="363"/>
      <x:c r="B69" s="363"/>
      <x:c r="C69" s="363"/>
      <x:c r="D69" s="363"/>
      <x:c r="E69" s="6"/>
      <x:c r="F69" s="6"/>
      <x:c r="G69" s="6"/>
      <x:c r="H69" s="6"/>
      <x:c r="I69" s="6"/>
      <x:c r="J69" s="6"/>
      <x:c r="K69" s="6"/>
      <x:c r="L69" s="6"/>
      <x:c r="M69" s="6"/>
      <x:c r="N69" s="6"/>
      <x:c r="O69" s="6"/>
      <x:c r="P69" s="6"/>
      <x:c r="Q69" s="6"/>
      <x:c r="R69" s="6"/>
      <x:c r="S69" s="6"/>
      <x:c r="T69" s="6"/>
      <x:c r="U69" s="6"/>
      <x:c r="V69" s="6"/>
      <x:c r="W69" s="6"/>
      <x:c r="X69" s="6"/>
      <x:c r="Y69" s="6"/>
      <x:c r="Z69" s="6"/>
    </x:row>
    <x:row r="70" s="1" customFormat="1" ht="12.75" hidden="0" customHeight="1">
      <x:c r="A70" s="363"/>
      <x:c r="B70" s="363"/>
      <x:c r="C70" s="363"/>
      <x:c r="D70" s="363"/>
      <x:c r="E70" s="6"/>
      <x:c r="F70" s="6"/>
      <x:c r="G70" s="6"/>
      <x:c r="H70" s="6"/>
      <x:c r="I70" s="6"/>
      <x:c r="J70" s="6"/>
      <x:c r="K70" s="6"/>
      <x:c r="L70" s="6"/>
      <x:c r="M70" s="6"/>
      <x:c r="N70" s="6"/>
      <x:c r="O70" s="6"/>
      <x:c r="P70" s="6"/>
      <x:c r="Q70" s="6"/>
      <x:c r="R70" s="6"/>
      <x:c r="S70" s="6"/>
      <x:c r="T70" s="6"/>
      <x:c r="U70" s="6"/>
      <x:c r="V70" s="6"/>
      <x:c r="W70" s="6"/>
      <x:c r="X70" s="6"/>
      <x:c r="Y70" s="6"/>
      <x:c r="Z70" s="6"/>
    </x:row>
    <x:row r="71" s="1" customFormat="1" ht="12.75" hidden="0" customHeight="1">
      <x:c r="A71" s="363"/>
      <x:c r="B71" s="363"/>
      <x:c r="C71" s="363"/>
      <x:c r="D71" s="363"/>
      <x:c r="E71" s="6"/>
      <x:c r="F71" s="6"/>
      <x:c r="G71" s="6"/>
      <x:c r="H71" s="6"/>
      <x:c r="I71" s="6"/>
      <x:c r="J71" s="6"/>
      <x:c r="K71" s="6"/>
      <x:c r="L71" s="6"/>
      <x:c r="M71" s="6"/>
      <x:c r="N71" s="6"/>
      <x:c r="O71" s="6"/>
      <x:c r="P71" s="6"/>
      <x:c r="Q71" s="6"/>
      <x:c r="R71" s="6"/>
      <x:c r="S71" s="6"/>
      <x:c r="T71" s="6"/>
      <x:c r="U71" s="6"/>
      <x:c r="V71" s="6"/>
      <x:c r="W71" s="6"/>
      <x:c r="X71" s="6"/>
      <x:c r="Y71" s="6"/>
      <x:c r="Z71" s="6"/>
    </x:row>
    <x:row r="72" s="1" customFormat="1" ht="12.75" hidden="0" customHeight="1">
      <x:c r="A72" s="363"/>
      <x:c r="B72" s="363"/>
      <x:c r="C72" s="363"/>
      <x:c r="D72" s="363"/>
      <x:c r="E72" s="6"/>
      <x:c r="F72" s="6"/>
      <x:c r="G72" s="6"/>
      <x:c r="H72" s="6"/>
      <x:c r="I72" s="6"/>
      <x:c r="J72" s="6"/>
      <x:c r="K72" s="6"/>
      <x:c r="L72" s="6"/>
      <x:c r="M72" s="6"/>
      <x:c r="N72" s="6"/>
      <x:c r="O72" s="6"/>
      <x:c r="P72" s="6"/>
      <x:c r="Q72" s="6"/>
      <x:c r="R72" s="6"/>
      <x:c r="S72" s="6"/>
      <x:c r="T72" s="6"/>
      <x:c r="U72" s="6"/>
      <x:c r="V72" s="6"/>
      <x:c r="W72" s="6"/>
      <x:c r="X72" s="6"/>
      <x:c r="Y72" s="6"/>
      <x:c r="Z72" s="6"/>
    </x:row>
    <x:row r="73" s="1" customFormat="1" ht="12.75" hidden="0" customHeight="1">
      <x:c r="A73" s="363"/>
      <x:c r="B73" s="363"/>
      <x:c r="C73" s="363"/>
      <x:c r="D73" s="363"/>
      <x:c r="E73" s="6"/>
      <x:c r="F73" s="6"/>
      <x:c r="G73" s="6"/>
      <x:c r="H73" s="6"/>
      <x:c r="I73" s="6"/>
      <x:c r="J73" s="6"/>
      <x:c r="K73" s="6"/>
      <x:c r="L73" s="6"/>
      <x:c r="M73" s="6"/>
      <x:c r="N73" s="6"/>
      <x:c r="O73" s="6"/>
      <x:c r="P73" s="6"/>
      <x:c r="Q73" s="6"/>
      <x:c r="R73" s="6"/>
      <x:c r="S73" s="6"/>
      <x:c r="T73" s="6"/>
      <x:c r="U73" s="6"/>
      <x:c r="V73" s="6"/>
      <x:c r="W73" s="6"/>
      <x:c r="X73" s="6"/>
      <x:c r="Y73" s="6"/>
      <x:c r="Z73" s="6"/>
    </x:row>
    <x:row r="74" s="1" customFormat="1" ht="12.75" hidden="0" customHeight="1">
      <x:c r="A74" s="363"/>
      <x:c r="B74" s="363"/>
      <x:c r="C74" s="363"/>
      <x:c r="D74" s="363"/>
      <x:c r="E74" s="6"/>
      <x:c r="F74" s="6"/>
      <x:c r="G74" s="6"/>
      <x:c r="H74" s="6"/>
      <x:c r="I74" s="6"/>
      <x:c r="J74" s="6"/>
      <x:c r="K74" s="6"/>
      <x:c r="L74" s="6"/>
      <x:c r="M74" s="6"/>
      <x:c r="N74" s="6"/>
      <x:c r="O74" s="6"/>
      <x:c r="P74" s="6"/>
      <x:c r="Q74" s="6"/>
      <x:c r="R74" s="6"/>
      <x:c r="S74" s="6"/>
      <x:c r="T74" s="6"/>
      <x:c r="U74" s="6"/>
      <x:c r="V74" s="6"/>
      <x:c r="W74" s="6"/>
      <x:c r="X74" s="6"/>
      <x:c r="Y74" s="6"/>
      <x:c r="Z74" s="6"/>
    </x:row>
    <x:row r="75" s="1" customFormat="1" ht="12.75" hidden="0" customHeight="1">
      <x:c r="A75" s="363"/>
      <x:c r="B75" s="363"/>
      <x:c r="C75" s="363"/>
      <x:c r="D75" s="363"/>
      <x:c r="E75" s="6"/>
      <x:c r="F75" s="6"/>
      <x:c r="G75" s="6"/>
      <x:c r="H75" s="6"/>
      <x:c r="I75" s="6"/>
      <x:c r="J75" s="6"/>
      <x:c r="K75" s="6"/>
      <x:c r="L75" s="6"/>
      <x:c r="M75" s="6"/>
      <x:c r="N75" s="6"/>
      <x:c r="O75" s="6"/>
      <x:c r="P75" s="6"/>
      <x:c r="Q75" s="6"/>
      <x:c r="R75" s="6"/>
      <x:c r="S75" s="6"/>
      <x:c r="T75" s="6"/>
      <x:c r="U75" s="6"/>
      <x:c r="V75" s="6"/>
      <x:c r="W75" s="6"/>
      <x:c r="X75" s="6"/>
      <x:c r="Y75" s="6"/>
      <x:c r="Z75" s="6"/>
    </x:row>
    <x:row r="76" s="1" customFormat="1" ht="12.75" hidden="0" customHeight="1">
      <x:c r="A76" s="363"/>
      <x:c r="B76" s="363"/>
      <x:c r="C76" s="363"/>
      <x:c r="D76" s="363"/>
      <x:c r="E76" s="6"/>
      <x:c r="F76" s="6"/>
      <x:c r="G76" s="6"/>
      <x:c r="H76" s="6"/>
      <x:c r="I76" s="6"/>
      <x:c r="J76" s="6"/>
      <x:c r="K76" s="6"/>
      <x:c r="L76" s="6"/>
      <x:c r="M76" s="6"/>
      <x:c r="N76" s="6"/>
      <x:c r="O76" s="6"/>
      <x:c r="P76" s="6"/>
      <x:c r="Q76" s="6"/>
      <x:c r="R76" s="6"/>
      <x:c r="S76" s="6"/>
      <x:c r="T76" s="6"/>
      <x:c r="U76" s="6"/>
      <x:c r="V76" s="6"/>
      <x:c r="W76" s="6"/>
      <x:c r="X76" s="6"/>
      <x:c r="Y76" s="6"/>
      <x:c r="Z76" s="6"/>
    </x:row>
    <x:row r="77" s="1" customFormat="1" ht="12.75" hidden="0" customHeight="1">
      <x:c r="A77" s="363"/>
      <x:c r="B77" s="363"/>
      <x:c r="C77" s="363"/>
      <x:c r="D77" s="363"/>
      <x:c r="E77" s="6"/>
      <x:c r="F77" s="6"/>
      <x:c r="G77" s="6"/>
      <x:c r="H77" s="6"/>
      <x:c r="I77" s="6"/>
      <x:c r="J77" s="6"/>
      <x:c r="K77" s="6"/>
      <x:c r="L77" s="6"/>
      <x:c r="M77" s="6"/>
      <x:c r="N77" s="6"/>
      <x:c r="O77" s="6"/>
      <x:c r="P77" s="6"/>
      <x:c r="Q77" s="6"/>
      <x:c r="R77" s="6"/>
      <x:c r="S77" s="6"/>
      <x:c r="T77" s="6"/>
      <x:c r="U77" s="6"/>
      <x:c r="V77" s="6"/>
      <x:c r="W77" s="6"/>
      <x:c r="X77" s="6"/>
      <x:c r="Y77" s="6"/>
      <x:c r="Z77" s="6"/>
    </x:row>
    <x:row r="78" s="1" customFormat="1" ht="12.75" hidden="0" customHeight="1">
      <x:c r="A78" s="363"/>
      <x:c r="B78" s="363"/>
      <x:c r="C78" s="363"/>
      <x:c r="D78" s="363"/>
      <x:c r="E78" s="6"/>
      <x:c r="F78" s="6"/>
      <x:c r="G78" s="6"/>
      <x:c r="H78" s="6"/>
      <x:c r="I78" s="6"/>
      <x:c r="J78" s="6"/>
      <x:c r="K78" s="6"/>
      <x:c r="L78" s="6"/>
      <x:c r="M78" s="6"/>
      <x:c r="N78" s="6"/>
      <x:c r="O78" s="6"/>
      <x:c r="P78" s="6"/>
      <x:c r="Q78" s="6"/>
      <x:c r="R78" s="6"/>
      <x:c r="S78" s="6"/>
      <x:c r="T78" s="6"/>
      <x:c r="U78" s="6"/>
      <x:c r="V78" s="6"/>
      <x:c r="W78" s="6"/>
      <x:c r="X78" s="6"/>
      <x:c r="Y78" s="6"/>
      <x:c r="Z78" s="6"/>
    </x:row>
    <x:row r="79" s="1" customFormat="1" ht="12.75" hidden="0" customHeight="1">
      <x:c r="A79" s="363"/>
      <x:c r="B79" s="363"/>
      <x:c r="C79" s="363"/>
      <x:c r="D79" s="363"/>
      <x:c r="E79" s="6"/>
      <x:c r="F79" s="6"/>
      <x:c r="G79" s="6"/>
      <x:c r="H79" s="6"/>
      <x:c r="I79" s="6"/>
      <x:c r="J79" s="6"/>
      <x:c r="K79" s="6"/>
      <x:c r="L79" s="6"/>
      <x:c r="M79" s="6"/>
      <x:c r="N79" s="6"/>
      <x:c r="O79" s="6"/>
      <x:c r="P79" s="6"/>
      <x:c r="Q79" s="6"/>
      <x:c r="R79" s="6"/>
      <x:c r="S79" s="6"/>
      <x:c r="T79" s="6"/>
      <x:c r="U79" s="6"/>
      <x:c r="V79" s="6"/>
      <x:c r="W79" s="6"/>
      <x:c r="X79" s="6"/>
      <x:c r="Y79" s="6"/>
      <x:c r="Z79" s="6"/>
    </x:row>
    <x:row r="80" s="1" customFormat="1" ht="12.75" hidden="0" customHeight="1">
      <x:c r="A80" s="363"/>
      <x:c r="B80" s="363"/>
      <x:c r="C80" s="363"/>
      <x:c r="D80" s="363"/>
      <x:c r="E80" s="6"/>
      <x:c r="F80" s="6"/>
      <x:c r="G80" s="6"/>
      <x:c r="H80" s="6"/>
      <x:c r="I80" s="6"/>
      <x:c r="J80" s="6"/>
      <x:c r="K80" s="6"/>
      <x:c r="L80" s="6"/>
      <x:c r="M80" s="6"/>
      <x:c r="N80" s="6"/>
      <x:c r="O80" s="6"/>
      <x:c r="P80" s="6"/>
      <x:c r="Q80" s="6"/>
      <x:c r="R80" s="6"/>
      <x:c r="S80" s="6"/>
      <x:c r="T80" s="6"/>
      <x:c r="U80" s="6"/>
      <x:c r="V80" s="6"/>
      <x:c r="W80" s="6"/>
      <x:c r="X80" s="6"/>
      <x:c r="Y80" s="6"/>
      <x:c r="Z80" s="6"/>
    </x:row>
    <x:row r="81" s="1" customFormat="1" ht="12.75" hidden="0" customHeight="1">
      <x:c r="A81" s="363"/>
      <x:c r="B81" s="363"/>
      <x:c r="C81" s="363"/>
      <x:c r="D81" s="363"/>
      <x:c r="E81" s="6"/>
      <x:c r="F81" s="6"/>
      <x:c r="G81" s="6"/>
      <x:c r="H81" s="6"/>
      <x:c r="I81" s="6"/>
      <x:c r="J81" s="6"/>
      <x:c r="K81" s="6"/>
      <x:c r="L81" s="6"/>
      <x:c r="M81" s="6"/>
      <x:c r="N81" s="6"/>
      <x:c r="O81" s="6"/>
      <x:c r="P81" s="6"/>
      <x:c r="Q81" s="6"/>
      <x:c r="R81" s="6"/>
      <x:c r="S81" s="6"/>
      <x:c r="T81" s="6"/>
      <x:c r="U81" s="6"/>
      <x:c r="V81" s="6"/>
      <x:c r="W81" s="6"/>
      <x:c r="X81" s="6"/>
      <x:c r="Y81" s="6"/>
      <x:c r="Z81" s="6"/>
    </x:row>
    <x:row r="82" s="1" customFormat="1" ht="12.75" hidden="0" customHeight="1">
      <x:c r="A82" s="363"/>
      <x:c r="B82" s="363"/>
      <x:c r="C82" s="363"/>
      <x:c r="D82" s="363"/>
      <x:c r="E82" s="6"/>
      <x:c r="F82" s="6"/>
      <x:c r="G82" s="6"/>
      <x:c r="H82" s="6"/>
      <x:c r="I82" s="6"/>
      <x:c r="J82" s="6"/>
      <x:c r="K82" s="6"/>
      <x:c r="L82" s="6"/>
      <x:c r="M82" s="6"/>
      <x:c r="N82" s="6"/>
      <x:c r="O82" s="6"/>
      <x:c r="P82" s="6"/>
      <x:c r="Q82" s="6"/>
      <x:c r="R82" s="6"/>
      <x:c r="S82" s="6"/>
      <x:c r="T82" s="6"/>
      <x:c r="U82" s="6"/>
      <x:c r="V82" s="6"/>
      <x:c r="W82" s="6"/>
      <x:c r="X82" s="6"/>
      <x:c r="Y82" s="6"/>
      <x:c r="Z82" s="6"/>
    </x:row>
    <x:row r="83" s="1" customFormat="1" ht="12.75" hidden="0" customHeight="1">
      <x:c r="A83" s="363"/>
      <x:c r="B83" s="363"/>
      <x:c r="C83" s="363"/>
      <x:c r="D83" s="363"/>
      <x:c r="E83" s="6"/>
      <x:c r="F83" s="6"/>
      <x:c r="G83" s="6"/>
      <x:c r="H83" s="6"/>
      <x:c r="I83" s="6"/>
      <x:c r="J83" s="6"/>
      <x:c r="K83" s="6"/>
      <x:c r="L83" s="6"/>
      <x:c r="M83" s="6"/>
      <x:c r="N83" s="6"/>
      <x:c r="O83" s="6"/>
      <x:c r="P83" s="6"/>
      <x:c r="Q83" s="6"/>
      <x:c r="R83" s="6"/>
      <x:c r="S83" s="6"/>
      <x:c r="T83" s="6"/>
      <x:c r="U83" s="6"/>
      <x:c r="V83" s="6"/>
      <x:c r="W83" s="6"/>
      <x:c r="X83" s="6"/>
      <x:c r="Y83" s="6"/>
      <x:c r="Z83" s="6"/>
    </x:row>
    <x:row r="84" s="1" customFormat="1" ht="12.75" hidden="0" customHeight="1">
      <x:c r="A84" s="363"/>
      <x:c r="B84" s="363"/>
      <x:c r="C84" s="363"/>
      <x:c r="D84" s="363"/>
      <x:c r="E84" s="6"/>
      <x:c r="F84" s="6"/>
      <x:c r="G84" s="6"/>
      <x:c r="H84" s="6"/>
      <x:c r="I84" s="6"/>
      <x:c r="J84" s="6"/>
      <x:c r="K84" s="6"/>
      <x:c r="L84" s="6"/>
      <x:c r="M84" s="6"/>
      <x:c r="N84" s="6"/>
      <x:c r="O84" s="6"/>
      <x:c r="P84" s="6"/>
      <x:c r="Q84" s="6"/>
      <x:c r="R84" s="6"/>
      <x:c r="S84" s="6"/>
      <x:c r="T84" s="6"/>
      <x:c r="U84" s="6"/>
      <x:c r="V84" s="6"/>
      <x:c r="W84" s="6"/>
      <x:c r="X84" s="6"/>
      <x:c r="Y84" s="6"/>
      <x:c r="Z84" s="6"/>
    </x:row>
    <x:row r="85" s="1" customFormat="1" ht="12.75" hidden="0" customHeight="1">
      <x:c r="A85" s="363"/>
      <x:c r="B85" s="363"/>
      <x:c r="C85" s="363"/>
      <x:c r="D85" s="363"/>
      <x:c r="E85" s="6"/>
      <x:c r="F85" s="6"/>
      <x:c r="G85" s="6"/>
      <x:c r="H85" s="6"/>
      <x:c r="I85" s="6"/>
      <x:c r="J85" s="6"/>
      <x:c r="K85" s="6"/>
      <x:c r="L85" s="6"/>
      <x:c r="M85" s="6"/>
      <x:c r="N85" s="6"/>
      <x:c r="O85" s="6"/>
      <x:c r="P85" s="6"/>
      <x:c r="Q85" s="6"/>
      <x:c r="R85" s="6"/>
      <x:c r="S85" s="6"/>
      <x:c r="T85" s="6"/>
      <x:c r="U85" s="6"/>
      <x:c r="V85" s="6"/>
      <x:c r="W85" s="6"/>
      <x:c r="X85" s="6"/>
      <x:c r="Y85" s="6"/>
      <x:c r="Z85" s="6"/>
    </x:row>
    <x:row r="86" s="1" customFormat="1" ht="12.75" hidden="0" customHeight="1">
      <x:c r="A86" s="363"/>
      <x:c r="B86" s="363"/>
      <x:c r="C86" s="363"/>
      <x:c r="D86" s="363"/>
      <x:c r="E86" s="6"/>
      <x:c r="F86" s="6"/>
      <x:c r="G86" s="6"/>
      <x:c r="H86" s="6"/>
      <x:c r="I86" s="6"/>
      <x:c r="J86" s="6"/>
      <x:c r="K86" s="6"/>
      <x:c r="L86" s="6"/>
      <x:c r="M86" s="6"/>
      <x:c r="N86" s="6"/>
      <x:c r="O86" s="6"/>
      <x:c r="P86" s="6"/>
      <x:c r="Q86" s="6"/>
      <x:c r="R86" s="6"/>
      <x:c r="S86" s="6"/>
      <x:c r="T86" s="6"/>
      <x:c r="U86" s="6"/>
      <x:c r="V86" s="6"/>
      <x:c r="W86" s="6"/>
      <x:c r="X86" s="6"/>
      <x:c r="Y86" s="6"/>
      <x:c r="Z86" s="6"/>
    </x:row>
    <x:row r="87" s="1" customFormat="1" ht="12.75" hidden="0" customHeight="1">
      <x:c r="A87" s="363"/>
      <x:c r="B87" s="363"/>
      <x:c r="C87" s="363"/>
      <x:c r="D87" s="363"/>
      <x:c r="E87" s="6"/>
      <x:c r="F87" s="6"/>
      <x:c r="G87" s="6"/>
      <x:c r="H87" s="6"/>
      <x:c r="I87" s="6"/>
      <x:c r="J87" s="6"/>
      <x:c r="K87" s="6"/>
      <x:c r="L87" s="6"/>
      <x:c r="M87" s="6"/>
      <x:c r="N87" s="6"/>
      <x:c r="O87" s="6"/>
      <x:c r="P87" s="6"/>
      <x:c r="Q87" s="6"/>
      <x:c r="R87" s="6"/>
      <x:c r="S87" s="6"/>
      <x:c r="T87" s="6"/>
      <x:c r="U87" s="6"/>
      <x:c r="V87" s="6"/>
      <x:c r="W87" s="6"/>
      <x:c r="X87" s="6"/>
      <x:c r="Y87" s="6"/>
      <x:c r="Z87" s="6"/>
    </x:row>
    <x:row r="88" s="1" customFormat="1" ht="12.75" hidden="0" customHeight="1">
      <x:c r="A88" s="363"/>
      <x:c r="B88" s="363"/>
      <x:c r="C88" s="363"/>
      <x:c r="D88" s="363"/>
      <x:c r="E88" s="6"/>
      <x:c r="F88" s="6"/>
      <x:c r="G88" s="6"/>
      <x:c r="H88" s="6"/>
      <x:c r="I88" s="6"/>
      <x:c r="J88" s="6"/>
      <x:c r="K88" s="6"/>
      <x:c r="L88" s="6"/>
      <x:c r="M88" s="6"/>
      <x:c r="N88" s="6"/>
      <x:c r="O88" s="6"/>
      <x:c r="P88" s="6"/>
      <x:c r="Q88" s="6"/>
      <x:c r="R88" s="6"/>
      <x:c r="S88" s="6"/>
      <x:c r="T88" s="6"/>
      <x:c r="U88" s="6"/>
      <x:c r="V88" s="6"/>
      <x:c r="W88" s="6"/>
      <x:c r="X88" s="6"/>
      <x:c r="Y88" s="6"/>
      <x:c r="Z88" s="6"/>
    </x:row>
    <x:row r="89" s="1" customFormat="1" ht="12.75" hidden="0" customHeight="1">
      <x:c r="A89" s="363"/>
      <x:c r="B89" s="363"/>
      <x:c r="C89" s="363"/>
      <x:c r="D89" s="363"/>
      <x:c r="E89" s="6"/>
      <x:c r="F89" s="6"/>
      <x:c r="G89" s="6"/>
      <x:c r="H89" s="6"/>
      <x:c r="I89" s="6"/>
      <x:c r="J89" s="6"/>
      <x:c r="K89" s="6"/>
      <x:c r="L89" s="6"/>
      <x:c r="M89" s="6"/>
      <x:c r="N89" s="6"/>
      <x:c r="O89" s="6"/>
      <x:c r="P89" s="6"/>
      <x:c r="Q89" s="6"/>
      <x:c r="R89" s="6"/>
      <x:c r="S89" s="6"/>
      <x:c r="T89" s="6"/>
      <x:c r="U89" s="6"/>
      <x:c r="V89" s="6"/>
      <x:c r="W89" s="6"/>
      <x:c r="X89" s="6"/>
      <x:c r="Y89" s="6"/>
      <x:c r="Z89" s="6"/>
    </x:row>
    <x:row r="90" s="1" customFormat="1" ht="12.75" hidden="0" customHeight="1">
      <x:c r="A90" s="363"/>
      <x:c r="B90" s="363"/>
      <x:c r="C90" s="363"/>
      <x:c r="D90" s="363"/>
      <x:c r="E90" s="6"/>
      <x:c r="F90" s="6"/>
      <x:c r="G90" s="6"/>
      <x:c r="H90" s="6"/>
      <x:c r="I90" s="6"/>
      <x:c r="J90" s="6"/>
      <x:c r="K90" s="6"/>
      <x:c r="L90" s="6"/>
      <x:c r="M90" s="6"/>
      <x:c r="N90" s="6"/>
      <x:c r="O90" s="6"/>
      <x:c r="P90" s="6"/>
      <x:c r="Q90" s="6"/>
      <x:c r="R90" s="6"/>
      <x:c r="S90" s="6"/>
      <x:c r="T90" s="6"/>
      <x:c r="U90" s="6"/>
      <x:c r="V90" s="6"/>
      <x:c r="W90" s="6"/>
      <x:c r="X90" s="6"/>
      <x:c r="Y90" s="6"/>
      <x:c r="Z90" s="6"/>
    </x:row>
    <x:row r="91" s="1" customFormat="1" ht="12.75" hidden="0" customHeight="1">
      <x:c r="A91" s="363"/>
      <x:c r="B91" s="363"/>
      <x:c r="C91" s="363"/>
      <x:c r="D91" s="363"/>
      <x:c r="E91" s="6"/>
      <x:c r="F91" s="6"/>
      <x:c r="G91" s="6"/>
      <x:c r="H91" s="6"/>
      <x:c r="I91" s="6"/>
      <x:c r="J91" s="6"/>
      <x:c r="K91" s="6"/>
      <x:c r="L91" s="6"/>
      <x:c r="M91" s="6"/>
      <x:c r="N91" s="6"/>
      <x:c r="O91" s="6"/>
      <x:c r="P91" s="6"/>
      <x:c r="Q91" s="6"/>
      <x:c r="R91" s="6"/>
      <x:c r="S91" s="6"/>
      <x:c r="T91" s="6"/>
      <x:c r="U91" s="6"/>
      <x:c r="V91" s="6"/>
      <x:c r="W91" s="6"/>
      <x:c r="X91" s="6"/>
      <x:c r="Y91" s="6"/>
      <x:c r="Z91" s="6"/>
    </x:row>
    <x:row r="92" s="1" customFormat="1" ht="12.75" hidden="0" customHeight="1">
      <x:c r="A92" s="363"/>
      <x:c r="B92" s="363"/>
      <x:c r="C92" s="363"/>
      <x:c r="D92" s="363"/>
      <x:c r="E92" s="6"/>
      <x:c r="F92" s="6"/>
      <x:c r="G92" s="6"/>
      <x:c r="H92" s="6"/>
      <x:c r="I92" s="6"/>
      <x:c r="J92" s="6"/>
      <x:c r="K92" s="6"/>
      <x:c r="L92" s="6"/>
      <x:c r="M92" s="6"/>
      <x:c r="N92" s="6"/>
      <x:c r="O92" s="6"/>
      <x:c r="P92" s="6"/>
      <x:c r="Q92" s="6"/>
      <x:c r="R92" s="6"/>
      <x:c r="S92" s="6"/>
      <x:c r="T92" s="6"/>
      <x:c r="U92" s="6"/>
      <x:c r="V92" s="6"/>
      <x:c r="W92" s="6"/>
      <x:c r="X92" s="6"/>
      <x:c r="Y92" s="6"/>
      <x:c r="Z92" s="6"/>
    </x:row>
    <x:row r="93" s="1" customFormat="1" ht="12.75" hidden="0" customHeight="1">
      <x:c r="A93" s="363"/>
      <x:c r="B93" s="363"/>
      <x:c r="C93" s="363"/>
      <x:c r="D93" s="363"/>
      <x:c r="E93" s="6"/>
      <x:c r="F93" s="6"/>
      <x:c r="G93" s="6"/>
      <x:c r="H93" s="6"/>
      <x:c r="I93" s="6"/>
      <x:c r="J93" s="6"/>
      <x:c r="K93" s="6"/>
      <x:c r="L93" s="6"/>
      <x:c r="M93" s="6"/>
      <x:c r="N93" s="6"/>
      <x:c r="O93" s="6"/>
      <x:c r="P93" s="6"/>
      <x:c r="Q93" s="6"/>
      <x:c r="R93" s="6"/>
      <x:c r="S93" s="6"/>
      <x:c r="T93" s="6"/>
      <x:c r="U93" s="6"/>
      <x:c r="V93" s="6"/>
      <x:c r="W93" s="6"/>
      <x:c r="X93" s="6"/>
      <x:c r="Y93" s="6"/>
      <x:c r="Z93" s="6"/>
    </x:row>
    <x:row r="94" s="1" customFormat="1" ht="12.75" hidden="0" customHeight="1">
      <x:c r="A94" s="363"/>
      <x:c r="B94" s="363"/>
      <x:c r="C94" s="363"/>
      <x:c r="D94" s="363"/>
      <x:c r="E94" s="6"/>
      <x:c r="F94" s="6"/>
      <x:c r="G94" s="6"/>
      <x:c r="H94" s="6"/>
      <x:c r="I94" s="6"/>
      <x:c r="J94" s="6"/>
      <x:c r="K94" s="6"/>
      <x:c r="L94" s="6"/>
      <x:c r="M94" s="6"/>
      <x:c r="N94" s="6"/>
      <x:c r="O94" s="6"/>
      <x:c r="P94" s="6"/>
      <x:c r="Q94" s="6"/>
      <x:c r="R94" s="6"/>
      <x:c r="S94" s="6"/>
      <x:c r="T94" s="6"/>
      <x:c r="U94" s="6"/>
      <x:c r="V94" s="6"/>
      <x:c r="W94" s="6"/>
      <x:c r="X94" s="6"/>
      <x:c r="Y94" s="6"/>
      <x:c r="Z94" s="6"/>
    </x:row>
    <x:row r="95" s="1" customFormat="1" ht="12.75" hidden="0" customHeight="1">
      <x:c r="A95" s="363"/>
      <x:c r="B95" s="363"/>
      <x:c r="C95" s="363"/>
      <x:c r="D95" s="363"/>
      <x:c r="E95" s="6"/>
      <x:c r="F95" s="6"/>
      <x:c r="G95" s="6"/>
      <x:c r="H95" s="6"/>
      <x:c r="I95" s="6"/>
      <x:c r="J95" s="6"/>
      <x:c r="K95" s="6"/>
      <x:c r="L95" s="6"/>
      <x:c r="M95" s="6"/>
      <x:c r="N95" s="6"/>
      <x:c r="O95" s="6"/>
      <x:c r="P95" s="6"/>
      <x:c r="Q95" s="6"/>
      <x:c r="R95" s="6"/>
      <x:c r="S95" s="6"/>
      <x:c r="T95" s="6"/>
      <x:c r="U95" s="6"/>
      <x:c r="V95" s="6"/>
      <x:c r="W95" s="6"/>
      <x:c r="X95" s="6"/>
      <x:c r="Y95" s="6"/>
      <x:c r="Z95" s="6"/>
    </x:row>
    <x:row r="96" s="1" customFormat="1" ht="12.75" hidden="0" customHeight="1">
      <x:c r="A96" s="363"/>
      <x:c r="B96" s="363"/>
      <x:c r="C96" s="363"/>
      <x:c r="D96" s="363"/>
      <x:c r="E96" s="6"/>
      <x:c r="F96" s="6"/>
      <x:c r="G96" s="6"/>
      <x:c r="H96" s="6"/>
      <x:c r="I96" s="6"/>
      <x:c r="J96" s="6"/>
      <x:c r="K96" s="6"/>
      <x:c r="L96" s="6"/>
      <x:c r="M96" s="6"/>
      <x:c r="N96" s="6"/>
      <x:c r="O96" s="6"/>
      <x:c r="P96" s="6"/>
      <x:c r="Q96" s="6"/>
      <x:c r="R96" s="6"/>
      <x:c r="S96" s="6"/>
      <x:c r="T96" s="6"/>
      <x:c r="U96" s="6"/>
      <x:c r="V96" s="6"/>
      <x:c r="W96" s="6"/>
      <x:c r="X96" s="6"/>
      <x:c r="Y96" s="6"/>
      <x:c r="Z96" s="6"/>
    </x:row>
    <x:row r="97" s="1" customFormat="1" ht="12.75" hidden="0" customHeight="1">
      <x:c r="A97" s="363"/>
      <x:c r="B97" s="363"/>
      <x:c r="C97" s="363"/>
      <x:c r="D97" s="363"/>
      <x:c r="E97" s="6"/>
      <x:c r="F97" s="6"/>
      <x:c r="G97" s="6"/>
      <x:c r="H97" s="6"/>
      <x:c r="I97" s="6"/>
      <x:c r="J97" s="6"/>
      <x:c r="K97" s="6"/>
      <x:c r="L97" s="6"/>
      <x:c r="M97" s="6"/>
      <x:c r="N97" s="6"/>
      <x:c r="O97" s="6"/>
      <x:c r="P97" s="6"/>
      <x:c r="Q97" s="6"/>
      <x:c r="R97" s="6"/>
      <x:c r="S97" s="6"/>
      <x:c r="T97" s="6"/>
      <x:c r="U97" s="6"/>
      <x:c r="V97" s="6"/>
      <x:c r="W97" s="6"/>
      <x:c r="X97" s="6"/>
      <x:c r="Y97" s="6"/>
      <x:c r="Z97" s="6"/>
    </x:row>
    <x:row r="98" s="1" customFormat="1" ht="12.75" hidden="0" customHeight="1">
      <x:c r="A98" s="363"/>
      <x:c r="B98" s="363"/>
      <x:c r="C98" s="363"/>
      <x:c r="D98" s="363"/>
      <x:c r="E98" s="6"/>
      <x:c r="F98" s="6"/>
      <x:c r="G98" s="6"/>
      <x:c r="H98" s="6"/>
      <x:c r="I98" s="6"/>
      <x:c r="J98" s="6"/>
      <x:c r="K98" s="6"/>
      <x:c r="L98" s="6"/>
      <x:c r="M98" s="6"/>
      <x:c r="N98" s="6"/>
      <x:c r="O98" s="6"/>
      <x:c r="P98" s="6"/>
      <x:c r="Q98" s="6"/>
      <x:c r="R98" s="6"/>
      <x:c r="S98" s="6"/>
      <x:c r="T98" s="6"/>
      <x:c r="U98" s="6"/>
      <x:c r="V98" s="6"/>
      <x:c r="W98" s="6"/>
      <x:c r="X98" s="6"/>
      <x:c r="Y98" s="6"/>
      <x:c r="Z98" s="6"/>
    </x:row>
    <x:row r="99" s="1" customFormat="1" ht="12.75" hidden="0" customHeight="1">
      <x:c r="A99" s="363"/>
      <x:c r="B99" s="363"/>
      <x:c r="C99" s="363"/>
      <x:c r="D99" s="363"/>
      <x:c r="E99" s="6"/>
      <x:c r="F99" s="6"/>
      <x:c r="G99" s="6"/>
      <x:c r="H99" s="6"/>
      <x:c r="I99" s="6"/>
      <x:c r="J99" s="6"/>
      <x:c r="K99" s="6"/>
      <x:c r="L99" s="6"/>
      <x:c r="M99" s="6"/>
      <x:c r="N99" s="6"/>
      <x:c r="O99" s="6"/>
      <x:c r="P99" s="6"/>
      <x:c r="Q99" s="6"/>
      <x:c r="R99" s="6"/>
      <x:c r="S99" s="6"/>
      <x:c r="T99" s="6"/>
      <x:c r="U99" s="6"/>
      <x:c r="V99" s="6"/>
      <x:c r="W99" s="6"/>
      <x:c r="X99" s="6"/>
      <x:c r="Y99" s="6"/>
      <x:c r="Z99" s="6"/>
    </x:row>
    <x:row r="100" s="1" customFormat="1" ht="12.75" hidden="0" customHeight="1">
      <x:c r="A100" s="363"/>
      <x:c r="B100" s="363"/>
      <x:c r="C100" s="363"/>
      <x:c r="D100" s="363"/>
      <x:c r="E100" s="6"/>
      <x:c r="F100" s="6"/>
      <x:c r="G100" s="6"/>
      <x:c r="H100" s="6"/>
      <x:c r="I100" s="6"/>
      <x:c r="J100" s="6"/>
      <x:c r="K100" s="6"/>
      <x:c r="L100" s="6"/>
      <x:c r="M100" s="6"/>
      <x:c r="N100" s="6"/>
      <x:c r="O100" s="6"/>
      <x:c r="P100" s="6"/>
      <x:c r="Q100" s="6"/>
      <x:c r="R100" s="6"/>
      <x:c r="S100" s="6"/>
      <x:c r="T100" s="6"/>
      <x:c r="U100" s="6"/>
      <x:c r="V100" s="6"/>
      <x:c r="W100" s="6"/>
      <x:c r="X100" s="6"/>
      <x:c r="Y100" s="6"/>
      <x:c r="Z100" s="6"/>
    </x:row>
    <x:row r="101" s="1" customFormat="1" ht="12.75" hidden="0" customHeight="1">
      <x:c r="A101" s="363"/>
      <x:c r="B101" s="363"/>
      <x:c r="C101" s="363"/>
      <x:c r="D101" s="363"/>
      <x:c r="E101" s="6"/>
      <x:c r="F101" s="6"/>
      <x:c r="G101" s="6"/>
      <x:c r="H101" s="6"/>
      <x:c r="I101" s="6"/>
      <x:c r="J101" s="6"/>
      <x:c r="K101" s="6"/>
      <x:c r="L101" s="6"/>
      <x:c r="M101" s="6"/>
      <x:c r="N101" s="6"/>
      <x:c r="O101" s="6"/>
      <x:c r="P101" s="6"/>
      <x:c r="Q101" s="6"/>
      <x:c r="R101" s="6"/>
      <x:c r="S101" s="6"/>
      <x:c r="T101" s="6"/>
      <x:c r="U101" s="6"/>
      <x:c r="V101" s="6"/>
      <x:c r="W101" s="6"/>
      <x:c r="X101" s="6"/>
      <x:c r="Y101" s="6"/>
      <x:c r="Z101" s="6"/>
    </x:row>
    <x:row r="102" s="1" customFormat="1" ht="12.75" hidden="0" customHeight="1">
      <x:c r="A102" s="363"/>
      <x:c r="B102" s="363"/>
      <x:c r="C102" s="363"/>
      <x:c r="D102" s="363"/>
      <x:c r="E102" s="6"/>
      <x:c r="F102" s="6"/>
      <x:c r="G102" s="6"/>
      <x:c r="H102" s="6"/>
      <x:c r="I102" s="6"/>
      <x:c r="J102" s="6"/>
      <x:c r="K102" s="6"/>
      <x:c r="L102" s="6"/>
      <x:c r="M102" s="6"/>
      <x:c r="N102" s="6"/>
      <x:c r="O102" s="6"/>
      <x:c r="P102" s="6"/>
      <x:c r="Q102" s="6"/>
      <x:c r="R102" s="6"/>
      <x:c r="S102" s="6"/>
      <x:c r="T102" s="6"/>
      <x:c r="U102" s="6"/>
      <x:c r="V102" s="6"/>
      <x:c r="W102" s="6"/>
      <x:c r="X102" s="6"/>
      <x:c r="Y102" s="6"/>
      <x:c r="Z102" s="6"/>
    </x:row>
    <x:row r="103" s="1" customFormat="1" ht="82" hidden="0" customHeight="1">
      <x:c r="A103" s="360" t="s">
        <x:v>127</x:v>
      </x:c>
      <x:c r="B103" s="362" t="s">
        <x:v>128</x:v>
      </x:c>
      <x:c r="C103" s="363"/>
      <x:c r="D103" s="363"/>
      <x:c r="E103" s="6"/>
      <x:c r="F103" s="6"/>
      <x:c r="G103" s="6"/>
      <x:c r="H103" s="6"/>
      <x:c r="I103" s="6"/>
      <x:c r="J103" s="6"/>
      <x:c r="K103" s="6"/>
      <x:c r="L103" s="6"/>
      <x:c r="M103" s="6"/>
      <x:c r="N103" s="6"/>
      <x:c r="O103" s="6"/>
      <x:c r="P103" s="6"/>
      <x:c r="Q103" s="6"/>
      <x:c r="R103" s="6"/>
      <x:c r="S103" s="6"/>
      <x:c r="T103" s="6"/>
      <x:c r="U103" s="6"/>
      <x:c r="V103" s="6"/>
      <x:c r="W103" s="6"/>
      <x:c r="X103" s="6"/>
      <x:c r="Y103" s="6"/>
      <x:c r="Z103" s="6"/>
    </x:row>
    <x:row r="104" ht="84" hidden="0" customHeight="1">
      <x:c r="A104" s="363" t="s">
        <x:v>129</x:v>
      </x:c>
      <x:c r="B104" s="363" t="s">
        <x:v>130</x:v>
      </x:c>
      <x:c r="C104" s="363" t="s">
        <x:v>131</x:v>
      </x:c>
      <x:c r="D104" s="363" t="s">
        <x:v>132</x:v>
      </x:c>
    </x:row>
    <x:row r="105" ht="68.6500015258789" hidden="0">
      <x:c r="A105" s="403" t="s">
        <x:v>133</x:v>
      </x:c>
      <x:c r="B105" s="403" t="s">
        <x:v>134</x:v>
      </x:c>
      <x:c r="C105" s="403" t="s">
        <x:v>135</x:v>
      </x:c>
      <x:c r="D105" s="403" t="s">
        <x:v>136</x:v>
      </x:c>
    </x:row>
    <x:row r="106" ht="48" hidden="0" customHeight="1">
      <x:c r="A106" s="397" t="s">
        <x:v>137</x:v>
      </x:c>
      <x:c r="B106" s="397" t="s">
        <x:v>138</x:v>
      </x:c>
      <x:c r="C106" s="397" t="s">
        <x:v>139</x:v>
      </x:c>
      <x:c r="D106" s="397" t="s">
        <x:v>140</x:v>
      </x:c>
    </x:row>
    <x:row r="107" ht="108" hidden="0" customHeight="1">
      <x:c r="A107" s="397" t="s">
        <x:v>141</x:v>
      </x:c>
      <x:c r="B107" s="397" t="s">
        <x:v>142</x:v>
      </x:c>
      <x:c r="C107" s="397" t="s">
        <x:v>143</x:v>
      </x:c>
      <x:c r="D107" s="397" t="s">
        <x:v>144</x:v>
      </x:c>
    </x:row>
    <x:row r="108" ht="105" hidden="0" customHeight="1">
      <x:c r="A108" s="397" t="s">
        <x:v>145</x:v>
      </x:c>
      <x:c r="B108" s="397" t="s">
        <x:v>146</x:v>
      </x:c>
      <x:c r="C108" s="397" t="s">
        <x:v>147</x:v>
      </x:c>
      <x:c r="D108" s="397" t="s">
        <x:v>148</x:v>
      </x:c>
    </x:row>
  </x:sheetData>
  <x:mergeCells>
    <x:mergeCell ref="A1:D1"/>
  </x:mergeCells>
  <x:pageMargins left="0.7" right="0.7" top="0.75" bottom="0.75" header="0.3" footer="0.3"/>
</x:worksheet>
</file>

<file path=xl/worksheets/sheet3.xml><?xml version="1.0" encoding="utf-8"?>
<x:worksheet xmlns:x="http://schemas.openxmlformats.org/spreadsheetml/2006/main">
  <x:sheetViews>
    <x:sheetView showGridLines="1" workbookViewId="0"/>
  </x:sheetViews>
  <x:sheetFormatPr defaultColWidth="8.6796875" defaultRowHeight="15"/>
  <x:cols>
    <x:col min="1" max="1" width="34" hidden="0" customWidth="1"/>
    <x:col min="2" max="2" width="50" hidden="0" customWidth="1"/>
  </x:cols>
  <x:sheetData>
    <x:row r="1" ht="44" hidden="0" customHeight="1">
      <x:c r="A1" s="13" t="s">
        <x:v>149</x:v>
      </x:c>
      <x:c r="B1" s="13" t="s">
        <x:v>150</x:v>
      </x:c>
    </x:row>
    <x:row r="2" ht="78" hidden="0" customHeight="1">
      <x:c r="A2" s="25" t="s">
        <x:v>151</x:v>
      </x:c>
      <x:c r="B2" s="25" t="s">
        <x:v>152</x:v>
      </x:c>
    </x:row>
    <x:row r="3" ht="42" hidden="0" customHeight="1">
      <x:c r="A3" s="25" t="s">
        <x:v>153</x:v>
      </x:c>
      <x:c r="B3" s="25" t="s">
        <x:v>154</x:v>
      </x:c>
    </x:row>
    <x:row r="4" ht="150" hidden="0" customHeight="1">
      <x:c r="A4" s="25" t="s">
        <x:v>155</x:v>
      </x:c>
      <x:c r="B4" s="25" t="str">
        <x:v>Canon v12.6 / SGP v8.5 / ripple.md v5.5 / Agent v12.5 / CSV v2.4 / Cascade v2.6 / Reproducibility v1.4 / WDBIP v1.6 / RLS Validation Protocol v2.6 / Primer v4.4 / Public Introduction v12.6 / PC-AEP v2.3 / MFDI v2.3 / Source-Coupling v2.3 / Aligners Sheet v5.6</x:v>
      </x:c>
    </x:row>
    <x:row r="5" ht="48" hidden="0" customHeight="1">
      <x:c r="A5" s="25" t="s">
        <x:v>156</x:v>
      </x:c>
      <x:c r="B5" s="25" t="s">
        <x:v>157</x:v>
      </x:c>
    </x:row>
    <x:row r="6" ht="90" hidden="0" customHeight="1">
      <x:c r="A6" s="25" t="s">
        <x:v>158</x:v>
      </x:c>
      <x:c r="B6" s="25" t="s">
        <x:v>159</x:v>
      </x:c>
    </x:row>
    <x:row r="7" ht="100" hidden="0" customHeight="1">
      <x:c r="A7" s="25" t="s">
        <x:v>88</x:v>
      </x:c>
      <x:c r="B7" s="25" t="s">
        <x:v>160</x:v>
      </x:c>
    </x:row>
    <x:row r="8" ht="15" hidden="0">
      <x:c r="A8" s="25"/>
      <x:c r="B8" s="25"/>
    </x:row>
    <x:row r="9" ht="15" hidden="0">
      <x:c r="A9" s="25" t="s">
        <x:v>161</x:v>
      </x:c>
      <x:c r="B9" s="25" t="s">
        <x:v>162</x:v>
      </x:c>
    </x:row>
    <x:row r="10" ht="15" hidden="0">
      <x:c r="A10" s="25" t="s">
        <x:v>163</x:v>
      </x:c>
      <x:c r="B10" s="25" t="s">
        <x:v>164</x:v>
      </x:c>
    </x:row>
    <x:row r="11" ht="15" hidden="0">
      <x:c r="A11" s="25" t="s">
        <x:v>165</x:v>
      </x:c>
      <x:c r="B11" s="25" t="s">
        <x:v>166</x:v>
      </x:c>
    </x:row>
    <x:row r="12" ht="15" hidden="0">
      <x:c r="A12" s="25" t="s">
        <x:v>167</x:v>
      </x:c>
      <x:c r="B12" s="25" t="s">
        <x:v>168</x:v>
      </x:c>
    </x:row>
    <x:row r="13" ht="15" hidden="0">
      <x:c r="A13" s="25" t="s">
        <x:v>169</x:v>
      </x:c>
      <x:c r="B13" s="25" t="str">
        <x:v>v12.5</x:v>
      </x:c>
    </x:row>
    <x:row r="14" ht="15" hidden="0">
      <x:c r="A14" s="25" t="s">
        <x:v>170</x:v>
      </x:c>
      <x:c r="B14" s="25" t="s">
        <x:v>171</x:v>
      </x:c>
    </x:row>
    <x:row r="15" ht="15" hidden="0">
      <x:c r="A15" s="25" t="s">
        <x:v>172</x:v>
      </x:c>
      <x:c r="B15" s="25" t="s">
        <x:v>173</x:v>
      </x:c>
    </x:row>
    <x:row r="16" ht="15" hidden="0">
      <x:c r="A16" s="25" t="s">
        <x:v>174</x:v>
      </x:c>
      <x:c r="B16" s="25" t="s">
        <x:v>175</x:v>
      </x:c>
    </x:row>
    <x:row r="17" ht="15" hidden="0">
      <x:c r="A17" s="25" t="s">
        <x:v>176</x:v>
      </x:c>
      <x:c r="B17" s="25" t="s">
        <x:v>177</x:v>
      </x:c>
    </x:row>
    <x:row r="18" ht="15" hidden="0">
      <x:c r="A18" s="25" t="s">
        <x:v>178</x:v>
      </x:c>
      <x:c r="B18" s="25" t="s">
        <x:v>173</x:v>
      </x:c>
    </x:row>
    <x:row r="19" ht="15" hidden="0">
      <x:c r="A19" s="25" t="s">
        <x:v>179</x:v>
      </x:c>
      <x:c r="B19" s="25" t="s">
        <x:v>180</x:v>
      </x:c>
    </x:row>
    <x:row r="20" ht="15" hidden="0">
      <x:c r="A20" s="25" t="s">
        <x:v>181</x:v>
      </x:c>
      <x:c r="B20" s="25" t="s">
        <x:v>164</x:v>
      </x:c>
    </x:row>
    <x:row r="21" ht="15" hidden="0">
      <x:c r="A21" s="25" t="s">
        <x:v>182</x:v>
      </x:c>
      <x:c r="B21" s="25" t="s">
        <x:v>183</x:v>
      </x:c>
    </x:row>
    <x:row r="22" ht="15" hidden="0">
      <x:c r="A22" s="25" t="s">
        <x:v>184</x:v>
      </x:c>
      <x:c r="B22" s="25" t="s">
        <x:v>183</x:v>
      </x:c>
    </x:row>
    <x:row r="23" ht="15" hidden="0">
      <x:c r="A23" s="25" t="s">
        <x:v>185</x:v>
      </x:c>
      <x:c r="B23" s="25" t="s">
        <x:v>183</x:v>
      </x:c>
    </x:row>
    <x:row r="24" ht="15" hidden="0">
      <x:c r="A24" s="25" t="s">
        <x:v>186</x:v>
      </x:c>
      <x:c r="B24" s="25" t="s">
        <x:v>43</x:v>
      </x:c>
    </x:row>
    <x:row r="25" ht="23.850000381469727" hidden="0">
      <x:c r="A25" s="25" t="s">
        <x:v>187</x:v>
      </x:c>
      <x:c r="B25" s="25" t="s">
        <x:v>188</x:v>
      </x:c>
    </x:row>
    <x:row r="26" ht="23.850000381469727" hidden="0">
      <x:c r="A26" s="25" t="s">
        <x:v>189</x:v>
      </x:c>
      <x:c r="B26" s="25" t="s">
        <x:v>190</x:v>
      </x:c>
    </x:row>
    <x:row r="27" ht="15" hidden="0">
      <x:c r="A27" t="s">
        <x:v>191</x:v>
      </x:c>
      <x:c r="B27" t="s">
        <x:v>192</x:v>
      </x:c>
    </x:row>
  </x:sheetData>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defaultColWidth="8.66796875" defaultRowHeight="14.25"/>
  <x:cols>
    <x:col min="1" max="1" width="36" style="1" hidden="0" customWidth="1"/>
    <x:col min="2" max="2" width="34" style="1" hidden="0" customWidth="1"/>
    <x:col min="3" max="3" width="58" style="1" hidden="0" customWidth="1"/>
    <x:col min="4" max="4" width="25" style="1" hidden="0" customWidth="1"/>
    <x:col min="5" max="5" width="16" style="1" hidden="0" customWidth="1"/>
    <x:col min="6" max="6" width="34" style="1" hidden="0" customWidth="1"/>
    <x:col min="7" max="7" width="25" style="1" hidden="0" customWidth="1"/>
    <x:col min="8" max="8" width="55" style="1" hidden="0" customWidth="1"/>
    <x:col min="9" max="26" width="16" style="1" hidden="0" customWidth="1"/>
  </x:cols>
  <x:sheetData>
    <x:row r="1" s="1" customFormat="1" ht="30" hidden="0" customHeight="1">
      <x:c r="A1" s="2" t="s">
        <x:v>193</x:v>
      </x:c>
      <x:c r="B1" s="2"/>
      <x:c r="C1" s="2"/>
      <x:c r="D1" s="2"/>
      <x:c r="E1" s="26"/>
      <x:c r="F1" s="2" t="s">
        <x:v>194</x:v>
      </x:c>
      <x:c r="G1" s="2" t="s">
        <x:v>195</x:v>
      </x:c>
      <x:c r="H1" s="2" t="s">
        <x:v>196</x:v>
      </x:c>
      <x:c r="I1" s="3"/>
      <x:c r="J1" s="3"/>
      <x:c r="K1" s="3"/>
      <x:c r="L1" s="3"/>
      <x:c r="M1" s="3"/>
      <x:c r="N1" s="3"/>
      <x:c r="O1" s="3"/>
      <x:c r="P1" s="3"/>
      <x:c r="Q1" s="3"/>
      <x:c r="R1" s="3"/>
      <x:c r="S1" s="3"/>
      <x:c r="T1" s="3"/>
      <x:c r="U1" s="3"/>
      <x:c r="V1" s="3"/>
      <x:c r="W1" s="3"/>
      <x:c r="X1" s="3"/>
      <x:c r="Y1" s="3"/>
      <x:c r="Z1" s="3"/>
    </x:row>
    <x:row r="2" s="1" customFormat="1" ht="40" hidden="0" customHeight="1">
      <x:c r="A2" s="4" t="s">
        <x:v>197</x:v>
      </x:c>
      <x:c r="B2" s="4"/>
      <x:c r="C2" s="4"/>
      <x:c r="D2" s="4"/>
      <x:c r="E2" s="27"/>
      <x:c r="F2" s="5" t="s">
        <x:v>198</x:v>
      </x:c>
      <x:c r="G2" s="5" t="s">
        <x:v>199</x:v>
      </x:c>
      <x:c r="H2" s="27"/>
      <x:c r="I2" s="6"/>
      <x:c r="J2" s="6"/>
      <x:c r="K2" s="6"/>
      <x:c r="L2" s="6"/>
      <x:c r="M2" s="6"/>
      <x:c r="N2" s="6"/>
      <x:c r="O2" s="6"/>
      <x:c r="P2" s="6"/>
      <x:c r="Q2" s="6"/>
      <x:c r="R2" s="6"/>
      <x:c r="S2" s="6"/>
      <x:c r="T2" s="6"/>
      <x:c r="U2" s="6"/>
      <x:c r="V2" s="6"/>
      <x:c r="W2" s="6"/>
      <x:c r="X2" s="6"/>
      <x:c r="Y2" s="6"/>
      <x:c r="Z2" s="6"/>
    </x:row>
    <x:row r="3" s="1" customFormat="1" ht="40" hidden="0" customHeight="1">
      <x:c r="A3" s="7" t="s">
        <x:v>200</x:v>
      </x:c>
      <x:c r="B3" s="7"/>
      <x:c r="C3" s="7"/>
      <x:c r="D3" s="7"/>
      <x:c r="E3" s="27"/>
      <x:c r="F3" s="28" t="s">
        <x:v>201</x:v>
      </x:c>
      <x:c r="G3" s="28" t="s">
        <x:v>202</x:v>
      </x:c>
      <x:c r="H3" s="27"/>
      <x:c r="I3" s="6"/>
      <x:c r="J3" s="6"/>
      <x:c r="K3" s="6"/>
      <x:c r="L3" s="6"/>
      <x:c r="M3" s="6"/>
      <x:c r="N3" s="6"/>
      <x:c r="O3" s="6"/>
      <x:c r="P3" s="6"/>
      <x:c r="Q3" s="6"/>
      <x:c r="R3" s="6"/>
      <x:c r="S3" s="6"/>
      <x:c r="T3" s="6"/>
      <x:c r="U3" s="6"/>
      <x:c r="V3" s="6"/>
      <x:c r="W3" s="6"/>
      <x:c r="X3" s="6"/>
      <x:c r="Y3" s="6"/>
      <x:c r="Z3" s="6"/>
    </x:row>
    <x:row r="4" s="1" customFormat="1" ht="15" hidden="0" customHeight="1">
      <x:c r="A4" s="7" t="s">
        <x:v>203</x:v>
      </x:c>
      <x:c r="B4" s="6"/>
      <x:c r="C4" s="6"/>
      <x:c r="D4" s="6"/>
      <x:c r="E4" s="6"/>
      <x:c r="F4" s="5" t="s">
        <x:v>204</x:v>
      </x:c>
      <x:c r="G4" s="5" t="s">
        <x:v>205</x:v>
      </x:c>
      <x:c r="H4" s="6"/>
      <x:c r="I4" s="6"/>
      <x:c r="J4" s="6"/>
      <x:c r="K4" s="6"/>
      <x:c r="L4" s="6"/>
      <x:c r="M4" s="6"/>
      <x:c r="N4" s="6"/>
      <x:c r="O4" s="6"/>
      <x:c r="P4" s="6"/>
      <x:c r="Q4" s="6"/>
      <x:c r="R4" s="6"/>
      <x:c r="S4" s="6"/>
      <x:c r="T4" s="6"/>
      <x:c r="U4" s="6"/>
      <x:c r="V4" s="6"/>
      <x:c r="W4" s="6"/>
      <x:c r="X4" s="6"/>
      <x:c r="Y4" s="6"/>
      <x:c r="Z4" s="6"/>
    </x:row>
    <x:row r="5" s="1" customFormat="1" ht="15" hidden="0" customHeight="1">
      <x:c r="A5" s="7" t="s">
        <x:v>206</x:v>
      </x:c>
      <x:c r="B5" s="9" t="s">
        <x:v>55</x:v>
      </x:c>
      <x:c r="C5" s="10"/>
      <x:c r="D5" s="10"/>
      <x:c r="E5" s="10"/>
      <x:c r="F5" s="9" t="s">
        <x:v>207</x:v>
      </x:c>
      <x:c r="G5" s="9" t="s">
        <x:v>208</x:v>
      </x:c>
      <x:c r="H5" s="10"/>
      <x:c r="I5" s="6"/>
      <x:c r="J5" s="6"/>
      <x:c r="K5" s="6"/>
      <x:c r="L5" s="6"/>
      <x:c r="M5" s="6"/>
      <x:c r="N5" s="6"/>
      <x:c r="O5" s="6"/>
      <x:c r="P5" s="6"/>
      <x:c r="Q5" s="6"/>
      <x:c r="R5" s="6"/>
      <x:c r="S5" s="6"/>
      <x:c r="T5" s="6"/>
      <x:c r="U5" s="6"/>
      <x:c r="V5" s="6"/>
      <x:c r="W5" s="6"/>
      <x:c r="X5" s="6"/>
      <x:c r="Y5" s="6"/>
      <x:c r="Z5" s="6"/>
    </x:row>
    <x:row r="6" s="1" customFormat="1" ht="15" hidden="0" customHeight="1">
      <x:c r="A6" s="7" t="s">
        <x:v>209</x:v>
      </x:c>
      <x:c r="B6" s="5" t="s">
        <x:v>210</x:v>
      </x:c>
      <x:c r="C6" s="6"/>
      <x:c r="D6" s="6"/>
      <x:c r="E6" s="6"/>
      <x:c r="F6" s="5" t="s">
        <x:v>211</x:v>
      </x:c>
      <x:c r="G6" s="5" t="s">
        <x:v>212</x:v>
      </x:c>
      <x:c r="H6" s="6"/>
      <x:c r="I6" s="6"/>
      <x:c r="J6" s="6"/>
      <x:c r="K6" s="6"/>
      <x:c r="L6" s="6"/>
      <x:c r="M6" s="6"/>
      <x:c r="N6" s="6"/>
      <x:c r="O6" s="6"/>
      <x:c r="P6" s="6"/>
      <x:c r="Q6" s="6"/>
      <x:c r="R6" s="6"/>
      <x:c r="S6" s="6"/>
      <x:c r="T6" s="6"/>
      <x:c r="U6" s="6"/>
      <x:c r="V6" s="6"/>
      <x:c r="W6" s="6"/>
      <x:c r="X6" s="6"/>
      <x:c r="Y6" s="6"/>
      <x:c r="Z6" s="6"/>
    </x:row>
    <x:row r="7" s="1" customFormat="1" ht="15" hidden="0" customHeight="1">
      <x:c r="A7" s="7" t="s">
        <x:v>213</x:v>
      </x:c>
      <x:c r="B7" s="8" t="s">
        <x:v>168</x:v>
      </x:c>
      <x:c r="C7" s="6"/>
      <x:c r="D7" s="6"/>
      <x:c r="E7" s="6"/>
      <x:c r="F7" s="8" t="s">
        <x:v>214</x:v>
      </x:c>
      <x:c r="G7" s="8" t="s">
        <x:v>215</x:v>
      </x:c>
      <x:c r="H7" s="6"/>
      <x:c r="I7" s="6"/>
      <x:c r="J7" s="6"/>
      <x:c r="K7" s="6"/>
      <x:c r="L7" s="6"/>
      <x:c r="M7" s="6"/>
      <x:c r="N7" s="6"/>
      <x:c r="O7" s="6"/>
      <x:c r="P7" s="6"/>
      <x:c r="Q7" s="6"/>
      <x:c r="R7" s="6"/>
      <x:c r="S7" s="6"/>
      <x:c r="T7" s="6"/>
      <x:c r="U7" s="6"/>
      <x:c r="V7" s="6"/>
      <x:c r="W7" s="6"/>
      <x:c r="X7" s="6"/>
      <x:c r="Y7" s="6"/>
      <x:c r="Z7" s="6"/>
    </x:row>
    <x:row r="8" s="1" customFormat="1" ht="13.5" hidden="0" customHeight="1">
      <x:c r="A8" s="7" t="s">
        <x:v>216</x:v>
      </x:c>
      <x:c r="B8" s="5" t="str">
        <x:v>RippleLogic Agent System v12.5</x:v>
      </x:c>
      <x:c r="C8" s="6"/>
      <x:c r="D8" s="6"/>
      <x:c r="E8" s="6"/>
      <x:c r="F8" s="5" t="s">
        <x:v>217</x:v>
      </x:c>
      <x:c r="G8" s="5" t="s">
        <x:v>218</x:v>
      </x:c>
      <x:c r="H8" s="6"/>
      <x:c r="I8" s="6"/>
      <x:c r="J8" s="6"/>
      <x:c r="K8" s="6"/>
      <x:c r="L8" s="6"/>
      <x:c r="M8" s="6"/>
      <x:c r="N8" s="6"/>
      <x:c r="O8" s="6"/>
      <x:c r="P8" s="6"/>
      <x:c r="Q8" s="6"/>
      <x:c r="R8" s="6"/>
      <x:c r="S8" s="6"/>
      <x:c r="T8" s="6"/>
      <x:c r="U8" s="6"/>
      <x:c r="V8" s="6"/>
      <x:c r="W8" s="6"/>
      <x:c r="X8" s="6"/>
      <x:c r="Y8" s="6"/>
      <x:c r="Z8" s="6"/>
    </x:row>
    <x:row r="9" s="1" customFormat="1" ht="28" hidden="0" customHeight="1">
      <x:c r="A9" s="7" t="s">
        <x:v>219</x:v>
      </x:c>
      <x:c r="B9" s="6"/>
      <x:c r="C9" s="6"/>
      <x:c r="D9" s="6"/>
      <x:c r="E9" s="6"/>
      <x:c r="F9" s="29" t="s">
        <x:v>220</x:v>
      </x:c>
      <x:c r="G9" s="29"/>
      <x:c r="H9" s="29"/>
      <x:c r="I9" s="6"/>
      <x:c r="J9" s="6"/>
      <x:c r="K9" s="6"/>
      <x:c r="L9" s="6"/>
      <x:c r="M9" s="6"/>
      <x:c r="N9" s="6"/>
      <x:c r="O9" s="6"/>
      <x:c r="P9" s="6"/>
      <x:c r="Q9" s="6"/>
      <x:c r="R9" s="6"/>
      <x:c r="S9" s="6"/>
      <x:c r="T9" s="6"/>
      <x:c r="U9" s="6"/>
      <x:c r="V9" s="6"/>
      <x:c r="W9" s="6"/>
      <x:c r="X9" s="6"/>
      <x:c r="Y9" s="6"/>
      <x:c r="Z9" s="6"/>
    </x:row>
    <x:row r="10" s="1" customFormat="1" ht="32" hidden="0" customHeight="1">
      <x:c r="A10" s="7" t="s">
        <x:v>221</x:v>
      </x:c>
      <x:c r="B10" s="5" t="n">
        <x:v>2</x:v>
      </x:c>
      <x:c r="C10" s="5" t="s">
        <x:v>222</x:v>
      </x:c>
      <x:c r="D10" s="6"/>
      <x:c r="E10" s="6"/>
      <x:c r="F10" s="30" t="s">
        <x:v>223</x:v>
      </x:c>
      <x:c r="G10" s="31" t="s">
        <x:v>224</x:v>
      </x:c>
      <x:c r="H10" s="32" t="s">
        <x:v>225</x:v>
      </x:c>
      <x:c r="I10" s="6"/>
      <x:c r="J10" s="6"/>
      <x:c r="K10" s="6"/>
      <x:c r="L10" s="6"/>
      <x:c r="M10" s="6"/>
      <x:c r="N10" s="6"/>
      <x:c r="O10" s="6"/>
      <x:c r="P10" s="6"/>
      <x:c r="Q10" s="6"/>
      <x:c r="R10" s="6"/>
      <x:c r="S10" s="6"/>
      <x:c r="T10" s="6"/>
      <x:c r="U10" s="6"/>
      <x:c r="V10" s="6"/>
      <x:c r="W10" s="6"/>
      <x:c r="X10" s="6"/>
      <x:c r="Y10" s="6"/>
      <x:c r="Z10" s="6"/>
    </x:row>
    <x:row r="11" s="1" customFormat="1" ht="32" hidden="0" customHeight="1">
      <x:c r="A11" s="7" t="s">
        <x:v>226</x:v>
      </x:c>
      <x:c r="B11" s="8" t="s">
        <x:v>227</x:v>
      </x:c>
      <x:c r="C11" s="8" t="s">
        <x:v>228</x:v>
      </x:c>
      <x:c r="D11" s="6"/>
      <x:c r="E11" s="6"/>
      <x:c r="F11" s="33" t="s">
        <x:v>229</x:v>
      </x:c>
      <x:c r="G11" s="34" t="s">
        <x:v>230</x:v>
      </x:c>
      <x:c r="H11" s="35" t="s">
        <x:v>231</x:v>
      </x:c>
      <x:c r="I11" s="6"/>
      <x:c r="J11" s="6"/>
      <x:c r="K11" s="6"/>
      <x:c r="L11" s="6"/>
      <x:c r="M11" s="6"/>
      <x:c r="N11" s="6"/>
      <x:c r="O11" s="6"/>
      <x:c r="P11" s="6"/>
      <x:c r="Q11" s="6"/>
      <x:c r="R11" s="6"/>
      <x:c r="S11" s="6"/>
      <x:c r="T11" s="6"/>
      <x:c r="U11" s="6"/>
      <x:c r="V11" s="6"/>
      <x:c r="W11" s="6"/>
      <x:c r="X11" s="6"/>
      <x:c r="Y11" s="6"/>
      <x:c r="Z11" s="6"/>
    </x:row>
    <x:row r="12" s="1" customFormat="1" ht="32" hidden="0" customHeight="1">
      <x:c r="A12" s="7" t="s">
        <x:v>232</x:v>
      </x:c>
      <x:c r="B12" s="5" t="s">
        <x:v>233</x:v>
      </x:c>
      <x:c r="C12" s="5" t="s">
        <x:v>234</x:v>
      </x:c>
      <x:c r="D12" s="6"/>
      <x:c r="E12" s="6"/>
      <x:c r="F12" s="33" t="s">
        <x:v>235</x:v>
      </x:c>
      <x:c r="G12" s="36" t="n">
        <x:v>3.56551781265359</x:v>
      </x:c>
      <x:c r="H12" s="35" t="s">
        <x:v>236</x:v>
      </x:c>
      <x:c r="I12" s="6"/>
      <x:c r="J12" s="6"/>
      <x:c r="K12" s="6"/>
      <x:c r="L12" s="6"/>
      <x:c r="M12" s="6"/>
      <x:c r="N12" s="6"/>
      <x:c r="O12" s="6"/>
      <x:c r="P12" s="6"/>
      <x:c r="Q12" s="6"/>
      <x:c r="R12" s="6"/>
      <x:c r="S12" s="6"/>
      <x:c r="T12" s="6"/>
      <x:c r="U12" s="6"/>
      <x:c r="V12" s="6"/>
      <x:c r="W12" s="6"/>
      <x:c r="X12" s="6"/>
      <x:c r="Y12" s="6"/>
      <x:c r="Z12" s="6"/>
    </x:row>
    <x:row r="13" s="1" customFormat="1" ht="32" hidden="0" customHeight="1">
      <x:c r="A13" s="7" t="s">
        <x:v>237</x:v>
      </x:c>
      <x:c r="B13" s="8" t="n">
        <x:v>1</x:v>
      </x:c>
      <x:c r="C13" s="8" t="s">
        <x:v>238</x:v>
      </x:c>
      <x:c r="D13" s="6"/>
      <x:c r="E13" s="6"/>
      <x:c r="F13" s="37" t="s">
        <x:v>239</x:v>
      </x:c>
      <x:c r="G13" s="38" t="s">
        <x:v>240</x:v>
      </x:c>
      <x:c r="H13" s="39" t="s">
        <x:v>241</x:v>
      </x:c>
      <x:c r="I13" s="6"/>
      <x:c r="J13" s="6"/>
      <x:c r="K13" s="6"/>
      <x:c r="L13" s="6"/>
      <x:c r="M13" s="6"/>
      <x:c r="N13" s="6"/>
      <x:c r="O13" s="6"/>
      <x:c r="P13" s="6"/>
      <x:c r="Q13" s="6"/>
      <x:c r="R13" s="6"/>
      <x:c r="S13" s="6"/>
      <x:c r="T13" s="6"/>
      <x:c r="U13" s="6"/>
      <x:c r="V13" s="6"/>
      <x:c r="W13" s="6"/>
      <x:c r="X13" s="6"/>
      <x:c r="Y13" s="6"/>
      <x:c r="Z13" s="6"/>
    </x:row>
    <x:row r="14" s="1" customFormat="1" ht="15" hidden="0" customHeight="1">
      <x:c r="A14" s="7" t="s">
        <x:v>242</x:v>
      </x:c>
      <x:c r="B14" s="5" t="n">
        <x:v>1</x:v>
      </x:c>
      <x:c r="C14" s="5" t="s">
        <x:v>243</x:v>
      </x:c>
      <x:c r="D14" s="6"/>
      <x:c r="E14" s="6"/>
      <x:c r="F14" s="6" t="s">
        <x:v>244</x:v>
      </x:c>
      <x:c r="G14" s="40" t="n">
        <x:v>1.81508102477079</x:v>
      </x:c>
      <x:c r="H14" s="6" t="s">
        <x:v>245</x:v>
      </x:c>
      <x:c r="I14" s="6"/>
      <x:c r="J14" s="6"/>
      <x:c r="K14" s="6"/>
      <x:c r="L14" s="6"/>
      <x:c r="M14" s="6"/>
      <x:c r="N14" s="6"/>
      <x:c r="O14" s="6"/>
      <x:c r="P14" s="6"/>
      <x:c r="Q14" s="6"/>
      <x:c r="R14" s="6"/>
      <x:c r="S14" s="6"/>
      <x:c r="T14" s="6"/>
      <x:c r="U14" s="6"/>
      <x:c r="V14" s="6"/>
      <x:c r="W14" s="6"/>
      <x:c r="X14" s="6"/>
      <x:c r="Y14" s="6"/>
      <x:c r="Z14" s="6"/>
    </x:row>
    <x:row r="15" s="1" customFormat="1" ht="15" hidden="0" customHeight="1">
      <x:c r="A15" s="7" t="s">
        <x:v>246</x:v>
      </x:c>
      <x:c r="B15" s="8" t="n">
        <x:v>1</x:v>
      </x:c>
      <x:c r="C15" s="8" t="s">
        <x:v>247</x:v>
      </x:c>
      <x:c r="D15" s="6"/>
      <x:c r="E15" s="6"/>
      <x:c r="F15" s="6" t="s">
        <x:v>248</x:v>
      </x:c>
      <x:c r="G15" s="40" t="n">
        <x:v>1.8126799195478</x:v>
      </x:c>
      <x:c r="H15" s="6" t="s">
        <x:v>249</x:v>
      </x:c>
      <x:c r="I15" s="6"/>
      <x:c r="J15" s="6"/>
      <x:c r="K15" s="6"/>
      <x:c r="L15" s="6"/>
      <x:c r="M15" s="6"/>
      <x:c r="N15" s="6"/>
      <x:c r="O15" s="6"/>
      <x:c r="P15" s="6"/>
      <x:c r="Q15" s="6"/>
      <x:c r="R15" s="6"/>
      <x:c r="S15" s="6"/>
      <x:c r="T15" s="6"/>
      <x:c r="U15" s="6"/>
      <x:c r="V15" s="6"/>
      <x:c r="W15" s="6"/>
      <x:c r="X15" s="6"/>
      <x:c r="Y15" s="6"/>
      <x:c r="Z15" s="6"/>
    </x:row>
    <x:row r="16" s="1" customFormat="1" ht="13.5" hidden="0" customHeight="1">
      <x:c r="A16" s="7" t="s">
        <x:v>250</x:v>
      </x:c>
      <x:c r="B16" s="5" t="s">
        <x:v>251</x:v>
      </x:c>
      <x:c r="C16" s="5" t="s">
        <x:v>252</x:v>
      </x:c>
      <x:c r="D16" s="5" t="s">
        <x:v>253</x:v>
      </x:c>
      <x:c r="E16" s="6"/>
      <x:c r="F16" s="6" t="s">
        <x:v>254</x:v>
      </x:c>
      <x:c r="G16" s="6" t="s">
        <x:v>255</x:v>
      </x:c>
      <x:c r="H16" s="6" t="s">
        <x:v>256</x:v>
      </x:c>
      <x:c r="I16" s="6"/>
      <x:c r="J16" s="6"/>
      <x:c r="K16" s="6"/>
      <x:c r="L16" s="6"/>
      <x:c r="M16" s="6"/>
      <x:c r="N16" s="6"/>
      <x:c r="O16" s="6"/>
      <x:c r="P16" s="6"/>
      <x:c r="Q16" s="6"/>
      <x:c r="R16" s="6"/>
      <x:c r="S16" s="6"/>
      <x:c r="T16" s="6"/>
      <x:c r="U16" s="6"/>
      <x:c r="V16" s="6"/>
      <x:c r="W16" s="6"/>
      <x:c r="X16" s="6"/>
      <x:c r="Y16" s="6"/>
      <x:c r="Z16" s="6"/>
    </x:row>
    <x:row r="17" s="1" customFormat="1" ht="15" hidden="0" customHeight="1">
      <x:c r="A17" s="7" t="s">
        <x:v>257</x:v>
      </x:c>
      <x:c r="B17" s="6"/>
      <x:c r="C17" s="6"/>
      <x:c r="D17" s="6"/>
      <x:c r="E17" s="6"/>
      <x:c r="F17" s="6"/>
      <x:c r="G17" s="6"/>
      <x:c r="H17" s="6"/>
      <x:c r="I17" s="6"/>
      <x:c r="J17" s="6"/>
      <x:c r="K17" s="6"/>
      <x:c r="L17" s="6"/>
      <x:c r="M17" s="6"/>
      <x:c r="N17" s="6"/>
      <x:c r="O17" s="6"/>
      <x:c r="P17" s="6"/>
      <x:c r="Q17" s="6"/>
      <x:c r="R17" s="6"/>
      <x:c r="S17" s="6"/>
      <x:c r="T17" s="6"/>
      <x:c r="U17" s="6"/>
      <x:c r="V17" s="6"/>
      <x:c r="W17" s="6"/>
      <x:c r="X17" s="6"/>
      <x:c r="Y17" s="6"/>
      <x:c r="Z17" s="6"/>
    </x:row>
    <x:row r="18" s="1" customFormat="1" ht="15" hidden="0" customHeight="1">
      <x:c r="A18" s="7" t="s">
        <x:v>258</x:v>
      </x:c>
      <x:c r="B18" s="5" t="n">
        <x:v>0.95</x:v>
      </x:c>
      <x:c r="C18" s="6"/>
      <x:c r="D18" s="6"/>
      <x:c r="E18" s="6"/>
      <x:c r="F18" s="6"/>
      <x:c r="G18" s="6"/>
      <x:c r="H18" s="6"/>
      <x:c r="I18" s="6"/>
      <x:c r="J18" s="6"/>
      <x:c r="K18" s="6"/>
      <x:c r="L18" s="6"/>
      <x:c r="M18" s="6"/>
      <x:c r="N18" s="6"/>
      <x:c r="O18" s="6"/>
      <x:c r="P18" s="6"/>
      <x:c r="Q18" s="6"/>
      <x:c r="R18" s="6"/>
      <x:c r="S18" s="6"/>
      <x:c r="T18" s="6"/>
      <x:c r="U18" s="6"/>
      <x:c r="V18" s="6"/>
      <x:c r="W18" s="6"/>
      <x:c r="X18" s="6"/>
      <x:c r="Y18" s="6"/>
      <x:c r="Z18" s="6"/>
    </x:row>
    <x:row r="19" s="1" customFormat="1" ht="15" hidden="0" customHeight="1">
      <x:c r="A19" s="7" t="s">
        <x:v>259</x:v>
      </x:c>
      <x:c r="B19" s="8" t="n">
        <x:v>0.05</x:v>
      </x:c>
      <x:c r="C19" s="6"/>
      <x:c r="D19" s="6"/>
      <x:c r="E19" s="6"/>
      <x:c r="F19" s="6"/>
      <x:c r="G19" s="6"/>
      <x:c r="H19" s="6"/>
      <x:c r="I19" s="6"/>
      <x:c r="J19" s="6"/>
      <x:c r="K19" s="6"/>
      <x:c r="L19" s="6"/>
      <x:c r="M19" s="6"/>
      <x:c r="N19" s="6"/>
      <x:c r="O19" s="6"/>
      <x:c r="P19" s="6"/>
      <x:c r="Q19" s="6"/>
      <x:c r="R19" s="6"/>
      <x:c r="S19" s="6"/>
      <x:c r="T19" s="6"/>
      <x:c r="U19" s="6"/>
      <x:c r="V19" s="6"/>
      <x:c r="W19" s="6"/>
      <x:c r="X19" s="6"/>
      <x:c r="Y19" s="6"/>
      <x:c r="Z19" s="6"/>
    </x:row>
    <x:row r="20" s="1" customFormat="1" ht="15" hidden="0" customHeight="1">
      <x:c r="A20" s="7" t="s">
        <x:v>260</x:v>
      </x:c>
      <x:c r="B20" s="5" t="n">
        <x:v>2</x:v>
      </x:c>
      <x:c r="C20" s="6"/>
      <x:c r="D20" s="6"/>
      <x:c r="E20" s="6"/>
      <x:c r="F20" s="6"/>
      <x:c r="G20" s="6"/>
      <x:c r="H20" s="6"/>
      <x:c r="I20" s="6"/>
      <x:c r="J20" s="6"/>
      <x:c r="K20" s="6"/>
      <x:c r="L20" s="6"/>
      <x:c r="M20" s="6"/>
      <x:c r="N20" s="6"/>
      <x:c r="O20" s="6"/>
      <x:c r="P20" s="6"/>
      <x:c r="Q20" s="6"/>
      <x:c r="R20" s="6"/>
      <x:c r="S20" s="6"/>
      <x:c r="T20" s="6"/>
      <x:c r="U20" s="6"/>
      <x:c r="V20" s="6"/>
      <x:c r="W20" s="6"/>
      <x:c r="X20" s="6"/>
      <x:c r="Y20" s="6"/>
      <x:c r="Z20" s="6"/>
    </x:row>
    <x:row r="21" s="1" customFormat="1" ht="15" hidden="0" customHeight="1">
      <x:c r="A21" s="7" t="s">
        <x:v>261</x:v>
      </x:c>
      <x:c r="B21" s="8" t="n">
        <x:v>1</x:v>
      </x:c>
      <x:c r="C21" s="6"/>
      <x:c r="D21" s="6"/>
      <x:c r="E21" s="6"/>
      <x:c r="F21" s="6"/>
      <x:c r="G21" s="6"/>
      <x:c r="H21" s="6"/>
      <x:c r="I21" s="6"/>
      <x:c r="J21" s="6"/>
      <x:c r="K21" s="6"/>
      <x:c r="L21" s="6"/>
      <x:c r="M21" s="6"/>
      <x:c r="N21" s="6"/>
      <x:c r="O21" s="6"/>
      <x:c r="P21" s="6"/>
      <x:c r="Q21" s="6"/>
      <x:c r="R21" s="6"/>
      <x:c r="S21" s="6"/>
      <x:c r="T21" s="6"/>
      <x:c r="U21" s="6"/>
      <x:c r="V21" s="6"/>
      <x:c r="W21" s="6"/>
      <x:c r="X21" s="6"/>
      <x:c r="Y21" s="6"/>
      <x:c r="Z21" s="6"/>
    </x:row>
    <x:row r="22" s="1" customFormat="1" ht="15" hidden="0" customHeight="1">
      <x:c r="A22" s="7" t="s">
        <x:v>262</x:v>
      </x:c>
      <x:c r="B22" s="5" t="n">
        <x:v>2</x:v>
      </x:c>
      <x:c r="C22" s="6"/>
      <x:c r="D22" s="6"/>
      <x:c r="E22" s="6"/>
      <x:c r="F22" s="6"/>
      <x:c r="G22" s="6"/>
      <x:c r="H22" s="6"/>
      <x:c r="I22" s="6"/>
      <x:c r="J22" s="6"/>
      <x:c r="K22" s="6"/>
      <x:c r="L22" s="6"/>
      <x:c r="M22" s="6"/>
      <x:c r="N22" s="6"/>
      <x:c r="O22" s="6"/>
      <x:c r="P22" s="6"/>
      <x:c r="Q22" s="6"/>
      <x:c r="R22" s="6"/>
      <x:c r="S22" s="6"/>
      <x:c r="T22" s="6"/>
      <x:c r="U22" s="6"/>
      <x:c r="V22" s="6"/>
      <x:c r="W22" s="6"/>
      <x:c r="X22" s="6"/>
      <x:c r="Y22" s="6"/>
      <x:c r="Z22" s="6"/>
    </x:row>
    <x:row r="23" s="1" customFormat="1" ht="15" hidden="0" customHeight="1">
      <x:c r="A23" s="7" t="s">
        <x:v>263</x:v>
      </x:c>
      <x:c r="B23" s="8" t="n">
        <x:v>0.05</x:v>
      </x:c>
      <x:c r="C23" s="6"/>
      <x:c r="D23" s="6"/>
      <x:c r="E23" s="6"/>
      <x:c r="F23" s="6"/>
      <x:c r="G23" s="6"/>
      <x:c r="H23" s="6"/>
      <x:c r="I23" s="6"/>
      <x:c r="J23" s="6"/>
      <x:c r="K23" s="6"/>
      <x:c r="L23" s="6"/>
      <x:c r="M23" s="6"/>
      <x:c r="N23" s="6"/>
      <x:c r="O23" s="6"/>
      <x:c r="P23" s="6"/>
      <x:c r="Q23" s="6"/>
      <x:c r="R23" s="6"/>
      <x:c r="S23" s="6"/>
      <x:c r="T23" s="6"/>
      <x:c r="U23" s="6"/>
      <x:c r="V23" s="6"/>
      <x:c r="W23" s="6"/>
      <x:c r="X23" s="6"/>
      <x:c r="Y23" s="6"/>
      <x:c r="Z23" s="6"/>
    </x:row>
    <x:row r="24" s="1" customFormat="1" ht="15" hidden="0" customHeight="1">
      <x:c r="A24" s="7" t="s">
        <x:v>264</x:v>
      </x:c>
      <x:c r="B24" s="5" t="n">
        <x:v>-0.1</x:v>
      </x:c>
      <x:c r="C24" s="6"/>
      <x:c r="D24" s="6"/>
      <x:c r="E24" s="6"/>
      <x:c r="F24" s="6"/>
      <x:c r="G24" s="6"/>
      <x:c r="H24" s="6"/>
      <x:c r="I24" s="6"/>
      <x:c r="J24" s="6"/>
      <x:c r="K24" s="6"/>
      <x:c r="L24" s="6"/>
      <x:c r="M24" s="6"/>
      <x:c r="N24" s="6"/>
      <x:c r="O24" s="6"/>
      <x:c r="P24" s="6"/>
      <x:c r="Q24" s="6"/>
      <x:c r="R24" s="6"/>
      <x:c r="S24" s="6"/>
      <x:c r="T24" s="6"/>
      <x:c r="U24" s="6"/>
      <x:c r="V24" s="6"/>
      <x:c r="W24" s="6"/>
      <x:c r="X24" s="6"/>
      <x:c r="Y24" s="6"/>
      <x:c r="Z24" s="6"/>
    </x:row>
    <x:row r="25" s="1" customFormat="1" ht="15" hidden="0" customHeight="1">
      <x:c r="A25" s="7" t="s">
        <x:v>265</x:v>
      </x:c>
      <x:c r="B25" s="8" t="n">
        <x:v>25</x:v>
      </x:c>
      <x:c r="C25" s="6"/>
      <x:c r="D25" s="6"/>
      <x:c r="E25" s="6"/>
      <x:c r="F25" s="6"/>
      <x:c r="G25" s="6"/>
      <x:c r="H25" s="6"/>
      <x:c r="I25" s="6"/>
      <x:c r="J25" s="6"/>
      <x:c r="K25" s="6"/>
      <x:c r="L25" s="6"/>
      <x:c r="M25" s="6"/>
      <x:c r="N25" s="6"/>
      <x:c r="O25" s="6"/>
      <x:c r="P25" s="6"/>
      <x:c r="Q25" s="6"/>
      <x:c r="R25" s="6"/>
      <x:c r="S25" s="6"/>
      <x:c r="T25" s="6"/>
      <x:c r="U25" s="6"/>
      <x:c r="V25" s="6"/>
      <x:c r="W25" s="6"/>
      <x:c r="X25" s="6"/>
      <x:c r="Y25" s="6"/>
      <x:c r="Z25" s="6"/>
    </x:row>
    <x:row r="26" s="1" customFormat="1" ht="15" hidden="0" customHeight="1">
      <x:c r="A26" s="7" t="s">
        <x:v>266</x:v>
      </x:c>
      <x:c r="B26" s="5" t="n">
        <x:v>0.02</x:v>
      </x:c>
      <x:c r="C26" s="6" t="s">
        <x:v>267</x:v>
      </x:c>
      <x:c r="D26" s="6"/>
      <x:c r="E26" s="6"/>
      <x:c r="F26" s="6"/>
      <x:c r="G26" s="6"/>
      <x:c r="H26" s="6"/>
      <x:c r="I26" s="6"/>
      <x:c r="J26" s="6"/>
      <x:c r="K26" s="6"/>
      <x:c r="L26" s="6"/>
      <x:c r="M26" s="6"/>
      <x:c r="N26" s="6"/>
      <x:c r="O26" s="6"/>
      <x:c r="P26" s="6"/>
      <x:c r="Q26" s="6"/>
      <x:c r="R26" s="6"/>
      <x:c r="S26" s="6"/>
      <x:c r="T26" s="6"/>
      <x:c r="U26" s="6"/>
      <x:c r="V26" s="6"/>
      <x:c r="W26" s="6"/>
      <x:c r="X26" s="6"/>
      <x:c r="Y26" s="6"/>
      <x:c r="Z26" s="6"/>
    </x:row>
    <x:row r="27" s="1" customFormat="1" ht="13.5" hidden="0" customHeight="1">
      <x:c r="A27" s="7" t="s">
        <x:v>268</x:v>
      </x:c>
      <x:c r="B27" s="8" t="n">
        <x:v>0.083</x:v>
      </x:c>
      <x:c r="C27" s="8" t="s">
        <x:v>269</x:v>
      </x:c>
      <x:c r="D27" s="6"/>
      <x:c r="E27" s="6"/>
      <x:c r="F27" s="6"/>
      <x:c r="G27" s="6"/>
      <x:c r="H27" s="6"/>
      <x:c r="I27" s="6"/>
      <x:c r="J27" s="6"/>
      <x:c r="K27" s="6"/>
      <x:c r="L27" s="6"/>
      <x:c r="M27" s="6"/>
      <x:c r="N27" s="6"/>
      <x:c r="O27" s="6"/>
      <x:c r="P27" s="6"/>
      <x:c r="Q27" s="6"/>
      <x:c r="R27" s="6"/>
      <x:c r="S27" s="6"/>
      <x:c r="T27" s="6"/>
      <x:c r="U27" s="6"/>
      <x:c r="V27" s="6"/>
      <x:c r="W27" s="6"/>
      <x:c r="X27" s="6"/>
      <x:c r="Y27" s="6"/>
      <x:c r="Z27" s="6"/>
    </x:row>
    <x:row r="28" s="1" customFormat="1" ht="15" hidden="0" customHeight="1">
      <x:c r="A28" s="7" t="s">
        <x:v>270</x:v>
      </x:c>
      <x:c r="B28" s="6"/>
      <x:c r="C28" s="6"/>
      <x:c r="D28" s="6"/>
      <x:c r="E28" s="6"/>
      <x:c r="F28" s="6"/>
      <x:c r="G28" s="6"/>
      <x:c r="H28" s="6"/>
      <x:c r="I28" s="6"/>
      <x:c r="J28" s="6"/>
      <x:c r="K28" s="6"/>
      <x:c r="L28" s="6"/>
      <x:c r="M28" s="6"/>
      <x:c r="N28" s="6"/>
      <x:c r="O28" s="6"/>
      <x:c r="P28" s="6"/>
      <x:c r="Q28" s="6"/>
      <x:c r="R28" s="6"/>
      <x:c r="S28" s="6"/>
      <x:c r="T28" s="6"/>
      <x:c r="U28" s="6"/>
      <x:c r="V28" s="6"/>
      <x:c r="W28" s="6"/>
      <x:c r="X28" s="6"/>
      <x:c r="Y28" s="6"/>
      <x:c r="Z28" s="6"/>
    </x:row>
    <x:row r="29" s="1" customFormat="1" ht="15" hidden="0" customHeight="1">
      <x:c r="A29" s="7" t="s">
        <x:v>271</x:v>
      </x:c>
      <x:c r="B29" s="8" t="s">
        <x:v>272</x:v>
      </x:c>
      <x:c r="C29" s="8" t="s">
        <x:v>273</x:v>
      </x:c>
      <x:c r="D29" s="6" t="s">
        <x:v>274</x:v>
      </x:c>
      <x:c r="E29" s="6"/>
      <x:c r="F29" s="6"/>
      <x:c r="G29" s="6"/>
      <x:c r="H29" s="6"/>
      <x:c r="I29" s="6"/>
      <x:c r="J29" s="6"/>
      <x:c r="K29" s="6"/>
      <x:c r="L29" s="6"/>
      <x:c r="M29" s="6"/>
      <x:c r="N29" s="6"/>
      <x:c r="O29" s="6"/>
      <x:c r="P29" s="6"/>
      <x:c r="Q29" s="6"/>
      <x:c r="R29" s="6"/>
      <x:c r="S29" s="6"/>
      <x:c r="T29" s="6"/>
      <x:c r="U29" s="6"/>
      <x:c r="V29" s="6"/>
      <x:c r="W29" s="6"/>
      <x:c r="X29" s="6"/>
      <x:c r="Y29" s="6"/>
      <x:c r="Z29" s="6"/>
    </x:row>
    <x:row r="30" s="1" customFormat="1" ht="15" hidden="0" customHeight="1">
      <x:c r="A30" s="7" t="s">
        <x:v>275</x:v>
      </x:c>
      <x:c r="B30" s="5" t="n">
        <x:v>1</x:v>
      </x:c>
      <x:c r="C30" s="5" t="n">
        <x:v>-0.9</x:v>
      </x:c>
      <x:c r="D30" s="6" t="n">
        <x:v>1</x:v>
      </x:c>
      <x:c r="E30" s="6"/>
      <x:c r="F30" s="6"/>
      <x:c r="G30" s="6"/>
      <x:c r="H30" s="6"/>
      <x:c r="I30" s="6"/>
      <x:c r="J30" s="6"/>
      <x:c r="K30" s="6"/>
      <x:c r="L30" s="6"/>
      <x:c r="M30" s="6"/>
      <x:c r="N30" s="6"/>
      <x:c r="O30" s="6"/>
      <x:c r="P30" s="6"/>
      <x:c r="Q30" s="6"/>
      <x:c r="R30" s="6"/>
      <x:c r="S30" s="6"/>
      <x:c r="T30" s="6"/>
      <x:c r="U30" s="6"/>
      <x:c r="V30" s="6"/>
      <x:c r="W30" s="6"/>
      <x:c r="X30" s="6"/>
      <x:c r="Y30" s="6"/>
      <x:c r="Z30" s="6"/>
    </x:row>
    <x:row r="31" s="1" customFormat="1" ht="15" hidden="0" customHeight="1">
      <x:c r="A31" s="7" t="s">
        <x:v>276</x:v>
      </x:c>
      <x:c r="B31" s="8" t="n">
        <x:v>2</x:v>
      </x:c>
      <x:c r="C31" s="8" t="n">
        <x:v>-0.7</x:v>
      </x:c>
      <x:c r="D31" s="6" t="n">
        <x:v>2</x:v>
      </x:c>
      <x:c r="E31" s="6"/>
      <x:c r="F31" s="6"/>
      <x:c r="G31" s="6"/>
      <x:c r="H31" s="6"/>
      <x:c r="I31" s="6"/>
      <x:c r="J31" s="6"/>
      <x:c r="K31" s="6"/>
      <x:c r="L31" s="6"/>
      <x:c r="M31" s="6"/>
      <x:c r="N31" s="6"/>
      <x:c r="O31" s="6"/>
      <x:c r="P31" s="6"/>
      <x:c r="Q31" s="6"/>
      <x:c r="R31" s="6"/>
      <x:c r="S31" s="6"/>
      <x:c r="T31" s="6"/>
      <x:c r="U31" s="6"/>
      <x:c r="V31" s="6"/>
      <x:c r="W31" s="6"/>
      <x:c r="X31" s="6"/>
      <x:c r="Y31" s="6"/>
      <x:c r="Z31" s="6"/>
    </x:row>
    <x:row r="32" s="1" customFormat="1" ht="15" hidden="0" customHeight="1">
      <x:c r="A32" s="7" t="s">
        <x:v>277</x:v>
      </x:c>
      <x:c r="B32" s="5" t="n">
        <x:v>3</x:v>
      </x:c>
      <x:c r="C32" s="5" t="n">
        <x:v>-0.65</x:v>
      </x:c>
      <x:c r="D32" s="6" t="n">
        <x:v>4</x:v>
      </x:c>
      <x:c r="E32" s="6"/>
      <x:c r="F32" s="6"/>
      <x:c r="G32" s="6"/>
      <x:c r="H32" s="6"/>
      <x:c r="I32" s="6"/>
      <x:c r="J32" s="6"/>
      <x:c r="K32" s="6"/>
      <x:c r="L32" s="6"/>
      <x:c r="M32" s="6"/>
      <x:c r="N32" s="6"/>
      <x:c r="O32" s="6"/>
      <x:c r="P32" s="6"/>
      <x:c r="Q32" s="6"/>
      <x:c r="R32" s="6"/>
      <x:c r="S32" s="6"/>
      <x:c r="T32" s="6"/>
      <x:c r="U32" s="6"/>
      <x:c r="V32" s="6"/>
      <x:c r="W32" s="6"/>
      <x:c r="X32" s="6"/>
      <x:c r="Y32" s="6"/>
      <x:c r="Z32" s="6"/>
    </x:row>
    <x:row r="33" s="1" customFormat="1" ht="15" hidden="0" customHeight="1">
      <x:c r="A33" s="7" t="s">
        <x:v>278</x:v>
      </x:c>
      <x:c r="B33" s="8" t="n">
        <x:v>4</x:v>
      </x:c>
      <x:c r="C33" s="8" t="n">
        <x:v>-0.5</x:v>
      </x:c>
      <x:c r="D33" s="6" t="n">
        <x:v>5</x:v>
      </x:c>
      <x:c r="E33" s="6"/>
      <x:c r="F33" s="6"/>
      <x:c r="G33" s="6"/>
      <x:c r="H33" s="6"/>
      <x:c r="I33" s="6"/>
      <x:c r="J33" s="6"/>
      <x:c r="K33" s="6"/>
      <x:c r="L33" s="6"/>
      <x:c r="M33" s="6"/>
      <x:c r="N33" s="6"/>
      <x:c r="O33" s="6"/>
      <x:c r="P33" s="6"/>
      <x:c r="Q33" s="6"/>
      <x:c r="R33" s="6"/>
      <x:c r="S33" s="6"/>
      <x:c r="T33" s="6"/>
      <x:c r="U33" s="6"/>
      <x:c r="V33" s="6"/>
      <x:c r="W33" s="6"/>
      <x:c r="X33" s="6"/>
      <x:c r="Y33" s="6"/>
      <x:c r="Z33" s="6"/>
    </x:row>
    <x:row r="34" s="1" customFormat="1" ht="15" hidden="0" customHeight="1">
      <x:c r="A34" s="7" t="s">
        <x:v>279</x:v>
      </x:c>
      <x:c r="B34" s="5" t="n">
        <x:v>5</x:v>
      </x:c>
      <x:c r="C34" s="5" t="n">
        <x:v>-0.55</x:v>
      </x:c>
      <x:c r="D34" s="6" t="n">
        <x:v>6</x:v>
      </x:c>
      <x:c r="E34" s="6"/>
      <x:c r="F34" s="6"/>
      <x:c r="G34" s="6"/>
      <x:c r="H34" s="6"/>
      <x:c r="I34" s="6"/>
      <x:c r="J34" s="6"/>
      <x:c r="K34" s="6"/>
      <x:c r="L34" s="6"/>
      <x:c r="M34" s="6"/>
      <x:c r="N34" s="6"/>
      <x:c r="O34" s="6"/>
      <x:c r="P34" s="6"/>
      <x:c r="Q34" s="6"/>
      <x:c r="R34" s="6"/>
      <x:c r="S34" s="6"/>
      <x:c r="T34" s="6"/>
      <x:c r="U34" s="6"/>
      <x:c r="V34" s="6"/>
      <x:c r="W34" s="6"/>
      <x:c r="X34" s="6"/>
      <x:c r="Y34" s="6"/>
      <x:c r="Z34" s="6"/>
    </x:row>
    <x:row r="35" s="1" customFormat="1" ht="15" hidden="0" customHeight="1">
      <x:c r="A35" s="7" t="s">
        <x:v>280</x:v>
      </x:c>
      <x:c r="B35" s="8" t="n">
        <x:v>6</x:v>
      </x:c>
      <x:c r="C35" s="8" t="n">
        <x:v>-0.45</x:v>
      </x:c>
      <x:c r="D35" s="6" t="n">
        <x:v>7</x:v>
      </x:c>
      <x:c r="E35" s="6"/>
      <x:c r="F35" s="6"/>
      <x:c r="G35" s="6"/>
      <x:c r="H35" s="6"/>
      <x:c r="I35" s="6"/>
      <x:c r="J35" s="6"/>
      <x:c r="K35" s="6"/>
      <x:c r="L35" s="6"/>
      <x:c r="M35" s="6"/>
      <x:c r="N35" s="6"/>
      <x:c r="O35" s="6"/>
      <x:c r="P35" s="6"/>
      <x:c r="Q35" s="6"/>
      <x:c r="R35" s="6"/>
      <x:c r="S35" s="6"/>
      <x:c r="T35" s="6"/>
      <x:c r="U35" s="6"/>
      <x:c r="V35" s="6"/>
      <x:c r="W35" s="6"/>
      <x:c r="X35" s="6"/>
      <x:c r="Y35" s="6"/>
      <x:c r="Z35" s="6"/>
    </x:row>
    <x:row r="36" s="1" customFormat="1" ht="15" hidden="0" customHeight="1">
      <x:c r="A36" s="7" t="s">
        <x:v>281</x:v>
      </x:c>
      <x:c r="B36" s="5" t="n">
        <x:v>7</x:v>
      </x:c>
      <x:c r="C36" s="5" t="n">
        <x:v>-0.4</x:v>
      </x:c>
      <x:c r="D36" s="6" t="n">
        <x:v>8</x:v>
      </x:c>
      <x:c r="E36" s="6"/>
      <x:c r="F36" s="6"/>
      <x:c r="G36" s="6"/>
      <x:c r="H36" s="6"/>
      <x:c r="I36" s="6"/>
      <x:c r="J36" s="6"/>
      <x:c r="K36" s="6"/>
      <x:c r="L36" s="6"/>
      <x:c r="M36" s="6"/>
      <x:c r="N36" s="6"/>
      <x:c r="O36" s="6"/>
      <x:c r="P36" s="6"/>
      <x:c r="Q36" s="6"/>
      <x:c r="R36" s="6"/>
      <x:c r="S36" s="6"/>
      <x:c r="T36" s="6"/>
      <x:c r="U36" s="6"/>
      <x:c r="V36" s="6"/>
      <x:c r="W36" s="6"/>
      <x:c r="X36" s="6"/>
      <x:c r="Y36" s="6"/>
      <x:c r="Z36" s="6"/>
    </x:row>
    <x:row r="37" s="1" customFormat="1" ht="15" hidden="0" customHeight="1">
      <x:c r="A37" s="7" t="s">
        <x:v>282</x:v>
      </x:c>
      <x:c r="B37" s="8" t="n">
        <x:v>8</x:v>
      </x:c>
      <x:c r="C37" s="8" t="n">
        <x:v>-0.65</x:v>
      </x:c>
      <x:c r="D37" s="6" t="n">
        <x:v>3</x:v>
      </x:c>
      <x:c r="E37" s="6"/>
      <x:c r="F37" s="6"/>
      <x:c r="G37" s="6"/>
      <x:c r="H37" s="6"/>
      <x:c r="I37" s="6"/>
      <x:c r="J37" s="6"/>
      <x:c r="K37" s="6"/>
      <x:c r="L37" s="6"/>
      <x:c r="M37" s="6"/>
      <x:c r="N37" s="6"/>
      <x:c r="O37" s="6"/>
      <x:c r="P37" s="6"/>
      <x:c r="Q37" s="6"/>
      <x:c r="R37" s="6"/>
      <x:c r="S37" s="6"/>
      <x:c r="T37" s="6"/>
      <x:c r="U37" s="6"/>
      <x:c r="V37" s="6"/>
      <x:c r="W37" s="6"/>
      <x:c r="X37" s="6"/>
      <x:c r="Y37" s="6"/>
      <x:c r="Z37" s="6"/>
    </x:row>
    <x:row r="38" s="1" customFormat="1" ht="15" hidden="0" customHeight="1">
      <x:c r="A38" s="7" t="s">
        <x:v>283</x:v>
      </x:c>
      <x:c r="B38" s="5" t="n">
        <x:v>8</x:v>
      </x:c>
      <x:c r="C38" s="5" t="s">
        <x:v>284</x:v>
      </x:c>
      <x:c r="D38" s="6" t="s">
        <x:v>285</x:v>
      </x:c>
      <x:c r="E38" s="6"/>
      <x:c r="F38" s="6"/>
      <x:c r="G38" s="6"/>
      <x:c r="H38" s="6"/>
      <x:c r="I38" s="6"/>
      <x:c r="J38" s="6"/>
      <x:c r="K38" s="6"/>
      <x:c r="L38" s="6"/>
      <x:c r="M38" s="6"/>
      <x:c r="N38" s="6"/>
      <x:c r="O38" s="6"/>
      <x:c r="P38" s="6"/>
      <x:c r="Q38" s="6"/>
      <x:c r="R38" s="6"/>
      <x:c r="S38" s="6"/>
      <x:c r="T38" s="6"/>
      <x:c r="U38" s="6"/>
      <x:c r="V38" s="6"/>
      <x:c r="W38" s="6"/>
      <x:c r="X38" s="6"/>
      <x:c r="Y38" s="6"/>
      <x:c r="Z38" s="6"/>
    </x:row>
    <x:row r="39" s="1" customFormat="1" ht="13.5" hidden="0" customHeight="1">
      <x:c r="A39" s="6"/>
      <x:c r="B39" s="6"/>
      <x:c r="C39" s="6"/>
      <x:c r="D39" s="6"/>
      <x:c r="E39" s="6"/>
      <x:c r="F39" s="6"/>
      <x:c r="G39" s="6"/>
      <x:c r="H39" s="6"/>
      <x:c r="I39" s="6"/>
      <x:c r="J39" s="6"/>
      <x:c r="K39" s="6"/>
      <x:c r="L39" s="6"/>
      <x:c r="M39" s="6"/>
      <x:c r="N39" s="6"/>
      <x:c r="O39" s="6"/>
      <x:c r="P39" s="6"/>
      <x:c r="Q39" s="6"/>
      <x:c r="R39" s="6"/>
      <x:c r="S39" s="6"/>
      <x:c r="T39" s="6"/>
      <x:c r="U39" s="6"/>
      <x:c r="V39" s="6"/>
      <x:c r="W39" s="6"/>
      <x:c r="X39" s="6"/>
      <x:c r="Y39" s="6"/>
      <x:c r="Z39" s="6"/>
    </x:row>
    <x:row r="40" s="1" customFormat="1" ht="15" hidden="0" customHeight="1">
      <x:c r="A40" s="7" t="s">
        <x:v>286</x:v>
      </x:c>
      <x:c r="B40" s="6"/>
      <x:c r="C40" s="6"/>
      <x:c r="D40" s="6"/>
      <x:c r="E40" s="6"/>
      <x:c r="F40" s="6"/>
      <x:c r="G40" s="6"/>
      <x:c r="H40" s="6"/>
      <x:c r="I40" s="6"/>
      <x:c r="J40" s="6"/>
      <x:c r="K40" s="6"/>
      <x:c r="L40" s="6"/>
      <x:c r="M40" s="6"/>
      <x:c r="N40" s="6"/>
      <x:c r="O40" s="6"/>
      <x:c r="P40" s="6"/>
      <x:c r="Q40" s="6"/>
      <x:c r="R40" s="6"/>
      <x:c r="S40" s="6"/>
      <x:c r="T40" s="6"/>
      <x:c r="U40" s="6"/>
      <x:c r="V40" s="6"/>
      <x:c r="W40" s="6"/>
      <x:c r="X40" s="6"/>
      <x:c r="Y40" s="6"/>
      <x:c r="Z40" s="6"/>
    </x:row>
    <x:row r="41" s="1" customFormat="1" ht="15" hidden="0" customHeight="1">
      <x:c r="A41" s="7" t="s">
        <x:v>287</x:v>
      </x:c>
      <x:c r="B41" s="8" t="n">
        <x:v>5</x:v>
      </x:c>
      <x:c r="C41" s="8" t="s">
        <x:v>288</x:v>
      </x:c>
      <x:c r="D41" s="6"/>
      <x:c r="E41" s="6"/>
      <x:c r="F41" s="6"/>
      <x:c r="G41" s="6"/>
      <x:c r="H41" s="6"/>
      <x:c r="I41" s="6"/>
      <x:c r="J41" s="6"/>
      <x:c r="K41" s="6"/>
      <x:c r="L41" s="6"/>
      <x:c r="M41" s="6"/>
      <x:c r="N41" s="6"/>
      <x:c r="O41" s="6"/>
      <x:c r="P41" s="6"/>
      <x:c r="Q41" s="6"/>
      <x:c r="R41" s="6"/>
      <x:c r="S41" s="6"/>
      <x:c r="T41" s="6"/>
      <x:c r="U41" s="6"/>
      <x:c r="V41" s="6"/>
      <x:c r="W41" s="6"/>
      <x:c r="X41" s="6"/>
      <x:c r="Y41" s="6"/>
      <x:c r="Z41" s="6"/>
    </x:row>
    <x:row r="42" s="1" customFormat="1" ht="15" hidden="0" customHeight="1">
      <x:c r="A42" s="7" t="s">
        <x:v>289</x:v>
      </x:c>
      <x:c r="B42" s="5" t="s">
        <x:v>290</x:v>
      </x:c>
      <x:c r="C42" s="6"/>
      <x:c r="D42" s="6"/>
      <x:c r="E42" s="6"/>
      <x:c r="F42" s="6"/>
      <x:c r="G42" s="6"/>
      <x:c r="H42" s="6"/>
      <x:c r="I42" s="6"/>
      <x:c r="J42" s="6"/>
      <x:c r="K42" s="6"/>
      <x:c r="L42" s="6"/>
      <x:c r="M42" s="6"/>
      <x:c r="N42" s="6"/>
      <x:c r="O42" s="6"/>
      <x:c r="P42" s="6"/>
      <x:c r="Q42" s="6"/>
      <x:c r="R42" s="6"/>
      <x:c r="S42" s="6"/>
      <x:c r="T42" s="6"/>
      <x:c r="U42" s="6"/>
      <x:c r="V42" s="6"/>
      <x:c r="W42" s="6"/>
      <x:c r="X42" s="6"/>
      <x:c r="Y42" s="6"/>
      <x:c r="Z42" s="6"/>
    </x:row>
    <x:row r="43" s="1" customFormat="1" ht="15" hidden="0" customHeight="1">
      <x:c r="A43" s="7" t="s">
        <x:v>291</x:v>
      </x:c>
      <x:c r="B43" s="8" t="s">
        <x:v>292</x:v>
      </x:c>
      <x:c r="C43" s="6"/>
      <x:c r="D43" s="6"/>
      <x:c r="E43" s="6"/>
      <x:c r="F43" s="6"/>
      <x:c r="G43" s="6"/>
      <x:c r="H43" s="6"/>
      <x:c r="I43" s="6"/>
      <x:c r="J43" s="6"/>
      <x:c r="K43" s="6"/>
      <x:c r="L43" s="6"/>
      <x:c r="M43" s="6"/>
      <x:c r="N43" s="6"/>
      <x:c r="O43" s="6"/>
      <x:c r="P43" s="6"/>
      <x:c r="Q43" s="6"/>
      <x:c r="R43" s="6"/>
      <x:c r="S43" s="6"/>
      <x:c r="T43" s="6"/>
      <x:c r="U43" s="6"/>
      <x:c r="V43" s="6"/>
      <x:c r="W43" s="6"/>
      <x:c r="X43" s="6"/>
      <x:c r="Y43" s="6"/>
      <x:c r="Z43" s="6"/>
    </x:row>
    <x:row r="44" s="1" customFormat="1" ht="15" hidden="0" customHeight="1">
      <x:c r="A44" s="7" t="s">
        <x:v>293</x:v>
      </x:c>
      <x:c r="B44" s="5" t="s">
        <x:v>292</x:v>
      </x:c>
      <x:c r="C44" s="6"/>
      <x:c r="D44" s="6"/>
      <x:c r="E44" s="6"/>
      <x:c r="F44" s="6"/>
      <x:c r="G44" s="6"/>
      <x:c r="H44" s="6"/>
      <x:c r="I44" s="6"/>
      <x:c r="J44" s="6"/>
      <x:c r="K44" s="6"/>
      <x:c r="L44" s="6"/>
      <x:c r="M44" s="6"/>
      <x:c r="N44" s="6"/>
      <x:c r="O44" s="6"/>
      <x:c r="P44" s="6"/>
      <x:c r="Q44" s="6"/>
      <x:c r="R44" s="6"/>
      <x:c r="S44" s="6"/>
      <x:c r="T44" s="6"/>
      <x:c r="U44" s="6"/>
      <x:c r="V44" s="6"/>
      <x:c r="W44" s="6"/>
      <x:c r="X44" s="6"/>
      <x:c r="Y44" s="6"/>
      <x:c r="Z44" s="6"/>
    </x:row>
    <x:row r="45" s="1" customFormat="1" ht="15" hidden="0" customHeight="1">
      <x:c r="A45" s="7" t="s">
        <x:v>294</x:v>
      </x:c>
      <x:c r="B45" s="8" t="s">
        <x:v>292</x:v>
      </x:c>
      <x:c r="C45" s="6"/>
      <x:c r="D45" s="6"/>
      <x:c r="E45" s="6"/>
      <x:c r="F45" s="6"/>
      <x:c r="G45" s="6"/>
      <x:c r="H45" s="6"/>
      <x:c r="I45" s="6"/>
      <x:c r="J45" s="6"/>
      <x:c r="K45" s="6"/>
      <x:c r="L45" s="6"/>
      <x:c r="M45" s="6"/>
      <x:c r="N45" s="6"/>
      <x:c r="O45" s="6"/>
      <x:c r="P45" s="6"/>
      <x:c r="Q45" s="6"/>
      <x:c r="R45" s="6"/>
      <x:c r="S45" s="6"/>
      <x:c r="T45" s="6"/>
      <x:c r="U45" s="6"/>
      <x:c r="V45" s="6"/>
      <x:c r="W45" s="6"/>
      <x:c r="X45" s="6"/>
      <x:c r="Y45" s="6"/>
      <x:c r="Z45" s="6"/>
    </x:row>
    <x:row r="46" s="1" customFormat="1" ht="15" hidden="0" customHeight="1">
      <x:c r="A46" s="7" t="s">
        <x:v>295</x:v>
      </x:c>
      <x:c r="B46" s="5" t="s">
        <x:v>292</x:v>
      </x:c>
      <x:c r="C46" s="6"/>
      <x:c r="D46" s="6"/>
      <x:c r="E46" s="6"/>
      <x:c r="F46" s="6"/>
      <x:c r="G46" s="6"/>
      <x:c r="H46" s="6"/>
      <x:c r="I46" s="6"/>
      <x:c r="J46" s="6"/>
      <x:c r="K46" s="6"/>
      <x:c r="L46" s="6"/>
      <x:c r="M46" s="6"/>
      <x:c r="N46" s="6"/>
      <x:c r="O46" s="6"/>
      <x:c r="P46" s="6"/>
      <x:c r="Q46" s="6"/>
      <x:c r="R46" s="6"/>
      <x:c r="S46" s="6"/>
      <x:c r="T46" s="6"/>
      <x:c r="U46" s="6"/>
      <x:c r="V46" s="6"/>
      <x:c r="W46" s="6"/>
      <x:c r="X46" s="6"/>
      <x:c r="Y46" s="6"/>
      <x:c r="Z46" s="6"/>
    </x:row>
    <x:row r="47" s="1" customFormat="1" ht="15" hidden="0" customHeight="1">
      <x:c r="A47" s="7" t="s">
        <x:v>296</x:v>
      </x:c>
      <x:c r="B47" s="8" t="s">
        <x:v>292</x:v>
      </x:c>
      <x:c r="C47" s="6"/>
      <x:c r="D47" s="6"/>
      <x:c r="E47" s="6"/>
      <x:c r="F47" s="6"/>
      <x:c r="G47" s="6"/>
      <x:c r="H47" s="6"/>
      <x:c r="I47" s="6"/>
      <x:c r="J47" s="6"/>
      <x:c r="K47" s="6"/>
      <x:c r="L47" s="6"/>
      <x:c r="M47" s="6"/>
      <x:c r="N47" s="6"/>
      <x:c r="O47" s="6"/>
      <x:c r="P47" s="6"/>
      <x:c r="Q47" s="6"/>
      <x:c r="R47" s="6"/>
      <x:c r="S47" s="6"/>
      <x:c r="T47" s="6"/>
      <x:c r="U47" s="6"/>
      <x:c r="V47" s="6"/>
      <x:c r="W47" s="6"/>
      <x:c r="X47" s="6"/>
      <x:c r="Y47" s="6"/>
      <x:c r="Z47" s="6"/>
    </x:row>
    <x:row r="48" s="1" customFormat="1" ht="15" hidden="0" customHeight="1">
      <x:c r="A48" s="7" t="s">
        <x:v>297</x:v>
      </x:c>
      <x:c r="B48" s="5" t="s">
        <x:v>233</x:v>
      </x:c>
      <x:c r="C48" s="6"/>
      <x:c r="D48" s="6"/>
      <x:c r="E48" s="6"/>
      <x:c r="F48" s="6"/>
      <x:c r="G48" s="6"/>
      <x:c r="H48" s="6"/>
      <x:c r="I48" s="6"/>
      <x:c r="J48" s="6"/>
      <x:c r="K48" s="6"/>
      <x:c r="L48" s="6"/>
      <x:c r="M48" s="6"/>
      <x:c r="N48" s="6"/>
      <x:c r="O48" s="6"/>
      <x:c r="P48" s="6"/>
      <x:c r="Q48" s="6"/>
      <x:c r="R48" s="6"/>
      <x:c r="S48" s="6"/>
      <x:c r="T48" s="6"/>
      <x:c r="U48" s="6"/>
      <x:c r="V48" s="6"/>
      <x:c r="W48" s="6"/>
      <x:c r="X48" s="6"/>
      <x:c r="Y48" s="6"/>
      <x:c r="Z48" s="6"/>
    </x:row>
    <x:row r="49" s="1" customFormat="1" ht="13.5" hidden="0" customHeight="1">
      <x:c r="A49" s="6"/>
      <x:c r="B49" s="6"/>
      <x:c r="C49" s="6"/>
      <x:c r="D49" s="6"/>
      <x:c r="E49" s="6"/>
      <x:c r="F49" s="6"/>
      <x:c r="G49" s="6"/>
      <x:c r="H49" s="6"/>
      <x:c r="I49" s="6"/>
      <x:c r="J49" s="6"/>
      <x:c r="K49" s="6"/>
      <x:c r="L49" s="6"/>
      <x:c r="M49" s="6"/>
      <x:c r="N49" s="6"/>
      <x:c r="O49" s="6"/>
      <x:c r="P49" s="6"/>
      <x:c r="Q49" s="6"/>
      <x:c r="R49" s="6"/>
      <x:c r="S49" s="6"/>
      <x:c r="T49" s="6"/>
      <x:c r="U49" s="6"/>
      <x:c r="V49" s="6"/>
      <x:c r="W49" s="6"/>
      <x:c r="X49" s="6"/>
      <x:c r="Y49" s="6"/>
      <x:c r="Z49" s="6"/>
    </x:row>
    <x:row r="50" s="1" customFormat="1" ht="15" hidden="0" customHeight="1">
      <x:c r="A50" s="7" t="s">
        <x:v>298</x:v>
      </x:c>
      <x:c r="B50" s="6"/>
      <x:c r="C50" s="6"/>
      <x:c r="D50" s="6"/>
      <x:c r="E50" s="6"/>
      <x:c r="F50" s="6"/>
      <x:c r="G50" s="6"/>
      <x:c r="H50" s="6"/>
      <x:c r="I50" s="6"/>
      <x:c r="J50" s="6"/>
      <x:c r="K50" s="6"/>
      <x:c r="L50" s="6"/>
      <x:c r="M50" s="6"/>
      <x:c r="N50" s="6"/>
      <x:c r="O50" s="6"/>
      <x:c r="P50" s="6"/>
      <x:c r="Q50" s="6"/>
      <x:c r="R50" s="6"/>
      <x:c r="S50" s="6"/>
      <x:c r="T50" s="6"/>
      <x:c r="U50" s="6"/>
      <x:c r="V50" s="6"/>
      <x:c r="W50" s="6"/>
      <x:c r="X50" s="6"/>
      <x:c r="Y50" s="6"/>
      <x:c r="Z50" s="6"/>
    </x:row>
    <x:row r="51" s="1" customFormat="1" ht="15" hidden="0" customHeight="1">
      <x:c r="A51" s="7" t="s">
        <x:v>299</x:v>
      </x:c>
      <x:c r="B51" s="8" t="s">
        <x:v>300</x:v>
      </x:c>
      <x:c r="C51" s="6"/>
      <x:c r="D51" s="6"/>
      <x:c r="E51" s="6"/>
      <x:c r="F51" s="6"/>
      <x:c r="G51" s="6"/>
      <x:c r="H51" s="6"/>
      <x:c r="I51" s="6"/>
      <x:c r="J51" s="6"/>
      <x:c r="K51" s="6"/>
      <x:c r="L51" s="6"/>
      <x:c r="M51" s="6"/>
      <x:c r="N51" s="6"/>
      <x:c r="O51" s="6"/>
      <x:c r="P51" s="6"/>
      <x:c r="Q51" s="6"/>
      <x:c r="R51" s="6"/>
      <x:c r="S51" s="6"/>
      <x:c r="T51" s="6"/>
      <x:c r="U51" s="6"/>
      <x:c r="V51" s="6"/>
      <x:c r="W51" s="6"/>
      <x:c r="X51" s="6"/>
      <x:c r="Y51" s="6"/>
      <x:c r="Z51" s="6"/>
    </x:row>
    <x:row r="52" s="1" customFormat="1" ht="15" hidden="0" customHeight="1">
      <x:c r="A52" s="7" t="s">
        <x:v>301</x:v>
      </x:c>
      <x:c r="B52" s="5" t="s">
        <x:v>300</x:v>
      </x:c>
      <x:c r="C52" s="6"/>
      <x:c r="D52" s="6"/>
      <x:c r="E52" s="6"/>
      <x:c r="F52" s="6"/>
      <x:c r="G52" s="6"/>
      <x:c r="H52" s="6"/>
      <x:c r="I52" s="6"/>
      <x:c r="J52" s="6"/>
      <x:c r="K52" s="6"/>
      <x:c r="L52" s="6"/>
      <x:c r="M52" s="6"/>
      <x:c r="N52" s="6"/>
      <x:c r="O52" s="6"/>
      <x:c r="P52" s="6"/>
      <x:c r="Q52" s="6"/>
      <x:c r="R52" s="6"/>
      <x:c r="S52" s="6"/>
      <x:c r="T52" s="6"/>
      <x:c r="U52" s="6"/>
      <x:c r="V52" s="6"/>
      <x:c r="W52" s="6"/>
      <x:c r="X52" s="6"/>
      <x:c r="Y52" s="6"/>
      <x:c r="Z52" s="6"/>
    </x:row>
    <x:row r="53" s="1" customFormat="1" ht="13.5" hidden="0" customHeight="1">
      <x:c r="A53" s="6"/>
      <x:c r="B53" s="6"/>
      <x:c r="C53" s="6"/>
      <x:c r="D53" s="6"/>
      <x:c r="E53" s="6"/>
      <x:c r="F53" s="6"/>
      <x:c r="G53" s="6"/>
      <x:c r="H53" s="6"/>
      <x:c r="I53" s="6"/>
      <x:c r="J53" s="6"/>
      <x:c r="K53" s="6"/>
      <x:c r="L53" s="6"/>
      <x:c r="M53" s="6"/>
      <x:c r="N53" s="6"/>
      <x:c r="O53" s="6"/>
      <x:c r="P53" s="6"/>
      <x:c r="Q53" s="6"/>
      <x:c r="R53" s="6"/>
      <x:c r="S53" s="6"/>
      <x:c r="T53" s="6"/>
      <x:c r="U53" s="6"/>
      <x:c r="V53" s="6"/>
      <x:c r="W53" s="6"/>
      <x:c r="X53" s="6"/>
      <x:c r="Y53" s="6"/>
      <x:c r="Z53" s="6"/>
    </x:row>
    <x:row r="54" s="1" customFormat="1" ht="15" hidden="0" customHeight="1">
      <x:c r="A54" s="7" t="s">
        <x:v>302</x:v>
      </x:c>
      <x:c r="B54" s="5" t="n">
        <x:v>0.0219</x:v>
      </x:c>
      <x:c r="C54" s="6"/>
      <x:c r="D54" s="6"/>
      <x:c r="E54" s="6"/>
      <x:c r="F54" s="6"/>
      <x:c r="G54" s="6"/>
      <x:c r="H54" s="6"/>
      <x:c r="I54" s="6"/>
      <x:c r="J54" s="6"/>
      <x:c r="K54" s="6"/>
      <x:c r="L54" s="6"/>
      <x:c r="M54" s="6"/>
      <x:c r="N54" s="6"/>
      <x:c r="O54" s="6"/>
      <x:c r="P54" s="6"/>
      <x:c r="Q54" s="6"/>
      <x:c r="R54" s="6"/>
      <x:c r="S54" s="6"/>
      <x:c r="T54" s="6"/>
      <x:c r="U54" s="6"/>
      <x:c r="V54" s="6"/>
      <x:c r="W54" s="6"/>
      <x:c r="X54" s="6"/>
      <x:c r="Y54" s="6"/>
      <x:c r="Z54" s="6"/>
    </x:row>
    <x:row r="55" s="1" customFormat="1" ht="15" hidden="0" customHeight="1">
      <x:c r="A55" s="360" t="s">
        <x:v>303</x:v>
      </x:c>
      <x:c r="B55" s="362" t="n">
        <x:v>0.0315</x:v>
      </x:c>
      <x:c r="C55" s="363"/>
      <x:c r="D55" s="6"/>
      <x:c r="E55" s="6"/>
      <x:c r="F55" s="6"/>
      <x:c r="G55" s="6"/>
      <x:c r="H55" s="6"/>
      <x:c r="I55" s="6"/>
      <x:c r="J55" s="6"/>
      <x:c r="K55" s="6"/>
      <x:c r="L55" s="6"/>
      <x:c r="M55" s="6"/>
      <x:c r="N55" s="6"/>
      <x:c r="O55" s="6"/>
      <x:c r="P55" s="6"/>
      <x:c r="Q55" s="6"/>
      <x:c r="R55" s="6"/>
      <x:c r="S55" s="6"/>
      <x:c r="T55" s="6"/>
      <x:c r="U55" s="6"/>
      <x:c r="V55" s="6"/>
      <x:c r="W55" s="6"/>
      <x:c r="X55" s="6"/>
      <x:c r="Y55" s="6"/>
      <x:c r="Z55" s="6"/>
    </x:row>
    <x:row r="56" s="1" customFormat="1" ht="15" hidden="0" customHeight="1">
      <x:c r="A56" s="360" t="s">
        <x:v>304</x:v>
      </x:c>
      <x:c r="B56" s="361" t="s">
        <x:v>305</x:v>
      </x:c>
      <x:c r="C56" s="363"/>
      <x:c r="D56" s="6"/>
      <x:c r="E56" s="6"/>
      <x:c r="F56" s="6"/>
      <x:c r="G56" s="6"/>
      <x:c r="H56" s="6"/>
      <x:c r="I56" s="6"/>
      <x:c r="J56" s="6"/>
      <x:c r="K56" s="6"/>
      <x:c r="L56" s="6"/>
      <x:c r="M56" s="6"/>
      <x:c r="N56" s="6"/>
      <x:c r="O56" s="6"/>
      <x:c r="P56" s="6"/>
      <x:c r="Q56" s="6"/>
      <x:c r="R56" s="6"/>
      <x:c r="S56" s="6"/>
      <x:c r="T56" s="6"/>
      <x:c r="U56" s="6"/>
      <x:c r="V56" s="6"/>
      <x:c r="W56" s="6"/>
      <x:c r="X56" s="6"/>
      <x:c r="Y56" s="6"/>
      <x:c r="Z56" s="6"/>
    </x:row>
    <x:row r="57" s="1" customFormat="1" ht="15" hidden="0" customHeight="1">
      <x:c r="A57" s="360" t="s">
        <x:v>306</x:v>
      </x:c>
      <x:c r="B57" s="362" t="s">
        <x:v>305</x:v>
      </x:c>
      <x:c r="C57" s="363"/>
      <x:c r="D57" s="6"/>
      <x:c r="E57" s="6"/>
      <x:c r="F57" s="6"/>
      <x:c r="G57" s="6"/>
      <x:c r="H57" s="6"/>
      <x:c r="I57" s="6"/>
      <x:c r="J57" s="6"/>
      <x:c r="K57" s="6"/>
      <x:c r="L57" s="6"/>
      <x:c r="M57" s="6"/>
      <x:c r="N57" s="6"/>
      <x:c r="O57" s="6"/>
      <x:c r="P57" s="6"/>
      <x:c r="Q57" s="6"/>
      <x:c r="R57" s="6"/>
      <x:c r="S57" s="6"/>
      <x:c r="T57" s="6"/>
      <x:c r="U57" s="6"/>
      <x:c r="V57" s="6"/>
      <x:c r="W57" s="6"/>
      <x:c r="X57" s="6"/>
      <x:c r="Y57" s="6"/>
      <x:c r="Z57" s="6"/>
    </x:row>
    <x:row r="58" s="1" customFormat="1" ht="15" hidden="0" customHeight="1">
      <x:c r="A58" s="360" t="s">
        <x:v>307</x:v>
      </x:c>
      <x:c r="B58" s="361" t="n">
        <x:v>0.2</x:v>
      </x:c>
      <x:c r="C58" s="361" t="s">
        <x:v>308</x:v>
      </x:c>
      <x:c r="D58" s="6"/>
      <x:c r="E58" s="6"/>
      <x:c r="F58" s="6"/>
      <x:c r="G58" s="6"/>
      <x:c r="H58" s="6"/>
      <x:c r="I58" s="6"/>
      <x:c r="J58" s="6"/>
      <x:c r="K58" s="6"/>
      <x:c r="L58" s="6"/>
      <x:c r="M58" s="6"/>
      <x:c r="N58" s="6"/>
      <x:c r="O58" s="6"/>
      <x:c r="P58" s="6"/>
      <x:c r="Q58" s="6"/>
      <x:c r="R58" s="6"/>
      <x:c r="S58" s="6"/>
      <x:c r="T58" s="6"/>
      <x:c r="U58" s="6"/>
      <x:c r="V58" s="6"/>
      <x:c r="W58" s="6"/>
      <x:c r="X58" s="6"/>
      <x:c r="Y58" s="6"/>
      <x:c r="Z58" s="6"/>
    </x:row>
    <x:row r="59" s="1" customFormat="1" ht="13.5" hidden="0" customHeight="1">
      <x:c r="A59" s="360" t="s">
        <x:v>309</x:v>
      </x:c>
      <x:c r="B59" s="362" t="str">
        <x:v>NO</x:v>
      </x:c>
      <x:c r="C59" s="363"/>
      <x:c r="D59" s="6"/>
      <x:c r="E59" s="6"/>
      <x:c r="F59" s="6"/>
      <x:c r="G59" s="6"/>
      <x:c r="H59" s="6"/>
      <x:c r="I59" s="6"/>
      <x:c r="J59" s="6"/>
      <x:c r="K59" s="6"/>
      <x:c r="L59" s="6"/>
      <x:c r="M59" s="6"/>
      <x:c r="N59" s="6"/>
      <x:c r="O59" s="6"/>
      <x:c r="P59" s="6"/>
      <x:c r="Q59" s="6"/>
      <x:c r="R59" s="6"/>
      <x:c r="S59" s="6"/>
      <x:c r="T59" s="6"/>
      <x:c r="U59" s="6"/>
      <x:c r="V59" s="6"/>
      <x:c r="W59" s="6"/>
      <x:c r="X59" s="6"/>
      <x:c r="Y59" s="6"/>
      <x:c r="Z59" s="6"/>
    </x:row>
    <x:row r="60" s="1" customFormat="1" ht="34" hidden="0" customHeight="1">
      <x:c r="A60" s="360" t="s">
        <x:v>310</x:v>
      </x:c>
      <x:c r="B60" s="361" t="s">
        <x:v>311</x:v>
      </x:c>
      <x:c r="C60" s="363" t="s">
        <x:v>312</x:v>
      </x:c>
      <x:c r="D60" s="6"/>
      <x:c r="E60" s="6"/>
      <x:c r="F60" s="6"/>
      <x:c r="G60" s="6"/>
      <x:c r="H60" s="6"/>
      <x:c r="I60" s="6"/>
      <x:c r="J60" s="6"/>
      <x:c r="K60" s="6"/>
      <x:c r="L60" s="6"/>
      <x:c r="M60" s="6"/>
      <x:c r="N60" s="6"/>
      <x:c r="O60" s="6"/>
      <x:c r="P60" s="6"/>
      <x:c r="Q60" s="6"/>
      <x:c r="R60" s="6"/>
      <x:c r="S60" s="6"/>
      <x:c r="T60" s="6"/>
      <x:c r="U60" s="6"/>
      <x:c r="V60" s="6"/>
      <x:c r="W60" s="6"/>
      <x:c r="X60" s="6"/>
      <x:c r="Y60" s="6"/>
      <x:c r="Z60" s="6"/>
    </x:row>
    <x:row r="61" s="1" customFormat="1" ht="34" hidden="0" customHeight="1">
      <x:c r="A61" s="360" t="s">
        <x:v>313</x:v>
      </x:c>
      <x:c r="B61" s="362" t="s">
        <x:v>311</x:v>
      </x:c>
      <x:c r="C61" s="363" t="s">
        <x:v>314</x:v>
      </x:c>
      <x:c r="D61" s="6"/>
      <x:c r="E61" s="6"/>
      <x:c r="F61" s="6"/>
      <x:c r="G61" s="6"/>
      <x:c r="H61" s="6"/>
      <x:c r="I61" s="6"/>
      <x:c r="J61" s="6"/>
      <x:c r="K61" s="6"/>
      <x:c r="L61" s="6"/>
      <x:c r="M61" s="6"/>
      <x:c r="N61" s="6"/>
      <x:c r="O61" s="6"/>
      <x:c r="P61" s="6"/>
      <x:c r="Q61" s="6"/>
      <x:c r="R61" s="6"/>
      <x:c r="S61" s="6"/>
      <x:c r="T61" s="6"/>
      <x:c r="U61" s="6"/>
      <x:c r="V61" s="6"/>
      <x:c r="W61" s="6"/>
      <x:c r="X61" s="6"/>
      <x:c r="Y61" s="6"/>
      <x:c r="Z61" s="6"/>
    </x:row>
    <x:row r="62" s="1" customFormat="1" ht="13.5" hidden="0" customHeight="1">
      <x:c r="A62" s="363"/>
      <x:c r="B62" s="363"/>
      <x:c r="C62" s="363"/>
      <x:c r="D62" s="6"/>
      <x:c r="E62" s="6"/>
      <x:c r="F62" s="6"/>
      <x:c r="G62" s="6"/>
      <x:c r="H62" s="6"/>
      <x:c r="I62" s="6"/>
      <x:c r="J62" s="6"/>
      <x:c r="K62" s="6"/>
      <x:c r="L62" s="6"/>
      <x:c r="M62" s="6"/>
      <x:c r="N62" s="6"/>
      <x:c r="O62" s="6"/>
      <x:c r="P62" s="6"/>
      <x:c r="Q62" s="6"/>
      <x:c r="R62" s="6"/>
      <x:c r="S62" s="6"/>
      <x:c r="T62" s="6"/>
      <x:c r="U62" s="6"/>
      <x:c r="V62" s="6"/>
      <x:c r="W62" s="6"/>
      <x:c r="X62" s="6"/>
      <x:c r="Y62" s="6"/>
      <x:c r="Z62" s="6"/>
    </x:row>
    <x:row r="63" s="1" customFormat="1" ht="15" hidden="0" customHeight="1">
      <x:c r="A63" s="360" t="s">
        <x:v>315</x:v>
      </x:c>
      <x:c r="B63" s="364" t="n">
        <x:v>0.0153129427168233</x:v>
      </x:c>
      <x:c r="C63" s="363"/>
      <x:c r="D63" s="6"/>
      <x:c r="E63" s="6"/>
      <x:c r="F63" s="6"/>
      <x:c r="G63" s="6"/>
      <x:c r="H63" s="6"/>
      <x:c r="I63" s="6"/>
      <x:c r="J63" s="6"/>
      <x:c r="K63" s="6"/>
      <x:c r="L63" s="6"/>
      <x:c r="M63" s="6"/>
      <x:c r="N63" s="6"/>
      <x:c r="O63" s="6"/>
      <x:c r="P63" s="6"/>
      <x:c r="Q63" s="6"/>
      <x:c r="R63" s="6"/>
      <x:c r="S63" s="6"/>
      <x:c r="T63" s="6"/>
      <x:c r="U63" s="6"/>
      <x:c r="V63" s="6"/>
      <x:c r="W63" s="6"/>
      <x:c r="X63" s="6"/>
      <x:c r="Y63" s="6"/>
      <x:c r="Z63" s="6"/>
    </x:row>
    <x:row r="64" s="1" customFormat="1" ht="15" hidden="0" customHeight="1">
      <x:c r="A64" s="360" t="s">
        <x:v>316</x:v>
      </x:c>
      <x:c r="B64" s="365" t="n">
        <x:v>-0.00112238738505248</x:v>
      </x:c>
      <x:c r="C64" s="363"/>
      <x:c r="D64" s="6"/>
      <x:c r="E64" s="6"/>
      <x:c r="F64" s="6"/>
      <x:c r="G64" s="6"/>
      <x:c r="H64" s="6"/>
      <x:c r="I64" s="6"/>
      <x:c r="J64" s="6"/>
      <x:c r="K64" s="6"/>
      <x:c r="L64" s="6"/>
      <x:c r="M64" s="6"/>
      <x:c r="N64" s="6"/>
      <x:c r="O64" s="6"/>
      <x:c r="P64" s="6"/>
      <x:c r="Q64" s="6"/>
      <x:c r="R64" s="6"/>
      <x:c r="S64" s="6"/>
      <x:c r="T64" s="6"/>
      <x:c r="U64" s="6"/>
      <x:c r="V64" s="6"/>
      <x:c r="W64" s="6"/>
      <x:c r="X64" s="6"/>
      <x:c r="Y64" s="6"/>
      <x:c r="Z64" s="6"/>
    </x:row>
    <x:row r="65" s="1" customFormat="1" ht="13.5" hidden="0" customHeight="1">
      <x:c r="A65" s="363"/>
      <x:c r="B65" s="363"/>
      <x:c r="C65" s="363"/>
      <x:c r="D65" s="6"/>
      <x:c r="E65" s="6"/>
      <x:c r="F65" s="6"/>
      <x:c r="G65" s="6"/>
      <x:c r="H65" s="6"/>
      <x:c r="I65" s="6"/>
      <x:c r="J65" s="6"/>
      <x:c r="K65" s="6"/>
      <x:c r="L65" s="6"/>
      <x:c r="M65" s="6"/>
      <x:c r="N65" s="6"/>
      <x:c r="O65" s="6"/>
      <x:c r="P65" s="6"/>
      <x:c r="Q65" s="6"/>
      <x:c r="R65" s="6"/>
      <x:c r="S65" s="6"/>
      <x:c r="T65" s="6"/>
      <x:c r="U65" s="6"/>
      <x:c r="V65" s="6"/>
      <x:c r="W65" s="6"/>
      <x:c r="X65" s="6"/>
      <x:c r="Y65" s="6"/>
      <x:c r="Z65" s="6"/>
    </x:row>
    <x:row r="66" s="1" customFormat="1" ht="15" hidden="0" customHeight="1">
      <x:c r="A66" s="360" t="s">
        <x:v>317</x:v>
      </x:c>
      <x:c r="B66" s="363"/>
      <x:c r="C66" s="363"/>
      <x:c r="D66" s="6"/>
      <x:c r="E66" s="6"/>
      <x:c r="F66" s="6"/>
      <x:c r="G66" s="6"/>
      <x:c r="H66" s="6"/>
      <x:c r="I66" s="6"/>
      <x:c r="J66" s="6"/>
      <x:c r="K66" s="6"/>
      <x:c r="L66" s="6"/>
      <x:c r="M66" s="6"/>
      <x:c r="N66" s="6"/>
      <x:c r="O66" s="6"/>
      <x:c r="P66" s="6"/>
      <x:c r="Q66" s="6"/>
      <x:c r="R66" s="6"/>
      <x:c r="S66" s="6"/>
      <x:c r="T66" s="6"/>
      <x:c r="U66" s="6"/>
      <x:c r="V66" s="6"/>
      <x:c r="W66" s="6"/>
      <x:c r="X66" s="6"/>
      <x:c r="Y66" s="6"/>
      <x:c r="Z66" s="6"/>
    </x:row>
    <x:row r="67" s="1" customFormat="1" ht="15" hidden="0" customHeight="1">
      <x:c r="A67" s="360" t="s">
        <x:v>318</x:v>
      </x:c>
      <x:c r="B67" s="362" t="n">
        <x:v>2</x:v>
      </x:c>
      <x:c r="C67" s="362" t="s">
        <x:v>319</x:v>
      </x:c>
      <x:c r="D67" s="6"/>
      <x:c r="E67" s="6"/>
      <x:c r="F67" s="6"/>
      <x:c r="G67" s="6"/>
      <x:c r="H67" s="6"/>
      <x:c r="I67" s="6"/>
      <x:c r="J67" s="6"/>
      <x:c r="K67" s="6"/>
      <x:c r="L67" s="6"/>
      <x:c r="M67" s="6"/>
      <x:c r="N67" s="6"/>
      <x:c r="O67" s="6"/>
      <x:c r="P67" s="6"/>
      <x:c r="Q67" s="6"/>
      <x:c r="R67" s="6"/>
      <x:c r="S67" s="6"/>
      <x:c r="T67" s="6"/>
      <x:c r="U67" s="6"/>
      <x:c r="V67" s="6"/>
      <x:c r="W67" s="6"/>
      <x:c r="X67" s="6"/>
      <x:c r="Y67" s="6"/>
      <x:c r="Z67" s="6"/>
    </x:row>
    <x:row r="68" s="1" customFormat="1" ht="15" hidden="0" customHeight="1">
      <x:c r="A68" s="360" t="s">
        <x:v>320</x:v>
      </x:c>
      <x:c r="B68" s="361" t="n">
        <x:v>2</x:v>
      </x:c>
      <x:c r="C68" s="361" t="s">
        <x:v>321</x:v>
      </x:c>
      <x:c r="D68" s="6"/>
      <x:c r="E68" s="6"/>
      <x:c r="F68" s="6"/>
      <x:c r="G68" s="6"/>
      <x:c r="H68" s="6"/>
      <x:c r="I68" s="6"/>
      <x:c r="J68" s="6"/>
      <x:c r="K68" s="6"/>
      <x:c r="L68" s="6"/>
      <x:c r="M68" s="6"/>
      <x:c r="N68" s="6"/>
      <x:c r="O68" s="6"/>
      <x:c r="P68" s="6"/>
      <x:c r="Q68" s="6"/>
      <x:c r="R68" s="6"/>
      <x:c r="S68" s="6"/>
      <x:c r="T68" s="6"/>
      <x:c r="U68" s="6"/>
      <x:c r="V68" s="6"/>
      <x:c r="W68" s="6"/>
      <x:c r="X68" s="6"/>
      <x:c r="Y68" s="6"/>
      <x:c r="Z68" s="6"/>
    </x:row>
    <x:row r="69" s="1" customFormat="1" ht="13.5" hidden="0" customHeight="1">
      <x:c r="A69" s="363" t="s">
        <x:v>322</x:v>
      </x:c>
      <x:c r="B69" s="363" t="n">
        <x:v>2</x:v>
      </x:c>
      <x:c r="C69" s="363" t="s">
        <x:v>323</x:v>
      </x:c>
      <x:c r="D69" s="6"/>
      <x:c r="E69" s="6"/>
      <x:c r="F69" s="6"/>
      <x:c r="G69" s="6"/>
      <x:c r="H69" s="6"/>
      <x:c r="I69" s="6"/>
      <x:c r="J69" s="6"/>
      <x:c r="K69" s="6"/>
      <x:c r="L69" s="6"/>
      <x:c r="M69" s="6"/>
      <x:c r="N69" s="6"/>
      <x:c r="O69" s="6"/>
      <x:c r="P69" s="6"/>
      <x:c r="Q69" s="6"/>
      <x:c r="R69" s="6"/>
      <x:c r="S69" s="6"/>
      <x:c r="T69" s="6"/>
      <x:c r="U69" s="6"/>
      <x:c r="V69" s="6"/>
      <x:c r="W69" s="6"/>
      <x:c r="X69" s="6"/>
      <x:c r="Y69" s="6"/>
      <x:c r="Z69" s="6"/>
    </x:row>
    <x:row r="70" s="1" customFormat="1" ht="52" hidden="0" customHeight="1">
      <x:c r="A70" s="360" t="s">
        <x:v>324</x:v>
      </x:c>
      <x:c r="B70" s="361" t="str">
        <x:v>REFUSE_DETERMINISTIC_SELECTION</x:v>
      </x:c>
      <x:c r="C70" s="361" t="str">
        <x:v>Canonical framework verdict: the point-score lead is uncertainty-sensitive, so RippleLogic does not claim unique selection; authority and execution remain separate.</x:v>
      </x:c>
      <x:c r="D70" s="6"/>
      <x:c r="E70" s="6"/>
      <x:c r="F70" s="6"/>
      <x:c r="G70" s="6"/>
      <x:c r="H70" s="6"/>
      <x:c r="I70" s="6"/>
      <x:c r="J70" s="6"/>
      <x:c r="K70" s="6"/>
      <x:c r="L70" s="6"/>
      <x:c r="M70" s="6"/>
      <x:c r="N70" s="6"/>
      <x:c r="O70" s="6"/>
      <x:c r="P70" s="6"/>
      <x:c r="Q70" s="6"/>
      <x:c r="R70" s="6"/>
      <x:c r="S70" s="6"/>
      <x:c r="T70" s="6"/>
      <x:c r="U70" s="6"/>
      <x:c r="V70" s="6"/>
      <x:c r="W70" s="6"/>
      <x:c r="X70" s="6"/>
      <x:c r="Y70" s="6"/>
      <x:c r="Z70" s="6"/>
    </x:row>
    <x:row r="71" s="1" customFormat="1" ht="66" hidden="0" customHeight="1">
      <x:c r="A71" s="360" t="str">
        <x:v>AUTHORITY_SELECTED_OPTION</x:v>
      </x:c>
      <x:c r="B71" s="362" t="str">
        <x:v>A</x:v>
      </x:c>
      <x:c r="C71" s="362" t="str">
        <x:v>Separate accountable authority selection after REFUSE_DETERMINISTIC_SELECTION; this is not a unique framework-selected option and does not authorize execution.</x:v>
      </x:c>
      <x:c r="D71" s="6"/>
      <x:c r="E71" s="6"/>
      <x:c r="F71" s="6"/>
      <x:c r="G71" s="6"/>
      <x:c r="H71" s="6"/>
      <x:c r="I71" s="6"/>
      <x:c r="J71" s="6"/>
      <x:c r="K71" s="6"/>
      <x:c r="L71" s="6"/>
      <x:c r="M71" s="6"/>
      <x:c r="N71" s="6"/>
      <x:c r="O71" s="6"/>
      <x:c r="P71" s="6"/>
      <x:c r="Q71" s="6"/>
      <x:c r="R71" s="6"/>
      <x:c r="S71" s="6"/>
      <x:c r="T71" s="6"/>
      <x:c r="U71" s="6"/>
      <x:c r="V71" s="6"/>
      <x:c r="W71" s="6"/>
      <x:c r="X71" s="6"/>
      <x:c r="Y71" s="6"/>
      <x:c r="Z71" s="6"/>
    </x:row>
    <x:row r="72" s="1" customFormat="1" ht="104" hidden="0" customHeight="1">
      <x:c r="A72" s="360" t="s">
        <x:v>325</x:v>
      </x:c>
      <x:c r="B72" s="361" t="str">
        <x:v>Point-score leader A; unvalidated Method C uncertainty flips under the σ×2 stress, so RippleLogic refuses deterministic selection. Option A is separately selected by accountable authority for the bounded worked-run demonstration.</x:v>
      </x:c>
      <x:c r="C72" s="361" t="str">
        <x:v>The selection basis distinguishes point-score ordering, non-decisive framework result, accountable authority selection, and execution authorization.</x:v>
      </x:c>
      <x:c r="D72" s="6"/>
      <x:c r="E72" s="6"/>
      <x:c r="F72" s="6"/>
      <x:c r="G72" s="6"/>
      <x:c r="H72" s="6"/>
      <x:c r="I72" s="6"/>
      <x:c r="J72" s="6"/>
      <x:c r="K72" s="6"/>
      <x:c r="L72" s="6"/>
      <x:c r="M72" s="6"/>
      <x:c r="N72" s="6"/>
      <x:c r="O72" s="6"/>
      <x:c r="P72" s="6"/>
      <x:c r="Q72" s="6"/>
      <x:c r="R72" s="6"/>
      <x:c r="S72" s="6"/>
      <x:c r="T72" s="6"/>
      <x:c r="U72" s="6"/>
      <x:c r="V72" s="6"/>
      <x:c r="W72" s="6"/>
      <x:c r="X72" s="6"/>
      <x:c r="Y72" s="6"/>
      <x:c r="Z72" s="6"/>
    </x:row>
    <x:row r="73" s="1" customFormat="1" ht="15" hidden="0" customHeight="1">
      <x:c r="A73" s="360" t="s">
        <x:v>326</x:v>
      </x:c>
      <x:c r="B73" s="362" t="str">
        <x:v>YES</x:v>
      </x:c>
      <x:c r="C73" s="363"/>
      <x:c r="D73" s="6"/>
      <x:c r="E73" s="6"/>
      <x:c r="F73" s="6"/>
      <x:c r="G73" s="6"/>
      <x:c r="H73" s="6"/>
      <x:c r="I73" s="6"/>
      <x:c r="J73" s="6"/>
      <x:c r="K73" s="6"/>
      <x:c r="L73" s="6"/>
      <x:c r="M73" s="6"/>
      <x:c r="N73" s="6"/>
      <x:c r="O73" s="6"/>
      <x:c r="P73" s="6"/>
      <x:c r="Q73" s="6"/>
      <x:c r="R73" s="6"/>
      <x:c r="S73" s="6"/>
      <x:c r="T73" s="6"/>
      <x:c r="U73" s="6"/>
      <x:c r="V73" s="6"/>
      <x:c r="W73" s="6"/>
      <x:c r="X73" s="6"/>
      <x:c r="Y73" s="6"/>
      <x:c r="Z73" s="6"/>
    </x:row>
    <x:row r="74" s="1" customFormat="1" ht="13.5" hidden="0" customHeight="1">
      <x:c r="A74" s="363"/>
      <x:c r="B74" s="363"/>
      <x:c r="C74" s="363"/>
      <x:c r="D74" s="6"/>
      <x:c r="E74" s="6"/>
      <x:c r="F74" s="6"/>
      <x:c r="G74" s="6"/>
      <x:c r="H74" s="6"/>
      <x:c r="I74" s="6"/>
      <x:c r="J74" s="6"/>
      <x:c r="K74" s="6"/>
      <x:c r="L74" s="6"/>
      <x:c r="M74" s="6"/>
      <x:c r="N74" s="6"/>
      <x:c r="O74" s="6"/>
      <x:c r="P74" s="6"/>
      <x:c r="Q74" s="6"/>
      <x:c r="R74" s="6"/>
      <x:c r="S74" s="6"/>
      <x:c r="T74" s="6"/>
      <x:c r="U74" s="6"/>
      <x:c r="V74" s="6"/>
      <x:c r="W74" s="6"/>
      <x:c r="X74" s="6"/>
      <x:c r="Y74" s="6"/>
      <x:c r="Z74" s="6"/>
    </x:row>
    <x:row r="75" s="1" customFormat="1" ht="15" hidden="0" customHeight="1">
      <x:c r="A75" s="360" t="s">
        <x:v>327</x:v>
      </x:c>
      <x:c r="B75" s="363"/>
      <x:c r="C75" s="363"/>
      <x:c r="D75" s="6"/>
      <x:c r="E75" s="6"/>
      <x:c r="F75" s="6"/>
      <x:c r="G75" s="6"/>
      <x:c r="H75" s="6"/>
      <x:c r="I75" s="6"/>
      <x:c r="J75" s="6"/>
      <x:c r="K75" s="6"/>
      <x:c r="L75" s="6"/>
      <x:c r="M75" s="6"/>
      <x:c r="N75" s="6"/>
      <x:c r="O75" s="6"/>
      <x:c r="P75" s="6"/>
      <x:c r="Q75" s="6"/>
      <x:c r="R75" s="6"/>
      <x:c r="S75" s="6"/>
      <x:c r="T75" s="6"/>
      <x:c r="U75" s="6"/>
      <x:c r="V75" s="6"/>
      <x:c r="W75" s="6"/>
      <x:c r="X75" s="6"/>
      <x:c r="Y75" s="6"/>
      <x:c r="Z75" s="6"/>
    </x:row>
    <x:row r="76" s="1" customFormat="1" ht="15" hidden="0" customHeight="1">
      <x:c r="A76" s="360" t="s">
        <x:v>328</x:v>
      </x:c>
      <x:c r="B76" s="361" t="n">
        <x:v>0</x:v>
      </x:c>
      <x:c r="C76" s="361" t="s">
        <x:v>329</x:v>
      </x:c>
      <x:c r="D76" s="6"/>
      <x:c r="E76" s="6"/>
      <x:c r="F76" s="6"/>
      <x:c r="G76" s="6"/>
      <x:c r="H76" s="6"/>
      <x:c r="I76" s="6"/>
      <x:c r="J76" s="6"/>
      <x:c r="K76" s="6"/>
      <x:c r="L76" s="6"/>
      <x:c r="M76" s="6"/>
      <x:c r="N76" s="6"/>
      <x:c r="O76" s="6"/>
      <x:c r="P76" s="6"/>
      <x:c r="Q76" s="6"/>
      <x:c r="R76" s="6"/>
      <x:c r="S76" s="6"/>
      <x:c r="T76" s="6"/>
      <x:c r="U76" s="6"/>
      <x:c r="V76" s="6"/>
      <x:c r="W76" s="6"/>
      <x:c r="X76" s="6"/>
      <x:c r="Y76" s="6"/>
      <x:c r="Z76" s="6"/>
    </x:row>
    <x:row r="77" s="1" customFormat="1" ht="15" hidden="0" customHeight="1">
      <x:c r="A77" s="360" t="s">
        <x:v>330</x:v>
      </x:c>
      <x:c r="B77" s="362" t="n">
        <x:v>0</x:v>
      </x:c>
      <x:c r="C77" s="363"/>
      <x:c r="D77" s="6"/>
      <x:c r="E77" s="6"/>
      <x:c r="F77" s="6"/>
      <x:c r="G77" s="6"/>
      <x:c r="H77" s="6"/>
      <x:c r="I77" s="6"/>
      <x:c r="J77" s="6"/>
      <x:c r="K77" s="6"/>
      <x:c r="L77" s="6"/>
      <x:c r="M77" s="6"/>
      <x:c r="N77" s="6"/>
      <x:c r="O77" s="6"/>
      <x:c r="P77" s="6"/>
      <x:c r="Q77" s="6"/>
      <x:c r="R77" s="6"/>
      <x:c r="S77" s="6"/>
      <x:c r="T77" s="6"/>
      <x:c r="U77" s="6"/>
      <x:c r="V77" s="6"/>
      <x:c r="W77" s="6"/>
      <x:c r="X77" s="6"/>
      <x:c r="Y77" s="6"/>
      <x:c r="Z77" s="6"/>
    </x:row>
    <x:row r="78" s="1" customFormat="1" ht="13.5" hidden="0" customHeight="1">
      <x:c r="A78" s="363"/>
      <x:c r="B78" s="363"/>
      <x:c r="C78" s="363"/>
      <x:c r="D78" s="6"/>
      <x:c r="E78" s="6"/>
      <x:c r="F78" s="6"/>
      <x:c r="G78" s="6"/>
      <x:c r="H78" s="6"/>
      <x:c r="I78" s="6"/>
      <x:c r="J78" s="6"/>
      <x:c r="K78" s="6"/>
      <x:c r="L78" s="6"/>
      <x:c r="M78" s="6"/>
      <x:c r="N78" s="6"/>
      <x:c r="O78" s="6"/>
      <x:c r="P78" s="6"/>
      <x:c r="Q78" s="6"/>
      <x:c r="R78" s="6"/>
      <x:c r="S78" s="6"/>
      <x:c r="T78" s="6"/>
      <x:c r="U78" s="6"/>
      <x:c r="V78" s="6"/>
      <x:c r="W78" s="6"/>
      <x:c r="X78" s="6"/>
      <x:c r="Y78" s="6"/>
      <x:c r="Z78" s="6"/>
    </x:row>
    <x:row r="79" s="1" customFormat="1" ht="15" hidden="0" customHeight="1">
      <x:c r="A79" s="360" t="s">
        <x:v>331</x:v>
      </x:c>
      <x:c r="B79" s="363"/>
      <x:c r="C79" s="363"/>
      <x:c r="D79" s="6"/>
      <x:c r="E79" s="6"/>
      <x:c r="F79" s="6"/>
      <x:c r="G79" s="6"/>
      <x:c r="H79" s="6"/>
      <x:c r="I79" s="6"/>
      <x:c r="J79" s="6"/>
      <x:c r="K79" s="6"/>
      <x:c r="L79" s="6"/>
      <x:c r="M79" s="6"/>
      <x:c r="N79" s="6"/>
      <x:c r="O79" s="6"/>
      <x:c r="P79" s="6"/>
      <x:c r="Q79" s="6"/>
      <x:c r="R79" s="6"/>
      <x:c r="S79" s="6"/>
      <x:c r="T79" s="6"/>
      <x:c r="U79" s="6"/>
      <x:c r="V79" s="6"/>
      <x:c r="W79" s="6"/>
      <x:c r="X79" s="6"/>
      <x:c r="Y79" s="6"/>
      <x:c r="Z79" s="6"/>
    </x:row>
    <x:row r="80" s="1" customFormat="1" ht="15" hidden="0" customHeight="1">
      <x:c r="A80" s="360" t="s">
        <x:v>332</x:v>
      </x:c>
      <x:c r="B80" s="361" t="n">
        <x:v>0</x:v>
      </x:c>
      <x:c r="C80" s="361" t="s">
        <x:v>333</x:v>
      </x:c>
      <x:c r="D80" s="6"/>
      <x:c r="E80" s="6"/>
      <x:c r="F80" s="6"/>
      <x:c r="G80" s="6"/>
      <x:c r="H80" s="6"/>
      <x:c r="I80" s="6"/>
      <x:c r="J80" s="6"/>
      <x:c r="K80" s="6"/>
      <x:c r="L80" s="6"/>
      <x:c r="M80" s="6"/>
      <x:c r="N80" s="6"/>
      <x:c r="O80" s="6"/>
      <x:c r="P80" s="6"/>
      <x:c r="Q80" s="6"/>
      <x:c r="R80" s="6"/>
      <x:c r="S80" s="6"/>
      <x:c r="T80" s="6"/>
      <x:c r="U80" s="6"/>
      <x:c r="V80" s="6"/>
      <x:c r="W80" s="6"/>
      <x:c r="X80" s="6"/>
      <x:c r="Y80" s="6"/>
      <x:c r="Z80" s="6"/>
    </x:row>
    <x:row r="81" s="1" customFormat="1" ht="15" hidden="0" customHeight="1">
      <x:c r="A81" s="360" t="s">
        <x:v>334</x:v>
      </x:c>
      <x:c r="B81" s="366" t="s">
        <x:v>292</x:v>
      </x:c>
      <x:c r="C81" s="363"/>
      <x:c r="D81" s="6"/>
      <x:c r="E81" s="6"/>
      <x:c r="F81" s="6"/>
      <x:c r="G81" s="6"/>
      <x:c r="H81" s="6"/>
      <x:c r="I81" s="6"/>
      <x:c r="J81" s="6"/>
      <x:c r="K81" s="6"/>
      <x:c r="L81" s="6"/>
      <x:c r="M81" s="6"/>
      <x:c r="N81" s="6"/>
      <x:c r="O81" s="6"/>
      <x:c r="P81" s="6"/>
      <x:c r="Q81" s="6"/>
      <x:c r="R81" s="6"/>
      <x:c r="S81" s="6"/>
      <x:c r="T81" s="6"/>
      <x:c r="U81" s="6"/>
      <x:c r="V81" s="6"/>
      <x:c r="W81" s="6"/>
      <x:c r="X81" s="6"/>
      <x:c r="Y81" s="6"/>
      <x:c r="Z81" s="6"/>
    </x:row>
    <x:row r="82" s="1" customFormat="1" ht="14.25" hidden="0" customHeight="1">
      <x:c r="A82" s="360" t="s">
        <x:v>335</x:v>
      </x:c>
      <x:c r="B82" s="361" t="s">
        <x:v>60</x:v>
      </x:c>
      <x:c r="C82" s="361" t="s">
        <x:v>336</x:v>
      </x:c>
      <x:c r="D82" s="6"/>
      <x:c r="E82" s="6"/>
      <x:c r="F82" s="6"/>
      <x:c r="G82" s="6"/>
      <x:c r="H82" s="6"/>
      <x:c r="I82" s="6"/>
      <x:c r="J82" s="6"/>
      <x:c r="K82" s="6"/>
      <x:c r="L82" s="6"/>
      <x:c r="M82" s="6"/>
      <x:c r="N82" s="6"/>
      <x:c r="O82" s="6"/>
      <x:c r="P82" s="6"/>
      <x:c r="Q82" s="6"/>
      <x:c r="R82" s="6"/>
      <x:c r="S82" s="6"/>
      <x:c r="T82" s="6"/>
      <x:c r="U82" s="6"/>
      <x:c r="V82" s="6"/>
      <x:c r="W82" s="6"/>
      <x:c r="X82" s="6"/>
      <x:c r="Y82" s="6"/>
      <x:c r="Z82" s="6"/>
    </x:row>
    <x:row r="83" s="1" customFormat="1" ht="14.25" hidden="0" customHeight="1">
      <x:c r="A83" s="7" t="s">
        <x:v>337</x:v>
      </x:c>
      <x:c r="B83" s="8" t="s">
        <x:v>292</x:v>
      </x:c>
      <x:c r="C83" s="8" t="s">
        <x:v>338</x:v>
      </x:c>
      <x:c r="D83" s="6"/>
      <x:c r="E83" s="6"/>
      <x:c r="F83" s="6"/>
      <x:c r="G83" s="6"/>
      <x:c r="H83" s="6"/>
      <x:c r="I83" s="6"/>
      <x:c r="J83" s="6"/>
      <x:c r="K83" s="6"/>
      <x:c r="L83" s="6"/>
      <x:c r="M83" s="6"/>
      <x:c r="N83" s="6"/>
      <x:c r="O83" s="6"/>
      <x:c r="P83" s="6"/>
      <x:c r="Q83" s="6"/>
      <x:c r="R83" s="6"/>
      <x:c r="S83" s="6"/>
      <x:c r="T83" s="6"/>
      <x:c r="U83" s="6"/>
      <x:c r="V83" s="6"/>
      <x:c r="W83" s="6"/>
      <x:c r="X83" s="6"/>
      <x:c r="Y83" s="6"/>
      <x:c r="Z83" s="6"/>
    </x:row>
    <x:row r="84" s="1" customFormat="1" ht="13.5" hidden="0" customHeight="1">
      <x:c r="A84" s="7" t="s">
        <x:v>339</x:v>
      </x:c>
      <x:c r="B84" s="5" t="s">
        <x:v>292</x:v>
      </x:c>
      <x:c r="C84" s="5" t="s">
        <x:v>340</x:v>
      </x:c>
      <x:c r="D84" s="6"/>
      <x:c r="E84" s="6"/>
      <x:c r="F84" s="6"/>
      <x:c r="G84" s="6"/>
      <x:c r="H84" s="6"/>
      <x:c r="I84" s="6"/>
      <x:c r="J84" s="6"/>
      <x:c r="K84" s="6"/>
      <x:c r="L84" s="6"/>
      <x:c r="M84" s="6"/>
      <x:c r="N84" s="6"/>
      <x:c r="O84" s="6"/>
      <x:c r="P84" s="6"/>
      <x:c r="Q84" s="6"/>
      <x:c r="R84" s="6"/>
      <x:c r="S84" s="6"/>
      <x:c r="T84" s="6"/>
      <x:c r="U84" s="6"/>
      <x:c r="V84" s="6"/>
      <x:c r="W84" s="6"/>
      <x:c r="X84" s="6"/>
      <x:c r="Y84" s="6"/>
      <x:c r="Z84" s="6"/>
    </x:row>
    <x:row r="85" s="1" customFormat="1" ht="14.25" hidden="0" customHeight="1">
      <x:c r="A85" s="7" t="s">
        <x:v>341</x:v>
      </x:c>
      <x:c r="B85" s="8" t="s">
        <x:v>233</x:v>
      </x:c>
      <x:c r="C85" s="8" t="s">
        <x:v>342</x:v>
      </x:c>
      <x:c r="D85" s="6"/>
      <x:c r="E85" s="6"/>
      <x:c r="F85" s="6"/>
      <x:c r="G85" s="6"/>
      <x:c r="H85" s="6"/>
      <x:c r="I85" s="6"/>
      <x:c r="J85" s="6"/>
      <x:c r="K85" s="6"/>
      <x:c r="L85" s="6"/>
      <x:c r="M85" s="6"/>
      <x:c r="N85" s="6"/>
      <x:c r="O85" s="6"/>
      <x:c r="P85" s="6"/>
      <x:c r="Q85" s="6"/>
      <x:c r="R85" s="6"/>
      <x:c r="S85" s="6"/>
      <x:c r="T85" s="6"/>
      <x:c r="U85" s="6"/>
      <x:c r="V85" s="6"/>
      <x:c r="W85" s="6"/>
      <x:c r="X85" s="6"/>
      <x:c r="Y85" s="6"/>
      <x:c r="Z85" s="6"/>
    </x:row>
    <x:row r="86" s="1" customFormat="1" ht="69.75" hidden="0" customHeight="1">
      <x:c r="A86" s="7" t="s">
        <x:v>343</x:v>
      </x:c>
      <x:c r="B86" s="5" t="s">
        <x:v>344</x:v>
      </x:c>
      <x:c r="C86" s="5" t="s">
        <x:v>345</x:v>
      </x:c>
      <x:c r="D86" s="6"/>
      <x:c r="E86" s="6"/>
      <x:c r="F86" s="6"/>
      <x:c r="G86" s="6"/>
      <x:c r="H86" s="6"/>
      <x:c r="I86" s="6"/>
      <x:c r="J86" s="6"/>
      <x:c r="K86" s="6"/>
      <x:c r="L86" s="6"/>
      <x:c r="M86" s="6"/>
      <x:c r="N86" s="6"/>
      <x:c r="O86" s="6"/>
      <x:c r="P86" s="6"/>
      <x:c r="Q86" s="6"/>
      <x:c r="R86" s="6"/>
      <x:c r="S86" s="6"/>
      <x:c r="T86" s="6"/>
      <x:c r="U86" s="6"/>
      <x:c r="V86" s="6"/>
      <x:c r="W86" s="6"/>
      <x:c r="X86" s="6"/>
      <x:c r="Y86" s="6"/>
      <x:c r="Z86" s="6"/>
    </x:row>
    <x:row r="87" s="1" customFormat="1" ht="14.25" hidden="0" customHeight="1">
      <x:c r="A87" s="6"/>
      <x:c r="B87" s="6"/>
      <x:c r="C87" s="6"/>
      <x:c r="D87" s="44"/>
      <x:c r="E87" s="6"/>
      <x:c r="F87" s="6"/>
      <x:c r="G87" s="6"/>
      <x:c r="H87" s="6"/>
      <x:c r="I87" s="6"/>
      <x:c r="J87" s="6"/>
      <x:c r="K87" s="6"/>
      <x:c r="L87" s="6"/>
      <x:c r="M87" s="6"/>
      <x:c r="N87" s="6"/>
      <x:c r="O87" s="6"/>
      <x:c r="P87" s="6"/>
      <x:c r="Q87" s="6"/>
      <x:c r="R87" s="6"/>
      <x:c r="S87" s="6"/>
      <x:c r="T87" s="6"/>
      <x:c r="U87" s="6"/>
      <x:c r="V87" s="6"/>
      <x:c r="W87" s="6"/>
      <x:c r="X87" s="6"/>
      <x:c r="Y87" s="6"/>
      <x:c r="Z87" s="6"/>
    </x:row>
    <x:row r="88" s="1" customFormat="1" ht="14.25" hidden="0" customHeight="1">
      <x:c r="A88" s="7" t="s">
        <x:v>346</x:v>
      </x:c>
      <x:c r="B88" s="5" t="s">
        <x:v>347</x:v>
      </x:c>
      <x:c r="C88" s="5" t="s">
        <x:v>348</x:v>
      </x:c>
      <x:c r="D88" s="5" t="s">
        <x:v>349</x:v>
      </x:c>
      <x:c r="E88" s="6"/>
      <x:c r="F88" s="6"/>
      <x:c r="G88" s="6"/>
      <x:c r="H88" s="6"/>
      <x:c r="I88" s="6"/>
      <x:c r="J88" s="6"/>
      <x:c r="K88" s="6"/>
      <x:c r="L88" s="6"/>
      <x:c r="M88" s="6"/>
      <x:c r="N88" s="6"/>
      <x:c r="O88" s="6"/>
      <x:c r="P88" s="6"/>
      <x:c r="Q88" s="6"/>
      <x:c r="R88" s="6"/>
      <x:c r="S88" s="6"/>
      <x:c r="T88" s="6"/>
      <x:c r="U88" s="6"/>
      <x:c r="V88" s="6"/>
      <x:c r="W88" s="6"/>
      <x:c r="X88" s="6"/>
      <x:c r="Y88" s="6"/>
      <x:c r="Z88" s="6"/>
    </x:row>
    <x:row r="89" s="1" customFormat="1" ht="14.25" hidden="0" customHeight="1">
      <x:c r="A89" s="7" t="s">
        <x:v>221</x:v>
      </x:c>
      <x:c r="B89" s="8" t="n">
        <x:v>2</x:v>
      </x:c>
      <x:c r="C89" s="8" t="s">
        <x:v>350</x:v>
      </x:c>
      <x:c r="D89" s="45" t="s">
        <x:v>351</x:v>
      </x:c>
      <x:c r="E89" s="6"/>
      <x:c r="F89" s="6"/>
      <x:c r="G89" s="6"/>
      <x:c r="H89" s="6"/>
      <x:c r="I89" s="6"/>
      <x:c r="J89" s="6"/>
      <x:c r="K89" s="6"/>
      <x:c r="L89" s="6"/>
      <x:c r="M89" s="6"/>
      <x:c r="N89" s="6"/>
      <x:c r="O89" s="6"/>
      <x:c r="P89" s="6"/>
      <x:c r="Q89" s="6"/>
      <x:c r="R89" s="6"/>
      <x:c r="S89" s="6"/>
      <x:c r="T89" s="6"/>
      <x:c r="U89" s="6"/>
      <x:c r="V89" s="6"/>
      <x:c r="W89" s="6"/>
      <x:c r="X89" s="6"/>
      <x:c r="Y89" s="6"/>
      <x:c r="Z89" s="6"/>
    </x:row>
    <x:row r="90" s="1" customFormat="1" ht="14.25" hidden="0" customHeight="1">
      <x:c r="A90" s="7" t="s">
        <x:v>352</x:v>
      </x:c>
      <x:c r="B90" s="5" t="n">
        <x:v>0.95</x:v>
      </x:c>
      <x:c r="C90" s="5" t="s">
        <x:v>353</x:v>
      </x:c>
      <x:c r="D90" s="5" t="s">
        <x:v>351</x:v>
      </x:c>
      <x:c r="E90" s="6"/>
      <x:c r="F90" s="6"/>
      <x:c r="G90" s="6"/>
      <x:c r="H90" s="6"/>
      <x:c r="I90" s="6"/>
      <x:c r="J90" s="6"/>
      <x:c r="K90" s="6"/>
      <x:c r="L90" s="6"/>
      <x:c r="M90" s="6"/>
      <x:c r="N90" s="6"/>
      <x:c r="O90" s="6"/>
      <x:c r="P90" s="6"/>
      <x:c r="Q90" s="6"/>
      <x:c r="R90" s="6"/>
      <x:c r="S90" s="6"/>
      <x:c r="T90" s="6"/>
      <x:c r="U90" s="6"/>
      <x:c r="V90" s="6"/>
      <x:c r="W90" s="6"/>
      <x:c r="X90" s="6"/>
      <x:c r="Y90" s="6"/>
      <x:c r="Z90" s="6"/>
    </x:row>
    <x:row r="91" s="1" customFormat="1" ht="14.25" hidden="0" customHeight="1">
      <x:c r="A91" s="7" t="s">
        <x:v>354</x:v>
      </x:c>
      <x:c r="B91" s="8" t="n">
        <x:v>0.05</x:v>
      </x:c>
      <x:c r="C91" s="8" t="s">
        <x:v>353</x:v>
      </x:c>
      <x:c r="D91" s="45" t="s">
        <x:v>351</x:v>
      </x:c>
      <x:c r="E91" s="6"/>
      <x:c r="F91" s="6"/>
      <x:c r="G91" s="6"/>
      <x:c r="H91" s="6"/>
      <x:c r="I91" s="6"/>
      <x:c r="J91" s="6"/>
      <x:c r="K91" s="6"/>
      <x:c r="L91" s="6"/>
      <x:c r="M91" s="6"/>
      <x:c r="N91" s="6"/>
      <x:c r="O91" s="6"/>
      <x:c r="P91" s="6"/>
      <x:c r="Q91" s="6"/>
      <x:c r="R91" s="6"/>
      <x:c r="S91" s="6"/>
      <x:c r="T91" s="6"/>
      <x:c r="U91" s="6"/>
      <x:c r="V91" s="6"/>
      <x:c r="W91" s="6"/>
      <x:c r="X91" s="6"/>
      <x:c r="Y91" s="6"/>
      <x:c r="Z91" s="6"/>
    </x:row>
    <x:row r="92" s="1" customFormat="1" ht="14.25" hidden="0" customHeight="1">
      <x:c r="A92" s="7" t="s">
        <x:v>260</x:v>
      </x:c>
      <x:c r="B92" s="5" t="n">
        <x:v>2</x:v>
      </x:c>
      <x:c r="C92" s="5" t="s">
        <x:v>355</x:v>
      </x:c>
      <x:c r="D92" s="5" t="s">
        <x:v>351</x:v>
      </x:c>
      <x:c r="E92" s="6"/>
      <x:c r="F92" s="6"/>
      <x:c r="G92" s="6"/>
      <x:c r="H92" s="6"/>
      <x:c r="I92" s="6"/>
      <x:c r="J92" s="6"/>
      <x:c r="K92" s="6"/>
      <x:c r="L92" s="6"/>
      <x:c r="M92" s="6"/>
      <x:c r="N92" s="6"/>
      <x:c r="O92" s="6"/>
      <x:c r="P92" s="6"/>
      <x:c r="Q92" s="6"/>
      <x:c r="R92" s="6"/>
      <x:c r="S92" s="6"/>
      <x:c r="T92" s="6"/>
      <x:c r="U92" s="6"/>
      <x:c r="V92" s="6"/>
      <x:c r="W92" s="6"/>
      <x:c r="X92" s="6"/>
      <x:c r="Y92" s="6"/>
      <x:c r="Z92" s="6"/>
    </x:row>
    <x:row r="93" s="1" customFormat="1" ht="14.25" hidden="0" customHeight="1">
      <x:c r="A93" s="7" t="s">
        <x:v>261</x:v>
      </x:c>
      <x:c r="B93" s="8" t="n">
        <x:v>1</x:v>
      </x:c>
      <x:c r="C93" s="8" t="s">
        <x:v>356</x:v>
      </x:c>
      <x:c r="D93" s="45" t="s">
        <x:v>351</x:v>
      </x:c>
      <x:c r="E93" s="6"/>
      <x:c r="F93" s="6"/>
      <x:c r="G93" s="6"/>
      <x:c r="H93" s="6"/>
      <x:c r="I93" s="6"/>
      <x:c r="J93" s="6"/>
      <x:c r="K93" s="6"/>
      <x:c r="L93" s="6"/>
      <x:c r="M93" s="6"/>
      <x:c r="N93" s="6"/>
      <x:c r="O93" s="6"/>
      <x:c r="P93" s="6"/>
      <x:c r="Q93" s="6"/>
      <x:c r="R93" s="6"/>
      <x:c r="S93" s="6"/>
      <x:c r="T93" s="6"/>
      <x:c r="U93" s="6"/>
      <x:c r="V93" s="6"/>
      <x:c r="W93" s="6"/>
      <x:c r="X93" s="6"/>
      <x:c r="Y93" s="6"/>
      <x:c r="Z93" s="6"/>
    </x:row>
    <x:row r="94" s="1" customFormat="1" ht="14.25" hidden="0" customHeight="1">
      <x:c r="A94" s="7" t="s">
        <x:v>357</x:v>
      </x:c>
      <x:c r="B94" s="5" t="n">
        <x:v>2</x:v>
      </x:c>
      <x:c r="C94" s="5" t="s">
        <x:v>358</x:v>
      </x:c>
      <x:c r="D94" s="5" t="s">
        <x:v>351</x:v>
      </x:c>
      <x:c r="E94" s="6"/>
      <x:c r="F94" s="6"/>
      <x:c r="G94" s="6"/>
      <x:c r="H94" s="6"/>
      <x:c r="I94" s="6"/>
      <x:c r="J94" s="6"/>
      <x:c r="K94" s="6"/>
      <x:c r="L94" s="6"/>
      <x:c r="M94" s="6"/>
      <x:c r="N94" s="6"/>
      <x:c r="O94" s="6"/>
      <x:c r="P94" s="6"/>
      <x:c r="Q94" s="6"/>
      <x:c r="R94" s="6"/>
      <x:c r="S94" s="6"/>
      <x:c r="T94" s="6"/>
      <x:c r="U94" s="6"/>
      <x:c r="V94" s="6"/>
      <x:c r="W94" s="6"/>
      <x:c r="X94" s="6"/>
      <x:c r="Y94" s="6"/>
      <x:c r="Z94" s="6"/>
    </x:row>
    <x:row r="95" s="1" customFormat="1" ht="14.25" hidden="0" customHeight="1">
      <x:c r="A95" s="7" t="s">
        <x:v>359</x:v>
      </x:c>
      <x:c r="B95" s="8" t="n">
        <x:v>0.05</x:v>
      </x:c>
      <x:c r="C95" s="8" t="s">
        <x:v>353</x:v>
      </x:c>
      <x:c r="D95" s="45" t="s">
        <x:v>351</x:v>
      </x:c>
      <x:c r="E95" s="6"/>
      <x:c r="F95" s="6"/>
      <x:c r="G95" s="6"/>
      <x:c r="H95" s="6"/>
      <x:c r="I95" s="6"/>
      <x:c r="J95" s="6"/>
      <x:c r="K95" s="6"/>
      <x:c r="L95" s="6"/>
      <x:c r="M95" s="6"/>
      <x:c r="N95" s="6"/>
      <x:c r="O95" s="6"/>
      <x:c r="P95" s="6"/>
      <x:c r="Q95" s="6"/>
      <x:c r="R95" s="6"/>
      <x:c r="S95" s="6"/>
      <x:c r="T95" s="6"/>
      <x:c r="U95" s="6"/>
      <x:c r="V95" s="6"/>
      <x:c r="W95" s="6"/>
      <x:c r="X95" s="6"/>
      <x:c r="Y95" s="6"/>
      <x:c r="Z95" s="6"/>
    </x:row>
    <x:row r="96" s="1" customFormat="1" ht="14.25" hidden="0" customHeight="1">
      <x:c r="A96" s="7" t="s">
        <x:v>360</x:v>
      </x:c>
      <x:c r="B96" s="5" t="n">
        <x:v>-0.1</x:v>
      </x:c>
      <x:c r="C96" s="5" t="s">
        <x:v>361</x:v>
      </x:c>
      <x:c r="D96" s="5" t="s">
        <x:v>351</x:v>
      </x:c>
      <x:c r="E96" s="6"/>
      <x:c r="F96" s="6"/>
      <x:c r="G96" s="6"/>
      <x:c r="H96" s="6"/>
      <x:c r="I96" s="6"/>
      <x:c r="J96" s="6"/>
      <x:c r="K96" s="6"/>
      <x:c r="L96" s="6"/>
      <x:c r="M96" s="6"/>
      <x:c r="N96" s="6"/>
      <x:c r="O96" s="6"/>
      <x:c r="P96" s="6"/>
      <x:c r="Q96" s="6"/>
      <x:c r="R96" s="6"/>
      <x:c r="S96" s="6"/>
      <x:c r="T96" s="6"/>
      <x:c r="U96" s="6"/>
      <x:c r="V96" s="6"/>
      <x:c r="W96" s="6"/>
      <x:c r="X96" s="6"/>
      <x:c r="Y96" s="6"/>
      <x:c r="Z96" s="6"/>
    </x:row>
    <x:row r="97" s="1" customFormat="1" ht="14.25" hidden="0" customHeight="1">
      <x:c r="A97" s="7" t="s">
        <x:v>362</x:v>
      </x:c>
      <x:c r="B97" s="8" t="n">
        <x:v>25</x:v>
      </x:c>
      <x:c r="C97" s="8" t="s">
        <x:v>355</x:v>
      </x:c>
      <x:c r="D97" s="45" t="s">
        <x:v>351</x:v>
      </x:c>
      <x:c r="E97" s="6"/>
      <x:c r="F97" s="6"/>
      <x:c r="G97" s="6"/>
      <x:c r="H97" s="6"/>
      <x:c r="I97" s="6"/>
      <x:c r="J97" s="6"/>
      <x:c r="K97" s="6"/>
      <x:c r="L97" s="6"/>
      <x:c r="M97" s="6"/>
      <x:c r="N97" s="6"/>
      <x:c r="O97" s="6"/>
      <x:c r="P97" s="6"/>
      <x:c r="Q97" s="6"/>
      <x:c r="R97" s="6"/>
      <x:c r="S97" s="6"/>
      <x:c r="T97" s="6"/>
      <x:c r="U97" s="6"/>
      <x:c r="V97" s="6"/>
      <x:c r="W97" s="6"/>
      <x:c r="X97" s="6"/>
      <x:c r="Y97" s="6"/>
      <x:c r="Z97" s="6"/>
    </x:row>
    <x:row r="98" s="1" customFormat="1" ht="14.25" hidden="0" customHeight="1">
      <x:c r="A98" s="7" t="s">
        <x:v>363</x:v>
      </x:c>
      <x:c r="B98" s="5" t="n">
        <x:v>0.02</x:v>
      </x:c>
      <x:c r="C98" s="5" t="s">
        <x:v>364</x:v>
      </x:c>
      <x:c r="D98" s="5" t="s">
        <x:v>351</x:v>
      </x:c>
      <x:c r="E98" s="6"/>
      <x:c r="F98" s="6"/>
      <x:c r="G98" s="6"/>
      <x:c r="H98" s="6"/>
      <x:c r="I98" s="6"/>
      <x:c r="J98" s="6"/>
      <x:c r="K98" s="6"/>
      <x:c r="L98" s="6"/>
      <x:c r="M98" s="6"/>
      <x:c r="N98" s="6"/>
      <x:c r="O98" s="6"/>
      <x:c r="P98" s="6"/>
      <x:c r="Q98" s="6"/>
      <x:c r="R98" s="6"/>
      <x:c r="S98" s="6"/>
      <x:c r="T98" s="6"/>
      <x:c r="U98" s="6"/>
      <x:c r="V98" s="6"/>
      <x:c r="W98" s="6"/>
      <x:c r="X98" s="6"/>
      <x:c r="Y98" s="6"/>
      <x:c r="Z98" s="6"/>
    </x:row>
    <x:row r="99" s="1" customFormat="1" ht="14.25" hidden="0" customHeight="1">
      <x:c r="A99" s="7" t="s">
        <x:v>237</x:v>
      </x:c>
      <x:c r="B99" s="8" t="n">
        <x:v>1</x:v>
      </x:c>
      <x:c r="C99" s="8" t="s">
        <x:v>356</x:v>
      </x:c>
      <x:c r="D99" s="45" t="s">
        <x:v>351</x:v>
      </x:c>
      <x:c r="E99" s="6"/>
      <x:c r="F99" s="6"/>
      <x:c r="G99" s="6"/>
      <x:c r="H99" s="6"/>
      <x:c r="I99" s="6"/>
      <x:c r="J99" s="6"/>
      <x:c r="K99" s="6"/>
      <x:c r="L99" s="6"/>
      <x:c r="M99" s="6"/>
      <x:c r="N99" s="6"/>
      <x:c r="O99" s="6"/>
      <x:c r="P99" s="6"/>
      <x:c r="Q99" s="6"/>
      <x:c r="R99" s="6"/>
      <x:c r="S99" s="6"/>
      <x:c r="T99" s="6"/>
      <x:c r="U99" s="6"/>
      <x:c r="V99" s="6"/>
      <x:c r="W99" s="6"/>
      <x:c r="X99" s="6"/>
      <x:c r="Y99" s="6"/>
      <x:c r="Z99" s="6"/>
    </x:row>
    <x:row r="100" s="1" customFormat="1" ht="14.25" hidden="0" customHeight="1">
      <x:c r="A100" s="7" t="s">
        <x:v>242</x:v>
      </x:c>
      <x:c r="B100" s="5" t="n">
        <x:v>1</x:v>
      </x:c>
      <x:c r="C100" s="5" t="s">
        <x:v>356</x:v>
      </x:c>
      <x:c r="D100" s="5" t="s">
        <x:v>351</x:v>
      </x:c>
      <x:c r="E100" s="6"/>
      <x:c r="F100" s="6"/>
      <x:c r="G100" s="6"/>
      <x:c r="H100" s="6"/>
      <x:c r="I100" s="6"/>
      <x:c r="J100" s="6"/>
      <x:c r="K100" s="6"/>
      <x:c r="L100" s="6"/>
      <x:c r="M100" s="6"/>
      <x:c r="N100" s="6"/>
      <x:c r="O100" s="6"/>
      <x:c r="P100" s="6"/>
      <x:c r="Q100" s="6"/>
      <x:c r="R100" s="6"/>
      <x:c r="S100" s="6"/>
      <x:c r="T100" s="6"/>
      <x:c r="U100" s="6"/>
      <x:c r="V100" s="6"/>
      <x:c r="W100" s="6"/>
      <x:c r="X100" s="6"/>
      <x:c r="Y100" s="6"/>
      <x:c r="Z100" s="6"/>
    </x:row>
    <x:row r="101" s="1" customFormat="1" ht="14.25" hidden="0" customHeight="1">
      <x:c r="A101" s="7" t="s">
        <x:v>246</x:v>
      </x:c>
      <x:c r="B101" s="8" t="n">
        <x:v>1</x:v>
      </x:c>
      <x:c r="C101" s="8" t="s">
        <x:v>356</x:v>
      </x:c>
      <x:c r="D101" s="45" t="s">
        <x:v>351</x:v>
      </x:c>
      <x:c r="E101" s="6"/>
      <x:c r="F101" s="6"/>
      <x:c r="G101" s="6"/>
      <x:c r="H101" s="6"/>
      <x:c r="I101" s="6"/>
      <x:c r="J101" s="6"/>
      <x:c r="K101" s="6"/>
      <x:c r="L101" s="6"/>
      <x:c r="M101" s="6"/>
      <x:c r="N101" s="6"/>
      <x:c r="O101" s="6"/>
      <x:c r="P101" s="6"/>
      <x:c r="Q101" s="6"/>
      <x:c r="R101" s="6"/>
      <x:c r="S101" s="6"/>
      <x:c r="T101" s="6"/>
      <x:c r="U101" s="6"/>
      <x:c r="V101" s="6"/>
      <x:c r="W101" s="6"/>
      <x:c r="X101" s="6"/>
      <x:c r="Y101" s="6"/>
      <x:c r="Z101" s="6"/>
    </x:row>
    <x:row r="102" s="1" customFormat="1" ht="14.25" hidden="0" customHeight="1">
      <x:c r="A102" s="7" t="s">
        <x:v>283</x:v>
      </x:c>
      <x:c r="B102" s="5" t="n">
        <x:v>8</x:v>
      </x:c>
      <x:c r="C102" s="5" t="s">
        <x:v>365</x:v>
      </x:c>
      <x:c r="D102" s="5" t="s">
        <x:v>351</x:v>
      </x:c>
      <x:c r="E102" s="6"/>
      <x:c r="F102" s="6"/>
      <x:c r="G102" s="6"/>
      <x:c r="H102" s="6"/>
      <x:c r="I102" s="6"/>
      <x:c r="J102" s="6"/>
      <x:c r="K102" s="6"/>
      <x:c r="L102" s="6"/>
      <x:c r="M102" s="6"/>
      <x:c r="N102" s="6"/>
      <x:c r="O102" s="6"/>
      <x:c r="P102" s="6"/>
      <x:c r="Q102" s="6"/>
      <x:c r="R102" s="6"/>
      <x:c r="S102" s="6"/>
      <x:c r="T102" s="6"/>
      <x:c r="U102" s="6"/>
      <x:c r="V102" s="6"/>
      <x:c r="W102" s="6"/>
      <x:c r="X102" s="6"/>
      <x:c r="Y102" s="6"/>
      <x:c r="Z102" s="6"/>
    </x:row>
    <x:row r="103" s="1" customFormat="1" ht="14.25" hidden="0" customHeight="1">
      <x:c r="A103" s="7" t="s">
        <x:v>366</x:v>
      </x:c>
      <x:c r="B103" s="8" t="n">
        <x:v>5</x:v>
      </x:c>
      <x:c r="C103" s="8" t="s">
        <x:v>367</x:v>
      </x:c>
      <x:c r="D103" s="45" t="s">
        <x:v>351</x:v>
      </x:c>
      <x:c r="E103" s="6"/>
      <x:c r="F103" s="6"/>
      <x:c r="G103" s="6"/>
      <x:c r="H103" s="6"/>
      <x:c r="I103" s="6"/>
      <x:c r="J103" s="6"/>
      <x:c r="K103" s="6"/>
      <x:c r="L103" s="6"/>
      <x:c r="M103" s="6"/>
      <x:c r="N103" s="6"/>
      <x:c r="O103" s="6"/>
      <x:c r="P103" s="6"/>
      <x:c r="Q103" s="6"/>
      <x:c r="R103" s="6"/>
      <x:c r="S103" s="6"/>
      <x:c r="T103" s="6"/>
      <x:c r="U103" s="6"/>
      <x:c r="V103" s="6"/>
      <x:c r="W103" s="6"/>
      <x:c r="X103" s="6"/>
      <x:c r="Y103" s="6"/>
      <x:c r="Z103" s="6"/>
    </x:row>
    <x:row r="104" s="1" customFormat="1" ht="14.25" hidden="0" customHeight="1">
      <x:c r="A104" s="7" t="s">
        <x:v>302</x:v>
      </x:c>
      <x:c r="B104" s="5" t="n">
        <x:v>0.0219</x:v>
      </x:c>
      <x:c r="C104" s="5" t="s">
        <x:v>364</x:v>
      </x:c>
      <x:c r="D104" s="5" t="s">
        <x:v>351</x:v>
      </x:c>
      <x:c r="E104" s="6"/>
      <x:c r="F104" s="6"/>
      <x:c r="G104" s="6"/>
      <x:c r="H104" s="6"/>
      <x:c r="I104" s="6"/>
      <x:c r="J104" s="6"/>
      <x:c r="K104" s="6"/>
      <x:c r="L104" s="6"/>
      <x:c r="M104" s="6"/>
      <x:c r="N104" s="6"/>
      <x:c r="O104" s="6"/>
      <x:c r="P104" s="6"/>
      <x:c r="Q104" s="6"/>
      <x:c r="R104" s="6"/>
      <x:c r="S104" s="6"/>
      <x:c r="T104" s="6"/>
      <x:c r="U104" s="6"/>
      <x:c r="V104" s="6"/>
      <x:c r="W104" s="6"/>
      <x:c r="X104" s="6"/>
      <x:c r="Y104" s="6"/>
      <x:c r="Z104" s="6"/>
    </x:row>
    <x:row r="105" s="1" customFormat="1" ht="14.25" hidden="0" customHeight="1">
      <x:c r="A105" s="7" t="s">
        <x:v>303</x:v>
      </x:c>
      <x:c r="B105" s="8" t="n">
        <x:v>0.0315</x:v>
      </x:c>
      <x:c r="C105" s="8" t="s">
        <x:v>364</x:v>
      </x:c>
      <x:c r="D105" s="45" t="s">
        <x:v>351</x:v>
      </x:c>
      <x:c r="E105" s="6"/>
      <x:c r="F105" s="6"/>
      <x:c r="G105" s="6"/>
      <x:c r="H105" s="6"/>
      <x:c r="I105" s="6"/>
      <x:c r="J105" s="6"/>
      <x:c r="K105" s="6"/>
      <x:c r="L105" s="6"/>
      <x:c r="M105" s="6"/>
      <x:c r="N105" s="6"/>
      <x:c r="O105" s="6"/>
      <x:c r="P105" s="6"/>
      <x:c r="Q105" s="6"/>
      <x:c r="R105" s="6"/>
      <x:c r="S105" s="6"/>
      <x:c r="T105" s="6"/>
      <x:c r="U105" s="6"/>
      <x:c r="V105" s="6"/>
      <x:c r="W105" s="6"/>
      <x:c r="X105" s="6"/>
      <x:c r="Y105" s="6"/>
      <x:c r="Z105" s="6"/>
    </x:row>
    <x:row r="106" s="1" customFormat="1" ht="14.25" hidden="0" customHeight="1">
      <x:c r="A106" s="7" t="s">
        <x:v>307</x:v>
      </x:c>
      <x:c r="B106" s="5" t="n">
        <x:v>0.2</x:v>
      </x:c>
      <x:c r="C106" s="5" t="s">
        <x:v>353</x:v>
      </x:c>
      <x:c r="D106" s="5" t="s">
        <x:v>351</x:v>
      </x:c>
      <x:c r="E106" s="6"/>
      <x:c r="F106" s="6"/>
      <x:c r="G106" s="6"/>
      <x:c r="H106" s="6"/>
      <x:c r="I106" s="6"/>
      <x:c r="J106" s="6"/>
      <x:c r="K106" s="6"/>
      <x:c r="L106" s="6"/>
      <x:c r="M106" s="6"/>
      <x:c r="N106" s="6"/>
      <x:c r="O106" s="6"/>
      <x:c r="P106" s="6"/>
      <x:c r="Q106" s="6"/>
      <x:c r="R106" s="6"/>
      <x:c r="S106" s="6"/>
      <x:c r="T106" s="6"/>
      <x:c r="U106" s="6"/>
      <x:c r="V106" s="6"/>
      <x:c r="W106" s="6"/>
      <x:c r="X106" s="6"/>
      <x:c r="Y106" s="6"/>
      <x:c r="Z106" s="6"/>
    </x:row>
    <x:row r="107" s="1" customFormat="1" ht="14.25" hidden="0" customHeight="1">
      <x:c r="A107" s="7" t="s">
        <x:v>315</x:v>
      </x:c>
      <x:c r="B107" s="41" t="n">
        <x:v>0.0153129427168233</x:v>
      </x:c>
      <x:c r="C107" s="8" t="s">
        <x:v>368</x:v>
      </x:c>
      <x:c r="D107" s="45" t="s">
        <x:v>351</x:v>
      </x:c>
      <x:c r="E107" s="6"/>
      <x:c r="F107" s="6"/>
      <x:c r="G107" s="6"/>
      <x:c r="H107" s="6"/>
      <x:c r="I107" s="6"/>
      <x:c r="J107" s="6"/>
      <x:c r="K107" s="6"/>
      <x:c r="L107" s="6"/>
      <x:c r="M107" s="6"/>
      <x:c r="N107" s="6"/>
      <x:c r="O107" s="6"/>
      <x:c r="P107" s="6"/>
      <x:c r="Q107" s="6"/>
      <x:c r="R107" s="6"/>
      <x:c r="S107" s="6"/>
      <x:c r="T107" s="6"/>
      <x:c r="U107" s="6"/>
      <x:c r="V107" s="6"/>
      <x:c r="W107" s="6"/>
      <x:c r="X107" s="6"/>
      <x:c r="Y107" s="6"/>
      <x:c r="Z107" s="6"/>
    </x:row>
    <x:row r="108" s="1" customFormat="1" ht="14.25" hidden="0" customHeight="1">
      <x:c r="A108" s="7" t="s">
        <x:v>316</x:v>
      </x:c>
      <x:c r="B108" s="42" t="n">
        <x:v>-0.00112238738505248</x:v>
      </x:c>
      <x:c r="C108" s="5" t="s">
        <x:v>368</x:v>
      </x:c>
      <x:c r="D108" s="5" t="s">
        <x:v>351</x:v>
      </x:c>
      <x:c r="E108" s="6"/>
      <x:c r="F108" s="6"/>
      <x:c r="G108" s="6"/>
      <x:c r="H108" s="6"/>
      <x:c r="I108" s="6"/>
      <x:c r="J108" s="6"/>
      <x:c r="K108" s="6"/>
      <x:c r="L108" s="6"/>
      <x:c r="M108" s="6"/>
      <x:c r="N108" s="6"/>
      <x:c r="O108" s="6"/>
      <x:c r="P108" s="6"/>
      <x:c r="Q108" s="6"/>
      <x:c r="R108" s="6"/>
      <x:c r="S108" s="6"/>
      <x:c r="T108" s="6"/>
      <x:c r="U108" s="6"/>
      <x:c r="V108" s="6"/>
      <x:c r="W108" s="6"/>
      <x:c r="X108" s="6"/>
      <x:c r="Y108" s="6"/>
      <x:c r="Z108" s="6"/>
    </x:row>
    <x:row r="109" s="1" customFormat="1" ht="14.25" hidden="0" customHeight="1">
      <x:c r="A109" s="7" t="s">
        <x:v>318</x:v>
      </x:c>
      <x:c r="B109" s="8" t="n">
        <x:v>2</x:v>
      </x:c>
      <x:c r="C109" s="8" t="s">
        <x:v>369</x:v>
      </x:c>
      <x:c r="D109" s="45" t="s">
        <x:v>351</x:v>
      </x:c>
      <x:c r="E109" s="6"/>
      <x:c r="F109" s="6"/>
      <x:c r="G109" s="6"/>
      <x:c r="H109" s="6"/>
      <x:c r="I109" s="6"/>
      <x:c r="J109" s="6"/>
      <x:c r="K109" s="6"/>
      <x:c r="L109" s="6"/>
      <x:c r="M109" s="6"/>
      <x:c r="N109" s="6"/>
      <x:c r="O109" s="6"/>
      <x:c r="P109" s="6"/>
      <x:c r="Q109" s="6"/>
      <x:c r="R109" s="6"/>
      <x:c r="S109" s="6"/>
      <x:c r="T109" s="6"/>
      <x:c r="U109" s="6"/>
      <x:c r="V109" s="6"/>
      <x:c r="W109" s="6"/>
      <x:c r="X109" s="6"/>
      <x:c r="Y109" s="6"/>
      <x:c r="Z109" s="6"/>
    </x:row>
    <x:row r="110" s="1" customFormat="1" ht="14.25" hidden="0" customHeight="1">
      <x:c r="A110" s="7" t="s">
        <x:v>320</x:v>
      </x:c>
      <x:c r="B110" s="5" t="n">
        <x:v>2</x:v>
      </x:c>
      <x:c r="C110" s="5" t="s">
        <x:v>369</x:v>
      </x:c>
      <x:c r="D110" s="5" t="s">
        <x:v>351</x:v>
      </x:c>
      <x:c r="E110" s="6"/>
      <x:c r="F110" s="6"/>
      <x:c r="G110" s="6"/>
      <x:c r="H110" s="6"/>
      <x:c r="I110" s="6"/>
      <x:c r="J110" s="6"/>
      <x:c r="K110" s="6"/>
      <x:c r="L110" s="6"/>
      <x:c r="M110" s="6"/>
      <x:c r="N110" s="6"/>
      <x:c r="O110" s="6"/>
      <x:c r="P110" s="6"/>
      <x:c r="Q110" s="6"/>
      <x:c r="R110" s="6"/>
      <x:c r="S110" s="6"/>
      <x:c r="T110" s="6"/>
      <x:c r="U110" s="6"/>
      <x:c r="V110" s="6"/>
      <x:c r="W110" s="6"/>
      <x:c r="X110" s="6"/>
      <x:c r="Y110" s="6"/>
      <x:c r="Z110" s="6"/>
    </x:row>
    <x:row r="111" s="1" customFormat="1" ht="14.25" hidden="0" customHeight="1">
      <x:c r="A111" s="7" t="s">
        <x:v>328</x:v>
      </x:c>
      <x:c r="B111" s="8" t="n">
        <x:v>0</x:v>
      </x:c>
      <x:c r="C111" s="8" t="s">
        <x:v>369</x:v>
      </x:c>
      <x:c r="D111" s="45" t="s">
        <x:v>351</x:v>
      </x:c>
      <x:c r="E111" s="6"/>
      <x:c r="F111" s="6"/>
      <x:c r="G111" s="6"/>
      <x:c r="H111" s="6"/>
      <x:c r="I111" s="6"/>
      <x:c r="J111" s="6"/>
      <x:c r="K111" s="6"/>
      <x:c r="L111" s="6"/>
      <x:c r="M111" s="6"/>
      <x:c r="N111" s="6"/>
      <x:c r="O111" s="6"/>
      <x:c r="P111" s="6"/>
      <x:c r="Q111" s="6"/>
      <x:c r="R111" s="6"/>
      <x:c r="S111" s="6"/>
      <x:c r="T111" s="6"/>
      <x:c r="U111" s="6"/>
      <x:c r="V111" s="6"/>
      <x:c r="W111" s="6"/>
      <x:c r="X111" s="6"/>
      <x:c r="Y111" s="6"/>
      <x:c r="Z111" s="6"/>
    </x:row>
    <x:row r="112" s="1" customFormat="1" ht="14.25" hidden="0" customHeight="1">
      <x:c r="A112" s="7" t="s">
        <x:v>370</x:v>
      </x:c>
      <x:c r="B112" s="5" t="n">
        <x:v>0</x:v>
      </x:c>
      <x:c r="C112" s="5" t="s">
        <x:v>369</x:v>
      </x:c>
      <x:c r="D112" s="5" t="s">
        <x:v>351</x:v>
      </x:c>
      <x:c r="E112" s="6"/>
      <x:c r="F112" s="6"/>
      <x:c r="G112" s="6"/>
      <x:c r="H112" s="6"/>
      <x:c r="I112" s="6"/>
      <x:c r="J112" s="6"/>
      <x:c r="K112" s="6"/>
      <x:c r="L112" s="6"/>
      <x:c r="M112" s="6"/>
      <x:c r="N112" s="6"/>
      <x:c r="O112" s="6"/>
      <x:c r="P112" s="6"/>
      <x:c r="Q112" s="6"/>
      <x:c r="R112" s="6"/>
      <x:c r="S112" s="6"/>
      <x:c r="T112" s="6"/>
      <x:c r="U112" s="6"/>
      <x:c r="V112" s="6"/>
      <x:c r="W112" s="6"/>
      <x:c r="X112" s="6"/>
      <x:c r="Y112" s="6"/>
      <x:c r="Z112" s="6"/>
    </x:row>
    <x:row r="113" s="1" customFormat="1" ht="13.5" hidden="0" customHeight="1">
      <x:c r="A113" s="7" t="s">
        <x:v>371</x:v>
      </x:c>
      <x:c r="B113" s="6"/>
      <x:c r="C113" s="6"/>
      <x:c r="D113" s="6"/>
      <x:c r="E113" s="6"/>
      <x:c r="F113" s="6"/>
      <x:c r="G113" s="6"/>
      <x:c r="H113" s="6"/>
      <x:c r="I113" s="6"/>
      <x:c r="J113" s="6"/>
      <x:c r="K113" s="6"/>
      <x:c r="L113" s="6"/>
      <x:c r="M113" s="6"/>
      <x:c r="N113" s="6"/>
      <x:c r="O113" s="6"/>
      <x:c r="P113" s="6"/>
      <x:c r="Q113" s="6"/>
      <x:c r="R113" s="6"/>
      <x:c r="S113" s="6"/>
      <x:c r="T113" s="6"/>
      <x:c r="U113" s="6"/>
      <x:c r="V113" s="6"/>
      <x:c r="W113" s="6"/>
      <x:c r="X113" s="6"/>
      <x:c r="Y113" s="6"/>
      <x:c r="Z113" s="6"/>
    </x:row>
    <x:row r="114" s="1" customFormat="1" ht="14.25" hidden="0" customHeight="1">
      <x:c r="A114" s="7" t="s">
        <x:v>372</x:v>
      </x:c>
      <x:c r="B114" s="5"/>
      <x:c r="C114" s="5" t="s">
        <x:v>373</x:v>
      </x:c>
      <x:c r="D114" s="6"/>
      <x:c r="E114" s="6"/>
      <x:c r="F114" s="6"/>
      <x:c r="G114" s="6"/>
      <x:c r="H114" s="6"/>
      <x:c r="I114" s="6"/>
      <x:c r="J114" s="6"/>
      <x:c r="K114" s="6"/>
      <x:c r="L114" s="6"/>
      <x:c r="M114" s="6"/>
      <x:c r="N114" s="6"/>
      <x:c r="O114" s="6"/>
      <x:c r="P114" s="6"/>
      <x:c r="Q114" s="6"/>
      <x:c r="R114" s="6"/>
      <x:c r="S114" s="6"/>
      <x:c r="T114" s="6"/>
      <x:c r="U114" s="6"/>
      <x:c r="V114" s="6"/>
      <x:c r="W114" s="6"/>
      <x:c r="X114" s="6"/>
      <x:c r="Y114" s="6"/>
      <x:c r="Z114" s="6"/>
    </x:row>
    <x:row r="115" s="1" customFormat="1" ht="14.25" hidden="0" customHeight="1">
      <x:c r="A115" s="7" t="s">
        <x:v>374</x:v>
      </x:c>
      <x:c r="B115" s="45" t="n">
        <x:v>0</x:v>
      </x:c>
      <x:c r="C115" s="8" t="s">
        <x:v>375</x:v>
      </x:c>
      <x:c r="D115" s="6"/>
      <x:c r="E115" s="6"/>
      <x:c r="F115" s="6"/>
      <x:c r="G115" s="6"/>
      <x:c r="H115" s="6"/>
      <x:c r="I115" s="6"/>
      <x:c r="J115" s="6"/>
      <x:c r="K115" s="6"/>
      <x:c r="L115" s="6"/>
      <x:c r="M115" s="6"/>
      <x:c r="N115" s="6"/>
      <x:c r="O115" s="6"/>
      <x:c r="P115" s="6"/>
      <x:c r="Q115" s="6"/>
      <x:c r="R115" s="6"/>
      <x:c r="S115" s="6"/>
      <x:c r="T115" s="6"/>
      <x:c r="U115" s="6"/>
      <x:c r="V115" s="6"/>
      <x:c r="W115" s="6"/>
      <x:c r="X115" s="6"/>
      <x:c r="Y115" s="6"/>
      <x:c r="Z115" s="6"/>
    </x:row>
    <x:row r="116" s="1" customFormat="1" ht="14.25" hidden="0" customHeight="1">
      <x:c r="A116" s="7" t="s">
        <x:v>376</x:v>
      </x:c>
      <x:c r="B116" s="5" t="n">
        <x:v>0</x:v>
      </x:c>
      <x:c r="C116" s="5" t="s">
        <x:v>377</x:v>
      </x:c>
      <x:c r="D116" s="6"/>
      <x:c r="E116" s="6"/>
      <x:c r="F116" s="6"/>
      <x:c r="G116" s="6"/>
      <x:c r="H116" s="6"/>
      <x:c r="I116" s="6"/>
      <x:c r="J116" s="6"/>
      <x:c r="K116" s="6"/>
      <x:c r="L116" s="6"/>
      <x:c r="M116" s="6"/>
      <x:c r="N116" s="6"/>
      <x:c r="O116" s="6"/>
      <x:c r="P116" s="6"/>
      <x:c r="Q116" s="6"/>
      <x:c r="R116" s="6"/>
      <x:c r="S116" s="6"/>
      <x:c r="T116" s="6"/>
      <x:c r="U116" s="6"/>
      <x:c r="V116" s="6"/>
      <x:c r="W116" s="6"/>
      <x:c r="X116" s="6"/>
      <x:c r="Y116" s="6"/>
      <x:c r="Z116" s="6"/>
    </x:row>
    <x:row r="117" s="1" customFormat="1" ht="14.25" hidden="0" customHeight="1">
      <x:c r="A117" s="7" t="s">
        <x:v>378</x:v>
      </x:c>
      <x:c r="B117" s="43" t="s">
        <x:v>292</x:v>
      </x:c>
      <x:c r="C117" s="8" t="s">
        <x:v>379</x:v>
      </x:c>
      <x:c r="D117" s="6"/>
      <x:c r="E117" s="6"/>
      <x:c r="F117" s="6"/>
      <x:c r="G117" s="6"/>
      <x:c r="H117" s="6"/>
      <x:c r="I117" s="6"/>
      <x:c r="J117" s="6"/>
      <x:c r="K117" s="6"/>
      <x:c r="L117" s="6"/>
      <x:c r="M117" s="6"/>
      <x:c r="N117" s="6"/>
      <x:c r="O117" s="6"/>
      <x:c r="P117" s="6"/>
      <x:c r="Q117" s="6"/>
      <x:c r="R117" s="6"/>
      <x:c r="S117" s="6"/>
      <x:c r="T117" s="6"/>
      <x:c r="U117" s="6"/>
      <x:c r="V117" s="6"/>
      <x:c r="W117" s="6"/>
      <x:c r="X117" s="6"/>
      <x:c r="Y117" s="6"/>
      <x:c r="Z117" s="6"/>
    </x:row>
    <x:row r="118" s="1" customFormat="1" ht="14.25" hidden="0" customHeight="1">
      <x:c r="A118" s="6"/>
      <x:c r="B118" s="46"/>
      <x:c r="C118" s="6"/>
      <x:c r="D118" s="6"/>
      <x:c r="E118" s="6"/>
      <x:c r="F118" s="6"/>
      <x:c r="G118" s="6"/>
      <x:c r="H118" s="6"/>
      <x:c r="I118" s="6"/>
      <x:c r="J118" s="6"/>
      <x:c r="K118" s="6"/>
      <x:c r="L118" s="6"/>
      <x:c r="M118" s="6"/>
      <x:c r="N118" s="6"/>
      <x:c r="O118" s="6"/>
      <x:c r="P118" s="6"/>
      <x:c r="Q118" s="6"/>
      <x:c r="R118" s="6"/>
      <x:c r="S118" s="6"/>
      <x:c r="T118" s="6"/>
      <x:c r="U118" s="6"/>
      <x:c r="V118" s="6"/>
      <x:c r="W118" s="6"/>
      <x:c r="X118" s="6"/>
      <x:c r="Y118" s="6"/>
      <x:c r="Z118" s="6"/>
    </x:row>
    <x:row r="119" s="1" customFormat="1" ht="13.5" hidden="0" customHeight="1">
      <x:c r="A119" s="7" t="s">
        <x:v>380</x:v>
      </x:c>
      <x:c r="B119" s="6"/>
      <x:c r="C119" s="6"/>
      <x:c r="D119" s="6"/>
      <x:c r="E119" s="6"/>
      <x:c r="F119" s="6"/>
      <x:c r="G119" s="6"/>
      <x:c r="H119" s="6"/>
      <x:c r="I119" s="6"/>
      <x:c r="J119" s="6"/>
      <x:c r="K119" s="6"/>
      <x:c r="L119" s="6"/>
      <x:c r="M119" s="6"/>
      <x:c r="N119" s="6"/>
      <x:c r="O119" s="6"/>
      <x:c r="P119" s="6"/>
      <x:c r="Q119" s="6"/>
      <x:c r="R119" s="6"/>
      <x:c r="S119" s="6"/>
      <x:c r="T119" s="6"/>
      <x:c r="U119" s="6"/>
      <x:c r="V119" s="6"/>
      <x:c r="W119" s="6"/>
      <x:c r="X119" s="6"/>
      <x:c r="Y119" s="6"/>
      <x:c r="Z119" s="6"/>
    </x:row>
    <x:row r="120" s="1" customFormat="1" ht="14.25" hidden="0" customHeight="1">
      <x:c r="A120" s="7" t="s">
        <x:v>381</x:v>
      </x:c>
      <x:c r="B120" s="5" t="n">
        <x:v>0</x:v>
      </x:c>
      <x:c r="C120" s="6"/>
      <x:c r="D120" s="6"/>
      <x:c r="E120" s="6"/>
      <x:c r="F120" s="6"/>
      <x:c r="G120" s="6"/>
      <x:c r="H120" s="6"/>
      <x:c r="I120" s="6"/>
      <x:c r="J120" s="6"/>
      <x:c r="K120" s="6"/>
      <x:c r="L120" s="6"/>
      <x:c r="M120" s="6"/>
      <x:c r="N120" s="6"/>
      <x:c r="O120" s="6"/>
      <x:c r="P120" s="6"/>
      <x:c r="Q120" s="6"/>
      <x:c r="R120" s="6"/>
      <x:c r="S120" s="6"/>
      <x:c r="T120" s="6"/>
      <x:c r="U120" s="6"/>
      <x:c r="V120" s="6"/>
      <x:c r="W120" s="6"/>
      <x:c r="X120" s="6"/>
      <x:c r="Y120" s="6"/>
      <x:c r="Z120" s="6"/>
    </x:row>
    <x:row r="121" s="1" customFormat="1" ht="14.25" hidden="0" customHeight="1">
      <x:c r="A121" s="7" t="s">
        <x:v>382</x:v>
      </x:c>
      <x:c r="B121" s="43" t="n">
        <x:v>0</x:v>
      </x:c>
      <x:c r="C121" s="6"/>
      <x:c r="D121" s="6"/>
      <x:c r="E121" s="6"/>
      <x:c r="F121" s="6"/>
      <x:c r="G121" s="6"/>
      <x:c r="H121" s="6"/>
      <x:c r="I121" s="6"/>
      <x:c r="J121" s="6"/>
      <x:c r="K121" s="6"/>
      <x:c r="L121" s="6"/>
      <x:c r="M121" s="6"/>
      <x:c r="N121" s="6"/>
      <x:c r="O121" s="6"/>
      <x:c r="P121" s="6"/>
      <x:c r="Q121" s="6"/>
      <x:c r="R121" s="6"/>
      <x:c r="S121" s="6"/>
      <x:c r="T121" s="6"/>
      <x:c r="U121" s="6"/>
      <x:c r="V121" s="6"/>
      <x:c r="W121" s="6"/>
      <x:c r="X121" s="6"/>
      <x:c r="Y121" s="6"/>
      <x:c r="Z121" s="6"/>
    </x:row>
    <x:row r="122" s="1" customFormat="1" ht="14.25" hidden="0" customHeight="1">
      <x:c r="A122" s="7" t="s">
        <x:v>383</x:v>
      </x:c>
      <x:c r="B122" s="5" t="s">
        <x:v>233</x:v>
      </x:c>
      <x:c r="C122" s="6"/>
      <x:c r="D122" s="6"/>
      <x:c r="E122" s="6"/>
      <x:c r="F122" s="6"/>
      <x:c r="G122" s="6"/>
      <x:c r="H122" s="6"/>
      <x:c r="I122" s="6"/>
      <x:c r="J122" s="6"/>
      <x:c r="K122" s="6"/>
      <x:c r="L122" s="6"/>
      <x:c r="M122" s="6"/>
      <x:c r="N122" s="6"/>
      <x:c r="O122" s="6"/>
      <x:c r="P122" s="6"/>
      <x:c r="Q122" s="6"/>
      <x:c r="R122" s="6"/>
      <x:c r="S122" s="6"/>
      <x:c r="T122" s="6"/>
      <x:c r="U122" s="6"/>
      <x:c r="V122" s="6"/>
      <x:c r="W122" s="6"/>
      <x:c r="X122" s="6"/>
      <x:c r="Y122" s="6"/>
      <x:c r="Z122" s="6"/>
    </x:row>
    <x:row r="123" s="1" customFormat="1" ht="14.25" hidden="0" customHeight="1">
      <x:c r="A123" s="7" t="s">
        <x:v>384</x:v>
      </x:c>
      <x:c r="B123" s="43" t="n">
        <x:v>0</x:v>
      </x:c>
      <x:c r="C123" s="6"/>
      <x:c r="D123" s="6"/>
      <x:c r="E123" s="6"/>
      <x:c r="F123" s="6"/>
      <x:c r="G123" s="6"/>
      <x:c r="H123" s="6"/>
      <x:c r="I123" s="6"/>
      <x:c r="J123" s="6"/>
      <x:c r="K123" s="6"/>
      <x:c r="L123" s="6"/>
      <x:c r="M123" s="6"/>
      <x:c r="N123" s="6"/>
      <x:c r="O123" s="6"/>
      <x:c r="P123" s="6"/>
      <x:c r="Q123" s="6"/>
      <x:c r="R123" s="6"/>
      <x:c r="S123" s="6"/>
      <x:c r="T123" s="6"/>
      <x:c r="U123" s="6"/>
      <x:c r="V123" s="6"/>
      <x:c r="W123" s="6"/>
      <x:c r="X123" s="6"/>
      <x:c r="Y123" s="6"/>
      <x:c r="Z123" s="6"/>
    </x:row>
    <x:row r="124" s="1" customFormat="1" ht="14.25" hidden="0" customHeight="1">
      <x:c r="A124" s="7" t="s">
        <x:v>385</x:v>
      </x:c>
      <x:c r="B124" s="5" t="s">
        <x:v>292</x:v>
      </x:c>
      <x:c r="C124" s="5" t="s">
        <x:v>386</x:v>
      </x:c>
      <x:c r="D124" s="6"/>
      <x:c r="E124" s="6"/>
      <x:c r="F124" s="6"/>
      <x:c r="G124" s="6"/>
      <x:c r="H124" s="6"/>
      <x:c r="I124" s="6"/>
      <x:c r="J124" s="6"/>
      <x:c r="K124" s="6"/>
      <x:c r="L124" s="6"/>
      <x:c r="M124" s="6"/>
      <x:c r="N124" s="6"/>
      <x:c r="O124" s="6"/>
      <x:c r="P124" s="6"/>
      <x:c r="Q124" s="6"/>
      <x:c r="R124" s="6"/>
      <x:c r="S124" s="6"/>
      <x:c r="T124" s="6"/>
      <x:c r="U124" s="6"/>
      <x:c r="V124" s="6"/>
      <x:c r="W124" s="6"/>
      <x:c r="X124" s="6"/>
      <x:c r="Y124" s="6"/>
      <x:c r="Z124" s="6"/>
    </x:row>
    <x:row r="125" s="1" customFormat="1" ht="14.25" hidden="0" customHeight="1">
      <x:c r="A125" s="7" t="s">
        <x:v>387</x:v>
      </x:c>
      <x:c r="B125" s="43" t="str">
        <x:v>RippleLogic v12.6 / SGP v8.5 / ripple.md v5.5 / Agent v12.5 / Primer v4.4 / WDBIP v1.6 / Sheet v5.6</x:v>
      </x:c>
      <x:c r="C125" s="6"/>
      <x:c r="D125" s="6"/>
      <x:c r="E125" s="6"/>
      <x:c r="F125" s="6"/>
      <x:c r="G125" s="6"/>
      <x:c r="H125" s="6"/>
      <x:c r="I125" s="6"/>
      <x:c r="J125" s="6"/>
      <x:c r="K125" s="6"/>
      <x:c r="L125" s="6"/>
      <x:c r="M125" s="6"/>
      <x:c r="N125" s="6"/>
      <x:c r="O125" s="6"/>
      <x:c r="P125" s="6"/>
      <x:c r="Q125" s="6"/>
      <x:c r="R125" s="6"/>
      <x:c r="S125" s="6"/>
      <x:c r="T125" s="6"/>
      <x:c r="U125" s="6"/>
      <x:c r="V125" s="6"/>
      <x:c r="W125" s="6"/>
      <x:c r="X125" s="6"/>
      <x:c r="Y125" s="6"/>
      <x:c r="Z125" s="6"/>
    </x:row>
    <x:row r="126" s="1" customFormat="1" ht="13.5" hidden="0" customHeight="1">
      <x:c r="A126" s="7" t="s">
        <x:v>388</x:v>
      </x:c>
      <x:c r="B126" s="5" t="s">
        <x:v>351</x:v>
      </x:c>
      <x:c r="C126" s="6"/>
      <x:c r="D126" s="6"/>
      <x:c r="E126" s="6"/>
      <x:c r="F126" s="6"/>
      <x:c r="G126" s="6"/>
      <x:c r="H126" s="6"/>
      <x:c r="I126" s="6"/>
      <x:c r="J126" s="6"/>
      <x:c r="K126" s="6"/>
      <x:c r="L126" s="6"/>
      <x:c r="M126" s="6"/>
      <x:c r="N126" s="6"/>
      <x:c r="O126" s="6"/>
      <x:c r="P126" s="6"/>
      <x:c r="Q126" s="6"/>
      <x:c r="R126" s="6"/>
      <x:c r="S126" s="6"/>
      <x:c r="T126" s="6"/>
      <x:c r="U126" s="6"/>
      <x:c r="V126" s="6"/>
      <x:c r="W126" s="6"/>
      <x:c r="X126" s="6"/>
      <x:c r="Y126" s="6"/>
      <x:c r="Z126" s="6"/>
    </x:row>
    <x:row r="127" s="1" customFormat="1" ht="14.25" hidden="0" customHeight="1">
      <x:c r="A127" s="7" t="s">
        <x:v>389</x:v>
      </x:c>
      <x:c r="B127" s="43" t="s">
        <x:v>351</x:v>
      </x:c>
      <x:c r="C127" s="6"/>
      <x:c r="D127" s="6"/>
      <x:c r="E127" s="6"/>
      <x:c r="F127" s="6"/>
      <x:c r="G127" s="6"/>
      <x:c r="H127" s="6"/>
      <x:c r="I127" s="6"/>
      <x:c r="J127" s="6"/>
      <x:c r="K127" s="6"/>
      <x:c r="L127" s="6"/>
      <x:c r="M127" s="6"/>
      <x:c r="N127" s="6"/>
      <x:c r="O127" s="6"/>
      <x:c r="P127" s="6"/>
      <x:c r="Q127" s="6"/>
      <x:c r="R127" s="6"/>
      <x:c r="S127" s="6"/>
      <x:c r="T127" s="6"/>
      <x:c r="U127" s="6"/>
      <x:c r="V127" s="6"/>
      <x:c r="W127" s="6"/>
      <x:c r="X127" s="6"/>
      <x:c r="Y127" s="6"/>
      <x:c r="Z127" s="6"/>
    </x:row>
    <x:row r="128" s="1" customFormat="1" ht="13.5" hidden="0" customHeight="1">
      <x:c r="A128" s="6"/>
      <x:c r="B128" s="6"/>
      <x:c r="C128" s="6"/>
      <x:c r="D128" s="6"/>
      <x:c r="E128" s="6"/>
      <x:c r="F128" s="6"/>
      <x:c r="G128" s="6"/>
      <x:c r="H128" s="6"/>
      <x:c r="I128" s="6"/>
      <x:c r="J128" s="6"/>
      <x:c r="K128" s="6"/>
      <x:c r="L128" s="6"/>
      <x:c r="M128" s="6"/>
      <x:c r="N128" s="6"/>
      <x:c r="O128" s="6"/>
      <x:c r="P128" s="6"/>
      <x:c r="Q128" s="6"/>
      <x:c r="R128" s="6"/>
      <x:c r="S128" s="6"/>
      <x:c r="T128" s="6"/>
      <x:c r="U128" s="6"/>
      <x:c r="V128" s="6"/>
      <x:c r="W128" s="6"/>
      <x:c r="X128" s="6"/>
      <x:c r="Y128" s="6"/>
      <x:c r="Z128" s="6"/>
    </x:row>
    <x:row r="129" s="1" customFormat="1" ht="15" hidden="0" customHeight="1">
      <x:c r="A129" s="7" t="s">
        <x:v>390</x:v>
      </x:c>
      <x:c r="B129" s="47"/>
      <x:c r="C129" s="47"/>
      <x:c r="D129" s="6"/>
      <x:c r="E129" s="6"/>
      <x:c r="F129" s="6"/>
      <x:c r="G129" s="6"/>
      <x:c r="H129" s="6"/>
      <x:c r="I129" s="6"/>
      <x:c r="J129" s="6"/>
      <x:c r="K129" s="6"/>
      <x:c r="L129" s="6"/>
      <x:c r="M129" s="6"/>
      <x:c r="N129" s="6"/>
      <x:c r="O129" s="6"/>
      <x:c r="P129" s="6"/>
      <x:c r="Q129" s="6"/>
      <x:c r="R129" s="6"/>
      <x:c r="S129" s="6"/>
      <x:c r="T129" s="6"/>
      <x:c r="U129" s="6"/>
      <x:c r="V129" s="6"/>
      <x:c r="W129" s="6"/>
      <x:c r="X129" s="6"/>
      <x:c r="Y129" s="6"/>
      <x:c r="Z129" s="6"/>
    </x:row>
    <x:row r="130" s="1" customFormat="1" ht="13.5" hidden="0" customHeight="1">
      <x:c r="A130" s="7" t="s">
        <x:v>391</x:v>
      </x:c>
      <x:c r="B130" s="5" t="n">
        <x:v>1</x:v>
      </x:c>
      <x:c r="C130" s="5" t="s">
        <x:v>392</x:v>
      </x:c>
      <x:c r="D130" s="6"/>
      <x:c r="E130" s="6"/>
      <x:c r="F130" s="6"/>
      <x:c r="G130" s="6"/>
      <x:c r="H130" s="6"/>
      <x:c r="I130" s="6"/>
      <x:c r="J130" s="6"/>
      <x:c r="K130" s="6"/>
      <x:c r="L130" s="6"/>
      <x:c r="M130" s="6"/>
      <x:c r="N130" s="6"/>
      <x:c r="O130" s="6"/>
      <x:c r="P130" s="6"/>
      <x:c r="Q130" s="6"/>
      <x:c r="R130" s="6"/>
      <x:c r="S130" s="6"/>
      <x:c r="T130" s="6"/>
      <x:c r="U130" s="6"/>
      <x:c r="V130" s="6"/>
      <x:c r="W130" s="6"/>
      <x:c r="X130" s="6"/>
      <x:c r="Y130" s="6"/>
      <x:c r="Z130" s="6"/>
    </x:row>
    <x:row r="131" s="1" customFormat="1" ht="13.5" hidden="0" customHeight="1">
      <x:c r="A131" s="7" t="s">
        <x:v>393</x:v>
      </x:c>
      <x:c r="B131" s="48" t="s">
        <x:v>394</x:v>
      </x:c>
      <x:c r="C131" s="47"/>
      <x:c r="D131" s="6"/>
      <x:c r="E131" s="6"/>
      <x:c r="F131" s="6"/>
      <x:c r="G131" s="6"/>
      <x:c r="H131" s="6"/>
      <x:c r="I131" s="6"/>
      <x:c r="J131" s="6"/>
      <x:c r="K131" s="6"/>
      <x:c r="L131" s="6"/>
      <x:c r="M131" s="6"/>
      <x:c r="N131" s="6"/>
      <x:c r="O131" s="6"/>
      <x:c r="P131" s="6"/>
      <x:c r="Q131" s="6"/>
      <x:c r="R131" s="6"/>
      <x:c r="S131" s="6"/>
      <x:c r="T131" s="6"/>
      <x:c r="U131" s="6"/>
      <x:c r="V131" s="6"/>
      <x:c r="W131" s="6"/>
      <x:c r="X131" s="6"/>
      <x:c r="Y131" s="6"/>
      <x:c r="Z131" s="6"/>
    </x:row>
    <x:row r="132" s="1" customFormat="1" ht="13.5" hidden="0" customHeight="1">
      <x:c r="A132" s="7" t="s">
        <x:v>395</x:v>
      </x:c>
      <x:c r="B132" s="5" t="s">
        <x:v>396</x:v>
      </x:c>
      <x:c r="C132" s="5" t="s">
        <x:v>397</x:v>
      </x:c>
      <x:c r="D132" s="6"/>
      <x:c r="E132" s="6"/>
      <x:c r="F132" s="6"/>
      <x:c r="G132" s="6"/>
      <x:c r="H132" s="6"/>
      <x:c r="I132" s="6"/>
      <x:c r="J132" s="6"/>
      <x:c r="K132" s="6"/>
      <x:c r="L132" s="6"/>
      <x:c r="M132" s="6"/>
      <x:c r="N132" s="6"/>
      <x:c r="O132" s="6"/>
      <x:c r="P132" s="6"/>
      <x:c r="Q132" s="6"/>
      <x:c r="R132" s="6"/>
      <x:c r="S132" s="6"/>
      <x:c r="T132" s="6"/>
      <x:c r="U132" s="6"/>
      <x:c r="V132" s="6"/>
      <x:c r="W132" s="6"/>
      <x:c r="X132" s="6"/>
      <x:c r="Y132" s="6"/>
      <x:c r="Z132" s="6"/>
    </x:row>
    <x:row r="133" s="1" customFormat="1" ht="13.5" hidden="0" customHeight="1">
      <x:c r="A133" s="7" t="s">
        <x:v>398</x:v>
      </x:c>
      <x:c r="B133" s="48" t="s">
        <x:v>399</x:v>
      </x:c>
      <x:c r="C133" s="48" t="s">
        <x:v>400</x:v>
      </x:c>
      <x:c r="D133" s="6"/>
      <x:c r="E133" s="6"/>
      <x:c r="F133" s="6"/>
      <x:c r="G133" s="6"/>
      <x:c r="H133" s="6"/>
      <x:c r="I133" s="6"/>
      <x:c r="J133" s="6"/>
      <x:c r="K133" s="6"/>
      <x:c r="L133" s="6"/>
      <x:c r="M133" s="6"/>
      <x:c r="N133" s="6"/>
      <x:c r="O133" s="6"/>
      <x:c r="P133" s="6"/>
      <x:c r="Q133" s="6"/>
      <x:c r="R133" s="6"/>
      <x:c r="S133" s="6"/>
      <x:c r="T133" s="6"/>
      <x:c r="U133" s="6"/>
      <x:c r="V133" s="6"/>
      <x:c r="W133" s="6"/>
      <x:c r="X133" s="6"/>
      <x:c r="Y133" s="6"/>
      <x:c r="Z133" s="6"/>
    </x:row>
    <x:row r="134" s="1" customFormat="1" ht="13.5" hidden="0" customHeight="1">
      <x:c r="A134" s="7" t="s">
        <x:v>401</x:v>
      </x:c>
      <x:c r="B134" s="5" t="s">
        <x:v>402</x:v>
      </x:c>
      <x:c r="C134" s="47"/>
      <x:c r="D134" s="6"/>
      <x:c r="E134" s="6"/>
      <x:c r="F134" s="6"/>
      <x:c r="G134" s="6"/>
      <x:c r="H134" s="6"/>
      <x:c r="I134" s="6"/>
      <x:c r="J134" s="6"/>
      <x:c r="K134" s="6"/>
      <x:c r="L134" s="6"/>
      <x:c r="M134" s="6"/>
      <x:c r="N134" s="6"/>
      <x:c r="O134" s="6"/>
      <x:c r="P134" s="6"/>
      <x:c r="Q134" s="6"/>
      <x:c r="R134" s="6"/>
      <x:c r="S134" s="6"/>
      <x:c r="T134" s="6"/>
      <x:c r="U134" s="6"/>
      <x:c r="V134" s="6"/>
      <x:c r="W134" s="6"/>
      <x:c r="X134" s="6"/>
      <x:c r="Y134" s="6"/>
      <x:c r="Z134" s="6"/>
    </x:row>
    <x:row r="135" s="1" customFormat="1" ht="13.5" hidden="0" customHeight="1">
      <x:c r="A135" s="7" t="s">
        <x:v>403</x:v>
      </x:c>
      <x:c r="B135" s="48" t="s">
        <x:v>404</x:v>
      </x:c>
      <x:c r="C135" s="47"/>
      <x:c r="D135" s="6"/>
      <x:c r="E135" s="6"/>
      <x:c r="F135" s="6"/>
      <x:c r="G135" s="6"/>
      <x:c r="H135" s="6"/>
      <x:c r="I135" s="6"/>
      <x:c r="J135" s="6"/>
      <x:c r="K135" s="6"/>
      <x:c r="L135" s="6"/>
      <x:c r="M135" s="6"/>
      <x:c r="N135" s="6"/>
      <x:c r="O135" s="6"/>
      <x:c r="P135" s="6"/>
      <x:c r="Q135" s="6"/>
      <x:c r="R135" s="6"/>
      <x:c r="S135" s="6"/>
      <x:c r="T135" s="6"/>
      <x:c r="U135" s="6"/>
      <x:c r="V135" s="6"/>
      <x:c r="W135" s="6"/>
      <x:c r="X135" s="6"/>
      <x:c r="Y135" s="6"/>
      <x:c r="Z135" s="6"/>
    </x:row>
    <x:row r="136" s="1" customFormat="1" ht="13.5" hidden="0" customHeight="1">
      <x:c r="A136" s="7" t="s">
        <x:v>405</x:v>
      </x:c>
      <x:c r="B136" s="49"/>
      <x:c r="C136" s="50"/>
      <x:c r="D136" s="6"/>
      <x:c r="E136" s="6"/>
      <x:c r="F136" s="6"/>
      <x:c r="G136" s="6"/>
      <x:c r="H136" s="6"/>
      <x:c r="I136" s="6"/>
      <x:c r="J136" s="6"/>
      <x:c r="K136" s="6"/>
      <x:c r="L136" s="6"/>
      <x:c r="M136" s="6"/>
      <x:c r="N136" s="6"/>
      <x:c r="O136" s="6"/>
      <x:c r="P136" s="6"/>
      <x:c r="Q136" s="6"/>
      <x:c r="R136" s="6"/>
      <x:c r="S136" s="6"/>
      <x:c r="T136" s="6"/>
      <x:c r="U136" s="6"/>
      <x:c r="V136" s="6"/>
      <x:c r="W136" s="6"/>
      <x:c r="X136" s="6"/>
      <x:c r="Y136" s="6"/>
      <x:c r="Z136" s="6"/>
    </x:row>
    <x:row r="137" s="1" customFormat="1" ht="33.75" hidden="0" customHeight="1">
      <x:c r="A137" s="7" t="s">
        <x:v>406</x:v>
      </x:c>
      <x:c r="B137" s="48" t="s">
        <x:v>55</x:v>
      </x:c>
      <x:c r="C137" s="50"/>
      <x:c r="D137" s="6"/>
      <x:c r="E137" s="6"/>
      <x:c r="F137" s="6"/>
      <x:c r="G137" s="6"/>
      <x:c r="H137" s="6"/>
      <x:c r="I137" s="6"/>
      <x:c r="J137" s="6"/>
      <x:c r="K137" s="6"/>
      <x:c r="L137" s="6"/>
      <x:c r="M137" s="6"/>
      <x:c r="N137" s="6"/>
      <x:c r="O137" s="6"/>
      <x:c r="P137" s="6"/>
      <x:c r="Q137" s="6"/>
      <x:c r="R137" s="6"/>
      <x:c r="S137" s="6"/>
      <x:c r="T137" s="6"/>
      <x:c r="U137" s="6"/>
      <x:c r="V137" s="6"/>
      <x:c r="W137" s="6"/>
      <x:c r="X137" s="6"/>
      <x:c r="Y137" s="6"/>
      <x:c r="Z137" s="6"/>
    </x:row>
    <x:row r="138" s="1" customFormat="1" ht="12.75" hidden="0" customHeight="1">
      <x:c r="A138" s="7" t="s">
        <x:v>209</x:v>
      </x:c>
      <x:c r="B138" s="5" t="s">
        <x:v>210</x:v>
      </x:c>
      <x:c r="C138" s="6"/>
      <x:c r="D138" s="6"/>
      <x:c r="E138" s="6"/>
      <x:c r="F138" s="6"/>
      <x:c r="G138" s="6"/>
      <x:c r="H138" s="6"/>
      <x:c r="I138" s="6"/>
      <x:c r="J138" s="6"/>
      <x:c r="K138" s="6"/>
      <x:c r="L138" s="6"/>
      <x:c r="M138" s="6"/>
      <x:c r="N138" s="6"/>
      <x:c r="O138" s="6"/>
      <x:c r="P138" s="6"/>
      <x:c r="Q138" s="6"/>
      <x:c r="R138" s="6"/>
      <x:c r="S138" s="6"/>
      <x:c r="T138" s="6"/>
      <x:c r="U138" s="6"/>
      <x:c r="V138" s="6"/>
      <x:c r="W138" s="6"/>
      <x:c r="X138" s="6"/>
      <x:c r="Y138" s="6"/>
      <x:c r="Z138" s="6"/>
    </x:row>
    <x:row r="139" s="1" customFormat="1" ht="12.75" hidden="0" customHeight="1">
      <x:c r="A139" s="7" t="s">
        <x:v>407</x:v>
      </x:c>
      <x:c r="B139" s="8" t="s">
        <x:v>408</x:v>
      </x:c>
      <x:c r="C139" s="6"/>
      <x:c r="D139" s="6"/>
      <x:c r="E139" s="6"/>
      <x:c r="F139" s="6"/>
      <x:c r="G139" s="6"/>
      <x:c r="H139" s="6"/>
      <x:c r="I139" s="6"/>
      <x:c r="J139" s="6"/>
      <x:c r="K139" s="6"/>
      <x:c r="L139" s="6"/>
      <x:c r="M139" s="6"/>
      <x:c r="N139" s="6"/>
      <x:c r="O139" s="6"/>
      <x:c r="P139" s="6"/>
      <x:c r="Q139" s="6"/>
      <x:c r="R139" s="6"/>
      <x:c r="S139" s="6"/>
      <x:c r="T139" s="6"/>
      <x:c r="U139" s="6"/>
      <x:c r="V139" s="6"/>
      <x:c r="W139" s="6"/>
      <x:c r="X139" s="6"/>
      <x:c r="Y139" s="6"/>
      <x:c r="Z139" s="6"/>
    </x:row>
    <x:row r="140" s="1" customFormat="1" ht="12.75" hidden="0" customHeight="1">
      <x:c r="A140" s="7" t="s">
        <x:v>409</x:v>
      </x:c>
      <x:c r="B140" s="5" t="str">
        <x:v>RippleLogic Agent System v12.5</x:v>
      </x:c>
      <x:c r="C140" s="6"/>
      <x:c r="D140" s="6"/>
      <x:c r="E140" s="6"/>
      <x:c r="F140" s="6"/>
      <x:c r="G140" s="6"/>
      <x:c r="H140" s="6"/>
      <x:c r="I140" s="6"/>
      <x:c r="J140" s="6"/>
      <x:c r="K140" s="6"/>
      <x:c r="L140" s="6"/>
      <x:c r="M140" s="6"/>
      <x:c r="N140" s="6"/>
      <x:c r="O140" s="6"/>
      <x:c r="P140" s="6"/>
      <x:c r="Q140" s="6"/>
      <x:c r="R140" s="6"/>
      <x:c r="S140" s="6"/>
      <x:c r="T140" s="6"/>
      <x:c r="U140" s="6"/>
      <x:c r="V140" s="6"/>
      <x:c r="W140" s="6"/>
      <x:c r="X140" s="6"/>
      <x:c r="Y140" s="6"/>
      <x:c r="Z140" s="6"/>
    </x:row>
    <x:row r="141" s="1" customFormat="1" ht="12.75" hidden="0" customHeight="1">
      <x:c r="A141" s="7" t="s">
        <x:v>410</x:v>
      </x:c>
      <x:c r="B141" s="8" t="s">
        <x:v>154</x:v>
      </x:c>
      <x:c r="C141" s="6"/>
      <x:c r="D141" s="6"/>
      <x:c r="E141" s="6"/>
      <x:c r="F141" s="6"/>
      <x:c r="G141" s="6"/>
      <x:c r="H141" s="6"/>
      <x:c r="I141" s="6"/>
      <x:c r="J141" s="6"/>
      <x:c r="K141" s="6"/>
      <x:c r="L141" s="6"/>
      <x:c r="M141" s="6"/>
      <x:c r="N141" s="6"/>
      <x:c r="O141" s="6"/>
      <x:c r="P141" s="6"/>
      <x:c r="Q141" s="6"/>
      <x:c r="R141" s="6"/>
      <x:c r="S141" s="6"/>
      <x:c r="T141" s="6"/>
      <x:c r="U141" s="6"/>
      <x:c r="V141" s="6"/>
      <x:c r="W141" s="6"/>
      <x:c r="X141" s="6"/>
      <x:c r="Y141" s="6"/>
      <x:c r="Z141" s="6"/>
    </x:row>
    <x:row r="142" s="1" customFormat="1" ht="12.75" hidden="0" customHeight="1">
      <x:c r="A142" s="7" t="s">
        <x:v>411</x:v>
      </x:c>
      <x:c r="B142" s="5" t="s">
        <x:v>412</x:v>
      </x:c>
      <x:c r="C142" s="6"/>
      <x:c r="D142" s="6"/>
      <x:c r="E142" s="6"/>
      <x:c r="F142" s="6"/>
      <x:c r="G142" s="6"/>
      <x:c r="H142" s="6"/>
      <x:c r="I142" s="6"/>
      <x:c r="J142" s="6"/>
      <x:c r="K142" s="6"/>
      <x:c r="L142" s="6"/>
      <x:c r="M142" s="6"/>
      <x:c r="N142" s="6"/>
      <x:c r="O142" s="6"/>
      <x:c r="P142" s="6"/>
      <x:c r="Q142" s="6"/>
      <x:c r="R142" s="6"/>
      <x:c r="S142" s="6"/>
      <x:c r="T142" s="6"/>
      <x:c r="U142" s="6"/>
      <x:c r="V142" s="6"/>
      <x:c r="W142" s="6"/>
      <x:c r="X142" s="6"/>
      <x:c r="Y142" s="6"/>
      <x:c r="Z142" s="6"/>
    </x:row>
    <x:row r="143" s="1" customFormat="1" ht="12.75" hidden="0" customHeight="1">
      <x:c r="A143" s="7" t="s">
        <x:v>413</x:v>
      </x:c>
      <x:c r="B143" s="8" t="s">
        <x:v>414</x:v>
      </x:c>
      <x:c r="C143" s="6"/>
      <x:c r="D143" s="6"/>
      <x:c r="E143" s="6"/>
      <x:c r="F143" s="6"/>
      <x:c r="G143" s="6"/>
      <x:c r="H143" s="6"/>
      <x:c r="I143" s="6"/>
      <x:c r="J143" s="6"/>
      <x:c r="K143" s="6"/>
      <x:c r="L143" s="6"/>
      <x:c r="M143" s="6"/>
      <x:c r="N143" s="6"/>
      <x:c r="O143" s="6"/>
      <x:c r="P143" s="6"/>
      <x:c r="Q143" s="6"/>
      <x:c r="R143" s="6"/>
      <x:c r="S143" s="6"/>
      <x:c r="T143" s="6"/>
      <x:c r="U143" s="6"/>
      <x:c r="V143" s="6"/>
      <x:c r="W143" s="6"/>
      <x:c r="X143" s="6"/>
      <x:c r="Y143" s="6"/>
      <x:c r="Z143" s="6"/>
    </x:row>
    <x:row r="144" s="1" customFormat="1" ht="12.75" hidden="0" customHeight="1">
      <x:c r="A144" s="7" t="s">
        <x:v>415</x:v>
      </x:c>
      <x:c r="B144" s="5" t="s">
        <x:v>416</x:v>
      </x:c>
      <x:c r="C144" s="6"/>
      <x:c r="D144" s="6"/>
      <x:c r="E144" s="6"/>
      <x:c r="F144" s="6"/>
      <x:c r="G144" s="6"/>
      <x:c r="H144" s="6"/>
      <x:c r="I144" s="6"/>
      <x:c r="J144" s="6"/>
      <x:c r="K144" s="6"/>
      <x:c r="L144" s="6"/>
      <x:c r="M144" s="6"/>
      <x:c r="N144" s="6"/>
      <x:c r="O144" s="6"/>
      <x:c r="P144" s="6"/>
      <x:c r="Q144" s="6"/>
      <x:c r="R144" s="6"/>
      <x:c r="S144" s="6"/>
      <x:c r="T144" s="6"/>
      <x:c r="U144" s="6"/>
      <x:c r="V144" s="6"/>
      <x:c r="W144" s="6"/>
      <x:c r="X144" s="6"/>
      <x:c r="Y144" s="6"/>
      <x:c r="Z144" s="6"/>
    </x:row>
    <x:row r="145" s="1" customFormat="1" ht="12.75" hidden="0" customHeight="1">
      <x:c r="A145" s="7" t="s">
        <x:v>417</x:v>
      </x:c>
      <x:c r="B145" s="8" t="s">
        <x:v>418</x:v>
      </x:c>
      <x:c r="C145" s="6"/>
      <x:c r="D145" s="6"/>
      <x:c r="E145" s="6"/>
      <x:c r="F145" s="6"/>
      <x:c r="G145" s="6"/>
      <x:c r="H145" s="6"/>
      <x:c r="I145" s="6"/>
      <x:c r="J145" s="6"/>
      <x:c r="K145" s="6"/>
      <x:c r="L145" s="6"/>
      <x:c r="M145" s="6"/>
      <x:c r="N145" s="6"/>
      <x:c r="O145" s="6"/>
      <x:c r="P145" s="6"/>
      <x:c r="Q145" s="6"/>
      <x:c r="R145" s="6"/>
      <x:c r="S145" s="6"/>
      <x:c r="T145" s="6"/>
      <x:c r="U145" s="6"/>
      <x:c r="V145" s="6"/>
      <x:c r="W145" s="6"/>
      <x:c r="X145" s="6"/>
      <x:c r="Y145" s="6"/>
      <x:c r="Z145" s="6"/>
    </x:row>
    <x:row r="146" s="1" customFormat="1" ht="12.75" hidden="0" customHeight="1">
      <x:c r="A146" s="7" t="s">
        <x:v>419</x:v>
      </x:c>
      <x:c r="B146" s="51"/>
      <x:c r="C146" s="51"/>
      <x:c r="D146" s="6"/>
      <x:c r="E146" s="6"/>
      <x:c r="F146" s="6"/>
      <x:c r="G146" s="6"/>
      <x:c r="H146" s="6"/>
      <x:c r="I146" s="6"/>
      <x:c r="J146" s="6"/>
      <x:c r="K146" s="6"/>
      <x:c r="L146" s="6"/>
      <x:c r="M146" s="6"/>
      <x:c r="N146" s="6"/>
      <x:c r="O146" s="6"/>
      <x:c r="P146" s="6"/>
      <x:c r="Q146" s="6"/>
      <x:c r="R146" s="6"/>
      <x:c r="S146" s="6"/>
      <x:c r="T146" s="6"/>
      <x:c r="U146" s="6"/>
      <x:c r="V146" s="6"/>
      <x:c r="W146" s="6"/>
      <x:c r="X146" s="6"/>
      <x:c r="Y146" s="6"/>
      <x:c r="Z146" s="6"/>
    </x:row>
    <x:row r="147" s="1" customFormat="1" ht="12.75" hidden="0" customHeight="1">
      <x:c r="A147" s="7" t="s">
        <x:v>420</x:v>
      </x:c>
      <x:c r="B147" s="8" t="s">
        <x:v>421</x:v>
      </x:c>
      <x:c r="C147" s="8" t="s">
        <x:v>422</x:v>
      </x:c>
      <x:c r="D147" s="6"/>
      <x:c r="E147" s="6"/>
      <x:c r="F147" s="6"/>
      <x:c r="G147" s="6"/>
      <x:c r="H147" s="6"/>
      <x:c r="I147" s="6"/>
      <x:c r="J147" s="6"/>
      <x:c r="K147" s="6"/>
      <x:c r="L147" s="6"/>
      <x:c r="M147" s="6"/>
      <x:c r="N147" s="6"/>
      <x:c r="O147" s="6"/>
      <x:c r="P147" s="6"/>
      <x:c r="Q147" s="6"/>
      <x:c r="R147" s="6"/>
      <x:c r="S147" s="6"/>
      <x:c r="T147" s="6"/>
      <x:c r="U147" s="6"/>
      <x:c r="V147" s="6"/>
      <x:c r="W147" s="6"/>
      <x:c r="X147" s="6"/>
      <x:c r="Y147" s="6"/>
      <x:c r="Z147" s="6"/>
    </x:row>
    <x:row r="148" s="1" customFormat="1" ht="12.75" hidden="0" customHeight="1">
      <x:c r="A148" s="7" t="s">
        <x:v>423</x:v>
      </x:c>
      <x:c r="B148" s="5" t="s">
        <x:v>424</x:v>
      </x:c>
      <x:c r="C148" s="5" t="s">
        <x:v>425</x:v>
      </x:c>
      <x:c r="D148" s="6"/>
      <x:c r="E148" s="6"/>
      <x:c r="F148" s="6"/>
      <x:c r="G148" s="6"/>
      <x:c r="H148" s="6"/>
      <x:c r="I148" s="6"/>
      <x:c r="J148" s="6"/>
      <x:c r="K148" s="6"/>
      <x:c r="L148" s="6"/>
      <x:c r="M148" s="6"/>
      <x:c r="N148" s="6"/>
      <x:c r="O148" s="6"/>
      <x:c r="P148" s="6"/>
      <x:c r="Q148" s="6"/>
      <x:c r="R148" s="6"/>
      <x:c r="S148" s="6"/>
      <x:c r="T148" s="6"/>
      <x:c r="U148" s="6"/>
      <x:c r="V148" s="6"/>
      <x:c r="W148" s="6"/>
      <x:c r="X148" s="6"/>
      <x:c r="Y148" s="6"/>
      <x:c r="Z148" s="6"/>
    </x:row>
    <x:row r="149" s="1" customFormat="1" ht="12.75" hidden="0" customHeight="1">
      <x:c r="A149" s="7" t="s">
        <x:v>426</x:v>
      </x:c>
      <x:c r="B149" s="8" t="s">
        <x:v>424</x:v>
      </x:c>
      <x:c r="C149" s="8" t="s">
        <x:v>427</x:v>
      </x:c>
      <x:c r="D149" s="6"/>
      <x:c r="E149" s="6"/>
      <x:c r="F149" s="6"/>
      <x:c r="G149" s="6"/>
      <x:c r="H149" s="6"/>
      <x:c r="I149" s="6"/>
      <x:c r="J149" s="6"/>
      <x:c r="K149" s="6"/>
      <x:c r="L149" s="6"/>
      <x:c r="M149" s="6"/>
      <x:c r="N149" s="6"/>
      <x:c r="O149" s="6"/>
      <x:c r="P149" s="6"/>
      <x:c r="Q149" s="6"/>
      <x:c r="R149" s="6"/>
      <x:c r="S149" s="6"/>
      <x:c r="T149" s="6"/>
      <x:c r="U149" s="6"/>
      <x:c r="V149" s="6"/>
      <x:c r="W149" s="6"/>
      <x:c r="X149" s="6"/>
      <x:c r="Y149" s="6"/>
      <x:c r="Z149" s="6"/>
    </x:row>
    <x:row r="150" s="1" customFormat="1" ht="12.75" hidden="0" customHeight="1">
      <x:c r="A150" s="7" t="s">
        <x:v>428</x:v>
      </x:c>
      <x:c r="B150" s="5" t="s">
        <x:v>429</x:v>
      </x:c>
      <x:c r="C150" s="5" t="s">
        <x:v>430</x:v>
      </x:c>
      <x:c r="D150" s="6"/>
      <x:c r="E150" s="6"/>
      <x:c r="F150" s="6"/>
      <x:c r="G150" s="6"/>
      <x:c r="H150" s="6"/>
      <x:c r="I150" s="6"/>
      <x:c r="J150" s="6"/>
      <x:c r="K150" s="6"/>
      <x:c r="L150" s="6"/>
      <x:c r="M150" s="6"/>
      <x:c r="N150" s="6"/>
      <x:c r="O150" s="6"/>
      <x:c r="P150" s="6"/>
      <x:c r="Q150" s="6"/>
      <x:c r="R150" s="6"/>
      <x:c r="S150" s="6"/>
      <x:c r="T150" s="6"/>
      <x:c r="U150" s="6"/>
      <x:c r="V150" s="6"/>
      <x:c r="W150" s="6"/>
      <x:c r="X150" s="6"/>
      <x:c r="Y150" s="6"/>
      <x:c r="Z150" s="6"/>
    </x:row>
    <x:row r="151" s="1" customFormat="1" ht="12.75" hidden="0" customHeight="1">
      <x:c r="A151" s="7" t="s">
        <x:v>431</x:v>
      </x:c>
      <x:c r="B151" s="8" t="s">
        <x:v>432</x:v>
      </x:c>
      <x:c r="C151" s="8" t="s">
        <x:v>433</x:v>
      </x:c>
      <x:c r="D151" s="6"/>
      <x:c r="E151" s="6"/>
      <x:c r="F151" s="6"/>
      <x:c r="G151" s="6"/>
      <x:c r="H151" s="6"/>
      <x:c r="I151" s="6"/>
      <x:c r="J151" s="6"/>
      <x:c r="K151" s="6"/>
      <x:c r="L151" s="6"/>
      <x:c r="M151" s="6"/>
      <x:c r="N151" s="6"/>
      <x:c r="O151" s="6"/>
      <x:c r="P151" s="6"/>
      <x:c r="Q151" s="6"/>
      <x:c r="R151" s="6"/>
      <x:c r="S151" s="6"/>
      <x:c r="T151" s="6"/>
      <x:c r="U151" s="6"/>
      <x:c r="V151" s="6"/>
      <x:c r="W151" s="6"/>
      <x:c r="X151" s="6"/>
      <x:c r="Y151" s="6"/>
      <x:c r="Z151" s="6"/>
    </x:row>
    <x:row r="152" s="1" customFormat="1" ht="14.25" hidden="0" customHeight="1">
      <x:c r="A152" s="52"/>
      <x:c r="B152" s="52"/>
      <x:c r="C152" s="52"/>
      <x:c r="D152" s="52"/>
      <x:c r="E152" s="52"/>
      <x:c r="F152" s="52"/>
      <x:c r="G152" s="52"/>
      <x:c r="H152" s="52"/>
      <x:c r="I152" s="52"/>
      <x:c r="J152" s="52"/>
      <x:c r="K152" s="52"/>
      <x:c r="L152" s="52"/>
    </x:row>
    <x:row r="153" s="1" customFormat="1" ht="23.25" hidden="0" customHeight="1">
      <x:c r="A153" s="7" t="s">
        <x:v>434</x:v>
      </x:c>
      <x:c r="B153" s="52"/>
      <x:c r="C153" s="52"/>
      <x:c r="D153" s="52"/>
      <x:c r="E153" s="52"/>
      <x:c r="F153" s="52"/>
      <x:c r="G153" s="52"/>
      <x:c r="H153" s="52"/>
      <x:c r="I153" s="52"/>
      <x:c r="J153" s="52"/>
      <x:c r="K153" s="52"/>
      <x:c r="L153" s="52"/>
    </x:row>
    <x:row r="154" s="1" customFormat="1" ht="45.75" hidden="0" customHeight="1">
      <x:c r="A154" s="7" t="s">
        <x:v>435</x:v>
      </x:c>
      <x:c r="B154" s="5" t="s">
        <x:v>436</x:v>
      </x:c>
      <x:c r="C154" s="52"/>
      <x:c r="D154" s="52"/>
      <x:c r="E154" s="52"/>
      <x:c r="F154" s="52"/>
      <x:c r="G154" s="52"/>
      <x:c r="H154" s="52"/>
      <x:c r="I154" s="52"/>
      <x:c r="J154" s="52"/>
      <x:c r="K154" s="52"/>
      <x:c r="L154" s="52"/>
    </x:row>
    <x:row r="155" s="1" customFormat="1" ht="45.75" hidden="0" customHeight="1">
      <x:c r="A155" s="7" t="s">
        <x:v>437</x:v>
      </x:c>
      <x:c r="B155" s="8" t="s">
        <x:v>438</x:v>
      </x:c>
      <x:c r="C155" s="52"/>
      <x:c r="D155" s="52"/>
      <x:c r="E155" s="52"/>
      <x:c r="F155" s="52"/>
      <x:c r="G155" s="52"/>
      <x:c r="H155" s="52"/>
      <x:c r="I155" s="52"/>
      <x:c r="J155" s="52"/>
      <x:c r="K155" s="52"/>
      <x:c r="L155" s="52"/>
    </x:row>
    <x:row r="156" s="1" customFormat="1" ht="34.5" hidden="0" customHeight="1">
      <x:c r="A156" s="7" t="s">
        <x:v>439</x:v>
      </x:c>
      <x:c r="B156" s="5" t="s">
        <x:v>440</x:v>
      </x:c>
      <x:c r="C156" s="52"/>
      <x:c r="D156" s="52"/>
      <x:c r="E156" s="52"/>
      <x:c r="F156" s="52"/>
      <x:c r="G156" s="52"/>
      <x:c r="H156" s="52"/>
      <x:c r="I156" s="52"/>
      <x:c r="J156" s="52"/>
      <x:c r="K156" s="52"/>
      <x:c r="L156" s="52"/>
    </x:row>
    <x:row r="157" s="1" customFormat="1" ht="34.5" hidden="0" customHeight="1">
      <x:c r="A157" s="7" t="s">
        <x:v>441</x:v>
      </x:c>
      <x:c r="B157" s="8" t="s">
        <x:v>442</x:v>
      </x:c>
      <x:c r="C157" s="52"/>
      <x:c r="D157" s="52"/>
      <x:c r="E157" s="52"/>
      <x:c r="F157" s="52"/>
      <x:c r="G157" s="52"/>
      <x:c r="H157" s="52"/>
      <x:c r="I157" s="52"/>
      <x:c r="J157" s="52"/>
      <x:c r="K157" s="52"/>
      <x:c r="L157" s="52"/>
    </x:row>
    <x:row r="158" s="1" customFormat="1" ht="14.25" hidden="0" customHeight="1">
      <x:c r="A158" s="52"/>
      <x:c r="B158" s="52"/>
      <x:c r="C158" s="52"/>
      <x:c r="D158" s="52"/>
      <x:c r="E158" s="52"/>
      <x:c r="F158" s="52"/>
      <x:c r="G158" s="52"/>
      <x:c r="H158" s="52"/>
      <x:c r="I158" s="52"/>
      <x:c r="J158" s="52"/>
      <x:c r="K158" s="52"/>
      <x:c r="L158" s="52"/>
    </x:row>
    <x:row r="159" s="1" customFormat="1" ht="14.25" hidden="0" customHeight="1">
      <x:c r="A159" s="52"/>
      <x:c r="B159" s="52"/>
      <x:c r="C159" s="52"/>
      <x:c r="D159" s="52"/>
      <x:c r="E159" s="52"/>
      <x:c r="F159" s="52"/>
      <x:c r="G159" s="52"/>
      <x:c r="H159" s="52"/>
      <x:c r="I159" s="52"/>
      <x:c r="J159" s="52"/>
      <x:c r="K159" s="52"/>
      <x:c r="L159" s="52"/>
    </x:row>
    <x:row r="160" s="1" customFormat="1" ht="14.25" hidden="0" customHeight="1">
      <x:c r="A160" s="52"/>
      <x:c r="B160" s="52"/>
      <x:c r="C160" s="52"/>
      <x:c r="D160" s="52"/>
      <x:c r="E160" s="52"/>
      <x:c r="F160" s="52"/>
      <x:c r="G160" s="52"/>
      <x:c r="H160" s="52"/>
      <x:c r="I160" s="52"/>
      <x:c r="J160" s="52"/>
      <x:c r="K160" s="52"/>
      <x:c r="L160" s="52"/>
    </x:row>
  </x:sheetData>
  <x:mergeCells>
    <x:mergeCell ref="A1:D1"/>
    <x:mergeCell ref="A2:D2"/>
    <x:mergeCell ref="A3:D3"/>
    <x:mergeCell ref="F9:H9"/>
  </x:mergeCells>
  <x:pageMargins left="0.7" right="0.7" top="0.75" bottom="0.75" header="0.3" footer="0.3"/>
  <x:legacyDrawing xmlns:r="http://schemas.openxmlformats.org/officeDocument/2006/relationships" r:id="R5900317227cd49ad"/>
</x:worksheet>
</file>

<file path=xl/worksheets/sheet5.xml><?xml version="1.0" encoding="utf-8"?>
<x:worksheet xmlns:x="http://schemas.openxmlformats.org/spreadsheetml/2006/main">
  <x:sheetViews>
    <x:sheetView showGridLines="1" workbookViewId="0"/>
  </x:sheetViews>
  <x:sheetFormatPr defaultColWidth="8.66796875" defaultRowHeight="14.25"/>
  <x:cols>
    <x:col min="1" max="1" width="36" style="53" hidden="0" customWidth="1"/>
    <x:col min="2" max="2" width="36" style="1" hidden="0" customWidth="1"/>
    <x:col min="3" max="3" width="35" style="53" hidden="0" customWidth="1"/>
    <x:col min="4" max="5" width="36" style="1" hidden="0" customWidth="1"/>
    <x:col min="6" max="6" width="36" style="53" hidden="0" customWidth="1"/>
    <x:col min="7" max="7" width="36" style="1" hidden="0" customWidth="1"/>
    <x:col min="8" max="20" width="16" style="1" hidden="0" customWidth="1"/>
  </x:cols>
  <x:sheetData>
    <x:row r="1" s="1" customFormat="1" ht="24" hidden="0" customHeight="1">
      <x:c r="A1" s="2" t="s">
        <x:v>443</x:v>
      </x:c>
      <x:c r="B1" s="54"/>
      <x:c r="C1" s="54"/>
      <x:c r="D1" s="54"/>
      <x:c r="E1" s="54"/>
      <x:c r="F1" s="2" t="s">
        <x:v>444</x:v>
      </x:c>
      <x:c r="G1" s="2" t="s">
        <x:v>445</x:v>
      </x:c>
      <x:c r="H1" s="52"/>
      <x:c r="I1" s="52"/>
      <x:c r="J1" s="52"/>
      <x:c r="K1" s="52"/>
      <x:c r="L1" s="52"/>
      <x:c r="M1" s="52"/>
      <x:c r="N1" s="52"/>
      <x:c r="O1" s="52"/>
      <x:c r="P1" s="52"/>
      <x:c r="Q1" s="52"/>
      <x:c r="R1" s="52"/>
      <x:c r="S1" s="52"/>
      <x:c r="T1" s="52"/>
    </x:row>
    <x:row r="2" s="1" customFormat="1" ht="96" hidden="0" customHeight="1">
      <x:c r="A2" s="4" t="s">
        <x:v>446</x:v>
      </x:c>
      <x:c r="B2" s="12"/>
      <x:c r="C2" s="12"/>
      <x:c r="D2" s="12"/>
      <x:c r="E2" s="12"/>
      <x:c r="F2" s="5" t="s">
        <x:v>447</x:v>
      </x:c>
      <x:c r="G2" s="55" t="s">
        <x:v>448</x:v>
      </x:c>
      <x:c r="H2" s="52"/>
      <x:c r="I2" s="52"/>
      <x:c r="J2" s="52"/>
      <x:c r="K2" s="52"/>
      <x:c r="L2" s="52"/>
      <x:c r="M2" s="52"/>
      <x:c r="N2" s="52"/>
      <x:c r="O2" s="52"/>
      <x:c r="P2" s="52"/>
      <x:c r="Q2" s="52"/>
      <x:c r="R2" s="52"/>
      <x:c r="S2" s="52"/>
      <x:c r="T2" s="52"/>
    </x:row>
    <x:row r="3" s="1" customFormat="1" ht="36" hidden="0" customHeight="1">
      <x:c r="A3" s="7" t="s">
        <x:v>449</x:v>
      </x:c>
      <x:c r="B3" s="12"/>
      <x:c r="C3" s="12"/>
      <x:c r="D3" s="12"/>
      <x:c r="E3" s="12"/>
      <x:c r="F3" s="8" t="s">
        <x:v>450</x:v>
      </x:c>
      <x:c r="G3" s="8" t="s">
        <x:v>451</x:v>
      </x:c>
      <x:c r="H3" s="52"/>
      <x:c r="I3" s="52"/>
      <x:c r="J3" s="52"/>
      <x:c r="K3" s="52"/>
      <x:c r="L3" s="52"/>
      <x:c r="M3" s="52"/>
      <x:c r="N3" s="52"/>
      <x:c r="O3" s="52"/>
      <x:c r="P3" s="52"/>
      <x:c r="Q3" s="52"/>
      <x:c r="R3" s="52"/>
      <x:c r="S3" s="52"/>
      <x:c r="T3" s="52"/>
    </x:row>
    <x:row r="4" s="1" customFormat="1" ht="60" hidden="0" customHeight="1">
      <x:c r="A4" s="7" t="s">
        <x:v>452</x:v>
      </x:c>
      <x:c r="B4" s="12"/>
      <x:c r="C4" s="12"/>
      <x:c r="D4" s="12"/>
      <x:c r="E4" s="12"/>
      <x:c r="F4" s="5" t="s">
        <x:v>453</x:v>
      </x:c>
      <x:c r="G4" s="5" t="s">
        <x:v>351</x:v>
      </x:c>
      <x:c r="H4" s="52"/>
      <x:c r="I4" s="52"/>
      <x:c r="J4" s="52"/>
      <x:c r="K4" s="52"/>
      <x:c r="L4" s="52"/>
      <x:c r="M4" s="52"/>
      <x:c r="N4" s="52"/>
      <x:c r="O4" s="52"/>
      <x:c r="P4" s="52"/>
      <x:c r="Q4" s="52"/>
      <x:c r="R4" s="52"/>
      <x:c r="S4" s="52"/>
      <x:c r="T4" s="52"/>
    </x:row>
    <x:row r="5" s="1" customFormat="1" ht="14.25" hidden="0" customHeight="1">
      <x:c r="A5" s="7" t="s">
        <x:v>454</x:v>
      </x:c>
      <x:c r="B5" s="8" t="s">
        <x:v>455</x:v>
      </x:c>
      <x:c r="C5" s="8" t="s">
        <x:v>456</x:v>
      </x:c>
      <x:c r="D5" s="8" t="s">
        <x:v>457</x:v>
      </x:c>
      <x:c r="E5" s="8" t="s">
        <x:v>349</x:v>
      </x:c>
      <x:c r="F5" s="8" t="s">
        <x:v>458</x:v>
      </x:c>
      <x:c r="G5" s="12" t="s">
        <x:v>459</x:v>
      </x:c>
      <x:c r="H5" s="52"/>
      <x:c r="I5" s="52"/>
      <x:c r="J5" s="52"/>
      <x:c r="K5" s="52"/>
      <x:c r="L5" s="52"/>
      <x:c r="M5" s="52"/>
      <x:c r="N5" s="52"/>
      <x:c r="O5" s="52"/>
      <x:c r="P5" s="52"/>
      <x:c r="Q5" s="52"/>
      <x:c r="R5" s="52"/>
      <x:c r="S5" s="52"/>
      <x:c r="T5" s="52"/>
    </x:row>
    <x:row r="6" s="1" customFormat="1" ht="14.25" hidden="0" customHeight="1">
      <x:c r="A6" s="7" t="s">
        <x:v>460</x:v>
      </x:c>
      <x:c r="B6" s="5" t="s">
        <x:v>461</x:v>
      </x:c>
      <x:c r="C6" s="5" t="s">
        <x:v>43</x:v>
      </x:c>
      <x:c r="D6" s="5" t="s">
        <x:v>43</x:v>
      </x:c>
      <x:c r="E6" s="5" t="s">
        <x:v>351</x:v>
      </x:c>
      <x:c r="F6" s="5" t="s">
        <x:v>462</x:v>
      </x:c>
      <x:c r="G6" s="12" t="s">
        <x:v>463</x:v>
      </x:c>
      <x:c r="H6" s="52"/>
      <x:c r="I6" s="52"/>
      <x:c r="J6" s="52"/>
      <x:c r="K6" s="52"/>
      <x:c r="L6" s="52"/>
      <x:c r="M6" s="52"/>
      <x:c r="N6" s="52"/>
      <x:c r="O6" s="52"/>
      <x:c r="P6" s="52"/>
      <x:c r="Q6" s="52"/>
      <x:c r="R6" s="52"/>
      <x:c r="S6" s="52"/>
      <x:c r="T6" s="52"/>
    </x:row>
    <x:row r="7" s="1" customFormat="1" ht="14.25" hidden="0" customHeight="1">
      <x:c r="A7" s="7" t="s">
        <x:v>464</x:v>
      </x:c>
      <x:c r="B7" s="8" t="s">
        <x:v>465</x:v>
      </x:c>
      <x:c r="C7" s="8" t="s">
        <x:v>43</x:v>
      </x:c>
      <x:c r="D7" s="8" t="s">
        <x:v>43</x:v>
      </x:c>
      <x:c r="E7" s="56" t="s">
        <x:v>351</x:v>
      </x:c>
      <x:c r="F7" s="8" t="s">
        <x:v>466</x:v>
      </x:c>
      <x:c r="G7" s="12" t="s">
        <x:v>463</x:v>
      </x:c>
      <x:c r="H7" s="52"/>
      <x:c r="I7" s="52"/>
      <x:c r="J7" s="52"/>
      <x:c r="K7" s="52"/>
      <x:c r="L7" s="52"/>
      <x:c r="M7" s="52"/>
      <x:c r="N7" s="52"/>
      <x:c r="O7" s="52"/>
      <x:c r="P7" s="52"/>
      <x:c r="Q7" s="52"/>
      <x:c r="R7" s="52"/>
      <x:c r="S7" s="52"/>
      <x:c r="T7" s="52"/>
    </x:row>
    <x:row r="8" s="1" customFormat="1" ht="14.25" hidden="0" customHeight="1">
      <x:c r="A8" s="7" t="s">
        <x:v>467</x:v>
      </x:c>
      <x:c r="B8" s="5" t="s">
        <x:v>468</x:v>
      </x:c>
      <x:c r="C8" s="5" t="s">
        <x:v>43</x:v>
      </x:c>
      <x:c r="D8" s="5" t="s">
        <x:v>43</x:v>
      </x:c>
      <x:c r="E8" s="5" t="s">
        <x:v>351</x:v>
      </x:c>
      <x:c r="F8" s="5" t="s">
        <x:v>469</x:v>
      </x:c>
      <x:c r="G8" s="12" t="s">
        <x:v>463</x:v>
      </x:c>
      <x:c r="H8" s="52"/>
      <x:c r="I8" s="52"/>
      <x:c r="J8" s="52"/>
      <x:c r="K8" s="52"/>
      <x:c r="L8" s="52"/>
      <x:c r="M8" s="52"/>
      <x:c r="N8" s="52"/>
      <x:c r="O8" s="52"/>
      <x:c r="P8" s="52"/>
      <x:c r="Q8" s="52"/>
      <x:c r="R8" s="52"/>
      <x:c r="S8" s="52"/>
      <x:c r="T8" s="52"/>
    </x:row>
    <x:row r="9" s="1" customFormat="1" ht="14.25" hidden="0" customHeight="1">
      <x:c r="A9" s="7" t="s">
        <x:v>470</x:v>
      </x:c>
      <x:c r="B9" s="8" t="s">
        <x:v>471</x:v>
      </x:c>
      <x:c r="C9" s="8" t="s">
        <x:v>55</x:v>
      </x:c>
      <x:c r="D9" s="8" t="s">
        <x:v>55</x:v>
      </x:c>
      <x:c r="E9" s="56" t="str">
        <x:v>PASS</x:v>
      </x:c>
      <x:c r="F9" s="8" t="s">
        <x:v>472</x:v>
      </x:c>
      <x:c r="G9" s="12" t="s">
        <x:v>463</x:v>
      </x:c>
      <x:c r="H9" s="52"/>
      <x:c r="I9" s="52"/>
      <x:c r="J9" s="52"/>
      <x:c r="K9" s="52"/>
      <x:c r="L9" s="52"/>
      <x:c r="M9" s="52"/>
      <x:c r="N9" s="52"/>
      <x:c r="O9" s="52"/>
      <x:c r="P9" s="52"/>
      <x:c r="Q9" s="52"/>
      <x:c r="R9" s="52"/>
      <x:c r="S9" s="52"/>
      <x:c r="T9" s="52"/>
    </x:row>
    <x:row r="10" s="1" customFormat="1" ht="14.25" hidden="0" customHeight="1">
      <x:c r="A10" s="7" t="s">
        <x:v>473</x:v>
      </x:c>
      <x:c r="B10" s="5" t="s">
        <x:v>474</x:v>
      </x:c>
      <x:c r="C10" s="5" t="n">
        <x:v>0.0219</x:v>
      </x:c>
      <x:c r="D10" s="5" t="n">
        <x:v>0.0219</x:v>
      </x:c>
      <x:c r="E10" s="5" t="s">
        <x:v>351</x:v>
      </x:c>
      <x:c r="F10" s="5" t="s">
        <x:v>475</x:v>
      </x:c>
      <x:c r="G10" s="12" t="s">
        <x:v>463</x:v>
      </x:c>
      <x:c r="H10" s="52"/>
      <x:c r="I10" s="52"/>
      <x:c r="J10" s="52"/>
      <x:c r="K10" s="52"/>
      <x:c r="L10" s="52"/>
      <x:c r="M10" s="52"/>
      <x:c r="N10" s="52"/>
      <x:c r="O10" s="52"/>
      <x:c r="P10" s="52"/>
      <x:c r="Q10" s="52"/>
      <x:c r="R10" s="52"/>
      <x:c r="S10" s="52"/>
      <x:c r="T10" s="52"/>
    </x:row>
    <x:row r="11" s="1" customFormat="1" ht="14.25" hidden="0" customHeight="1">
      <x:c r="A11" s="7" t="s">
        <x:v>476</x:v>
      </x:c>
      <x:c r="B11" s="8" t="s">
        <x:v>477</x:v>
      </x:c>
      <x:c r="C11" s="8" t="n">
        <x:v>0.0315</x:v>
      </x:c>
      <x:c r="D11" s="8" t="n">
        <x:v>0.0315</x:v>
      </x:c>
      <x:c r="E11" s="56" t="s">
        <x:v>351</x:v>
      </x:c>
      <x:c r="F11" s="8" t="s">
        <x:v>475</x:v>
      </x:c>
      <x:c r="G11" s="12" t="s">
        <x:v>463</x:v>
      </x:c>
      <x:c r="H11" s="52"/>
      <x:c r="I11" s="52"/>
      <x:c r="J11" s="52"/>
      <x:c r="K11" s="52"/>
      <x:c r="L11" s="52"/>
      <x:c r="M11" s="52"/>
      <x:c r="N11" s="52"/>
      <x:c r="O11" s="52"/>
      <x:c r="P11" s="52"/>
      <x:c r="Q11" s="52"/>
      <x:c r="R11" s="52"/>
      <x:c r="S11" s="52"/>
      <x:c r="T11" s="52"/>
    </x:row>
    <x:row r="12" s="1" customFormat="1" ht="14.25" hidden="0" customHeight="1">
      <x:c r="A12" s="7" t="s">
        <x:v>478</x:v>
      </x:c>
      <x:c r="B12" s="5" t="s">
        <x:v>479</x:v>
      </x:c>
      <x:c r="C12" s="5" t="n">
        <x:v>0.0219</x:v>
      </x:c>
      <x:c r="D12" s="5" t="n">
        <x:v>0.0219</x:v>
      </x:c>
      <x:c r="E12" s="5" t="s">
        <x:v>480</x:v>
      </x:c>
      <x:c r="F12" s="5" t="s">
        <x:v>481</x:v>
      </x:c>
      <x:c r="G12" s="12" t="s">
        <x:v>482</x:v>
      </x:c>
      <x:c r="H12" s="52"/>
      <x:c r="I12" s="52"/>
      <x:c r="J12" s="52"/>
      <x:c r="K12" s="52"/>
      <x:c r="L12" s="52"/>
      <x:c r="M12" s="52"/>
      <x:c r="N12" s="52"/>
      <x:c r="O12" s="52"/>
      <x:c r="P12" s="52"/>
      <x:c r="Q12" s="52"/>
      <x:c r="R12" s="52"/>
      <x:c r="S12" s="52"/>
      <x:c r="T12" s="52"/>
    </x:row>
    <x:row r="13" s="1" customFormat="1" ht="14.25" hidden="0" customHeight="1">
      <x:c r="A13" s="7" t="s">
        <x:v>483</x:v>
      </x:c>
      <x:c r="B13" s="8" t="s">
        <x:v>484</x:v>
      </x:c>
      <x:c r="C13" s="8" t="n">
        <x:v>8</x:v>
      </x:c>
      <x:c r="D13" s="8" t="n">
        <x:v>8</x:v>
      </x:c>
      <x:c r="E13" s="56" t="s">
        <x:v>351</x:v>
      </x:c>
      <x:c r="F13" s="8" t="s">
        <x:v>485</x:v>
      </x:c>
      <x:c r="G13" s="12" t="s">
        <x:v>463</x:v>
      </x:c>
      <x:c r="H13" s="52"/>
      <x:c r="I13" s="52"/>
      <x:c r="J13" s="52"/>
      <x:c r="K13" s="52"/>
      <x:c r="L13" s="52"/>
      <x:c r="M13" s="52"/>
      <x:c r="N13" s="52"/>
      <x:c r="O13" s="52"/>
      <x:c r="P13" s="52"/>
      <x:c r="Q13" s="52"/>
      <x:c r="R13" s="52"/>
      <x:c r="S13" s="52"/>
      <x:c r="T13" s="52"/>
    </x:row>
    <x:row r="14" s="1" customFormat="1" ht="14.25" hidden="0" customHeight="1">
      <x:c r="A14" s="7" t="s">
        <x:v>486</x:v>
      </x:c>
      <x:c r="B14" s="5" t="s">
        <x:v>487</x:v>
      </x:c>
      <x:c r="C14" s="5" t="n">
        <x:v>16</x:v>
      </x:c>
      <x:c r="D14" s="5" t="n">
        <x:v>16</x:v>
      </x:c>
      <x:c r="E14" s="5" t="s">
        <x:v>351</x:v>
      </x:c>
      <x:c r="F14" s="5" t="s">
        <x:v>488</x:v>
      </x:c>
      <x:c r="G14" s="12" t="s">
        <x:v>463</x:v>
      </x:c>
      <x:c r="H14" s="52"/>
      <x:c r="I14" s="52"/>
      <x:c r="J14" s="52"/>
      <x:c r="K14" s="52"/>
      <x:c r="L14" s="52"/>
      <x:c r="M14" s="52"/>
      <x:c r="N14" s="52"/>
      <x:c r="O14" s="52"/>
      <x:c r="P14" s="52"/>
      <x:c r="Q14" s="52"/>
      <x:c r="R14" s="52"/>
      <x:c r="S14" s="52"/>
      <x:c r="T14" s="52"/>
    </x:row>
    <x:row r="15" s="1" customFormat="1" ht="14.25" hidden="0" customHeight="1">
      <x:c r="A15" s="7" t="s">
        <x:v>489</x:v>
      </x:c>
      <x:c r="B15" s="8" t="s">
        <x:v>490</x:v>
      </x:c>
      <x:c r="C15" s="8" t="s">
        <x:v>300</x:v>
      </x:c>
      <x:c r="D15" s="8" t="s">
        <x:v>300</x:v>
      </x:c>
      <x:c r="E15" s="56" t="s">
        <x:v>351</x:v>
      </x:c>
      <x:c r="F15" s="8" t="s">
        <x:v>491</x:v>
      </x:c>
      <x:c r="G15" s="12" t="s">
        <x:v>463</x:v>
      </x:c>
      <x:c r="H15" s="52"/>
      <x:c r="I15" s="52"/>
      <x:c r="J15" s="52"/>
      <x:c r="K15" s="52"/>
      <x:c r="L15" s="52"/>
      <x:c r="M15" s="52"/>
      <x:c r="N15" s="52"/>
      <x:c r="O15" s="52"/>
      <x:c r="P15" s="52"/>
      <x:c r="Q15" s="52"/>
      <x:c r="R15" s="52"/>
      <x:c r="S15" s="52"/>
      <x:c r="T15" s="52"/>
    </x:row>
    <x:row r="16" s="1" customFormat="1" ht="14.25" hidden="0" customHeight="1">
      <x:c r="A16" s="7" t="s">
        <x:v>492</x:v>
      </x:c>
      <x:c r="B16" s="5" t="s">
        <x:v>493</x:v>
      </x:c>
      <x:c r="C16" s="5" t="s">
        <x:v>300</x:v>
      </x:c>
      <x:c r="D16" s="5" t="s">
        <x:v>300</x:v>
      </x:c>
      <x:c r="E16" s="5" t="s">
        <x:v>351</x:v>
      </x:c>
      <x:c r="F16" s="5" t="s">
        <x:v>494</x:v>
      </x:c>
      <x:c r="G16" s="12" t="s">
        <x:v>463</x:v>
      </x:c>
      <x:c r="H16" s="52"/>
      <x:c r="I16" s="52"/>
      <x:c r="J16" s="52"/>
      <x:c r="K16" s="52"/>
      <x:c r="L16" s="52"/>
      <x:c r="M16" s="52"/>
      <x:c r="N16" s="52"/>
      <x:c r="O16" s="52"/>
      <x:c r="P16" s="52"/>
      <x:c r="Q16" s="52"/>
      <x:c r="R16" s="52"/>
      <x:c r="S16" s="52"/>
      <x:c r="T16" s="52"/>
    </x:row>
    <x:row r="17" s="1" customFormat="1" ht="14.25" hidden="0" customHeight="1">
      <x:c r="A17" s="7" t="s">
        <x:v>495</x:v>
      </x:c>
      <x:c r="B17" s="8" t="s">
        <x:v>496</x:v>
      </x:c>
      <x:c r="C17" s="8" t="n">
        <x:v>0.05</x:v>
      </x:c>
      <x:c r="D17" s="8" t="n">
        <x:v>0.05</x:v>
      </x:c>
      <x:c r="E17" s="56" t="s">
        <x:v>480</x:v>
      </x:c>
      <x:c r="F17" s="8" t="s">
        <x:v>497</x:v>
      </x:c>
      <x:c r="G17" s="12" t="s">
        <x:v>482</x:v>
      </x:c>
      <x:c r="H17" s="52"/>
      <x:c r="I17" s="52"/>
      <x:c r="J17" s="52"/>
      <x:c r="K17" s="52"/>
      <x:c r="L17" s="52"/>
      <x:c r="M17" s="52"/>
      <x:c r="N17" s="52"/>
      <x:c r="O17" s="52"/>
      <x:c r="P17" s="52"/>
      <x:c r="Q17" s="52"/>
      <x:c r="R17" s="52"/>
      <x:c r="S17" s="52"/>
      <x:c r="T17" s="52"/>
    </x:row>
    <x:row r="18" s="1" customFormat="1" ht="14.25" hidden="0" customHeight="1">
      <x:c r="A18" s="7" t="s">
        <x:v>498</x:v>
      </x:c>
      <x:c r="B18" s="5" t="s">
        <x:v>499</x:v>
      </x:c>
      <x:c r="C18" s="5" t="n">
        <x:v>-0.1</x:v>
      </x:c>
      <x:c r="D18" s="5" t="n">
        <x:v>-0.1</x:v>
      </x:c>
      <x:c r="E18" s="5" t="s">
        <x:v>480</x:v>
      </x:c>
      <x:c r="F18" s="5" t="s">
        <x:v>497</x:v>
      </x:c>
      <x:c r="G18" s="12" t="s">
        <x:v>482</x:v>
      </x:c>
      <x:c r="H18" s="52"/>
      <x:c r="I18" s="52"/>
      <x:c r="J18" s="52"/>
      <x:c r="K18" s="52"/>
      <x:c r="L18" s="52"/>
      <x:c r="M18" s="52"/>
      <x:c r="N18" s="52"/>
      <x:c r="O18" s="52"/>
      <x:c r="P18" s="52"/>
      <x:c r="Q18" s="52"/>
      <x:c r="R18" s="52"/>
      <x:c r="S18" s="52"/>
      <x:c r="T18" s="52"/>
    </x:row>
    <x:row r="19" s="1" customFormat="1" ht="14.25" hidden="0" customHeight="1">
      <x:c r="A19" s="7" t="s">
        <x:v>500</x:v>
      </x:c>
      <x:c r="B19" s="8" t="s">
        <x:v>501</x:v>
      </x:c>
      <x:c r="C19" s="8" t="n">
        <x:v>0.2</x:v>
      </x:c>
      <x:c r="D19" s="8" t="n">
        <x:v>0.2</x:v>
      </x:c>
      <x:c r="E19" s="56" t="s">
        <x:v>351</x:v>
      </x:c>
      <x:c r="F19" s="8" t="s">
        <x:v>502</x:v>
      </x:c>
      <x:c r="G19" s="12" t="s">
        <x:v>463</x:v>
      </x:c>
      <x:c r="H19" s="52"/>
      <x:c r="I19" s="52"/>
      <x:c r="J19" s="52"/>
      <x:c r="K19" s="52"/>
      <x:c r="L19" s="52"/>
      <x:c r="M19" s="52"/>
      <x:c r="N19" s="52"/>
      <x:c r="O19" s="52"/>
      <x:c r="P19" s="52"/>
      <x:c r="Q19" s="52"/>
      <x:c r="R19" s="52"/>
      <x:c r="S19" s="52"/>
      <x:c r="T19" s="52"/>
    </x:row>
    <x:row r="20" s="1" customFormat="1" ht="14.25" hidden="0" customHeight="1">
      <x:c r="A20" s="7" t="s">
        <x:v>503</x:v>
      </x:c>
      <x:c r="B20" s="5" t="s">
        <x:v>504</x:v>
      </x:c>
      <x:c r="C20" s="5" t="n">
        <x:v>5</x:v>
      </x:c>
      <x:c r="D20" s="5" t="n">
        <x:v>5</x:v>
      </x:c>
      <x:c r="E20" s="5" t="s">
        <x:v>480</x:v>
      </x:c>
      <x:c r="F20" s="5" t="s">
        <x:v>505</x:v>
      </x:c>
      <x:c r="G20" s="12" t="s">
        <x:v>482</x:v>
      </x:c>
      <x:c r="H20" s="52"/>
      <x:c r="I20" s="52"/>
      <x:c r="J20" s="52"/>
      <x:c r="K20" s="52"/>
      <x:c r="L20" s="52"/>
      <x:c r="M20" s="52"/>
      <x:c r="N20" s="52"/>
      <x:c r="O20" s="52"/>
      <x:c r="P20" s="52"/>
      <x:c r="Q20" s="52"/>
      <x:c r="R20" s="52"/>
      <x:c r="S20" s="52"/>
      <x:c r="T20" s="52"/>
    </x:row>
    <x:row r="21" s="1" customFormat="1" ht="14.25" hidden="0" customHeight="1">
      <x:c r="A21" s="7" t="s">
        <x:v>506</x:v>
      </x:c>
      <x:c r="B21" s="8" t="s">
        <x:v>507</x:v>
      </x:c>
      <x:c r="C21" s="8" t="n">
        <x:v>5</x:v>
      </x:c>
      <x:c r="D21" s="8" t="n">
        <x:v>5</x:v>
      </x:c>
      <x:c r="E21" s="56" t="s">
        <x:v>480</x:v>
      </x:c>
      <x:c r="F21" s="8" t="s">
        <x:v>505</x:v>
      </x:c>
      <x:c r="G21" s="12" t="s">
        <x:v>482</x:v>
      </x:c>
      <x:c r="H21" s="52"/>
      <x:c r="I21" s="52"/>
      <x:c r="J21" s="52"/>
      <x:c r="K21" s="52"/>
      <x:c r="L21" s="52"/>
      <x:c r="M21" s="52"/>
      <x:c r="N21" s="52"/>
      <x:c r="O21" s="52"/>
      <x:c r="P21" s="52"/>
      <x:c r="Q21" s="52"/>
      <x:c r="R21" s="52"/>
      <x:c r="S21" s="52"/>
      <x:c r="T21" s="52"/>
    </x:row>
    <x:row r="22" s="1" customFormat="1" ht="14.25" hidden="0" customHeight="1">
      <x:c r="A22" s="7" t="s">
        <x:v>508</x:v>
      </x:c>
      <x:c r="B22" s="5" t="s">
        <x:v>509</x:v>
      </x:c>
      <x:c r="C22" s="5" t="n">
        <x:v>0</x:v>
      </x:c>
      <x:c r="D22" s="5" t="n">
        <x:v>0</x:v>
      </x:c>
      <x:c r="E22" s="5" t="s">
        <x:v>351</x:v>
      </x:c>
      <x:c r="F22" s="5" t="s">
        <x:v>510</x:v>
      </x:c>
      <x:c r="G22" s="12" t="s">
        <x:v>463</x:v>
      </x:c>
      <x:c r="H22" s="52"/>
      <x:c r="I22" s="52"/>
      <x:c r="J22" s="52"/>
      <x:c r="K22" s="52"/>
      <x:c r="L22" s="52"/>
      <x:c r="M22" s="52"/>
      <x:c r="N22" s="52"/>
      <x:c r="O22" s="52"/>
      <x:c r="P22" s="52"/>
      <x:c r="Q22" s="52"/>
      <x:c r="R22" s="52"/>
      <x:c r="S22" s="52"/>
      <x:c r="T22" s="52"/>
    </x:row>
    <x:row r="23" s="1" customFormat="1" ht="48" hidden="0" customHeight="1">
      <x:c r="A23" s="7" t="s">
        <x:v>511</x:v>
      </x:c>
      <x:c r="B23" s="8" t="str">
        <x:v>Framework verdict (uncertainty-sensitive worked run)</x:v>
      </x:c>
      <x:c r="C23" s="8" t="str">
        <x:v>REFUSE_DETERMINISTIC_SELECTION</x:v>
      </x:c>
      <x:c r="D23" s="8" t="str">
        <x:v>REFUSE_DETERMINISTIC_SELECTION</x:v>
      </x:c>
      <x:c r="E23" s="56" t="str">
        <x:v>PASS</x:v>
      </x:c>
      <x:c r="F23" s="8" t="s">
        <x:v>512</x:v>
      </x:c>
      <x:c r="G23" s="8" t="s">
        <x:v>463</x:v>
      </x:c>
      <x:c r="H23" s="52"/>
      <x:c r="I23" s="52"/>
      <x:c r="J23" s="52"/>
      <x:c r="K23" s="52"/>
      <x:c r="L23" s="52"/>
      <x:c r="M23" s="52"/>
      <x:c r="N23" s="52"/>
      <x:c r="O23" s="52"/>
      <x:c r="P23" s="52"/>
      <x:c r="Q23" s="52"/>
      <x:c r="R23" s="52"/>
      <x:c r="S23" s="52"/>
      <x:c r="T23" s="52"/>
    </x:row>
    <x:row r="24" s="1" customFormat="1" ht="24" hidden="0" customHeight="1">
      <x:c r="A24" s="7" t="s">
        <x:v>513</x:v>
      </x:c>
      <x:c r="B24" s="5" t="str">
        <x:v>Authority-selected option; framework non-decisive</x:v>
      </x:c>
      <x:c r="C24" s="5" t="str">
        <x:v>A</x:v>
      </x:c>
      <x:c r="D24" s="5" t="str">
        <x:v>A</x:v>
      </x:c>
      <x:c r="E24" s="5" t="str">
        <x:v>PASS</x:v>
      </x:c>
      <x:c r="F24" s="5" t="str">
        <x:v>PCC!B67 / CANON!B71</x:v>
      </x:c>
      <x:c r="G24" s="12" t="s">
        <x:v>463</x:v>
      </x:c>
      <x:c r="H24" s="52"/>
      <x:c r="I24" s="52"/>
      <x:c r="J24" s="52"/>
      <x:c r="K24" s="52"/>
      <x:c r="L24" s="52"/>
      <x:c r="M24" s="52"/>
      <x:c r="N24" s="52"/>
      <x:c r="O24" s="52"/>
      <x:c r="P24" s="52"/>
      <x:c r="Q24" s="52"/>
      <x:c r="R24" s="52"/>
      <x:c r="S24" s="52"/>
      <x:c r="T24" s="52"/>
    </x:row>
    <x:row r="25" s="1" customFormat="1" ht="14.25" hidden="0" customHeight="1">
      <x:c r="A25" s="7" t="s">
        <x:v>514</x:v>
      </x:c>
      <x:c r="B25" s="8" t="s">
        <x:v>515</x:v>
      </x:c>
      <x:c r="C25" s="8" t="n">
        <x:v>2</x:v>
      </x:c>
      <x:c r="D25" s="8" t="n">
        <x:v>2</x:v>
      </x:c>
      <x:c r="E25" s="56" t="s">
        <x:v>351</x:v>
      </x:c>
      <x:c r="F25" s="8" t="s">
        <x:v>516</x:v>
      </x:c>
      <x:c r="G25" s="12" t="s">
        <x:v>463</x:v>
      </x:c>
      <x:c r="H25" s="52"/>
      <x:c r="I25" s="52"/>
      <x:c r="J25" s="52"/>
      <x:c r="K25" s="52"/>
      <x:c r="L25" s="52"/>
      <x:c r="M25" s="52"/>
      <x:c r="N25" s="52"/>
      <x:c r="O25" s="52"/>
      <x:c r="P25" s="52"/>
      <x:c r="Q25" s="52"/>
      <x:c r="R25" s="52"/>
      <x:c r="S25" s="52"/>
      <x:c r="T25" s="52"/>
    </x:row>
    <x:row r="26" s="1" customFormat="1" ht="14.25" hidden="0" customHeight="1">
      <x:c r="A26" s="7" t="s">
        <x:v>517</x:v>
      </x:c>
      <x:c r="B26" s="5" t="s">
        <x:v>518</x:v>
      </x:c>
      <x:c r="C26" s="5" t="s">
        <x:v>519</x:v>
      </x:c>
      <x:c r="D26" s="5" t="s">
        <x:v>519</x:v>
      </x:c>
      <x:c r="E26" s="5" t="s">
        <x:v>480</x:v>
      </x:c>
      <x:c r="F26" s="5" t="s">
        <x:v>516</x:v>
      </x:c>
      <x:c r="G26" s="12" t="s">
        <x:v>482</x:v>
      </x:c>
      <x:c r="H26" s="52"/>
      <x:c r="I26" s="52"/>
      <x:c r="J26" s="52"/>
      <x:c r="K26" s="52"/>
      <x:c r="L26" s="52"/>
      <x:c r="M26" s="52"/>
      <x:c r="N26" s="52"/>
      <x:c r="O26" s="52"/>
      <x:c r="P26" s="52"/>
      <x:c r="Q26" s="52"/>
      <x:c r="R26" s="52"/>
      <x:c r="S26" s="52"/>
      <x:c r="T26" s="52"/>
    </x:row>
    <x:row r="27" s="1" customFormat="1" ht="14.25" hidden="0" customHeight="1">
      <x:c r="A27" s="7" t="s">
        <x:v>520</x:v>
      </x:c>
      <x:c r="B27" s="8" t="s">
        <x:v>521</x:v>
      </x:c>
      <x:c r="C27" s="8" t="n">
        <x:v>0</x:v>
      </x:c>
      <x:c r="D27" s="8" t="n">
        <x:v>0</x:v>
      </x:c>
      <x:c r="E27" s="56" t="str">
        <x:v>PASS</x:v>
      </x:c>
      <x:c r="F27" s="8" t="s">
        <x:v>522</x:v>
      </x:c>
      <x:c r="G27" s="12" t="s">
        <x:v>463</x:v>
      </x:c>
      <x:c r="H27" s="52"/>
      <x:c r="I27" s="52"/>
      <x:c r="J27" s="52"/>
      <x:c r="K27" s="52"/>
      <x:c r="L27" s="52"/>
      <x:c r="M27" s="52"/>
      <x:c r="N27" s="52"/>
      <x:c r="O27" s="52"/>
      <x:c r="P27" s="52"/>
      <x:c r="Q27" s="52"/>
      <x:c r="R27" s="52"/>
      <x:c r="S27" s="52"/>
      <x:c r="T27" s="52"/>
    </x:row>
    <x:row r="28" s="1" customFormat="1" ht="14.25" hidden="0" customHeight="1">
      <x:c r="A28" s="7" t="s">
        <x:v>523</x:v>
      </x:c>
      <x:c r="B28" s="5" t="s">
        <x:v>524</x:v>
      </x:c>
      <x:c r="C28" s="5" t="s">
        <x:v>292</x:v>
      </x:c>
      <x:c r="D28" s="5" t="s">
        <x:v>292</x:v>
      </x:c>
      <x:c r="E28" s="5" t="s">
        <x:v>480</x:v>
      </x:c>
      <x:c r="F28" s="5" t="s">
        <x:v>525</x:v>
      </x:c>
      <x:c r="G28" s="12" t="s">
        <x:v>482</x:v>
      </x:c>
      <x:c r="H28" s="52"/>
      <x:c r="I28" s="52"/>
      <x:c r="J28" s="52"/>
      <x:c r="K28" s="52"/>
      <x:c r="L28" s="52"/>
      <x:c r="M28" s="52"/>
      <x:c r="N28" s="52"/>
      <x:c r="O28" s="52"/>
      <x:c r="P28" s="52"/>
      <x:c r="Q28" s="52"/>
      <x:c r="R28" s="52"/>
      <x:c r="S28" s="52"/>
      <x:c r="T28" s="52"/>
    </x:row>
    <x:row r="29" s="1" customFormat="1" ht="14.25" hidden="0" customHeight="1">
      <x:c r="A29" s="7" t="s">
        <x:v>526</x:v>
      </x:c>
      <x:c r="B29" s="8" t="s">
        <x:v>527</x:v>
      </x:c>
      <x:c r="C29" s="8" t="n">
        <x:v>0.0219</x:v>
      </x:c>
      <x:c r="D29" s="8" t="n">
        <x:v>0.0219</x:v>
      </x:c>
      <x:c r="E29" s="56" t="s">
        <x:v>351</x:v>
      </x:c>
      <x:c r="F29" s="8" t="s">
        <x:v>528</x:v>
      </x:c>
      <x:c r="G29" s="12" t="s">
        <x:v>529</x:v>
      </x:c>
      <x:c r="H29" s="52"/>
      <x:c r="I29" s="52"/>
      <x:c r="J29" s="52"/>
      <x:c r="K29" s="52"/>
      <x:c r="L29" s="52"/>
      <x:c r="M29" s="52"/>
      <x:c r="N29" s="52"/>
      <x:c r="O29" s="52"/>
      <x:c r="P29" s="52"/>
      <x:c r="Q29" s="52"/>
      <x:c r="R29" s="52"/>
      <x:c r="S29" s="52"/>
      <x:c r="T29" s="52"/>
    </x:row>
    <x:row r="30" s="1" customFormat="1" ht="14.25" hidden="0" customHeight="1">
      <x:c r="A30" s="7" t="s">
        <x:v>530</x:v>
      </x:c>
      <x:c r="B30" s="5" t="s">
        <x:v>531</x:v>
      </x:c>
      <x:c r="C30" s="5" t="n">
        <x:v>0.0315</x:v>
      </x:c>
      <x:c r="D30" s="5" t="n">
        <x:v>0.0315</x:v>
      </x:c>
      <x:c r="E30" s="5" t="s">
        <x:v>351</x:v>
      </x:c>
      <x:c r="F30" s="5" t="s">
        <x:v>528</x:v>
      </x:c>
      <x:c r="G30" s="12" t="s">
        <x:v>529</x:v>
      </x:c>
      <x:c r="H30" s="52"/>
      <x:c r="I30" s="52"/>
      <x:c r="J30" s="52"/>
      <x:c r="K30" s="52"/>
      <x:c r="L30" s="52"/>
      <x:c r="M30" s="52"/>
      <x:c r="N30" s="52"/>
      <x:c r="O30" s="52"/>
      <x:c r="P30" s="52"/>
      <x:c r="Q30" s="52"/>
      <x:c r="R30" s="52"/>
      <x:c r="S30" s="52"/>
      <x:c r="T30" s="52"/>
    </x:row>
    <x:row r="31" s="1" customFormat="1" ht="48" hidden="0" customHeight="1">
      <x:c r="A31" s="7" t="s">
        <x:v>532</x:v>
      </x:c>
      <x:c r="B31" s="8" t="s">
        <x:v>533</x:v>
      </x:c>
      <x:c r="C31" s="8" t="n">
        <x:v>0</x:v>
      </x:c>
      <x:c r="D31" s="8" t="n">
        <x:v>0</x:v>
      </x:c>
      <x:c r="E31" s="56" t="s">
        <x:v>351</x:v>
      </x:c>
      <x:c r="F31" s="8" t="s">
        <x:v>534</x:v>
      </x:c>
      <x:c r="G31" s="12" t="s">
        <x:v>463</x:v>
      </x:c>
      <x:c r="H31" s="52"/>
      <x:c r="I31" s="52"/>
      <x:c r="J31" s="52"/>
      <x:c r="K31" s="52"/>
      <x:c r="L31" s="52"/>
      <x:c r="M31" s="52"/>
      <x:c r="N31" s="52"/>
      <x:c r="O31" s="52"/>
      <x:c r="P31" s="52"/>
      <x:c r="Q31" s="52"/>
      <x:c r="R31" s="52"/>
      <x:c r="S31" s="52"/>
      <x:c r="T31" s="52"/>
    </x:row>
    <x:row r="32" s="1" customFormat="1" ht="14.25" hidden="0" customHeight="1">
      <x:c r="A32" s="7" t="s">
        <x:v>535</x:v>
      </x:c>
      <x:c r="B32" s="5" t="s">
        <x:v>335</x:v>
      </x:c>
      <x:c r="C32" s="5" t="s">
        <x:v>60</x:v>
      </x:c>
      <x:c r="D32" s="5" t="s">
        <x:v>60</x:v>
      </x:c>
      <x:c r="E32" s="5" t="s">
        <x:v>351</x:v>
      </x:c>
      <x:c r="F32" s="5" t="s">
        <x:v>536</x:v>
      </x:c>
      <x:c r="G32" s="12" t="s">
        <x:v>463</x:v>
      </x:c>
      <x:c r="H32" s="52"/>
      <x:c r="I32" s="52"/>
      <x:c r="J32" s="52"/>
      <x:c r="K32" s="52"/>
      <x:c r="L32" s="52"/>
      <x:c r="M32" s="52"/>
      <x:c r="N32" s="52"/>
      <x:c r="O32" s="52"/>
      <x:c r="P32" s="52"/>
      <x:c r="Q32" s="52"/>
      <x:c r="R32" s="52"/>
      <x:c r="S32" s="52"/>
      <x:c r="T32" s="52"/>
    </x:row>
    <x:row r="33" s="1" customFormat="1" ht="14.25" hidden="0" customHeight="1">
      <x:c r="A33" s="7" t="s">
        <x:v>537</x:v>
      </x:c>
      <x:c r="B33" s="8" t="s">
        <x:v>538</x:v>
      </x:c>
      <x:c r="C33" s="8" t="s">
        <x:v>292</x:v>
      </x:c>
      <x:c r="D33" s="8" t="s">
        <x:v>292</x:v>
      </x:c>
      <x:c r="E33" s="56" t="s">
        <x:v>480</x:v>
      </x:c>
      <x:c r="F33" s="8" t="s">
        <x:v>539</x:v>
      </x:c>
      <x:c r="G33" s="12" t="s">
        <x:v>482</x:v>
      </x:c>
      <x:c r="H33" s="52"/>
      <x:c r="I33" s="52"/>
      <x:c r="J33" s="52"/>
      <x:c r="K33" s="52"/>
      <x:c r="L33" s="52"/>
      <x:c r="M33" s="52"/>
      <x:c r="N33" s="52"/>
      <x:c r="O33" s="52"/>
      <x:c r="P33" s="52"/>
      <x:c r="Q33" s="52"/>
      <x:c r="R33" s="52"/>
      <x:c r="S33" s="52"/>
      <x:c r="T33" s="52"/>
    </x:row>
    <x:row r="34" s="1" customFormat="1" ht="14.25" hidden="0" customHeight="1">
      <x:c r="A34" s="7" t="s">
        <x:v>540</x:v>
      </x:c>
      <x:c r="B34" s="5" t="s">
        <x:v>541</x:v>
      </x:c>
      <x:c r="C34" s="5" t="s">
        <x:v>519</x:v>
      </x:c>
      <x:c r="D34" s="5" t="s">
        <x:v>519</x:v>
      </x:c>
      <x:c r="E34" s="5" t="s">
        <x:v>480</x:v>
      </x:c>
      <x:c r="F34" s="5" t="s">
        <x:v>542</x:v>
      </x:c>
      <x:c r="G34" s="12" t="s">
        <x:v>482</x:v>
      </x:c>
      <x:c r="H34" s="52"/>
      <x:c r="I34" s="52"/>
      <x:c r="J34" s="52"/>
      <x:c r="K34" s="52"/>
      <x:c r="L34" s="52"/>
      <x:c r="M34" s="52"/>
      <x:c r="N34" s="52"/>
      <x:c r="O34" s="52"/>
      <x:c r="P34" s="52"/>
      <x:c r="Q34" s="52"/>
      <x:c r="R34" s="52"/>
      <x:c r="S34" s="52"/>
      <x:c r="T34" s="52"/>
    </x:row>
    <x:row r="35" s="1" customFormat="1" ht="14.25" hidden="0" customHeight="1">
      <x:c r="A35" s="7" t="s">
        <x:v>543</x:v>
      </x:c>
      <x:c r="B35" s="8" t="s">
        <x:v>544</x:v>
      </x:c>
      <x:c r="C35" s="8" t="s">
        <x:v>233</x:v>
      </x:c>
      <x:c r="D35" s="8" t="s">
        <x:v>233</x:v>
      </x:c>
      <x:c r="E35" s="56" t="s">
        <x:v>351</x:v>
      </x:c>
      <x:c r="F35" s="8" t="s">
        <x:v>545</x:v>
      </x:c>
      <x:c r="G35" s="12" t="s">
        <x:v>463</x:v>
      </x:c>
      <x:c r="H35" s="52"/>
      <x:c r="I35" s="52"/>
      <x:c r="J35" s="52"/>
      <x:c r="K35" s="52"/>
      <x:c r="L35" s="52"/>
      <x:c r="M35" s="52"/>
      <x:c r="N35" s="52"/>
      <x:c r="O35" s="52"/>
      <x:c r="P35" s="52"/>
      <x:c r="Q35" s="52"/>
      <x:c r="R35" s="52"/>
      <x:c r="S35" s="52"/>
      <x:c r="T35" s="52"/>
    </x:row>
    <x:row r="36" s="1" customFormat="1" ht="14.25" hidden="0" customHeight="1">
      <x:c r="A36" s="17"/>
      <x:c r="B36" s="12" t="n">
        <x:v>0</x:v>
      </x:c>
      <x:c r="C36" s="12"/>
      <x:c r="D36" s="12"/>
      <x:c r="E36" s="12"/>
      <x:c r="F36" s="12"/>
      <x:c r="G36" s="12"/>
      <x:c r="H36" s="52"/>
      <x:c r="I36" s="52"/>
      <x:c r="J36" s="52"/>
      <x:c r="K36" s="52"/>
      <x:c r="L36" s="52"/>
      <x:c r="M36" s="52"/>
      <x:c r="N36" s="52"/>
      <x:c r="O36" s="52"/>
      <x:c r="P36" s="52"/>
      <x:c r="Q36" s="52"/>
      <x:c r="R36" s="52"/>
      <x:c r="S36" s="52"/>
      <x:c r="T36" s="52"/>
    </x:row>
    <x:row r="37" s="1" customFormat="1" ht="14.25" hidden="0" customHeight="1">
      <x:c r="A37" s="7" t="s">
        <x:v>546</x:v>
      </x:c>
      <x:c r="B37" s="12"/>
      <x:c r="C37" s="12"/>
      <x:c r="D37" s="12"/>
      <x:c r="E37" s="12"/>
      <x:c r="F37" s="12"/>
      <x:c r="G37" s="12"/>
      <x:c r="H37" s="52"/>
      <x:c r="I37" s="52"/>
      <x:c r="J37" s="52"/>
      <x:c r="K37" s="52"/>
      <x:c r="L37" s="52"/>
      <x:c r="M37" s="52"/>
      <x:c r="N37" s="52"/>
      <x:c r="O37" s="52"/>
      <x:c r="P37" s="52"/>
      <x:c r="Q37" s="52"/>
      <x:c r="R37" s="52"/>
      <x:c r="S37" s="52"/>
      <x:c r="T37" s="52"/>
    </x:row>
    <x:row r="38" s="1" customFormat="1" ht="84" hidden="0" customHeight="1">
      <x:c r="A38" s="7" t="s">
        <x:v>547</x:v>
      </x:c>
      <x:c r="B38" s="5" t="n">
        <x:v>89</x:v>
      </x:c>
      <x:c r="C38" s="12" t="s">
        <x:v>548</x:v>
      </x:c>
      <x:c r="D38" s="12" t="n">
        <x:v>0</x:v>
      </x:c>
      <x:c r="E38" s="12"/>
      <x:c r="F38" s="5" t="s">
        <x:v>549</x:v>
      </x:c>
      <x:c r="G38" s="5" t="s">
        <x:v>550</x:v>
      </x:c>
      <x:c r="H38" s="52"/>
      <x:c r="I38" s="52"/>
      <x:c r="J38" s="52"/>
      <x:c r="K38" s="52"/>
      <x:c r="L38" s="52"/>
      <x:c r="M38" s="52"/>
      <x:c r="N38" s="52"/>
      <x:c r="O38" s="52"/>
      <x:c r="P38" s="52"/>
      <x:c r="Q38" s="52"/>
      <x:c r="R38" s="52"/>
      <x:c r="S38" s="52"/>
      <x:c r="T38" s="52"/>
    </x:row>
    <x:row r="39" s="1" customFormat="1" ht="14.25" hidden="0" customHeight="1">
      <x:c r="A39" s="7" t="s">
        <x:v>551</x:v>
      </x:c>
      <x:c r="B39" s="43" t="n">
        <x:v>44</x:v>
      </x:c>
      <x:c r="C39" s="57" t="s">
        <x:v>552</x:v>
      </x:c>
      <x:c r="D39" s="12" t="n">
        <x:v>0</x:v>
      </x:c>
      <x:c r="E39" s="12"/>
      <x:c r="F39" s="12"/>
      <x:c r="G39" s="12"/>
      <x:c r="H39" s="52"/>
      <x:c r="I39" s="52"/>
      <x:c r="J39" s="52"/>
      <x:c r="K39" s="52"/>
      <x:c r="L39" s="52"/>
      <x:c r="M39" s="52"/>
      <x:c r="N39" s="52"/>
      <x:c r="O39" s="52"/>
      <x:c r="P39" s="52"/>
      <x:c r="Q39" s="52"/>
      <x:c r="R39" s="52"/>
      <x:c r="S39" s="52"/>
      <x:c r="T39" s="52"/>
    </x:row>
    <x:row r="40" s="1" customFormat="1" ht="14.25" hidden="0" customHeight="1">
      <x:c r="A40" s="7" t="s">
        <x:v>553</x:v>
      </x:c>
      <x:c r="B40" s="5" t="n">
        <x:v>0</x:v>
      </x:c>
      <x:c r="C40" s="12"/>
      <x:c r="D40" s="12"/>
      <x:c r="E40" s="12"/>
      <x:c r="F40" s="12"/>
      <x:c r="G40" s="12"/>
      <x:c r="H40" s="52"/>
      <x:c r="I40" s="52"/>
      <x:c r="J40" s="52"/>
      <x:c r="K40" s="52"/>
      <x:c r="L40" s="52"/>
      <x:c r="M40" s="52"/>
      <x:c r="N40" s="52"/>
      <x:c r="O40" s="52"/>
      <x:c r="P40" s="52"/>
      <x:c r="Q40" s="52"/>
      <x:c r="R40" s="52"/>
      <x:c r="S40" s="52"/>
      <x:c r="T40" s="52"/>
    </x:row>
    <x:row r="41" s="1" customFormat="1" ht="14.25" hidden="0" customHeight="1">
      <x:c r="A41" s="7" t="s">
        <x:v>554</x:v>
      </x:c>
      <x:c r="B41" s="43" t="str">
        <x:v>PASS_WITH_DISCLOSED_ASSERTIONS</x:v>
      </x:c>
      <x:c r="C41" s="12"/>
      <x:c r="D41" s="12"/>
      <x:c r="E41" s="12"/>
      <x:c r="F41" s="12"/>
      <x:c r="G41" s="12"/>
      <x:c r="H41" s="52"/>
      <x:c r="I41" s="52"/>
      <x:c r="J41" s="52"/>
      <x:c r="K41" s="52"/>
      <x:c r="L41" s="52"/>
      <x:c r="M41" s="52"/>
      <x:c r="N41" s="52"/>
      <x:c r="O41" s="52"/>
      <x:c r="P41" s="52"/>
      <x:c r="Q41" s="52"/>
      <x:c r="R41" s="52"/>
      <x:c r="S41" s="52"/>
      <x:c r="T41" s="52"/>
    </x:row>
    <x:row r="42" s="1" customFormat="1" ht="14.25" hidden="0" customHeight="1">
      <x:c r="A42" s="7" t="s">
        <x:v>555</x:v>
      </x:c>
      <x:c r="B42" s="5" t="s">
        <x:v>556</x:v>
      </x:c>
      <x:c r="C42" s="5" t="n">
        <x:v>1</x:v>
      </x:c>
      <x:c r="D42" s="5" t="n">
        <x:v>1</x:v>
      </x:c>
      <x:c r="E42" s="5" t="s">
        <x:v>480</x:v>
      </x:c>
      <x:c r="F42" s="5" t="s">
        <x:v>557</x:v>
      </x:c>
      <x:c r="G42" s="12" t="s">
        <x:v>482</x:v>
      </x:c>
      <x:c r="H42" s="52"/>
      <x:c r="I42" s="52"/>
      <x:c r="J42" s="52"/>
      <x:c r="K42" s="52"/>
      <x:c r="L42" s="52"/>
      <x:c r="M42" s="52"/>
      <x:c r="N42" s="52"/>
      <x:c r="O42" s="52"/>
      <x:c r="P42" s="52"/>
      <x:c r="Q42" s="52"/>
      <x:c r="R42" s="52"/>
      <x:c r="S42" s="52"/>
      <x:c r="T42" s="52"/>
    </x:row>
    <x:row r="43" s="1" customFormat="1" ht="14.25" hidden="0" customHeight="1">
      <x:c r="A43" s="7" t="s">
        <x:v>558</x:v>
      </x:c>
      <x:c r="B43" s="48" t="s">
        <x:v>559</x:v>
      </x:c>
      <x:c r="C43" s="48" t="s">
        <x:v>399</x:v>
      </x:c>
      <x:c r="D43" s="48" t="s">
        <x:v>399</x:v>
      </x:c>
      <x:c r="E43" s="48" t="s">
        <x:v>480</x:v>
      </x:c>
      <x:c r="F43" s="48" t="s">
        <x:v>560</x:v>
      </x:c>
      <x:c r="G43" s="12" t="s">
        <x:v>482</x:v>
      </x:c>
      <x:c r="H43" s="52"/>
      <x:c r="I43" s="52"/>
      <x:c r="J43" s="52"/>
      <x:c r="K43" s="52"/>
      <x:c r="L43" s="52"/>
      <x:c r="M43" s="52"/>
      <x:c r="N43" s="52"/>
      <x:c r="O43" s="52"/>
      <x:c r="P43" s="52"/>
      <x:c r="Q43" s="52"/>
      <x:c r="R43" s="52"/>
      <x:c r="S43" s="52"/>
      <x:c r="T43" s="52"/>
    </x:row>
    <x:row r="44" s="1" customFormat="1" ht="24" hidden="0" customHeight="1">
      <x:c r="A44" s="7" t="s">
        <x:v>561</x:v>
      </x:c>
      <x:c r="B44" s="5" t="s">
        <x:v>562</x:v>
      </x:c>
      <x:c r="C44" s="5" t="s">
        <x:v>251</x:v>
      </x:c>
      <x:c r="D44" s="5" t="s">
        <x:v>251</x:v>
      </x:c>
      <x:c r="E44" s="5" t="s">
        <x:v>480</x:v>
      </x:c>
      <x:c r="F44" s="5" t="s">
        <x:v>563</x:v>
      </x:c>
      <x:c r="G44" s="5" t="s">
        <x:v>482</x:v>
      </x:c>
      <x:c r="H44" s="52"/>
      <x:c r="I44" s="52"/>
      <x:c r="J44" s="52"/>
      <x:c r="K44" s="52"/>
      <x:c r="L44" s="52"/>
      <x:c r="M44" s="52"/>
      <x:c r="N44" s="52"/>
      <x:c r="O44" s="52"/>
      <x:c r="P44" s="52"/>
      <x:c r="Q44" s="52"/>
      <x:c r="R44" s="52"/>
      <x:c r="S44" s="52"/>
      <x:c r="T44" s="52"/>
    </x:row>
    <x:row r="45" s="1" customFormat="1" ht="14.25" hidden="0" customHeight="1">
      <x:c r="A45" s="7" t="s">
        <x:v>564</x:v>
      </x:c>
      <x:c r="B45" s="48" t="s">
        <x:v>565</x:v>
      </x:c>
      <x:c r="C45" s="48" t="s">
        <x:v>210</x:v>
      </x:c>
      <x:c r="D45" s="48" t="s">
        <x:v>210</x:v>
      </x:c>
      <x:c r="E45" s="48" t="str">
        <x:v>PASS</x:v>
      </x:c>
      <x:c r="F45" s="48" t="s">
        <x:v>566</x:v>
      </x:c>
      <x:c r="G45" s="12" t="s">
        <x:v>463</x:v>
      </x:c>
      <x:c r="H45" s="52"/>
      <x:c r="I45" s="52"/>
      <x:c r="J45" s="52"/>
      <x:c r="K45" s="52"/>
      <x:c r="L45" s="52"/>
      <x:c r="M45" s="52"/>
      <x:c r="N45" s="52"/>
      <x:c r="O45" s="52"/>
      <x:c r="P45" s="52"/>
      <x:c r="Q45" s="52"/>
      <x:c r="R45" s="52"/>
      <x:c r="S45" s="52"/>
      <x:c r="T45" s="52"/>
    </x:row>
    <x:row r="46" s="1" customFormat="1" ht="24" hidden="0" customHeight="1">
      <x:c r="A46" s="7" t="s">
        <x:v>567</x:v>
      </x:c>
      <x:c r="B46" s="5" t="s">
        <x:v>568</x:v>
      </x:c>
      <x:c r="C46" s="5" t="s">
        <x:v>351</x:v>
      </x:c>
      <x:c r="D46" s="5" t="s">
        <x:v>351</x:v>
      </x:c>
      <x:c r="E46" s="5" t="s">
        <x:v>480</x:v>
      </x:c>
      <x:c r="F46" s="5" t="s">
        <x:v>569</x:v>
      </x:c>
      <x:c r="G46" s="5" t="s">
        <x:v>482</x:v>
      </x:c>
      <x:c r="H46" s="52"/>
      <x:c r="I46" s="52"/>
      <x:c r="J46" s="52"/>
      <x:c r="K46" s="52"/>
      <x:c r="L46" s="52"/>
      <x:c r="M46" s="52"/>
      <x:c r="N46" s="52"/>
      <x:c r="O46" s="52"/>
      <x:c r="P46" s="52"/>
      <x:c r="Q46" s="52"/>
      <x:c r="R46" s="52"/>
      <x:c r="S46" s="52"/>
      <x:c r="T46" s="52"/>
    </x:row>
    <x:row r="47" s="1" customFormat="1" ht="14.25" hidden="0" customHeight="1">
      <x:c r="A47" s="7" t="s">
        <x:v>570</x:v>
      </x:c>
      <x:c r="B47" s="48" t="s">
        <x:v>571</x:v>
      </x:c>
      <x:c r="C47" s="48" t="s">
        <x:v>351</x:v>
      </x:c>
      <x:c r="D47" s="48" t="s">
        <x:v>351</x:v>
      </x:c>
      <x:c r="E47" s="48" t="s">
        <x:v>480</x:v>
      </x:c>
      <x:c r="F47" s="48" t="s">
        <x:v>572</x:v>
      </x:c>
      <x:c r="G47" s="8" t="s">
        <x:v>482</x:v>
      </x:c>
      <x:c r="H47" s="52"/>
      <x:c r="I47" s="52"/>
      <x:c r="J47" s="52"/>
      <x:c r="K47" s="52"/>
      <x:c r="L47" s="52"/>
      <x:c r="M47" s="52"/>
      <x:c r="N47" s="52"/>
      <x:c r="O47" s="52"/>
      <x:c r="P47" s="52"/>
      <x:c r="Q47" s="52"/>
      <x:c r="R47" s="52"/>
      <x:c r="S47" s="52"/>
      <x:c r="T47" s="52"/>
    </x:row>
    <x:row r="48" s="1" customFormat="1" ht="14.25" hidden="0" customHeight="1">
      <x:c r="A48" s="7" t="s">
        <x:v>573</x:v>
      </x:c>
      <x:c r="B48" s="5" t="s">
        <x:v>574</x:v>
      </x:c>
      <x:c r="C48" s="5" t="s">
        <x:v>408</x:v>
      </x:c>
      <x:c r="D48" s="5" t="str">
        <x:v>ripple.md v5.5</x:v>
      </x:c>
      <x:c r="E48" s="5" t="str">
        <x:v>PASS</x:v>
      </x:c>
      <x:c r="F48" s="5" t="s">
        <x:v>575</x:v>
      </x:c>
      <x:c r="G48" s="12" t="s">
        <x:v>463</x:v>
      </x:c>
      <x:c r="H48" s="52"/>
      <x:c r="I48" s="52"/>
      <x:c r="J48" s="52"/>
      <x:c r="K48" s="52"/>
      <x:c r="L48" s="52"/>
      <x:c r="M48" s="52"/>
      <x:c r="N48" s="52"/>
      <x:c r="O48" s="52"/>
      <x:c r="P48" s="52"/>
      <x:c r="Q48" s="52"/>
      <x:c r="R48" s="52"/>
      <x:c r="S48" s="52"/>
      <x:c r="T48" s="52"/>
    </x:row>
    <x:row r="49" s="1" customFormat="1" ht="14.25" hidden="0" customHeight="1">
      <x:c r="A49" s="7" t="s">
        <x:v>576</x:v>
      </x:c>
      <x:c r="B49" s="8" t="s">
        <x:v>577</x:v>
      </x:c>
      <x:c r="C49" s="8" t="str">
        <x:v>RippleLogic Agent System v12.5</x:v>
      </x:c>
      <x:c r="D49" s="8" t="str">
        <x:v>RippleLogic Agent System v12.5</x:v>
      </x:c>
      <x:c r="E49" s="8" t="str">
        <x:v>PASS</x:v>
      </x:c>
      <x:c r="F49" s="8" t="s">
        <x:v>578</x:v>
      </x:c>
      <x:c r="G49" s="12" t="s">
        <x:v>463</x:v>
      </x:c>
      <x:c r="H49" s="52"/>
      <x:c r="I49" s="52"/>
      <x:c r="J49" s="52"/>
      <x:c r="K49" s="52"/>
      <x:c r="L49" s="52"/>
      <x:c r="M49" s="52"/>
      <x:c r="N49" s="52"/>
      <x:c r="O49" s="52"/>
      <x:c r="P49" s="52"/>
      <x:c r="Q49" s="52"/>
      <x:c r="R49" s="52"/>
      <x:c r="S49" s="52"/>
      <x:c r="T49" s="52"/>
    </x:row>
    <x:row r="50" s="1" customFormat="1" ht="14.25" hidden="0" customHeight="1">
      <x:c r="A50" s="7" t="s">
        <x:v>579</x:v>
      </x:c>
      <x:c r="B50" s="5" t="s">
        <x:v>580</x:v>
      </x:c>
      <x:c r="C50" s="5" t="s">
        <x:v>414</x:v>
      </x:c>
      <x:c r="D50" s="5" t="s">
        <x:v>414</x:v>
      </x:c>
      <x:c r="E50" s="5" t="s">
        <x:v>480</x:v>
      </x:c>
      <x:c r="F50" s="5" t="s">
        <x:v>581</x:v>
      </x:c>
      <x:c r="G50" s="12" t="s">
        <x:v>482</x:v>
      </x:c>
      <x:c r="H50" s="52"/>
      <x:c r="I50" s="52"/>
      <x:c r="J50" s="52"/>
      <x:c r="K50" s="52"/>
      <x:c r="L50" s="52"/>
      <x:c r="M50" s="52"/>
      <x:c r="N50" s="52"/>
      <x:c r="O50" s="52"/>
      <x:c r="P50" s="52"/>
      <x:c r="Q50" s="52"/>
      <x:c r="R50" s="52"/>
      <x:c r="S50" s="52"/>
      <x:c r="T50" s="52"/>
    </x:row>
    <x:row r="51" s="1" customFormat="1" ht="14.25" hidden="0" customHeight="1">
      <x:c r="A51" s="7" t="s">
        <x:v>582</x:v>
      </x:c>
      <x:c r="B51" s="8" t="s">
        <x:v>583</x:v>
      </x:c>
      <x:c r="C51" s="8" t="s">
        <x:v>416</x:v>
      </x:c>
      <x:c r="D51" s="8" t="s">
        <x:v>416</x:v>
      </x:c>
      <x:c r="E51" s="8" t="s">
        <x:v>480</x:v>
      </x:c>
      <x:c r="F51" s="8" t="s">
        <x:v>584</x:v>
      </x:c>
      <x:c r="G51" s="12" t="s">
        <x:v>482</x:v>
      </x:c>
      <x:c r="H51" s="52"/>
      <x:c r="I51" s="52"/>
      <x:c r="J51" s="52"/>
      <x:c r="K51" s="52"/>
      <x:c r="L51" s="52"/>
      <x:c r="M51" s="52"/>
      <x:c r="N51" s="52"/>
      <x:c r="O51" s="52"/>
      <x:c r="P51" s="52"/>
      <x:c r="Q51" s="52"/>
      <x:c r="R51" s="52"/>
      <x:c r="S51" s="52"/>
      <x:c r="T51" s="52"/>
    </x:row>
    <x:row r="52" s="1" customFormat="1" ht="14.25" hidden="0" customHeight="1">
      <x:c r="A52" s="7" t="s">
        <x:v>585</x:v>
      </x:c>
      <x:c r="B52" s="5" t="s">
        <x:v>586</x:v>
      </x:c>
      <x:c r="C52" s="5" t="s">
        <x:v>587</x:v>
      </x:c>
      <x:c r="D52" s="5" t="s">
        <x:v>587</x:v>
      </x:c>
      <x:c r="E52" s="5" t="s">
        <x:v>480</x:v>
      </x:c>
      <x:c r="F52" s="5" t="s">
        <x:v>588</x:v>
      </x:c>
      <x:c r="G52" s="12" t="s">
        <x:v>482</x:v>
      </x:c>
      <x:c r="H52" s="52"/>
      <x:c r="I52" s="52"/>
      <x:c r="J52" s="52"/>
      <x:c r="K52" s="52"/>
      <x:c r="L52" s="52"/>
      <x:c r="M52" s="52"/>
      <x:c r="N52" s="52"/>
      <x:c r="O52" s="52"/>
      <x:c r="P52" s="52"/>
      <x:c r="Q52" s="52"/>
      <x:c r="R52" s="52"/>
      <x:c r="S52" s="52"/>
      <x:c r="T52" s="52"/>
    </x:row>
    <x:row r="53" s="1" customFormat="1" ht="14.25" hidden="0" customHeight="1">
      <x:c r="A53" s="7" t="s">
        <x:v>589</x:v>
      </x:c>
      <x:c r="B53" s="8" t="s">
        <x:v>590</x:v>
      </x:c>
      <x:c r="C53" s="8" t="s">
        <x:v>591</x:v>
      </x:c>
      <x:c r="D53" s="8" t="s">
        <x:v>591</x:v>
      </x:c>
      <x:c r="E53" s="8" t="s">
        <x:v>480</x:v>
      </x:c>
      <x:c r="F53" s="8" t="s">
        <x:v>592</x:v>
      </x:c>
      <x:c r="G53" s="12" t="s">
        <x:v>482</x:v>
      </x:c>
      <x:c r="H53" s="52"/>
      <x:c r="I53" s="52"/>
      <x:c r="J53" s="52"/>
      <x:c r="K53" s="52"/>
      <x:c r="L53" s="52"/>
      <x:c r="M53" s="52"/>
      <x:c r="N53" s="52"/>
      <x:c r="O53" s="52"/>
      <x:c r="P53" s="52"/>
      <x:c r="Q53" s="52"/>
      <x:c r="R53" s="52"/>
      <x:c r="S53" s="52"/>
      <x:c r="T53" s="52"/>
    </x:row>
    <x:row r="54" s="1" customFormat="1" ht="14.25" hidden="0" customHeight="1">
      <x:c r="A54" s="7" t="s">
        <x:v>593</x:v>
      </x:c>
      <x:c r="B54" s="5" t="s">
        <x:v>594</x:v>
      </x:c>
      <x:c r="C54" s="5" t="s">
        <x:v>595</x:v>
      </x:c>
      <x:c r="D54" s="5" t="s">
        <x:v>595</x:v>
      </x:c>
      <x:c r="E54" s="5" t="s">
        <x:v>480</x:v>
      </x:c>
      <x:c r="F54" s="5" t="s">
        <x:v>592</x:v>
      </x:c>
      <x:c r="G54" s="12" t="s">
        <x:v>482</x:v>
      </x:c>
      <x:c r="H54" s="52"/>
      <x:c r="I54" s="52"/>
      <x:c r="J54" s="52"/>
      <x:c r="K54" s="52"/>
      <x:c r="L54" s="52"/>
      <x:c r="M54" s="52"/>
      <x:c r="N54" s="52"/>
      <x:c r="O54" s="52"/>
      <x:c r="P54" s="52"/>
      <x:c r="Q54" s="52"/>
      <x:c r="R54" s="52"/>
      <x:c r="S54" s="52"/>
      <x:c r="T54" s="52"/>
    </x:row>
    <x:row r="55" s="1" customFormat="1" ht="14.25" hidden="0" customHeight="1">
      <x:c r="A55" s="7" t="s">
        <x:v>596</x:v>
      </x:c>
      <x:c r="B55" s="8" t="s">
        <x:v>597</x:v>
      </x:c>
      <x:c r="C55" s="8" t="s">
        <x:v>591</x:v>
      </x:c>
      <x:c r="D55" s="8" t="s">
        <x:v>591</x:v>
      </x:c>
      <x:c r="E55" s="8" t="s">
        <x:v>480</x:v>
      </x:c>
      <x:c r="F55" s="8" t="s">
        <x:v>598</x:v>
      </x:c>
      <x:c r="G55" s="12" t="s">
        <x:v>482</x:v>
      </x:c>
      <x:c r="H55" s="52"/>
      <x:c r="I55" s="52"/>
      <x:c r="J55" s="52"/>
      <x:c r="K55" s="52"/>
      <x:c r="L55" s="52"/>
      <x:c r="M55" s="52"/>
      <x:c r="N55" s="52"/>
      <x:c r="O55" s="52"/>
      <x:c r="P55" s="52"/>
      <x:c r="Q55" s="52"/>
      <x:c r="R55" s="52"/>
      <x:c r="S55" s="52"/>
      <x:c r="T55" s="52"/>
    </x:row>
    <x:row r="56" s="1" customFormat="1" ht="14.25" hidden="0" customHeight="1">
      <x:c r="A56" s="7" t="s">
        <x:v>599</x:v>
      </x:c>
      <x:c r="B56" s="5" t="s">
        <x:v>600</x:v>
      </x:c>
      <x:c r="C56" s="5" t="s">
        <x:v>601</x:v>
      </x:c>
      <x:c r="D56" s="5" t="s">
        <x:v>601</x:v>
      </x:c>
      <x:c r="E56" s="5" t="s">
        <x:v>351</x:v>
      </x:c>
      <x:c r="F56" s="5" t="s">
        <x:v>602</x:v>
      </x:c>
      <x:c r="G56" s="12" t="s">
        <x:v>463</x:v>
      </x:c>
      <x:c r="H56" s="52"/>
      <x:c r="I56" s="52"/>
      <x:c r="J56" s="52"/>
      <x:c r="K56" s="52"/>
      <x:c r="L56" s="52"/>
      <x:c r="M56" s="52"/>
      <x:c r="N56" s="52"/>
      <x:c r="O56" s="52"/>
      <x:c r="P56" s="52"/>
      <x:c r="Q56" s="52"/>
      <x:c r="R56" s="52"/>
      <x:c r="S56" s="52"/>
      <x:c r="T56" s="52"/>
    </x:row>
    <x:row r="57" s="1" customFormat="1" ht="14.25" hidden="0" customHeight="1">
      <x:c r="A57" s="7" t="s">
        <x:v>603</x:v>
      </x:c>
      <x:c r="B57" s="8" t="s">
        <x:v>604</x:v>
      </x:c>
      <x:c r="C57" s="8" t="s">
        <x:v>587</x:v>
      </x:c>
      <x:c r="D57" s="8" t="s">
        <x:v>587</x:v>
      </x:c>
      <x:c r="E57" s="8" t="s">
        <x:v>480</x:v>
      </x:c>
      <x:c r="F57" s="8" t="s">
        <x:v>605</x:v>
      </x:c>
      <x:c r="G57" s="12" t="s">
        <x:v>482</x:v>
      </x:c>
      <x:c r="H57" s="52"/>
      <x:c r="I57" s="52"/>
      <x:c r="J57" s="52"/>
      <x:c r="K57" s="52"/>
      <x:c r="L57" s="52"/>
      <x:c r="M57" s="52"/>
      <x:c r="N57" s="52"/>
      <x:c r="O57" s="52"/>
      <x:c r="P57" s="52"/>
      <x:c r="Q57" s="52"/>
      <x:c r="R57" s="52"/>
      <x:c r="S57" s="52"/>
      <x:c r="T57" s="52"/>
    </x:row>
    <x:row r="58" s="1" customFormat="1" ht="14.25" hidden="0" customHeight="1">
      <x:c r="A58" s="7" t="s">
        <x:v>606</x:v>
      </x:c>
      <x:c r="B58" s="5" t="s">
        <x:v>607</x:v>
      </x:c>
      <x:c r="C58" s="5" t="s">
        <x:v>608</x:v>
      </x:c>
      <x:c r="D58" s="5" t="s">
        <x:v>608</x:v>
      </x:c>
      <x:c r="E58" s="5" t="s">
        <x:v>480</x:v>
      </x:c>
      <x:c r="F58" s="5" t="s">
        <x:v>598</x:v>
      </x:c>
      <x:c r="G58" s="12" t="s">
        <x:v>482</x:v>
      </x:c>
      <x:c r="H58" s="52"/>
      <x:c r="I58" s="52"/>
      <x:c r="J58" s="52"/>
      <x:c r="K58" s="52"/>
      <x:c r="L58" s="52"/>
      <x:c r="M58" s="52"/>
      <x:c r="N58" s="52"/>
      <x:c r="O58" s="52"/>
      <x:c r="P58" s="52"/>
      <x:c r="Q58" s="52"/>
      <x:c r="R58" s="52"/>
      <x:c r="S58" s="52"/>
      <x:c r="T58" s="52"/>
    </x:row>
    <x:row r="59" s="1" customFormat="1" ht="24" hidden="0" customHeight="1">
      <x:c r="A59" s="7" t="s">
        <x:v>609</x:v>
      </x:c>
      <x:c r="B59" s="8" t="s">
        <x:v>610</x:v>
      </x:c>
      <x:c r="C59" s="8" t="str">
        <x:v>v5.6/v12.6/v8.5/v5.5/v12.5</x:v>
      </x:c>
      <x:c r="D59" s="8" t="str">
        <x:v>v5.6/v12.6/v8.5/v5.5/v12.5</x:v>
      </x:c>
      <x:c r="E59" s="8" t="s">
        <x:v>351</x:v>
      </x:c>
      <x:c r="F59" s="8" t="s">
        <x:v>611</x:v>
      </x:c>
      <x:c r="G59" s="12" t="s">
        <x:v>463</x:v>
      </x:c>
      <x:c r="H59" s="52"/>
      <x:c r="I59" s="52"/>
      <x:c r="J59" s="52"/>
      <x:c r="K59" s="52"/>
      <x:c r="L59" s="52"/>
      <x:c r="M59" s="52"/>
      <x:c r="N59" s="52"/>
      <x:c r="O59" s="52"/>
      <x:c r="P59" s="52"/>
      <x:c r="Q59" s="52"/>
      <x:c r="R59" s="52"/>
      <x:c r="S59" s="52"/>
      <x:c r="T59" s="52"/>
    </x:row>
    <x:row r="60" s="1" customFormat="1" ht="24" hidden="0" customHeight="1">
      <x:c r="A60" s="7" t="s">
        <x:v>612</x:v>
      </x:c>
      <x:c r="B60" s="5" t="s">
        <x:v>613</x:v>
      </x:c>
      <x:c r="C60" s="5" t="s">
        <x:v>292</x:v>
      </x:c>
      <x:c r="D60" s="5" t="s">
        <x:v>292</x:v>
      </x:c>
      <x:c r="E60" s="5" t="s">
        <x:v>480</x:v>
      </x:c>
      <x:c r="F60" s="12"/>
      <x:c r="G60" s="12" t="s">
        <x:v>482</x:v>
      </x:c>
      <x:c r="H60" s="52"/>
      <x:c r="I60" s="52"/>
      <x:c r="J60" s="52"/>
      <x:c r="K60" s="52"/>
      <x:c r="L60" s="52"/>
      <x:c r="M60" s="52"/>
      <x:c r="N60" s="52"/>
      <x:c r="O60" s="52"/>
      <x:c r="P60" s="52"/>
      <x:c r="Q60" s="52"/>
      <x:c r="R60" s="52"/>
      <x:c r="S60" s="52"/>
      <x:c r="T60" s="52"/>
    </x:row>
    <x:row r="61" s="1" customFormat="1" ht="24" hidden="0" customHeight="1">
      <x:c r="A61" s="7" t="s">
        <x:v>614</x:v>
      </x:c>
      <x:c r="B61" s="8" t="s">
        <x:v>615</x:v>
      </x:c>
      <x:c r="C61" s="8" t="s">
        <x:v>351</x:v>
      </x:c>
      <x:c r="D61" s="8" t="s">
        <x:v>351</x:v>
      </x:c>
      <x:c r="E61" s="8" t="s">
        <x:v>480</x:v>
      </x:c>
      <x:c r="F61" s="8" t="s">
        <x:v>616</x:v>
      </x:c>
      <x:c r="G61" s="12" t="s">
        <x:v>482</x:v>
      </x:c>
      <x:c r="H61" s="52"/>
      <x:c r="I61" s="52"/>
      <x:c r="J61" s="52"/>
      <x:c r="K61" s="52"/>
      <x:c r="L61" s="52"/>
      <x:c r="M61" s="52"/>
      <x:c r="N61" s="52"/>
      <x:c r="O61" s="52"/>
      <x:c r="P61" s="52"/>
      <x:c r="Q61" s="52"/>
      <x:c r="R61" s="52"/>
      <x:c r="S61" s="52"/>
      <x:c r="T61" s="52"/>
    </x:row>
    <x:row r="62" s="1" customFormat="1" ht="14.25" hidden="0" customHeight="1">
      <x:c r="A62" s="7" t="s">
        <x:v>617</x:v>
      </x:c>
      <x:c r="B62" s="5" t="s">
        <x:v>618</x:v>
      </x:c>
      <x:c r="C62" s="5" t="s">
        <x:v>591</x:v>
      </x:c>
      <x:c r="D62" s="5" t="s">
        <x:v>591</x:v>
      </x:c>
      <x:c r="E62" s="5" t="s">
        <x:v>480</x:v>
      </x:c>
      <x:c r="F62" s="5" t="s">
        <x:v>619</x:v>
      </x:c>
      <x:c r="G62" s="12" t="s">
        <x:v>482</x:v>
      </x:c>
      <x:c r="H62" s="52"/>
      <x:c r="I62" s="52"/>
      <x:c r="J62" s="52"/>
      <x:c r="K62" s="52"/>
      <x:c r="L62" s="52"/>
      <x:c r="M62" s="52"/>
      <x:c r="N62" s="52"/>
      <x:c r="O62" s="52"/>
      <x:c r="P62" s="52"/>
      <x:c r="Q62" s="52"/>
      <x:c r="R62" s="52"/>
      <x:c r="S62" s="52"/>
      <x:c r="T62" s="52"/>
    </x:row>
    <x:row r="63" s="1" customFormat="1" ht="14.25" hidden="0" customHeight="1">
      <x:c r="A63" s="7" t="s">
        <x:v>620</x:v>
      </x:c>
      <x:c r="B63" s="8" t="s">
        <x:v>621</x:v>
      </x:c>
      <x:c r="C63" s="8" t="s">
        <x:v>591</x:v>
      </x:c>
      <x:c r="D63" s="8" t="s">
        <x:v>591</x:v>
      </x:c>
      <x:c r="E63" s="8" t="s">
        <x:v>480</x:v>
      </x:c>
      <x:c r="F63" s="8" t="s">
        <x:v>622</x:v>
      </x:c>
      <x:c r="G63" s="12" t="s">
        <x:v>482</x:v>
      </x:c>
      <x:c r="H63" s="52"/>
      <x:c r="I63" s="52"/>
      <x:c r="J63" s="52"/>
      <x:c r="K63" s="52"/>
      <x:c r="L63" s="52"/>
      <x:c r="M63" s="52"/>
      <x:c r="N63" s="52"/>
      <x:c r="O63" s="52"/>
      <x:c r="P63" s="52"/>
      <x:c r="Q63" s="52"/>
      <x:c r="R63" s="52"/>
      <x:c r="S63" s="52"/>
      <x:c r="T63" s="52"/>
    </x:row>
    <x:row r="64" s="1" customFormat="1" ht="14.25" hidden="0" customHeight="1">
      <x:c r="A64" s="7" t="s">
        <x:v>623</x:v>
      </x:c>
      <x:c r="B64" s="5" t="s">
        <x:v>624</x:v>
      </x:c>
      <x:c r="C64" s="5" t="s">
        <x:v>591</x:v>
      </x:c>
      <x:c r="D64" s="5" t="s">
        <x:v>591</x:v>
      </x:c>
      <x:c r="E64" s="5" t="s">
        <x:v>480</x:v>
      </x:c>
      <x:c r="F64" s="5" t="s">
        <x:v>625</x:v>
      </x:c>
      <x:c r="G64" s="12" t="s">
        <x:v>482</x:v>
      </x:c>
      <x:c r="H64" s="52"/>
      <x:c r="I64" s="52"/>
      <x:c r="J64" s="52"/>
      <x:c r="K64" s="52"/>
      <x:c r="L64" s="52"/>
      <x:c r="M64" s="52"/>
      <x:c r="N64" s="52"/>
      <x:c r="O64" s="52"/>
      <x:c r="P64" s="52"/>
      <x:c r="Q64" s="52"/>
      <x:c r="R64" s="52"/>
      <x:c r="S64" s="52"/>
      <x:c r="T64" s="52"/>
    </x:row>
    <x:row r="65" s="1" customFormat="1" ht="14.25" hidden="0" customHeight="1">
      <x:c r="A65" s="7" t="s">
        <x:v>626</x:v>
      </x:c>
      <x:c r="B65" s="8" t="s">
        <x:v>627</x:v>
      </x:c>
      <x:c r="C65" s="8" t="s">
        <x:v>591</x:v>
      </x:c>
      <x:c r="D65" s="8" t="s">
        <x:v>591</x:v>
      </x:c>
      <x:c r="E65" s="8" t="s">
        <x:v>480</x:v>
      </x:c>
      <x:c r="F65" s="8" t="s">
        <x:v>628</x:v>
      </x:c>
      <x:c r="G65" s="12" t="s">
        <x:v>482</x:v>
      </x:c>
      <x:c r="H65" s="52"/>
      <x:c r="I65" s="52"/>
      <x:c r="J65" s="52"/>
      <x:c r="K65" s="52"/>
      <x:c r="L65" s="52"/>
      <x:c r="M65" s="52"/>
      <x:c r="N65" s="52"/>
      <x:c r="O65" s="52"/>
      <x:c r="P65" s="52"/>
      <x:c r="Q65" s="52"/>
      <x:c r="R65" s="52"/>
      <x:c r="S65" s="52"/>
      <x:c r="T65" s="52"/>
    </x:row>
    <x:row r="66" s="1" customFormat="1" ht="14.25" hidden="0" customHeight="1">
      <x:c r="A66" s="7" t="s">
        <x:v>629</x:v>
      </x:c>
      <x:c r="B66" s="5" t="s">
        <x:v>630</x:v>
      </x:c>
      <x:c r="C66" s="5" t="s">
        <x:v>591</x:v>
      </x:c>
      <x:c r="D66" s="5" t="s">
        <x:v>591</x:v>
      </x:c>
      <x:c r="E66" s="5" t="s">
        <x:v>480</x:v>
      </x:c>
      <x:c r="F66" s="5" t="s">
        <x:v>631</x:v>
      </x:c>
      <x:c r="G66" s="12" t="s">
        <x:v>482</x:v>
      </x:c>
      <x:c r="H66" s="52"/>
      <x:c r="I66" s="52"/>
      <x:c r="J66" s="52"/>
      <x:c r="K66" s="52"/>
      <x:c r="L66" s="52"/>
      <x:c r="M66" s="52"/>
      <x:c r="N66" s="52"/>
      <x:c r="O66" s="52"/>
      <x:c r="P66" s="52"/>
      <x:c r="Q66" s="52"/>
      <x:c r="R66" s="52"/>
      <x:c r="S66" s="52"/>
      <x:c r="T66" s="52"/>
    </x:row>
    <x:row r="67" s="1" customFormat="1" ht="14.25" hidden="0" customHeight="1">
      <x:c r="A67" s="7" t="s">
        <x:v>632</x:v>
      </x:c>
      <x:c r="B67" s="8" t="s">
        <x:v>633</x:v>
      </x:c>
      <x:c r="C67" s="8" t="s">
        <x:v>591</x:v>
      </x:c>
      <x:c r="D67" s="8" t="s">
        <x:v>591</x:v>
      </x:c>
      <x:c r="E67" s="8" t="s">
        <x:v>480</x:v>
      </x:c>
      <x:c r="F67" s="8" t="s">
        <x:v>634</x:v>
      </x:c>
      <x:c r="G67" s="12" t="s">
        <x:v>482</x:v>
      </x:c>
      <x:c r="H67" s="52"/>
      <x:c r="I67" s="52"/>
      <x:c r="J67" s="52"/>
      <x:c r="K67" s="52"/>
      <x:c r="L67" s="52"/>
      <x:c r="M67" s="52"/>
      <x:c r="N67" s="52"/>
      <x:c r="O67" s="52"/>
      <x:c r="P67" s="52"/>
      <x:c r="Q67" s="52"/>
      <x:c r="R67" s="52"/>
      <x:c r="S67" s="52"/>
      <x:c r="T67" s="52"/>
    </x:row>
    <x:row r="68" s="1" customFormat="1" ht="24" hidden="0" customHeight="1">
      <x:c r="A68" s="7" t="s">
        <x:v>635</x:v>
      </x:c>
      <x:c r="B68" s="5" t="s">
        <x:v>636</x:v>
      </x:c>
      <x:c r="C68" s="5" t="s">
        <x:v>351</x:v>
      </x:c>
      <x:c r="D68" s="5" t="s">
        <x:v>351</x:v>
      </x:c>
      <x:c r="E68" s="5" t="s">
        <x:v>351</x:v>
      </x:c>
      <x:c r="F68" s="5" t="s">
        <x:v>637</x:v>
      </x:c>
      <x:c r="G68" s="12" t="s">
        <x:v>463</x:v>
      </x:c>
      <x:c r="H68" s="52"/>
      <x:c r="I68" s="52"/>
      <x:c r="J68" s="52"/>
      <x:c r="K68" s="52"/>
      <x:c r="L68" s="52"/>
      <x:c r="M68" s="52"/>
      <x:c r="N68" s="52"/>
      <x:c r="O68" s="52"/>
      <x:c r="P68" s="52"/>
      <x:c r="Q68" s="52"/>
      <x:c r="R68" s="52"/>
      <x:c r="S68" s="52"/>
      <x:c r="T68" s="52"/>
    </x:row>
    <x:row r="69" s="1" customFormat="1" ht="14.25" hidden="0" customHeight="1">
      <x:c r="A69" s="7" t="s">
        <x:v>638</x:v>
      </x:c>
      <x:c r="B69" s="8" t="s">
        <x:v>639</x:v>
      </x:c>
      <x:c r="C69" s="8" t="s">
        <x:v>351</x:v>
      </x:c>
      <x:c r="D69" s="8" t="s">
        <x:v>351</x:v>
      </x:c>
      <x:c r="E69" s="8" t="s">
        <x:v>351</x:v>
      </x:c>
      <x:c r="F69" s="8" t="s">
        <x:v>640</x:v>
      </x:c>
      <x:c r="G69" s="12" t="s">
        <x:v>463</x:v>
      </x:c>
      <x:c r="H69" s="52"/>
      <x:c r="I69" s="52"/>
      <x:c r="J69" s="52"/>
      <x:c r="K69" s="52"/>
      <x:c r="L69" s="52"/>
      <x:c r="M69" s="52"/>
      <x:c r="N69" s="52"/>
      <x:c r="O69" s="52"/>
      <x:c r="P69" s="52"/>
      <x:c r="Q69" s="52"/>
      <x:c r="R69" s="52"/>
      <x:c r="S69" s="52"/>
      <x:c r="T69" s="52"/>
    </x:row>
    <x:row r="70" s="1" customFormat="1" ht="14.25" hidden="0" customHeight="1">
      <x:c r="A70" s="7" t="s">
        <x:v>641</x:v>
      </x:c>
      <x:c r="B70" s="5" t="s">
        <x:v>642</x:v>
      </x:c>
      <x:c r="C70" s="5" t="s">
        <x:v>351</x:v>
      </x:c>
      <x:c r="D70" s="5" t="s">
        <x:v>351</x:v>
      </x:c>
      <x:c r="E70" s="5" t="s">
        <x:v>351</x:v>
      </x:c>
      <x:c r="F70" s="5" t="s">
        <x:v>643</x:v>
      </x:c>
      <x:c r="G70" s="12" t="s">
        <x:v>463</x:v>
      </x:c>
      <x:c r="H70" s="52"/>
      <x:c r="I70" s="52"/>
      <x:c r="J70" s="52"/>
      <x:c r="K70" s="52"/>
      <x:c r="L70" s="52"/>
      <x:c r="M70" s="52"/>
      <x:c r="N70" s="52"/>
      <x:c r="O70" s="52"/>
      <x:c r="P70" s="52"/>
      <x:c r="Q70" s="52"/>
      <x:c r="R70" s="52"/>
      <x:c r="S70" s="52"/>
      <x:c r="T70" s="52"/>
    </x:row>
    <x:row r="71" s="1" customFormat="1" ht="14.25" hidden="0" customHeight="1">
      <x:c r="A71" s="7" t="s">
        <x:v>644</x:v>
      </x:c>
      <x:c r="B71" s="8" t="s">
        <x:v>645</x:v>
      </x:c>
      <x:c r="C71" s="8" t="s">
        <x:v>351</x:v>
      </x:c>
      <x:c r="D71" s="8" t="s">
        <x:v>351</x:v>
      </x:c>
      <x:c r="E71" s="8" t="s">
        <x:v>351</x:v>
      </x:c>
      <x:c r="F71" s="8" t="s">
        <x:v>646</x:v>
      </x:c>
      <x:c r="G71" s="12" t="s">
        <x:v>463</x:v>
      </x:c>
      <x:c r="H71" s="52"/>
      <x:c r="I71" s="52"/>
      <x:c r="J71" s="52"/>
      <x:c r="K71" s="52"/>
      <x:c r="L71" s="52"/>
      <x:c r="M71" s="52"/>
      <x:c r="N71" s="52"/>
      <x:c r="O71" s="52"/>
      <x:c r="P71" s="52"/>
      <x:c r="Q71" s="52"/>
      <x:c r="R71" s="52"/>
      <x:c r="S71" s="52"/>
      <x:c r="T71" s="52"/>
    </x:row>
    <x:row r="72" s="1" customFormat="1" ht="24" hidden="0" customHeight="1">
      <x:c r="A72" s="7" t="s">
        <x:v>647</x:v>
      </x:c>
      <x:c r="B72" s="5" t="s">
        <x:v>648</x:v>
      </x:c>
      <x:c r="C72" s="5" t="s">
        <x:v>351</x:v>
      </x:c>
      <x:c r="D72" s="5" t="s">
        <x:v>351</x:v>
      </x:c>
      <x:c r="E72" s="5" t="s">
        <x:v>351</x:v>
      </x:c>
      <x:c r="F72" s="5" t="s">
        <x:v>649</x:v>
      </x:c>
      <x:c r="G72" s="12" t="s">
        <x:v>463</x:v>
      </x:c>
      <x:c r="H72" s="52"/>
      <x:c r="I72" s="52"/>
      <x:c r="J72" s="52"/>
      <x:c r="K72" s="52"/>
      <x:c r="L72" s="52"/>
      <x:c r="M72" s="52"/>
      <x:c r="N72" s="52"/>
      <x:c r="O72" s="52"/>
      <x:c r="P72" s="52"/>
      <x:c r="Q72" s="52"/>
      <x:c r="R72" s="52"/>
      <x:c r="S72" s="52"/>
      <x:c r="T72" s="52"/>
    </x:row>
    <x:row r="73" s="1" customFormat="1" ht="24" hidden="0" customHeight="1">
      <x:c r="A73" s="7" t="s">
        <x:v>650</x:v>
      </x:c>
      <x:c r="B73" s="8" t="s">
        <x:v>651</x:v>
      </x:c>
      <x:c r="C73" s="8" t="s">
        <x:v>351</x:v>
      </x:c>
      <x:c r="D73" s="8" t="s">
        <x:v>351</x:v>
      </x:c>
      <x:c r="E73" s="8" t="s">
        <x:v>351</x:v>
      </x:c>
      <x:c r="F73" s="8" t="s">
        <x:v>652</x:v>
      </x:c>
      <x:c r="G73" s="12" t="s">
        <x:v>463</x:v>
      </x:c>
      <x:c r="H73" s="52"/>
      <x:c r="I73" s="52"/>
      <x:c r="J73" s="52"/>
      <x:c r="K73" s="52"/>
      <x:c r="L73" s="52"/>
      <x:c r="M73" s="52"/>
      <x:c r="N73" s="52"/>
      <x:c r="O73" s="52"/>
      <x:c r="P73" s="52"/>
      <x:c r="Q73" s="52"/>
      <x:c r="R73" s="52"/>
      <x:c r="S73" s="52"/>
      <x:c r="T73" s="52"/>
    </x:row>
    <x:row r="74" s="1" customFormat="1" ht="24" hidden="0" customHeight="1">
      <x:c r="A74" s="7" t="s">
        <x:v>653</x:v>
      </x:c>
      <x:c r="B74" s="5" t="s">
        <x:v>654</x:v>
      </x:c>
      <x:c r="C74" s="5" t="s">
        <x:v>351</x:v>
      </x:c>
      <x:c r="D74" s="5" t="s">
        <x:v>351</x:v>
      </x:c>
      <x:c r="E74" s="5" t="s">
        <x:v>351</x:v>
      </x:c>
      <x:c r="F74" s="5" t="s">
        <x:v>643</x:v>
      </x:c>
      <x:c r="G74" s="12" t="s">
        <x:v>463</x:v>
      </x:c>
      <x:c r="H74" s="52"/>
      <x:c r="I74" s="52"/>
      <x:c r="J74" s="52"/>
      <x:c r="K74" s="52"/>
      <x:c r="L74" s="52"/>
      <x:c r="M74" s="52"/>
      <x:c r="N74" s="52"/>
      <x:c r="O74" s="52"/>
      <x:c r="P74" s="52"/>
      <x:c r="Q74" s="52"/>
      <x:c r="R74" s="52"/>
      <x:c r="S74" s="52"/>
      <x:c r="T74" s="52"/>
    </x:row>
    <x:row r="75" s="1" customFormat="1" ht="14.25" hidden="0" customHeight="1">
      <x:c r="A75" s="7" t="s">
        <x:v>655</x:v>
      </x:c>
      <x:c r="B75" s="8" t="s">
        <x:v>656</x:v>
      </x:c>
      <x:c r="C75" s="8" t="s">
        <x:v>351</x:v>
      </x:c>
      <x:c r="D75" s="8" t="s">
        <x:v>351</x:v>
      </x:c>
      <x:c r="E75" s="8" t="s">
        <x:v>351</x:v>
      </x:c>
      <x:c r="F75" s="8" t="s">
        <x:v>657</x:v>
      </x:c>
      <x:c r="G75" s="12" t="s">
        <x:v>463</x:v>
      </x:c>
      <x:c r="H75" s="52"/>
      <x:c r="I75" s="52"/>
      <x:c r="J75" s="52"/>
      <x:c r="K75" s="52"/>
      <x:c r="L75" s="52"/>
      <x:c r="M75" s="52"/>
      <x:c r="N75" s="52"/>
      <x:c r="O75" s="52"/>
      <x:c r="P75" s="52"/>
      <x:c r="Q75" s="52"/>
      <x:c r="R75" s="52"/>
      <x:c r="S75" s="52"/>
      <x:c r="T75" s="52"/>
    </x:row>
    <x:row r="76" s="1" customFormat="1" ht="14.25" hidden="0" customHeight="1">
      <x:c r="A76" s="7" t="s">
        <x:v>658</x:v>
      </x:c>
      <x:c r="B76" s="5" t="s">
        <x:v>659</x:v>
      </x:c>
      <x:c r="C76" s="5" t="s">
        <x:v>351</x:v>
      </x:c>
      <x:c r="D76" s="5" t="s">
        <x:v>351</x:v>
      </x:c>
      <x:c r="E76" s="5" t="s">
        <x:v>351</x:v>
      </x:c>
      <x:c r="F76" s="5" t="s">
        <x:v>649</x:v>
      </x:c>
      <x:c r="G76" s="12" t="s">
        <x:v>463</x:v>
      </x:c>
      <x:c r="H76" s="52"/>
      <x:c r="I76" s="52"/>
      <x:c r="J76" s="52"/>
      <x:c r="K76" s="52"/>
      <x:c r="L76" s="52"/>
      <x:c r="M76" s="52"/>
      <x:c r="N76" s="52"/>
      <x:c r="O76" s="52"/>
      <x:c r="P76" s="52"/>
      <x:c r="Q76" s="52"/>
      <x:c r="R76" s="52"/>
      <x:c r="S76" s="52"/>
      <x:c r="T76" s="52"/>
    </x:row>
    <x:row r="77" s="1" customFormat="1" ht="14.25" hidden="0" customHeight="1">
      <x:c r="A77" s="7" t="s">
        <x:v>660</x:v>
      </x:c>
      <x:c r="B77" s="8" t="s">
        <x:v>661</x:v>
      </x:c>
      <x:c r="C77" s="8" t="s">
        <x:v>351</x:v>
      </x:c>
      <x:c r="D77" s="8" t="s">
        <x:v>351</x:v>
      </x:c>
      <x:c r="E77" s="8" t="s">
        <x:v>351</x:v>
      </x:c>
      <x:c r="F77" s="8" t="s">
        <x:v>662</x:v>
      </x:c>
      <x:c r="G77" s="12" t="s">
        <x:v>463</x:v>
      </x:c>
      <x:c r="H77" s="52"/>
      <x:c r="I77" s="52"/>
      <x:c r="J77" s="52"/>
      <x:c r="K77" s="52"/>
      <x:c r="L77" s="52"/>
      <x:c r="M77" s="52"/>
      <x:c r="N77" s="52"/>
      <x:c r="O77" s="52"/>
      <x:c r="P77" s="52"/>
      <x:c r="Q77" s="52"/>
      <x:c r="R77" s="52"/>
      <x:c r="S77" s="52"/>
      <x:c r="T77" s="52"/>
    </x:row>
    <x:row r="78" s="1" customFormat="1" ht="14.25" hidden="0" customHeight="1">
      <x:c r="A78" s="7" t="s">
        <x:v>663</x:v>
      </x:c>
      <x:c r="B78" s="5" t="s">
        <x:v>664</x:v>
      </x:c>
      <x:c r="C78" s="5" t="s">
        <x:v>210</x:v>
      </x:c>
      <x:c r="D78" s="5" t="s">
        <x:v>210</x:v>
      </x:c>
      <x:c r="E78" s="5" t="s">
        <x:v>480</x:v>
      </x:c>
      <x:c r="F78" s="5" t="s">
        <x:v>665</x:v>
      </x:c>
      <x:c r="G78" s="12" t="s">
        <x:v>482</x:v>
      </x:c>
      <x:c r="H78" s="52"/>
      <x:c r="I78" s="52"/>
      <x:c r="J78" s="52"/>
      <x:c r="K78" s="52"/>
      <x:c r="L78" s="52"/>
      <x:c r="M78" s="52"/>
      <x:c r="N78" s="52"/>
      <x:c r="O78" s="52"/>
      <x:c r="P78" s="52"/>
      <x:c r="Q78" s="52"/>
      <x:c r="R78" s="52"/>
      <x:c r="S78" s="52"/>
      <x:c r="T78" s="52"/>
    </x:row>
    <x:row r="79" s="1" customFormat="1" ht="24" hidden="0" customHeight="1">
      <x:c r="A79" s="7" t="s">
        <x:v>666</x:v>
      </x:c>
      <x:c r="B79" s="8" t="str">
        <x:v>RLS build-frozen union weights match PLSS final weights</x:v>
      </x:c>
      <x:c r="C79" s="8" t="s">
        <x:v>351</x:v>
      </x:c>
      <x:c r="D79" s="8" t="s">
        <x:v>351</x:v>
      </x:c>
      <x:c r="E79" s="8" t="s">
        <x:v>351</x:v>
      </x:c>
      <x:c r="F79" s="8" t="s">
        <x:v>667</x:v>
      </x:c>
      <x:c r="G79" s="12" t="s">
        <x:v>463</x:v>
      </x:c>
      <x:c r="H79" s="52"/>
      <x:c r="I79" s="52"/>
      <x:c r="J79" s="52"/>
      <x:c r="K79" s="52"/>
      <x:c r="L79" s="52"/>
      <x:c r="M79" s="52"/>
      <x:c r="N79" s="52"/>
      <x:c r="O79" s="52"/>
      <x:c r="P79" s="52"/>
      <x:c r="Q79" s="52"/>
      <x:c r="R79" s="52"/>
      <x:c r="S79" s="52"/>
      <x:c r="T79" s="52"/>
    </x:row>
    <x:row r="80" s="1" customFormat="1" ht="14.25" hidden="0" customHeight="1">
      <x:c r="A80" s="7" t="s">
        <x:v>668</x:v>
      </x:c>
      <x:c r="B80" s="5" t="s">
        <x:v>669</x:v>
      </x:c>
      <x:c r="C80" s="5" t="n">
        <x:v>1</x:v>
      </x:c>
      <x:c r="D80" s="5" t="n">
        <x:v>1</x:v>
      </x:c>
      <x:c r="E80" s="5" t="s">
        <x:v>351</x:v>
      </x:c>
      <x:c r="F80" s="5" t="s">
        <x:v>670</x:v>
      </x:c>
      <x:c r="G80" s="12" t="s">
        <x:v>463</x:v>
      </x:c>
      <x:c r="H80" s="52"/>
      <x:c r="I80" s="52"/>
      <x:c r="J80" s="52"/>
      <x:c r="K80" s="52"/>
      <x:c r="L80" s="52"/>
      <x:c r="M80" s="52"/>
      <x:c r="N80" s="52"/>
      <x:c r="O80" s="52"/>
      <x:c r="P80" s="52"/>
      <x:c r="Q80" s="52"/>
      <x:c r="R80" s="52"/>
      <x:c r="S80" s="52"/>
      <x:c r="T80" s="52"/>
    </x:row>
    <x:row r="81" s="1" customFormat="1" ht="14.25" hidden="0" customHeight="1">
      <x:c r="A81" s="7" t="s">
        <x:v>671</x:v>
      </x:c>
      <x:c r="B81" s="8" t="s">
        <x:v>672</x:v>
      </x:c>
      <x:c r="C81" s="8" t="n">
        <x:v>1</x:v>
      </x:c>
      <x:c r="D81" s="8" t="n">
        <x:v>1</x:v>
      </x:c>
      <x:c r="E81" s="8" t="s">
        <x:v>351</x:v>
      </x:c>
      <x:c r="F81" s="8" t="s">
        <x:v>673</x:v>
      </x:c>
      <x:c r="G81" s="12" t="s">
        <x:v>463</x:v>
      </x:c>
    </x:row>
    <x:row r="82" s="1" customFormat="1" ht="24" hidden="0" customHeight="1">
      <x:c r="A82" s="7" t="s">
        <x:v>674</x:v>
      </x:c>
      <x:c r="B82" s="5" t="s">
        <x:v>675</x:v>
      </x:c>
      <x:c r="C82" s="5" t="s">
        <x:v>351</x:v>
      </x:c>
      <x:c r="D82" s="5" t="s">
        <x:v>351</x:v>
      </x:c>
      <x:c r="E82" s="5" t="s">
        <x:v>351</x:v>
      </x:c>
      <x:c r="F82" s="5" t="s">
        <x:v>676</x:v>
      </x:c>
      <x:c r="G82" s="12" t="s">
        <x:v>463</x:v>
      </x:c>
    </x:row>
    <x:row r="83" s="1" customFormat="1" ht="14.25" hidden="0" customHeight="1">
      <x:c r="A83" s="7" t="s">
        <x:v>677</x:v>
      </x:c>
      <x:c r="B83" s="8" t="s">
        <x:v>678</x:v>
      </x:c>
      <x:c r="C83" s="8" t="s">
        <x:v>61</x:v>
      </x:c>
      <x:c r="D83" s="8" t="s">
        <x:v>61</x:v>
      </x:c>
      <x:c r="E83" s="8" t="s">
        <x:v>351</x:v>
      </x:c>
      <x:c r="F83" s="8" t="s">
        <x:v>679</x:v>
      </x:c>
      <x:c r="G83" s="12" t="s">
        <x:v>463</x:v>
      </x:c>
    </x:row>
    <x:row r="84" s="1" customFormat="1" ht="14.25" hidden="0" customHeight="1">
      <x:c r="A84" s="7" t="s">
        <x:v>680</x:v>
      </x:c>
      <x:c r="B84" s="5" t="s">
        <x:v>681</x:v>
      </x:c>
      <x:c r="C84" s="5" t="s">
        <x:v>591</x:v>
      </x:c>
      <x:c r="D84" s="5" t="s">
        <x:v>591</x:v>
      </x:c>
      <x:c r="E84" s="5" t="s">
        <x:v>480</x:v>
      </x:c>
      <x:c r="F84" s="5" t="s">
        <x:v>682</x:v>
      </x:c>
      <x:c r="G84" s="12" t="s">
        <x:v>482</x:v>
      </x:c>
    </x:row>
    <x:row r="85" s="1" customFormat="1" ht="24" hidden="0" customHeight="1">
      <x:c r="A85" s="7" t="s">
        <x:v>683</x:v>
      </x:c>
      <x:c r="B85" s="8" t="s">
        <x:v>684</x:v>
      </x:c>
      <x:c r="C85" s="8" t="s">
        <x:v>685</x:v>
      </x:c>
      <x:c r="D85" s="8" t="s">
        <x:v>685</x:v>
      </x:c>
      <x:c r="E85" s="8" t="s">
        <x:v>351</x:v>
      </x:c>
      <x:c r="F85" s="8" t="s">
        <x:v>686</x:v>
      </x:c>
      <x:c r="G85" s="12" t="s">
        <x:v>463</x:v>
      </x:c>
    </x:row>
    <x:row r="86" s="1" customFormat="1" ht="24" hidden="0" customHeight="1">
      <x:c r="A86" s="7" t="s">
        <x:v>687</x:v>
      </x:c>
      <x:c r="B86" s="5" t="s">
        <x:v>688</x:v>
      </x:c>
      <x:c r="C86" s="5" t="s">
        <x:v>351</x:v>
      </x:c>
      <x:c r="D86" s="5" t="s">
        <x:v>351</x:v>
      </x:c>
      <x:c r="E86" s="5" t="s">
        <x:v>480</x:v>
      </x:c>
      <x:c r="F86" s="5" t="s">
        <x:v>689</x:v>
      </x:c>
      <x:c r="G86" s="12" t="s">
        <x:v>482</x:v>
      </x:c>
    </x:row>
    <x:row r="87" s="1" customFormat="1" ht="36" hidden="0" customHeight="1">
      <x:c r="A87" s="7" t="s">
        <x:v>690</x:v>
      </x:c>
      <x:c r="B87" s="8" t="s">
        <x:v>691</x:v>
      </x:c>
      <x:c r="C87" s="8" t="s">
        <x:v>692</x:v>
      </x:c>
      <x:c r="D87" s="8" t="s">
        <x:v>693</x:v>
      </x:c>
      <x:c r="E87" s="8" t="s">
        <x:v>694</x:v>
      </x:c>
      <x:c r="F87" s="12"/>
      <x:c r="G87" s="8" t="s">
        <x:v>695</x:v>
      </x:c>
    </x:row>
    <x:row r="88" s="1" customFormat="1" ht="36" hidden="0" customHeight="1">
      <x:c r="A88" s="7" t="s">
        <x:v>696</x:v>
      </x:c>
      <x:c r="B88" s="5" t="s">
        <x:v>697</x:v>
      </x:c>
      <x:c r="C88" s="5" t="s">
        <x:v>692</x:v>
      </x:c>
      <x:c r="D88" s="5" t="s">
        <x:v>698</x:v>
      </x:c>
      <x:c r="E88" s="5" t="s">
        <x:v>694</x:v>
      </x:c>
      <x:c r="F88" s="12"/>
      <x:c r="G88" s="5" t="s">
        <x:v>695</x:v>
      </x:c>
    </x:row>
    <x:row r="89" s="1" customFormat="1" ht="36" hidden="0" customHeight="1">
      <x:c r="A89" s="7" t="s">
        <x:v>699</x:v>
      </x:c>
      <x:c r="B89" s="8" t="s">
        <x:v>700</x:v>
      </x:c>
      <x:c r="C89" s="8" t="s">
        <x:v>692</x:v>
      </x:c>
      <x:c r="D89" s="8" t="s">
        <x:v>701</x:v>
      </x:c>
      <x:c r="E89" s="8" t="s">
        <x:v>694</x:v>
      </x:c>
      <x:c r="F89" s="12"/>
      <x:c r="G89" s="8" t="s">
        <x:v>695</x:v>
      </x:c>
    </x:row>
    <x:row r="90" s="1" customFormat="1" ht="36" hidden="0" customHeight="1">
      <x:c r="A90" s="7" t="s">
        <x:v>702</x:v>
      </x:c>
      <x:c r="B90" s="5" t="s">
        <x:v>703</x:v>
      </x:c>
      <x:c r="C90" s="5" t="s">
        <x:v>692</x:v>
      </x:c>
      <x:c r="D90" s="5" t="s">
        <x:v>704</x:v>
      </x:c>
      <x:c r="E90" s="5" t="s">
        <x:v>694</x:v>
      </x:c>
      <x:c r="F90" s="12"/>
      <x:c r="G90" s="5" t="s">
        <x:v>695</x:v>
      </x:c>
    </x:row>
    <x:row r="91" ht="24" hidden="0" customHeight="1">
      <x:c r="A91" s="11" t="s">
        <x:v>705</x:v>
      </x:c>
      <x:c r="B91" s="11" t="s">
        <x:v>706</x:v>
      </x:c>
      <x:c r="C91" s="11" t="s">
        <x:v>351</x:v>
      </x:c>
      <x:c r="D91" s="11" t="s">
        <x:v>351</x:v>
      </x:c>
      <x:c r="E91" s="11" t="s">
        <x:v>480</x:v>
      </x:c>
      <x:c r="F91" s="11" t="s">
        <x:v>707</x:v>
      </x:c>
      <x:c r="G91" s="11" t="s">
        <x:v>482</x:v>
      </x:c>
    </x:row>
    <x:row r="92" ht="14.25" hidden="0" customHeight="1">
      <x:c r="A92" s="12" t="s">
        <x:v>708</x:v>
      </x:c>
      <x:c r="B92" s="12" t="s">
        <x:v>709</x:v>
      </x:c>
      <x:c r="C92" s="12" t="s">
        <x:v>351</x:v>
      </x:c>
      <x:c r="D92" s="12" t="s">
        <x:v>351</x:v>
      </x:c>
      <x:c r="E92" s="12" t="s">
        <x:v>480</x:v>
      </x:c>
      <x:c r="F92" s="12" t="s">
        <x:v>710</x:v>
      </x:c>
      <x:c r="G92" s="12" t="s">
        <x:v>482</x:v>
      </x:c>
    </x:row>
    <x:row r="93" ht="14.25" hidden="0" customHeight="1">
      <x:c r="A93" s="12" t="s">
        <x:v>711</x:v>
      </x:c>
      <x:c r="B93" s="12" t="s">
        <x:v>712</x:v>
      </x:c>
      <x:c r="C93" s="12" t="s">
        <x:v>351</x:v>
      </x:c>
      <x:c r="D93" s="12" t="s">
        <x:v>351</x:v>
      </x:c>
      <x:c r="E93" s="12" t="s">
        <x:v>480</x:v>
      </x:c>
      <x:c r="F93" s="12" t="s">
        <x:v>713</x:v>
      </x:c>
      <x:c r="G93" s="12" t="s">
        <x:v>482</x:v>
      </x:c>
    </x:row>
    <x:row r="94" ht="24" hidden="0" customHeight="1">
      <x:c r="A94" s="12" t="s">
        <x:v>714</x:v>
      </x:c>
      <x:c r="B94" s="12" t="s">
        <x:v>715</x:v>
      </x:c>
      <x:c r="C94" s="12" t="s">
        <x:v>351</x:v>
      </x:c>
      <x:c r="D94" s="12" t="s">
        <x:v>351</x:v>
      </x:c>
      <x:c r="E94" s="12" t="s">
        <x:v>480</x:v>
      </x:c>
      <x:c r="F94" s="12" t="s">
        <x:v>716</x:v>
      </x:c>
      <x:c r="G94" s="12" t="s">
        <x:v>482</x:v>
      </x:c>
    </x:row>
    <x:row r="95" ht="14.25" hidden="0" customHeight="1">
      <x:c r="A95" s="12" t="s">
        <x:v>717</x:v>
      </x:c>
      <x:c r="B95" s="12" t="s">
        <x:v>718</x:v>
      </x:c>
      <x:c r="C95" s="12" t="s">
        <x:v>351</x:v>
      </x:c>
      <x:c r="D95" s="12" t="s">
        <x:v>351</x:v>
      </x:c>
      <x:c r="E95" s="12" t="s">
        <x:v>480</x:v>
      </x:c>
      <x:c r="F95" s="12" t="s">
        <x:v>719</x:v>
      </x:c>
      <x:c r="G95" s="12" t="s">
        <x:v>482</x:v>
      </x:c>
    </x:row>
    <x:row r="96" ht="14.25" hidden="0" customHeight="1">
      <x:c r="A96" s="12" t="s">
        <x:v>720</x:v>
      </x:c>
      <x:c r="B96" s="12" t="s">
        <x:v>721</x:v>
      </x:c>
      <x:c r="C96" s="12" t="s">
        <x:v>351</x:v>
      </x:c>
      <x:c r="D96" s="12" t="s">
        <x:v>351</x:v>
      </x:c>
      <x:c r="E96" s="12" t="s">
        <x:v>480</x:v>
      </x:c>
      <x:c r="F96" s="12" t="s">
        <x:v>722</x:v>
      </x:c>
      <x:c r="G96" s="12" t="s">
        <x:v>482</x:v>
      </x:c>
    </x:row>
    <x:row r="97" ht="14.25" hidden="0" customHeight="1">
      <x:c r="A97" s="12" t="s">
        <x:v>723</x:v>
      </x:c>
      <x:c r="B97" s="12" t="s">
        <x:v>724</x:v>
      </x:c>
      <x:c r="C97" s="12" t="s">
        <x:v>351</x:v>
      </x:c>
      <x:c r="D97" s="12" t="s">
        <x:v>351</x:v>
      </x:c>
      <x:c r="E97" s="12" t="s">
        <x:v>480</x:v>
      </x:c>
      <x:c r="F97" s="12" t="s">
        <x:v>725</x:v>
      </x:c>
      <x:c r="G97" s="12" t="s">
        <x:v>482</x:v>
      </x:c>
    </x:row>
    <x:row r="98" ht="24" hidden="0" customHeight="1">
      <x:c r="A98" s="12" t="s">
        <x:v>726</x:v>
      </x:c>
      <x:c r="B98" s="12" t="s">
        <x:v>727</x:v>
      </x:c>
      <x:c r="C98" s="12" t="s">
        <x:v>685</x:v>
      </x:c>
      <x:c r="D98" s="12" t="s">
        <x:v>685</x:v>
      </x:c>
      <x:c r="E98" s="12" t="s">
        <x:v>480</x:v>
      </x:c>
      <x:c r="F98" s="12" t="s">
        <x:v>728</x:v>
      </x:c>
      <x:c r="G98" s="12" t="s">
        <x:v>482</x:v>
      </x:c>
    </x:row>
    <x:row r="99" ht="14.25" hidden="0" customHeight="1">
      <x:c r="A99" s="12" t="s">
        <x:v>729</x:v>
      </x:c>
      <x:c r="B99" s="12" t="s">
        <x:v>730</x:v>
      </x:c>
      <x:c r="C99" s="12" t="s">
        <x:v>591</x:v>
      </x:c>
      <x:c r="D99" s="12" t="s">
        <x:v>591</x:v>
      </x:c>
      <x:c r="E99" s="12" t="s">
        <x:v>351</x:v>
      </x:c>
      <x:c r="F99" s="12" t="s">
        <x:v>731</x:v>
      </x:c>
      <x:c r="G99" s="12" t="s">
        <x:v>463</x:v>
      </x:c>
    </x:row>
    <x:row r="100" ht="14.25" hidden="0" customHeight="1">
      <x:c r="A100" s="12" t="s">
        <x:v>732</x:v>
      </x:c>
      <x:c r="B100" s="12" t="s">
        <x:v>733</x:v>
      </x:c>
      <x:c r="C100" s="12" t="s">
        <x:v>734</x:v>
      </x:c>
      <x:c r="D100" s="12" t="s">
        <x:v>734</x:v>
      </x:c>
      <x:c r="E100" s="12" t="s">
        <x:v>351</x:v>
      </x:c>
      <x:c r="F100" s="12" t="s">
        <x:v>735</x:v>
      </x:c>
      <x:c r="G100" s="12" t="s">
        <x:v>463</x:v>
      </x:c>
    </x:row>
    <x:row r="101" ht="14.25" hidden="0" customHeight="1">
      <x:c r="A101" s="12" t="s">
        <x:v>736</x:v>
      </x:c>
      <x:c r="B101" s="12" t="s">
        <x:v>737</x:v>
      </x:c>
      <x:c r="C101" s="12" t="s">
        <x:v>351</x:v>
      </x:c>
      <x:c r="D101" s="12" t="s">
        <x:v>351</x:v>
      </x:c>
      <x:c r="E101" s="12" t="s">
        <x:v>480</x:v>
      </x:c>
      <x:c r="F101" s="12" t="s">
        <x:v>731</x:v>
      </x:c>
      <x:c r="G101" s="12" t="s">
        <x:v>482</x:v>
      </x:c>
    </x:row>
    <x:row r="102" ht="24" hidden="0" customHeight="1">
      <x:c r="A102" s="12" t="s">
        <x:v>738</x:v>
      </x:c>
      <x:c r="B102" s="12" t="s">
        <x:v>739</x:v>
      </x:c>
      <x:c r="C102" s="12" t="s">
        <x:v>351</x:v>
      </x:c>
      <x:c r="D102" s="12" t="s">
        <x:v>351</x:v>
      </x:c>
      <x:c r="E102" s="12" t="s">
        <x:v>480</x:v>
      </x:c>
      <x:c r="F102" s="12" t="s">
        <x:v>731</x:v>
      </x:c>
      <x:c r="G102" s="12" t="s">
        <x:v>482</x:v>
      </x:c>
    </x:row>
    <x:row r="103" ht="24" hidden="0" customHeight="1">
      <x:c r="A103" s="12" t="s">
        <x:v>740</x:v>
      </x:c>
      <x:c r="B103" s="12" t="s">
        <x:v>741</x:v>
      </x:c>
      <x:c r="C103" s="12" t="s">
        <x:v>351</x:v>
      </x:c>
      <x:c r="D103" s="12" t="s">
        <x:v>351</x:v>
      </x:c>
      <x:c r="E103" s="12" t="s">
        <x:v>480</x:v>
      </x:c>
      <x:c r="F103" s="12" t="s">
        <x:v>731</x:v>
      </x:c>
      <x:c r="G103" s="12" t="s">
        <x:v>482</x:v>
      </x:c>
    </x:row>
    <x:row r="104" ht="14.25" hidden="0" customHeight="1">
      <x:c r="A104" s="12" t="s">
        <x:v>742</x:v>
      </x:c>
      <x:c r="B104" s="12" t="s">
        <x:v>743</x:v>
      </x:c>
      <x:c r="C104" s="12" t="s">
        <x:v>351</x:v>
      </x:c>
      <x:c r="D104" s="12" t="s">
        <x:v>351</x:v>
      </x:c>
      <x:c r="E104" s="12" t="s">
        <x:v>480</x:v>
      </x:c>
      <x:c r="F104" s="12" t="s">
        <x:v>731</x:v>
      </x:c>
      <x:c r="G104" s="12" t="s">
        <x:v>482</x:v>
      </x:c>
    </x:row>
    <x:row r="105" ht="24" hidden="0" customHeight="1">
      <x:c r="A105" s="12" t="s">
        <x:v>744</x:v>
      </x:c>
      <x:c r="B105" s="12" t="s">
        <x:v>745</x:v>
      </x:c>
      <x:c r="C105" s="12" t="s">
        <x:v>746</x:v>
      </x:c>
      <x:c r="D105" s="12" t="s">
        <x:v>747</x:v>
      </x:c>
      <x:c r="E105" s="12" t="s">
        <x:v>748</x:v>
      </x:c>
      <x:c r="F105" s="12"/>
      <x:c r="G105" s="12"/>
    </x:row>
    <x:row r="106" ht="14.25" hidden="0">
      <x:c r="A106" s="58" t="s">
        <x:v>749</x:v>
      </x:c>
      <x:c r="B106" s="58"/>
      <x:c r="C106" s="58"/>
      <x:c r="D106" s="58"/>
      <x:c r="E106" s="58"/>
      <x:c r="F106" s="58"/>
      <x:c r="G106" s="58"/>
    </x:row>
    <x:row r="107" ht="14.25" hidden="0">
      <x:c r="A107" s="53" t="s">
        <x:v>750</x:v>
      </x:c>
      <x:c r="B107" s="1" t="n">
        <x:v>42</x:v>
      </x:c>
      <x:c r="C107" s="53" t="s">
        <x:v>751</x:v>
      </x:c>
    </x:row>
    <x:row r="108" ht="14.25" hidden="0">
      <x:c r="A108" s="53" t="s">
        <x:v>752</x:v>
      </x:c>
      <x:c r="B108" s="1" t="n">
        <x:v>2</x:v>
      </x:c>
      <x:c r="C108" s="53" t="s">
        <x:v>753</x:v>
      </x:c>
    </x:row>
    <x:row r="109" ht="14.25" hidden="0">
      <x:c r="A109" s="53" t="s">
        <x:v>754</x:v>
      </x:c>
      <x:c r="B109" s="1" t="n">
        <x:v>45</x:v>
      </x:c>
      <x:c r="C109" s="53" t="s">
        <x:v>755</x:v>
      </x:c>
    </x:row>
    <x:row r="110" ht="14.25" hidden="0">
      <x:c r="A110" s="53" t="s">
        <x:v>756</x:v>
      </x:c>
      <x:c r="B110" s="1" t="n">
        <x:v>0</x:v>
      </x:c>
      <x:c r="C110" s="53" t="s">
        <x:v>757</x:v>
      </x:c>
    </x:row>
    <x:row r="111" ht="14.25" hidden="0">
      <x:c r="A111" s="53" t="s">
        <x:v>758</x:v>
      </x:c>
      <x:c r="B111" s="1" t="s">
        <x:v>351</x:v>
      </x:c>
      <x:c r="C111" s="53" t="s">
        <x:v>759</x:v>
      </x:c>
    </x:row>
  </x:sheetData>
  <x:pageMargins left="0.7" right="0.7" top="0.75" bottom="0.75" header="0.3" footer="0.3"/>
</x:worksheet>
</file>

<file path=xl/worksheets/sheet6.xml><?xml version="1.0" encoding="utf-8"?>
<x:worksheet xmlns:x="http://schemas.openxmlformats.org/spreadsheetml/2006/main">
  <x:sheetViews>
    <x:sheetView showGridLines="1" workbookViewId="0"/>
  </x:sheetViews>
  <x:sheetFormatPr defaultColWidth="8.66796875" defaultRowHeight="12.75"/>
  <x:cols>
    <x:col min="1" max="1" width="33" style="1" hidden="0" customWidth="1"/>
    <x:col min="2" max="3" width="36" style="1" hidden="0" customWidth="1"/>
    <x:col min="4" max="8" width="16" style="1" hidden="0" customWidth="1"/>
  </x:cols>
  <x:sheetData>
    <x:row r="1" s="1" customFormat="1" ht="12.75" hidden="0" customHeight="1">
      <x:c r="A1" s="2" t="s">
        <x:v>760</x:v>
      </x:c>
      <x:c r="B1" s="2"/>
      <x:c r="C1" s="2"/>
      <x:c r="D1" s="2"/>
      <x:c r="E1" s="2"/>
      <x:c r="F1" s="2"/>
      <x:c r="G1" s="2"/>
      <x:c r="H1" s="2"/>
    </x:row>
    <x:row r="2" s="1" customFormat="1" ht="12.75" hidden="0" customHeight="1">
      <x:c r="A2" s="4" t="s">
        <x:v>761</x:v>
      </x:c>
      <x:c r="B2" s="5" t="s">
        <x:v>762</x:v>
      </x:c>
      <x:c r="C2" s="6"/>
      <x:c r="D2" s="6"/>
      <x:c r="E2" s="6"/>
      <x:c r="F2" s="6"/>
      <x:c r="G2" s="6"/>
      <x:c r="H2" s="6"/>
    </x:row>
    <x:row r="3" s="1" customFormat="1" ht="12.75" hidden="0" customHeight="1">
      <x:c r="A3" s="7" t="s">
        <x:v>763</x:v>
      </x:c>
      <x:c r="B3" s="8" t="s">
        <x:v>764</x:v>
      </x:c>
      <x:c r="C3" s="6"/>
      <x:c r="D3" s="6"/>
      <x:c r="E3" s="6"/>
      <x:c r="F3" s="6"/>
      <x:c r="G3" s="6"/>
      <x:c r="H3" s="6"/>
    </x:row>
    <x:row r="4" s="1" customFormat="1" ht="12.75" hidden="0" customHeight="1">
      <x:c r="A4" s="7" t="s">
        <x:v>765</x:v>
      </x:c>
      <x:c r="B4" s="5" t="s">
        <x:v>210</x:v>
      </x:c>
      <x:c r="C4" s="6"/>
      <x:c r="D4" s="6"/>
      <x:c r="E4" s="6"/>
      <x:c r="F4" s="6"/>
      <x:c r="G4" s="6"/>
      <x:c r="H4" s="6"/>
    </x:row>
    <x:row r="5" s="1" customFormat="1" ht="12.75" hidden="0" customHeight="1">
      <x:c r="A5" s="7" t="s">
        <x:v>766</x:v>
      </x:c>
      <x:c r="B5" s="8" t="s">
        <x:v>408</x:v>
      </x:c>
      <x:c r="C5" s="6"/>
      <x:c r="D5" s="6"/>
      <x:c r="E5" s="6"/>
      <x:c r="F5" s="6"/>
      <x:c r="G5" s="6"/>
      <x:c r="H5" s="6"/>
    </x:row>
    <x:row r="6" s="1" customFormat="1" ht="12.75" hidden="0" customHeight="1">
      <x:c r="A6" s="7" t="s">
        <x:v>767</x:v>
      </x:c>
      <x:c r="B6" s="5" t="str">
        <x:v>RippleLogic Agent System v12.5</x:v>
      </x:c>
      <x:c r="C6" s="6"/>
      <x:c r="D6" s="6"/>
      <x:c r="E6" s="6"/>
      <x:c r="F6" s="6"/>
      <x:c r="G6" s="6"/>
      <x:c r="H6" s="6"/>
    </x:row>
    <x:row r="7" s="1" customFormat="1" ht="12.75" hidden="0" customHeight="1">
      <x:c r="A7" s="7" t="s">
        <x:v>768</x:v>
      </x:c>
      <x:c r="B7" s="8" t="s">
        <x:v>412</x:v>
      </x:c>
      <x:c r="C7" s="6"/>
      <x:c r="D7" s="6"/>
      <x:c r="E7" s="6"/>
      <x:c r="F7" s="6"/>
      <x:c r="G7" s="6"/>
      <x:c r="H7" s="6"/>
    </x:row>
    <x:row r="8" s="1" customFormat="1" ht="12.75" hidden="0" customHeight="1">
      <x:c r="A8" s="7" t="s">
        <x:v>769</x:v>
      </x:c>
      <x:c r="B8" s="5" t="s">
        <x:v>154</x:v>
      </x:c>
      <x:c r="C8" s="6"/>
      <x:c r="D8" s="6"/>
      <x:c r="E8" s="6"/>
      <x:c r="F8" s="6"/>
      <x:c r="G8" s="6"/>
      <x:c r="H8" s="6"/>
    </x:row>
    <x:row r="9" s="1" customFormat="1" ht="14.25" hidden="0" customHeight="1">
      <x:c r="A9" s="7" t="s">
        <x:v>770</x:v>
      </x:c>
      <x:c r="B9" s="6"/>
      <x:c r="C9" s="6"/>
      <x:c r="D9" s="6"/>
      <x:c r="E9" s="6"/>
      <x:c r="F9" s="6"/>
      <x:c r="G9" s="6"/>
      <x:c r="H9" s="6"/>
    </x:row>
    <x:row r="10" s="1" customFormat="1" ht="14.25" hidden="0" customHeight="1">
      <x:c r="A10" s="7" t="s">
        <x:v>771</x:v>
      </x:c>
      <x:c r="B10" s="5" t="n">
        <x:v>2</x:v>
      </x:c>
      <x:c r="C10" s="5" t="s">
        <x:v>772</x:v>
      </x:c>
      <x:c r="D10" s="6"/>
      <x:c r="E10" s="6"/>
      <x:c r="F10" s="6"/>
      <x:c r="G10" s="6"/>
      <x:c r="H10" s="6"/>
    </x:row>
    <x:row r="11" s="1" customFormat="1" ht="14.25" hidden="0" customHeight="1">
      <x:c r="A11" s="7" t="s">
        <x:v>773</x:v>
      </x:c>
      <x:c r="B11" s="8" t="s">
        <x:v>227</x:v>
      </x:c>
      <x:c r="C11" s="8" t="s">
        <x:v>228</x:v>
      </x:c>
      <x:c r="D11" s="6"/>
      <x:c r="E11" s="6"/>
      <x:c r="F11" s="6"/>
      <x:c r="G11" s="6"/>
      <x:c r="H11" s="6"/>
    </x:row>
    <x:row r="12" s="1" customFormat="1" ht="14.25" hidden="0" customHeight="1">
      <x:c r="A12" s="7" t="s">
        <x:v>774</x:v>
      </x:c>
      <x:c r="B12" s="5" t="n">
        <x:v>0.2</x:v>
      </x:c>
      <x:c r="C12" s="6"/>
      <x:c r="D12" s="6"/>
      <x:c r="E12" s="6"/>
      <x:c r="F12" s="6"/>
      <x:c r="G12" s="6"/>
      <x:c r="H12" s="6"/>
    </x:row>
    <x:row r="13" s="1" customFormat="1" ht="14.25" hidden="0" customHeight="1">
      <x:c r="A13" s="7" t="s">
        <x:v>775</x:v>
      </x:c>
      <x:c r="B13" s="8" t="s">
        <x:v>233</x:v>
      </x:c>
      <x:c r="C13" s="8" t="s">
        <x:v>776</x:v>
      </x:c>
      <x:c r="D13" s="6"/>
      <x:c r="E13" s="6"/>
      <x:c r="F13" s="6"/>
      <x:c r="G13" s="6"/>
      <x:c r="H13" s="6"/>
    </x:row>
    <x:row r="14" s="1" customFormat="1" ht="14.25" hidden="0" customHeight="1">
      <x:c r="A14" s="7" t="s">
        <x:v>777</x:v>
      </x:c>
      <x:c r="B14" s="6"/>
      <x:c r="C14" s="6"/>
      <x:c r="D14" s="6"/>
      <x:c r="E14" s="6"/>
      <x:c r="F14" s="6"/>
      <x:c r="G14" s="6"/>
      <x:c r="H14" s="6"/>
    </x:row>
    <x:row r="15" s="1" customFormat="1" ht="14.25" hidden="0" customHeight="1">
      <x:c r="A15" s="7" t="s">
        <x:v>778</x:v>
      </x:c>
      <x:c r="B15" s="8" t="s">
        <x:v>404</x:v>
      </x:c>
      <x:c r="C15" s="8" t="s">
        <x:v>779</x:v>
      </x:c>
      <x:c r="D15" s="6"/>
      <x:c r="E15" s="6"/>
      <x:c r="F15" s="6"/>
      <x:c r="G15" s="6"/>
      <x:c r="H15" s="6"/>
    </x:row>
    <x:row r="16" s="1" customFormat="1" ht="14.25" hidden="0" customHeight="1">
      <x:c r="A16" s="7" t="s">
        <x:v>780</x:v>
      </x:c>
      <x:c r="B16" s="5" t="s">
        <x:v>781</x:v>
      </x:c>
      <x:c r="C16" s="5" t="s">
        <x:v>782</x:v>
      </x:c>
      <x:c r="D16" s="6"/>
      <x:c r="E16" s="6"/>
      <x:c r="F16" s="6"/>
      <x:c r="G16" s="6"/>
      <x:c r="H16" s="6"/>
    </x:row>
    <x:row r="17" s="1" customFormat="1" ht="14.25" hidden="0" customHeight="1">
      <x:c r="A17" s="7" t="s">
        <x:v>783</x:v>
      </x:c>
      <x:c r="B17" s="8" t="s">
        <x:v>784</x:v>
      </x:c>
      <x:c r="C17" s="8" t="s">
        <x:v>785</x:v>
      </x:c>
      <x:c r="D17" s="6"/>
      <x:c r="E17" s="6"/>
      <x:c r="F17" s="6"/>
      <x:c r="G17" s="6"/>
      <x:c r="H17" s="6"/>
    </x:row>
    <x:row r="18" s="1" customFormat="1" ht="13.5" hidden="0" customHeight="1">
      <x:c r="A18" s="7" t="s">
        <x:v>786</x:v>
      </x:c>
      <x:c r="B18" s="5" t="s">
        <x:v>787</x:v>
      </x:c>
      <x:c r="C18" s="5" t="s">
        <x:v>788</x:v>
      </x:c>
      <x:c r="D18" s="6"/>
      <x:c r="E18" s="6"/>
      <x:c r="F18" s="6"/>
      <x:c r="G18" s="6"/>
      <x:c r="H18" s="6"/>
    </x:row>
    <x:row r="19" s="1" customFormat="1" ht="14.25" hidden="0" customHeight="1">
      <x:c r="A19" s="7" t="s">
        <x:v>789</x:v>
      </x:c>
      <x:c r="B19" s="6"/>
      <x:c r="C19" s="6"/>
      <x:c r="D19" s="6"/>
      <x:c r="E19" s="6"/>
      <x:c r="F19" s="6"/>
      <x:c r="G19" s="6"/>
      <x:c r="H19" s="6"/>
    </x:row>
    <x:row r="20" s="1" customFormat="1" ht="14.25" hidden="0" customHeight="1">
      <x:c r="A20" s="7" t="s">
        <x:v>790</x:v>
      </x:c>
      <x:c r="B20" s="5" t="n">
        <x:v>0.02</x:v>
      </x:c>
      <x:c r="C20" s="5" t="s">
        <x:v>791</x:v>
      </x:c>
      <x:c r="D20" s="6"/>
      <x:c r="E20" s="6"/>
      <x:c r="F20" s="6"/>
      <x:c r="G20" s="6"/>
      <x:c r="H20" s="6"/>
    </x:row>
    <x:row r="21" s="1" customFormat="1" ht="14.25" hidden="0" customHeight="1">
      <x:c r="A21" s="7" t="s">
        <x:v>792</x:v>
      </x:c>
      <x:c r="B21" s="8" t="s">
        <x:v>292</x:v>
      </x:c>
      <x:c r="C21" s="8" t="s">
        <x:v>793</x:v>
      </x:c>
      <x:c r="D21" s="6"/>
      <x:c r="E21" s="6"/>
      <x:c r="F21" s="6"/>
      <x:c r="G21" s="6"/>
      <x:c r="H21" s="6"/>
    </x:row>
    <x:row r="22" s="1" customFormat="1" ht="14.25" hidden="0" customHeight="1">
      <x:c r="A22" s="7" t="s">
        <x:v>794</x:v>
      </x:c>
      <x:c r="B22" s="5" t="n">
        <x:v>2</x:v>
      </x:c>
      <x:c r="C22" s="5" t="s">
        <x:v>795</x:v>
      </x:c>
      <x:c r="D22" s="6"/>
      <x:c r="E22" s="6"/>
      <x:c r="F22" s="6"/>
      <x:c r="G22" s="6"/>
      <x:c r="H22" s="6"/>
    </x:row>
    <x:row r="23" s="1" customFormat="1" ht="12.75" hidden="0" customHeight="1">
      <x:c r="A23" s="7" t="s">
        <x:v>796</x:v>
      </x:c>
      <x:c r="B23" s="6"/>
      <x:c r="C23" s="6"/>
      <x:c r="D23" s="6"/>
      <x:c r="E23" s="6"/>
      <x:c r="F23" s="6"/>
      <x:c r="G23" s="6"/>
      <x:c r="H23" s="6"/>
    </x:row>
    <x:row r="24" s="1" customFormat="1" ht="12.75" hidden="0" customHeight="1">
      <x:c r="A24" s="7" t="s">
        <x:v>797</x:v>
      </x:c>
      <x:c r="B24" s="5" t="s">
        <x:v>762</x:v>
      </x:c>
      <x:c r="C24" s="5" t="s">
        <x:v>798</x:v>
      </x:c>
      <x:c r="D24" s="6"/>
      <x:c r="E24" s="6"/>
      <x:c r="F24" s="6"/>
      <x:c r="G24" s="6"/>
      <x:c r="H24" s="6"/>
    </x:row>
    <x:row r="25" s="1" customFormat="1" ht="12.75" hidden="0" customHeight="1">
      <x:c r="A25" s="7" t="s">
        <x:v>799</x:v>
      </x:c>
      <x:c r="B25" s="8" t="s">
        <x:v>55</x:v>
      </x:c>
      <x:c r="C25" s="8" t="s">
        <x:v>800</x:v>
      </x:c>
      <x:c r="D25" s="6"/>
      <x:c r="E25" s="6"/>
      <x:c r="F25" s="6"/>
      <x:c r="G25" s="6"/>
      <x:c r="H25" s="6"/>
    </x:row>
    <x:row r="26" s="1" customFormat="1" ht="12.75" hidden="0" customHeight="1">
      <x:c r="A26" s="7" t="s">
        <x:v>801</x:v>
      </x:c>
      <x:c r="B26" s="5" t="s">
        <x:v>43</x:v>
      </x:c>
      <x:c r="C26" s="5" t="str">
        <x:v>FrameworkVerdict reproduced from CANON cascade values for this release build</x:v>
      </x:c>
      <x:c r="D26" s="6"/>
      <x:c r="E26" s="6"/>
      <x:c r="F26" s="6"/>
      <x:c r="G26" s="6"/>
      <x:c r="H26" s="6"/>
    </x:row>
    <x:row r="27" s="1" customFormat="1" ht="12.75" hidden="0" customHeight="1">
      <x:c r="A27" s="7" t="s">
        <x:v>802</x:v>
      </x:c>
      <x:c r="B27" s="8" t="s">
        <x:v>803</x:v>
      </x:c>
      <x:c r="C27" s="8" t="s">
        <x:v>804</x:v>
      </x:c>
      <x:c r="D27" s="6"/>
      <x:c r="E27" s="6"/>
      <x:c r="F27" s="6"/>
      <x:c r="G27" s="6"/>
      <x:c r="H27" s="6"/>
    </x:row>
  </x:sheetData>
  <x:mergeCells>
    <x:mergeCell ref="A1:H1"/>
  </x:mergeCell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ColWidth="8.66796875" defaultRowHeight="12.75"/>
  <x:cols>
    <x:col min="1" max="2" width="36" style="1" hidden="0" customWidth="1"/>
    <x:col min="3" max="3" width="16" style="1" hidden="0" customWidth="1"/>
    <x:col min="4" max="4" width="36" style="1" hidden="0" customWidth="1"/>
    <x:col min="5" max="8" width="16" style="1" hidden="0" customWidth="1"/>
  </x:cols>
  <x:sheetData>
    <x:row r="1" s="1" customFormat="1" ht="14.25" hidden="0" customHeight="1">
      <x:c r="A1" s="2" t="s">
        <x:v>805</x:v>
      </x:c>
      <x:c r="B1" s="2"/>
      <x:c r="C1" s="2"/>
      <x:c r="D1" s="2"/>
      <x:c r="E1" s="2"/>
      <x:c r="F1" s="2"/>
      <x:c r="G1" s="2"/>
      <x:c r="H1" s="2"/>
    </x:row>
    <x:row r="2" s="1" customFormat="1" ht="13.5" hidden="0" customHeight="1">
      <x:c r="A2" s="6"/>
      <x:c r="B2" s="6"/>
      <x:c r="C2" s="6"/>
      <x:c r="D2" s="6"/>
      <x:c r="E2" s="6"/>
      <x:c r="F2" s="6"/>
      <x:c r="G2" s="6"/>
      <x:c r="H2" s="6"/>
    </x:row>
    <x:row r="3" s="1" customFormat="1" ht="14.25" hidden="0" customHeight="1">
      <x:c r="A3" s="7" t="s">
        <x:v>806</x:v>
      </x:c>
      <x:c r="B3" s="6"/>
      <x:c r="C3" s="6"/>
      <x:c r="D3" s="6"/>
      <x:c r="E3" s="6"/>
      <x:c r="F3" s="6"/>
      <x:c r="G3" s="6"/>
      <x:c r="H3" s="6"/>
    </x:row>
    <x:row r="4" s="1" customFormat="1" ht="14.25" hidden="0" customHeight="1">
      <x:c r="A4" s="7" t="s">
        <x:v>271</x:v>
      </x:c>
      <x:c r="B4" s="5" t="s">
        <x:v>807</x:v>
      </x:c>
      <x:c r="C4" s="5" t="s">
        <x:v>273</x:v>
      </x:c>
      <x:c r="D4" s="5" t="s">
        <x:v>808</x:v>
      </x:c>
      <x:c r="E4" s="6"/>
      <x:c r="F4" s="6"/>
      <x:c r="G4" s="6"/>
      <x:c r="H4" s="6"/>
    </x:row>
    <x:row r="5" s="1" customFormat="1" ht="14.25" hidden="0" customHeight="1">
      <x:c r="A5" s="7" t="s">
        <x:v>275</x:v>
      </x:c>
      <x:c r="B5" s="59" t="n">
        <x:v>1</x:v>
      </x:c>
      <x:c r="C5" s="59" t="n">
        <x:v>-0.9</x:v>
      </x:c>
      <x:c r="D5" s="59" t="s">
        <x:v>809</x:v>
      </x:c>
      <x:c r="E5" s="6"/>
      <x:c r="F5" s="6"/>
      <x:c r="G5" s="6"/>
      <x:c r="H5" s="6"/>
    </x:row>
    <x:row r="6" s="1" customFormat="1" ht="14.25" hidden="0" customHeight="1">
      <x:c r="A6" s="7" t="s">
        <x:v>276</x:v>
      </x:c>
      <x:c r="B6" s="5" t="n">
        <x:v>2</x:v>
      </x:c>
      <x:c r="C6" s="5" t="n">
        <x:v>-0.7</x:v>
      </x:c>
      <x:c r="D6" s="5" t="s">
        <x:v>810</x:v>
      </x:c>
      <x:c r="E6" s="6"/>
      <x:c r="F6" s="6"/>
      <x:c r="G6" s="6"/>
      <x:c r="H6" s="6"/>
    </x:row>
    <x:row r="7" s="1" customFormat="1" ht="14.25" hidden="0" customHeight="1">
      <x:c r="A7" s="7" t="s">
        <x:v>277</x:v>
      </x:c>
      <x:c r="B7" s="59" t="n">
        <x:v>3</x:v>
      </x:c>
      <x:c r="C7" s="59" t="n">
        <x:v>-0.65</x:v>
      </x:c>
      <x:c r="D7" s="59" t="s">
        <x:v>811</x:v>
      </x:c>
      <x:c r="E7" s="6"/>
      <x:c r="F7" s="6"/>
      <x:c r="G7" s="6"/>
      <x:c r="H7" s="6"/>
    </x:row>
    <x:row r="8" s="1" customFormat="1" ht="14.25" hidden="0" customHeight="1">
      <x:c r="A8" s="7" t="s">
        <x:v>278</x:v>
      </x:c>
      <x:c r="B8" s="5" t="n">
        <x:v>4</x:v>
      </x:c>
      <x:c r="C8" s="5" t="n">
        <x:v>-0.5</x:v>
      </x:c>
      <x:c r="D8" s="5" t="s">
        <x:v>812</x:v>
      </x:c>
      <x:c r="E8" s="6"/>
      <x:c r="F8" s="6"/>
      <x:c r="G8" s="6"/>
      <x:c r="H8" s="6"/>
    </x:row>
    <x:row r="9" s="1" customFormat="1" ht="14.25" hidden="0" customHeight="1">
      <x:c r="A9" s="7" t="s">
        <x:v>279</x:v>
      </x:c>
      <x:c r="B9" s="59" t="n">
        <x:v>5</x:v>
      </x:c>
      <x:c r="C9" s="59" t="n">
        <x:v>-0.55</x:v>
      </x:c>
      <x:c r="D9" s="59" t="s">
        <x:v>813</x:v>
      </x:c>
      <x:c r="E9" s="6"/>
      <x:c r="F9" s="6"/>
      <x:c r="G9" s="6"/>
      <x:c r="H9" s="6"/>
    </x:row>
    <x:row r="10" s="1" customFormat="1" ht="14.25" hidden="0" customHeight="1">
      <x:c r="A10" s="7" t="s">
        <x:v>280</x:v>
      </x:c>
      <x:c r="B10" s="5" t="n">
        <x:v>6</x:v>
      </x:c>
      <x:c r="C10" s="5" t="n">
        <x:v>-0.45</x:v>
      </x:c>
      <x:c r="D10" s="5" t="s">
        <x:v>814</x:v>
      </x:c>
      <x:c r="E10" s="6"/>
      <x:c r="F10" s="6"/>
      <x:c r="G10" s="6"/>
      <x:c r="H10" s="6"/>
    </x:row>
    <x:row r="11" s="1" customFormat="1" ht="14.25" hidden="0" customHeight="1">
      <x:c r="A11" s="7" t="s">
        <x:v>281</x:v>
      </x:c>
      <x:c r="B11" s="59" t="n">
        <x:v>7</x:v>
      </x:c>
      <x:c r="C11" s="59" t="n">
        <x:v>-0.4</x:v>
      </x:c>
      <x:c r="D11" s="59" t="s">
        <x:v>815</x:v>
      </x:c>
      <x:c r="E11" s="6"/>
      <x:c r="F11" s="6"/>
      <x:c r="G11" s="6"/>
      <x:c r="H11" s="6"/>
    </x:row>
    <x:row r="12" s="1" customFormat="1" ht="14.25" hidden="0" customHeight="1">
      <x:c r="A12" s="7" t="s">
        <x:v>282</x:v>
      </x:c>
      <x:c r="B12" s="5" t="n">
        <x:v>8</x:v>
      </x:c>
      <x:c r="C12" s="5" t="n">
        <x:v>-0.65</x:v>
      </x:c>
      <x:c r="D12" s="5" t="s">
        <x:v>816</x:v>
      </x:c>
      <x:c r="E12" s="6"/>
      <x:c r="F12" s="6"/>
      <x:c r="G12" s="6"/>
      <x:c r="H12" s="6"/>
    </x:row>
    <x:row r="13" s="1" customFormat="1" ht="13.5" hidden="0" customHeight="1">
      <x:c r="A13" s="6"/>
      <x:c r="B13" s="6"/>
      <x:c r="C13" s="6"/>
      <x:c r="D13" s="6"/>
      <x:c r="E13" s="6"/>
      <x:c r="F13" s="6"/>
      <x:c r="G13" s="6"/>
      <x:c r="H13" s="6"/>
    </x:row>
    <x:row r="14" s="1" customFormat="1" ht="13.5" hidden="0" customHeight="1">
      <x:c r="A14" s="6"/>
      <x:c r="B14" s="6"/>
      <x:c r="C14" s="6"/>
      <x:c r="D14" s="6"/>
      <x:c r="E14" s="6"/>
      <x:c r="F14" s="6"/>
      <x:c r="G14" s="6"/>
      <x:c r="H14" s="6"/>
    </x:row>
    <x:row r="15" s="1" customFormat="1" ht="14.25" hidden="0" customHeight="1">
      <x:c r="A15" s="7" t="s">
        <x:v>817</x:v>
      </x:c>
      <x:c r="B15" s="6"/>
      <x:c r="C15" s="6"/>
      <x:c r="D15" s="6"/>
      <x:c r="E15" s="6"/>
      <x:c r="F15" s="6"/>
      <x:c r="G15" s="6"/>
      <x:c r="H15" s="6"/>
    </x:row>
    <x:row r="16" s="1" customFormat="1" ht="14.25" hidden="0" customHeight="1">
      <x:c r="A16" s="7" t="s">
        <x:v>818</x:v>
      </x:c>
      <x:c r="B16" s="5" t="n">
        <x:v>0.3</x:v>
      </x:c>
      <x:c r="C16" s="6"/>
      <x:c r="D16" s="6"/>
      <x:c r="E16" s="6"/>
      <x:c r="F16" s="6"/>
      <x:c r="G16" s="6"/>
      <x:c r="H16" s="6"/>
    </x:row>
    <x:row r="17" s="1" customFormat="1" ht="14.25" hidden="0" customHeight="1">
      <x:c r="A17" s="7" t="s">
        <x:v>227</x:v>
      </x:c>
      <x:c r="B17" s="59" t="n">
        <x:v>0.2</x:v>
      </x:c>
      <x:c r="C17" s="6"/>
      <x:c r="D17" s="6"/>
      <x:c r="E17" s="6"/>
      <x:c r="F17" s="6"/>
      <x:c r="G17" s="6"/>
      <x:c r="H17" s="6"/>
    </x:row>
    <x:row r="18" s="1" customFormat="1" ht="14.25" hidden="0" customHeight="1">
      <x:c r="A18" s="7" t="s">
        <x:v>819</x:v>
      </x:c>
      <x:c r="B18" s="5" t="n">
        <x:v>0.15</x:v>
      </x:c>
      <x:c r="C18" s="6"/>
      <x:c r="D18" s="6"/>
      <x:c r="E18" s="6"/>
      <x:c r="F18" s="6"/>
      <x:c r="G18" s="6"/>
      <x:c r="H18" s="6"/>
    </x:row>
    <x:row r="19" s="1" customFormat="1" ht="14.25" hidden="0" customHeight="1">
      <x:c r="A19" s="7" t="s">
        <x:v>820</x:v>
      </x:c>
      <x:c r="B19" s="59" t="n">
        <x:v>0.1</x:v>
      </x:c>
      <x:c r="C19" s="6"/>
      <x:c r="D19" s="6"/>
      <x:c r="E19" s="6"/>
      <x:c r="F19" s="6"/>
      <x:c r="G19" s="6"/>
      <x:c r="H19" s="6"/>
    </x:row>
    <x:row r="20" s="1" customFormat="1" ht="14.25" hidden="0" customHeight="1">
      <x:c r="A20" s="7" t="s">
        <x:v>821</x:v>
      </x:c>
      <x:c r="B20" s="5" t="n">
        <x:v>0.05</x:v>
      </x:c>
      <x:c r="C20" s="6"/>
      <x:c r="D20" s="6"/>
      <x:c r="E20" s="6"/>
      <x:c r="F20" s="6"/>
      <x:c r="G20" s="6"/>
      <x:c r="H20" s="6"/>
    </x:row>
    <x:row r="21" s="1" customFormat="1" ht="13.5" hidden="0" customHeight="1">
      <x:c r="A21" s="6"/>
      <x:c r="B21" s="6"/>
      <x:c r="C21" s="6"/>
      <x:c r="D21" s="6"/>
      <x:c r="E21" s="6"/>
      <x:c r="F21" s="6"/>
      <x:c r="G21" s="6"/>
      <x:c r="H21" s="6"/>
    </x:row>
    <x:row r="22" s="1" customFormat="1" ht="13.5" hidden="0" customHeight="1">
      <x:c r="A22" s="6"/>
      <x:c r="B22" s="6"/>
      <x:c r="C22" s="6"/>
      <x:c r="D22" s="6"/>
      <x:c r="E22" s="6"/>
      <x:c r="F22" s="6"/>
      <x:c r="G22" s="6"/>
      <x:c r="H22" s="6"/>
    </x:row>
    <x:row r="23" s="1" customFormat="1" ht="14.25" hidden="0" customHeight="1">
      <x:c r="A23" s="7" t="s">
        <x:v>822</x:v>
      </x:c>
      <x:c r="B23" s="6"/>
      <x:c r="C23" s="6"/>
      <x:c r="D23" s="6"/>
      <x:c r="E23" s="6"/>
      <x:c r="F23" s="6"/>
      <x:c r="G23" s="6"/>
      <x:c r="H23" s="6"/>
    </x:row>
    <x:row r="24" s="1" customFormat="1" ht="14.25" hidden="0" customHeight="1">
      <x:c r="A24" s="7" t="s">
        <x:v>823</x:v>
      </x:c>
      <x:c r="B24" s="5" t="n">
        <x:v>2</x:v>
      </x:c>
      <x:c r="C24" s="6"/>
      <x:c r="D24" s="6"/>
      <x:c r="E24" s="6"/>
      <x:c r="F24" s="6"/>
      <x:c r="G24" s="6"/>
      <x:c r="H24" s="6"/>
    </x:row>
    <x:row r="25" s="1" customFormat="1" ht="14.25" hidden="0" customHeight="1">
      <x:c r="A25" s="7" t="s">
        <x:v>824</x:v>
      </x:c>
      <x:c r="B25" s="59" t="n">
        <x:v>1</x:v>
      </x:c>
      <x:c r="C25" s="6"/>
      <x:c r="D25" s="6"/>
      <x:c r="E25" s="6"/>
      <x:c r="F25" s="6"/>
      <x:c r="G25" s="6"/>
      <x:c r="H25" s="6"/>
    </x:row>
    <x:row r="26" s="1" customFormat="1" ht="14.25" hidden="0" customHeight="1">
      <x:c r="A26" s="7" t="s">
        <x:v>825</x:v>
      </x:c>
      <x:c r="B26" s="5" t="n">
        <x:v>2</x:v>
      </x:c>
      <x:c r="C26" s="6"/>
      <x:c r="D26" s="6"/>
      <x:c r="E26" s="6"/>
      <x:c r="F26" s="6"/>
      <x:c r="G26" s="6"/>
      <x:c r="H26" s="6"/>
    </x:row>
    <x:row r="27" s="1" customFormat="1" ht="14.25" hidden="0" customHeight="1">
      <x:c r="A27" s="7" t="s">
        <x:v>826</x:v>
      </x:c>
      <x:c r="B27" s="59" t="n">
        <x:v>-0.1</x:v>
      </x:c>
      <x:c r="C27" s="6"/>
      <x:c r="D27" s="6"/>
      <x:c r="E27" s="6"/>
      <x:c r="F27" s="6"/>
      <x:c r="G27" s="6"/>
      <x:c r="H27" s="6"/>
    </x:row>
    <x:row r="28" s="1" customFormat="1" ht="14.25" hidden="0" customHeight="1">
      <x:c r="A28" s="7" t="s">
        <x:v>827</x:v>
      </x:c>
      <x:c r="B28" s="5" t="n">
        <x:v>0.05</x:v>
      </x:c>
      <x:c r="C28" s="6"/>
      <x:c r="D28" s="6"/>
      <x:c r="E28" s="6"/>
      <x:c r="F28" s="6"/>
      <x:c r="G28" s="6"/>
      <x:c r="H28" s="6"/>
    </x:row>
    <x:row r="29" s="1" customFormat="1" ht="14.25" hidden="0" customHeight="1">
      <x:c r="A29" s="7" t="s">
        <x:v>362</x:v>
      </x:c>
      <x:c r="B29" s="59" t="n">
        <x:v>25</x:v>
      </x:c>
      <x:c r="C29" s="6"/>
      <x:c r="D29" s="6"/>
      <x:c r="E29" s="6"/>
      <x:c r="F29" s="6"/>
      <x:c r="G29" s="6"/>
      <x:c r="H29" s="6"/>
    </x:row>
    <x:row r="30" s="1" customFormat="1" ht="21.75" hidden="0" customHeight="1">
      <x:c r="A30" s="7" t="s">
        <x:v>828</x:v>
      </x:c>
      <x:c r="B30" s="5" t="n">
        <x:v>0.9</x:v>
      </x:c>
      <x:c r="C30" s="6"/>
      <x:c r="D30" s="6"/>
      <x:c r="E30" s="6"/>
      <x:c r="F30" s="6"/>
      <x:c r="G30" s="6"/>
      <x:c r="H30" s="6"/>
    </x:row>
    <x:row r="31" s="1" customFormat="1" ht="21.75" hidden="0" customHeight="1">
      <x:c r="A31" s="7" t="s">
        <x:v>829</x:v>
      </x:c>
      <x:c r="B31" s="59" t="n">
        <x:v>0.95</x:v>
      </x:c>
      <x:c r="C31" s="6"/>
      <x:c r="D31" s="6"/>
      <x:c r="E31" s="6"/>
      <x:c r="F31" s="6"/>
      <x:c r="G31" s="6"/>
      <x:c r="H31" s="6"/>
    </x:row>
    <x:row r="32" s="1" customFormat="1" ht="21.75" hidden="0" customHeight="1">
      <x:c r="A32" s="7" t="s">
        <x:v>830</x:v>
      </x:c>
      <x:c r="B32" s="5" t="n">
        <x:v>0.95</x:v>
      </x:c>
      <x:c r="C32" s="6"/>
      <x:c r="D32" s="6"/>
      <x:c r="E32" s="6"/>
      <x:c r="F32" s="6"/>
      <x:c r="G32" s="6"/>
      <x:c r="H32" s="6"/>
    </x:row>
    <x:row r="33" s="1" customFormat="1" ht="21.75" hidden="0" customHeight="1">
      <x:c r="A33" s="7" t="s">
        <x:v>831</x:v>
      </x:c>
      <x:c r="B33" s="59" t="n">
        <x:v>0.99</x:v>
      </x:c>
      <x:c r="C33" s="6"/>
      <x:c r="D33" s="8"/>
      <x:c r="E33" s="6"/>
      <x:c r="F33" s="6"/>
      <x:c r="G33" s="6"/>
      <x:c r="H33" s="6"/>
    </x:row>
    <x:row r="34" s="1" customFormat="1" ht="21.75" hidden="0" customHeight="1">
      <x:c r="A34" s="7" t="s">
        <x:v>832</x:v>
      </x:c>
      <x:c r="B34" s="5" t="n">
        <x:v>0.999</x:v>
      </x:c>
      <x:c r="C34" s="6"/>
      <x:c r="D34" s="5"/>
      <x:c r="E34" s="6"/>
      <x:c r="F34" s="6"/>
      <x:c r="G34" s="6"/>
      <x:c r="H34" s="6"/>
    </x:row>
    <x:row r="35" s="1" customFormat="1" ht="21.75" hidden="0" customHeight="1">
      <x:c r="A35" s="51"/>
      <x:c r="B35" s="51"/>
      <x:c r="C35" s="6"/>
      <x:c r="D35" s="6"/>
      <x:c r="E35" s="6"/>
      <x:c r="F35" s="6"/>
      <x:c r="G35" s="6"/>
      <x:c r="H35" s="6"/>
    </x:row>
    <x:row r="36" s="1" customFormat="1" ht="13.5" hidden="0" customHeight="1">
      <x:c r="A36" s="7" t="s">
        <x:v>833</x:v>
      </x:c>
      <x:c r="B36" s="5" t="n">
        <x:v>0.02</x:v>
      </x:c>
      <x:c r="C36" s="6"/>
      <x:c r="D36" s="6"/>
      <x:c r="E36" s="6"/>
      <x:c r="F36" s="6"/>
      <x:c r="G36" s="6"/>
      <x:c r="H36" s="6"/>
    </x:row>
    <x:row r="37" s="1" customFormat="1" ht="14.25" hidden="0" customHeight="1">
      <x:c r="A37" s="7" t="s">
        <x:v>834</x:v>
      </x:c>
      <x:c r="B37" s="59" t="n">
        <x:v>0.1</x:v>
      </x:c>
      <x:c r="C37" s="6"/>
      <x:c r="D37" s="6"/>
      <x:c r="E37" s="6"/>
      <x:c r="F37" s="6"/>
      <x:c r="G37" s="6"/>
      <x:c r="H37" s="6"/>
    </x:row>
    <x:row r="38" s="1" customFormat="1" ht="14.25" hidden="0" customHeight="1">
      <x:c r="A38" s="7" t="s">
        <x:v>835</x:v>
      </x:c>
      <x:c r="B38" s="5" t="n">
        <x:v>0.75</x:v>
      </x:c>
      <x:c r="C38" s="6"/>
      <x:c r="D38" s="6" t="s">
        <x:v>836</x:v>
      </x:c>
      <x:c r="E38" s="6"/>
      <x:c r="F38" s="6"/>
      <x:c r="G38" s="6"/>
      <x:c r="H38" s="6"/>
    </x:row>
    <x:row r="39" s="1" customFormat="1" ht="14.25" hidden="0" customHeight="1">
      <x:c r="A39" s="7" t="s">
        <x:v>837</x:v>
      </x:c>
      <x:c r="B39" s="59" t="n">
        <x:v>1.25</x:v>
      </x:c>
      <x:c r="C39" s="6"/>
      <x:c r="D39" s="6" t="s">
        <x:v>838</x:v>
      </x:c>
      <x:c r="E39" s="6"/>
      <x:c r="F39" s="6"/>
      <x:c r="G39" s="6"/>
      <x:c r="H39" s="6"/>
    </x:row>
    <x:row r="40" s="1" customFormat="1" ht="14.25" hidden="0" customHeight="1">
      <x:c r="A40" s="7" t="s">
        <x:v>268</x:v>
      </x:c>
      <x:c r="B40" s="5" t="n">
        <x:v>0.083</x:v>
      </x:c>
      <x:c r="C40" s="6"/>
      <x:c r="D40" s="6"/>
      <x:c r="E40" s="6"/>
      <x:c r="F40" s="6"/>
      <x:c r="G40" s="6"/>
      <x:c r="H40" s="6"/>
    </x:row>
    <x:row r="41" s="1" customFormat="1" ht="14.25" hidden="0" customHeight="1">
      <x:c r="A41" s="7" t="s">
        <x:v>839</x:v>
      </x:c>
      <x:c r="B41" s="60" t="n">
        <x:v>0.116666666666667</x:v>
      </x:c>
      <x:c r="C41" s="6"/>
      <x:c r="D41" s="6"/>
      <x:c r="E41" s="6"/>
      <x:c r="F41" s="6"/>
      <x:c r="G41" s="6"/>
      <x:c r="H41" s="6"/>
    </x:row>
    <x:row r="42" s="1" customFormat="1" ht="14.25" hidden="0" customHeight="1">
      <x:c r="A42" s="7" t="s">
        <x:v>840</x:v>
      </x:c>
      <x:c r="B42" s="61" t="n">
        <x:v>0.0913333333333333</x:v>
      </x:c>
      <x:c r="C42" s="6"/>
      <x:c r="D42" s="6"/>
      <x:c r="E42" s="6"/>
      <x:c r="F42" s="6"/>
      <x:c r="G42" s="6"/>
      <x:c r="H42" s="6"/>
    </x:row>
    <x:row r="43" s="1" customFormat="1" ht="14.25" hidden="0" customHeight="1">
      <x:c r="A43" s="7" t="s">
        <x:v>841</x:v>
      </x:c>
      <x:c r="B43" s="60" t="n">
        <x:v>0.1034</x:v>
      </x:c>
      <x:c r="C43" s="6"/>
      <x:c r="D43" s="6"/>
      <x:c r="E43" s="6"/>
      <x:c r="F43" s="6"/>
      <x:c r="G43" s="6"/>
      <x:c r="H43" s="6"/>
    </x:row>
    <x:row r="44" s="1" customFormat="1" ht="14.25" hidden="0" customHeight="1">
      <x:c r="A44" s="7" t="s">
        <x:v>842</x:v>
      </x:c>
      <x:c r="B44" s="61" t="n">
        <x:v>0.102266666666667</x:v>
      </x:c>
      <x:c r="C44" s="6"/>
      <x:c r="D44" s="6"/>
      <x:c r="E44" s="6"/>
      <x:c r="F44" s="6"/>
      <x:c r="G44" s="6"/>
      <x:c r="H44" s="6"/>
    </x:row>
    <x:row r="45" s="1" customFormat="1" ht="13.5" hidden="0" customHeight="1">
      <x:c r="A45" s="6"/>
      <x:c r="B45" s="6"/>
      <x:c r="C45" s="6"/>
      <x:c r="D45" s="6"/>
      <x:c r="E45" s="6"/>
      <x:c r="F45" s="6"/>
      <x:c r="G45" s="6"/>
      <x:c r="H45" s="6"/>
    </x:row>
    <x:row r="46" s="1" customFormat="1" ht="13.5" hidden="0" customHeight="1">
      <x:c r="A46" s="6"/>
      <x:c r="B46" s="6"/>
      <x:c r="C46" s="6"/>
      <x:c r="D46" s="6"/>
      <x:c r="E46" s="6"/>
      <x:c r="F46" s="6"/>
      <x:c r="G46" s="6"/>
      <x:c r="H46" s="6"/>
    </x:row>
    <x:row r="47" s="1" customFormat="1" ht="14.25" hidden="0" customHeight="1">
      <x:c r="A47" s="7" t="s">
        <x:v>843</x:v>
      </x:c>
      <x:c r="B47" s="6"/>
      <x:c r="C47" s="6"/>
      <x:c r="D47" s="6"/>
      <x:c r="E47" s="6"/>
      <x:c r="F47" s="6"/>
      <x:c r="G47" s="6"/>
      <x:c r="H47" s="6"/>
    </x:row>
    <x:row r="48" s="1" customFormat="1" ht="14.25" hidden="0" customHeight="1">
      <x:c r="A48" s="7" t="s">
        <x:v>844</x:v>
      </x:c>
      <x:c r="B48" s="61" t="n">
        <x:v>0.142857142857143</x:v>
      </x:c>
      <x:c r="C48" s="6"/>
      <x:c r="D48" s="6"/>
      <x:c r="E48" s="6"/>
      <x:c r="F48" s="6"/>
      <x:c r="G48" s="6"/>
      <x:c r="H48" s="6"/>
    </x:row>
    <x:row r="49" s="1" customFormat="1" ht="14.25" hidden="0" customHeight="1">
      <x:c r="A49" s="7" t="s">
        <x:v>845</x:v>
      </x:c>
      <x:c r="B49" s="60" t="n">
        <x:v>0.142857142857143</x:v>
      </x:c>
      <x:c r="C49" s="6"/>
      <x:c r="D49" s="6"/>
      <x:c r="E49" s="6"/>
      <x:c r="F49" s="6"/>
      <x:c r="G49" s="6"/>
      <x:c r="H49" s="6"/>
    </x:row>
    <x:row r="50" s="1" customFormat="1" ht="14.25" hidden="0" customHeight="1">
      <x:c r="A50" s="7" t="s">
        <x:v>846</x:v>
      </x:c>
      <x:c r="B50" s="61" t="n">
        <x:v>0.142857142857143</x:v>
      </x:c>
      <x:c r="C50" s="6"/>
      <x:c r="D50" s="6"/>
      <x:c r="E50" s="6"/>
      <x:c r="F50" s="6"/>
      <x:c r="G50" s="6"/>
      <x:c r="H50" s="6"/>
    </x:row>
    <x:row r="51" s="1" customFormat="1" ht="14.25" hidden="0" customHeight="1">
      <x:c r="A51" s="7" t="s">
        <x:v>847</x:v>
      </x:c>
      <x:c r="B51" s="60" t="n">
        <x:v>0.142857142857143</x:v>
      </x:c>
      <x:c r="C51" s="6"/>
      <x:c r="D51" s="6"/>
      <x:c r="E51" s="6"/>
      <x:c r="F51" s="6"/>
      <x:c r="G51" s="6"/>
      <x:c r="H51" s="6"/>
    </x:row>
    <x:row r="52" s="1" customFormat="1" ht="14.25" hidden="0" customHeight="1">
      <x:c r="A52" s="7" t="s">
        <x:v>848</x:v>
      </x:c>
      <x:c r="B52" s="61" t="n">
        <x:v>0.142857142857143</x:v>
      </x:c>
      <x:c r="C52" s="6"/>
      <x:c r="D52" s="6"/>
      <x:c r="E52" s="6"/>
      <x:c r="F52" s="6"/>
      <x:c r="G52" s="6"/>
      <x:c r="H52" s="6"/>
    </x:row>
    <x:row r="53" s="1" customFormat="1" ht="14.25" hidden="0" customHeight="1">
      <x:c r="A53" s="7" t="s">
        <x:v>849</x:v>
      </x:c>
      <x:c r="B53" s="60" t="n">
        <x:v>0.142857142857143</x:v>
      </x:c>
      <x:c r="C53" s="6"/>
      <x:c r="D53" s="6"/>
      <x:c r="E53" s="6"/>
      <x:c r="F53" s="6"/>
      <x:c r="G53" s="6"/>
      <x:c r="H53" s="6"/>
    </x:row>
    <x:row r="54" s="1" customFormat="1" ht="14.25" hidden="0" customHeight="1">
      <x:c r="A54" s="7" t="s">
        <x:v>850</x:v>
      </x:c>
      <x:c r="B54" s="61" t="n">
        <x:v>0.142857142857143</x:v>
      </x:c>
      <x:c r="C54" s="6"/>
      <x:c r="D54" s="6"/>
      <x:c r="E54" s="6"/>
      <x:c r="F54" s="6"/>
      <x:c r="G54" s="6"/>
      <x:c r="H54" s="6"/>
    </x:row>
    <x:row r="55" s="1" customFormat="1" ht="21.75" hidden="0" customHeight="1">
      <x:c r="A55" s="7" t="s">
        <x:v>851</x:v>
      </x:c>
      <x:c r="B55" s="6"/>
      <x:c r="C55" s="6"/>
      <x:c r="D55" s="6"/>
      <x:c r="E55" s="6"/>
      <x:c r="F55" s="6"/>
      <x:c r="G55" s="6"/>
      <x:c r="H55" s="6"/>
    </x:row>
    <x:row r="56" s="1" customFormat="1" ht="21.75" hidden="0" customHeight="1">
      <x:c r="A56" s="7" t="s">
        <x:v>852</x:v>
      </x:c>
      <x:c r="B56" s="6"/>
      <x:c r="C56" s="6"/>
      <x:c r="D56" s="6"/>
      <x:c r="E56" s="6"/>
      <x:c r="F56" s="6"/>
      <x:c r="G56" s="6"/>
      <x:c r="H56" s="6"/>
    </x:row>
    <x:row r="57" s="1" customFormat="1" ht="21.75" hidden="0" customHeight="1">
      <x:c r="A57" s="7" t="s">
        <x:v>853</x:v>
      </x:c>
      <x:c r="B57" s="8" t="s">
        <x:v>854</x:v>
      </x:c>
      <x:c r="C57" s="6"/>
      <x:c r="D57" s="6"/>
      <x:c r="E57" s="6"/>
      <x:c r="F57" s="6"/>
      <x:c r="G57" s="6"/>
      <x:c r="H57" s="6"/>
    </x:row>
    <x:row r="58" s="1" customFormat="1" ht="19.5" hidden="0" customHeight="1">
      <x:c r="A58" s="7" t="s">
        <x:v>855</x:v>
      </x:c>
      <x:c r="B58" s="5" t="n">
        <x:v>0.2</x:v>
      </x:c>
      <x:c r="C58" s="6"/>
      <x:c r="D58" s="6"/>
      <x:c r="E58" s="6"/>
      <x:c r="F58" s="6"/>
      <x:c r="G58" s="6"/>
      <x:c r="H58" s="6"/>
    </x:row>
    <x:row r="59" s="1" customFormat="1" ht="19.5" hidden="0" customHeight="1">
      <x:c r="A59" s="7" t="s">
        <x:v>856</x:v>
      </x:c>
      <x:c r="B59" s="8" t="n">
        <x:v>0.06</x:v>
      </x:c>
      <x:c r="C59" s="6"/>
      <x:c r="D59" s="6"/>
      <x:c r="E59" s="6"/>
      <x:c r="F59" s="6"/>
      <x:c r="G59" s="6"/>
      <x:c r="H59" s="6"/>
    </x:row>
    <x:row r="60" s="1" customFormat="1" ht="19.5" hidden="0" customHeight="1">
      <x:c r="A60" s="7" t="s">
        <x:v>857</x:v>
      </x:c>
      <x:c r="B60" s="5" t="n">
        <x:v>0.06</x:v>
      </x:c>
      <x:c r="C60" s="6"/>
      <x:c r="D60" s="6"/>
      <x:c r="E60" s="6"/>
      <x:c r="F60" s="6"/>
      <x:c r="G60" s="6"/>
      <x:c r="H60" s="6"/>
    </x:row>
    <x:row r="61" s="1" customFormat="1" ht="19.5" hidden="0" customHeight="1">
      <x:c r="A61" s="7" t="s">
        <x:v>839</x:v>
      </x:c>
      <x:c r="B61" s="8" t="n">
        <x:v>0.06</x:v>
      </x:c>
      <x:c r="C61" s="6"/>
      <x:c r="D61" s="6"/>
      <x:c r="E61" s="6"/>
      <x:c r="F61" s="6"/>
      <x:c r="G61" s="6"/>
      <x:c r="H61" s="6"/>
    </x:row>
    <x:row r="62" s="1" customFormat="1" ht="19.5" hidden="0" customHeight="1">
      <x:c r="A62" s="7" t="s">
        <x:v>840</x:v>
      </x:c>
      <x:c r="B62" s="5" t="n">
        <x:v>0.08</x:v>
      </x:c>
      <x:c r="C62" s="6"/>
      <x:c r="D62" s="6"/>
      <x:c r="E62" s="6"/>
      <x:c r="F62" s="6"/>
      <x:c r="G62" s="6"/>
      <x:c r="H62" s="6"/>
    </x:row>
    <x:row r="63" s="1" customFormat="1" ht="19.5" hidden="0" customHeight="1">
      <x:c r="A63" s="7" t="s">
        <x:v>841</x:v>
      </x:c>
      <x:c r="B63" s="8" t="n">
        <x:v>0.1</x:v>
      </x:c>
      <x:c r="C63" s="6"/>
      <x:c r="D63" s="6"/>
      <x:c r="E63" s="6"/>
      <x:c r="F63" s="6"/>
      <x:c r="G63" s="6"/>
      <x:c r="H63" s="6"/>
    </x:row>
    <x:row r="64" s="1" customFormat="1" ht="19.5" hidden="0" customHeight="1">
      <x:c r="A64" s="7" t="s">
        <x:v>842</x:v>
      </x:c>
      <x:c r="B64" s="5" t="n">
        <x:v>0.1</x:v>
      </x:c>
      <x:c r="C64" s="6"/>
      <x:c r="D64" s="6"/>
      <x:c r="E64" s="6"/>
      <x:c r="F64" s="6"/>
      <x:c r="G64" s="6"/>
      <x:c r="H64" s="6"/>
    </x:row>
    <x:row r="65" s="1" customFormat="1" ht="19.5" hidden="0" customHeight="1">
      <x:c r="A65" s="6"/>
      <x:c r="B65" s="6"/>
      <x:c r="C65" s="6"/>
      <x:c r="D65" s="6"/>
      <x:c r="E65" s="6"/>
      <x:c r="F65" s="6"/>
      <x:c r="G65" s="6"/>
      <x:c r="H65" s="6"/>
    </x:row>
    <x:row r="66" s="1" customFormat="1" ht="19.5" hidden="0" customHeight="1">
      <x:c r="A66" s="7" t="s">
        <x:v>858</x:v>
      </x:c>
      <x:c r="B66" s="6"/>
      <x:c r="C66" s="6"/>
      <x:c r="D66" s="6"/>
      <x:c r="E66" s="6"/>
      <x:c r="F66" s="6"/>
      <x:c r="G66" s="6"/>
      <x:c r="H66" s="6"/>
    </x:row>
    <x:row r="67" s="1" customFormat="1" ht="19.5" hidden="0" customHeight="1">
      <x:c r="A67" s="7" t="s">
        <x:v>859</x:v>
      </x:c>
      <x:c r="B67" s="8" t="s">
        <x:v>854</x:v>
      </x:c>
      <x:c r="C67" s="6"/>
      <x:c r="D67" s="6"/>
      <x:c r="E67" s="6"/>
      <x:c r="F67" s="6"/>
      <x:c r="G67" s="6"/>
      <x:c r="H67" s="6"/>
    </x:row>
    <x:row r="68" s="1" customFormat="1" ht="19.5" hidden="0" customHeight="1">
      <x:c r="A68" s="7" t="s">
        <x:v>844</x:v>
      </x:c>
      <x:c r="B68" s="5" t="n">
        <x:v>0.08</x:v>
      </x:c>
      <x:c r="C68" s="6"/>
      <x:c r="D68" s="6"/>
      <x:c r="E68" s="6"/>
      <x:c r="F68" s="6"/>
      <x:c r="G68" s="6"/>
      <x:c r="H68" s="6"/>
    </x:row>
    <x:row r="69" s="1" customFormat="1" ht="19.5" hidden="0" customHeight="1">
      <x:c r="A69" s="7" t="s">
        <x:v>845</x:v>
      </x:c>
      <x:c r="B69" s="8" t="n">
        <x:v>0.1</x:v>
      </x:c>
      <x:c r="C69" s="6"/>
      <x:c r="D69" s="6"/>
      <x:c r="E69" s="6"/>
      <x:c r="F69" s="6"/>
      <x:c r="G69" s="6"/>
      <x:c r="H69" s="6"/>
    </x:row>
    <x:row r="70" s="1" customFormat="1" ht="19.5" hidden="0" customHeight="1">
      <x:c r="A70" s="7" t="s">
        <x:v>846</x:v>
      </x:c>
      <x:c r="B70" s="5" t="n">
        <x:v>0.08</x:v>
      </x:c>
      <x:c r="C70" s="6"/>
      <x:c r="D70" s="6"/>
      <x:c r="E70" s="6"/>
      <x:c r="F70" s="6"/>
      <x:c r="G70" s="6"/>
      <x:c r="H70" s="6"/>
    </x:row>
    <x:row r="71" s="1" customFormat="1" ht="19.5" hidden="0" customHeight="1">
      <x:c r="A71" s="7" t="s">
        <x:v>847</x:v>
      </x:c>
      <x:c r="B71" s="8" t="n">
        <x:v>0.08</x:v>
      </x:c>
      <x:c r="C71" s="6"/>
      <x:c r="D71" s="6"/>
      <x:c r="E71" s="6"/>
      <x:c r="F71" s="6"/>
      <x:c r="G71" s="6"/>
      <x:c r="H71" s="6"/>
    </x:row>
    <x:row r="72" s="1" customFormat="1" ht="19.5" hidden="0" customHeight="1">
      <x:c r="A72" s="7" t="s">
        <x:v>848</x:v>
      </x:c>
      <x:c r="B72" s="5" t="n">
        <x:v>0.1</x:v>
      </x:c>
      <x:c r="C72" s="6"/>
      <x:c r="D72" s="6"/>
      <x:c r="E72" s="6"/>
      <x:c r="F72" s="6"/>
      <x:c r="G72" s="6"/>
      <x:c r="H72" s="6"/>
    </x:row>
    <x:row r="73" s="1" customFormat="1" ht="19.5" hidden="0" customHeight="1">
      <x:c r="A73" s="7" t="s">
        <x:v>849</x:v>
      </x:c>
      <x:c r="B73" s="8" t="n">
        <x:v>0.06</x:v>
      </x:c>
      <x:c r="C73" s="6"/>
      <x:c r="D73" s="6"/>
      <x:c r="E73" s="6"/>
      <x:c r="F73" s="6"/>
      <x:c r="G73" s="6"/>
      <x:c r="H73" s="6"/>
    </x:row>
    <x:row r="74" s="1" customFormat="1" ht="19.5" hidden="0" customHeight="1">
      <x:c r="A74" s="7" t="s">
        <x:v>850</x:v>
      </x:c>
      <x:c r="B74" s="5" t="n">
        <x:v>0.1</x:v>
      </x:c>
      <x:c r="C74" s="6"/>
      <x:c r="D74" s="6"/>
      <x:c r="E74" s="6"/>
      <x:c r="F74" s="6"/>
      <x:c r="G74" s="6"/>
      <x:c r="H74" s="6"/>
    </x:row>
    <x:row r="75" s="1" customFormat="1" ht="12.75" hidden="0" customHeight="1">
      <x:c r="A75" s="6"/>
      <x:c r="B75" s="6"/>
      <x:c r="C75" s="6"/>
      <x:c r="D75" s="6"/>
      <x:c r="E75" s="6"/>
      <x:c r="F75" s="6"/>
      <x:c r="G75" s="6"/>
      <x:c r="H75" s="6"/>
    </x:row>
    <x:row r="76" s="1" customFormat="1" ht="27.75" hidden="0" customHeight="1">
      <x:c r="A76" s="7" t="s">
        <x:v>860</x:v>
      </x:c>
      <x:c r="B76" s="6"/>
      <x:c r="C76" s="6"/>
      <x:c r="D76" s="6"/>
      <x:c r="E76" s="6"/>
      <x:c r="F76" s="6"/>
      <x:c r="G76" s="6"/>
      <x:c r="H76" s="6"/>
    </x:row>
    <x:row r="77" s="1" customFormat="1" ht="27.75" hidden="0" customHeight="1">
      <x:c r="A77" s="7" t="s">
        <x:v>861</x:v>
      </x:c>
      <x:c r="B77" s="6"/>
      <x:c r="C77" s="6"/>
      <x:c r="D77" s="6"/>
      <x:c r="E77" s="6"/>
      <x:c r="F77" s="6"/>
      <x:c r="G77" s="6"/>
      <x:c r="H77" s="6"/>
    </x:row>
    <x:row r="78" s="1" customFormat="1" ht="27.75" hidden="0" customHeight="1">
      <x:c r="A78" s="7" t="s">
        <x:v>862</x:v>
      </x:c>
      <x:c r="B78" s="6"/>
      <x:c r="C78" s="6"/>
      <x:c r="D78" s="6"/>
      <x:c r="E78" s="6"/>
      <x:c r="F78" s="6"/>
      <x:c r="G78" s="6"/>
      <x:c r="H78" s="6"/>
    </x:row>
    <x:row r="79" s="1" customFormat="1" ht="27.75" hidden="0" customHeight="1">
      <x:c r="A79" s="7" t="s">
        <x:v>863</x:v>
      </x:c>
      <x:c r="B79" s="6"/>
      <x:c r="C79" s="6"/>
      <x:c r="D79" s="6"/>
      <x:c r="E79" s="6"/>
      <x:c r="F79" s="6"/>
      <x:c r="G79" s="6"/>
      <x:c r="H79" s="6"/>
    </x:row>
    <x:row r="80" s="1" customFormat="1" ht="27.75" hidden="0" customHeight="1">
      <x:c r="A80" s="7" t="s">
        <x:v>864</x:v>
      </x:c>
      <x:c r="B80" s="6"/>
      <x:c r="C80" s="6"/>
      <x:c r="D80" s="6"/>
      <x:c r="E80" s="6"/>
      <x:c r="F80" s="6"/>
      <x:c r="G80" s="6"/>
      <x:c r="H80" s="6"/>
    </x:row>
  </x:sheetData>
  <x:mergeCells>
    <x:mergeCell ref="A1:H1"/>
  </x:mergeCells>
  <x:pageMargins left="0.7" right="0.7" top="0.75" bottom="0.75" header="0.3" footer="0.3"/>
</x:worksheet>
</file>

<file path=xl/worksheets/sheet8.xml><?xml version="1.0" encoding="utf-8"?>
<x:worksheet xmlns:x="http://schemas.openxmlformats.org/spreadsheetml/2006/main">
  <x:sheetViews>
    <x:sheetView showGridLines="1" workbookViewId="0"/>
  </x:sheetViews>
  <x:sheetFormatPr defaultColWidth="8.66796875" defaultRowHeight="14.25"/>
  <x:cols>
    <x:col min="1" max="1" width="32" style="53" hidden="0" customWidth="1"/>
    <x:col min="2" max="3" width="27" style="1" hidden="0" customWidth="1"/>
    <x:col min="4" max="4" width="25" style="1" hidden="0" customWidth="1"/>
    <x:col min="5" max="5" width="28" style="1" hidden="0" customWidth="1"/>
    <x:col min="6" max="7" width="36" style="53" hidden="0" customWidth="1"/>
    <x:col min="8" max="8" width="48" style="1" hidden="0" customWidth="1"/>
    <x:col min="9" max="9" width="43" style="1" hidden="0" customWidth="1"/>
    <x:col min="10" max="10" width="30" hidden="0" customWidth="1"/>
    <x:col min="11" max="19" width="13" hidden="0" customWidth="1"/>
  </x:cols>
  <x:sheetData>
    <x:row r="1" s="1" customFormat="1" ht="24" hidden="0" customHeight="1">
      <x:c r="A1" s="2" t="s">
        <x:v>865</x:v>
      </x:c>
      <x:c r="B1" s="2"/>
      <x:c r="C1" s="2"/>
      <x:c r="D1" s="2"/>
      <x:c r="E1" s="2"/>
      <x:c r="F1" s="2"/>
      <x:c r="G1" s="2"/>
      <x:c r="H1" s="54"/>
      <x:c r="I1" s="54"/>
    </x:row>
    <x:row r="2" s="1" customFormat="1" ht="108" hidden="0" customHeight="1">
      <x:c r="A2" s="4" t="s">
        <x:v>1</x:v>
      </x:c>
      <x:c r="B2" s="5" t="s">
        <x:v>866</x:v>
      </x:c>
      <x:c r="C2" s="12"/>
      <x:c r="D2" s="12"/>
      <x:c r="E2" s="12"/>
      <x:c r="F2" s="12"/>
      <x:c r="G2" s="12"/>
      <x:c r="H2" s="12"/>
      <x:c r="I2" s="12"/>
    </x:row>
    <x:row r="3" s="1" customFormat="1" ht="14.25" hidden="0" customHeight="1">
      <x:c r="A3" s="7" t="s">
        <x:v>867</x:v>
      </x:c>
      <x:c r="B3" s="8" t="s">
        <x:v>55</x:v>
      </x:c>
      <x:c r="C3" s="12"/>
      <x:c r="D3" s="12"/>
      <x:c r="E3" s="12"/>
      <x:c r="F3" s="12"/>
      <x:c r="G3" s="12"/>
      <x:c r="H3" s="12"/>
      <x:c r="I3" s="12"/>
    </x:row>
    <x:row r="4" s="1" customFormat="1" ht="14.25" hidden="0" customHeight="1">
      <x:c r="A4" s="7" t="s">
        <x:v>165</x:v>
      </x:c>
      <x:c r="B4" s="5" t="s">
        <x:v>210</x:v>
      </x:c>
      <x:c r="C4" s="12"/>
      <x:c r="D4" s="12"/>
      <x:c r="E4" s="12"/>
      <x:c r="F4" s="12"/>
      <x:c r="G4" s="12"/>
      <x:c r="H4" s="12"/>
      <x:c r="I4" s="12"/>
    </x:row>
    <x:row r="5" s="1" customFormat="1" ht="14.25" hidden="0" customHeight="1">
      <x:c r="A5" s="7" t="s">
        <x:v>868</x:v>
      </x:c>
      <x:c r="B5" s="8" t="s">
        <x:v>43</x:v>
      </x:c>
      <x:c r="C5" s="12"/>
      <x:c r="D5" s="12"/>
      <x:c r="E5" s="12"/>
      <x:c r="F5" s="12"/>
      <x:c r="G5" s="12"/>
      <x:c r="H5" s="12"/>
      <x:c r="I5" s="12"/>
    </x:row>
    <x:row r="6" s="1" customFormat="1" ht="14.25" hidden="0" customHeight="1">
      <x:c r="A6" s="7" t="s">
        <x:v>869</x:v>
      </x:c>
      <x:c r="B6" s="18"/>
      <x:c r="C6" s="12"/>
      <x:c r="D6" s="12"/>
      <x:c r="E6" s="12"/>
      <x:c r="F6" s="12"/>
      <x:c r="G6" s="12"/>
      <x:c r="H6" s="12"/>
      <x:c r="I6" s="12"/>
    </x:row>
    <x:row r="7" s="1" customFormat="1" ht="14.25" hidden="0" customHeight="1">
      <x:c r="A7" s="12"/>
      <x:c r="B7" s="12"/>
      <x:c r="C7" s="12"/>
      <x:c r="D7" s="12"/>
      <x:c r="E7" s="12"/>
      <x:c r="F7" s="12"/>
      <x:c r="G7" s="12"/>
      <x:c r="H7" s="12"/>
      <x:c r="I7" s="12"/>
    </x:row>
    <x:row r="8" s="1" customFormat="1" ht="96" hidden="0" customHeight="1">
      <x:c r="A8" s="7" t="s">
        <x:v>870</x:v>
      </x:c>
      <x:c r="B8" s="5" t="s">
        <x:v>871</x:v>
      </x:c>
      <x:c r="C8" s="12"/>
      <x:c r="D8" s="12"/>
      <x:c r="E8" s="12"/>
      <x:c r="F8" s="12"/>
      <x:c r="G8" s="12"/>
      <x:c r="H8" s="12"/>
      <x:c r="I8" s="12"/>
    </x:row>
    <x:row r="9" s="1" customFormat="1" ht="14.25" hidden="0" customHeight="1">
      <x:c r="A9" s="12"/>
      <x:c r="B9" s="12"/>
      <x:c r="C9" s="12"/>
      <x:c r="D9" s="12"/>
      <x:c r="E9" s="12"/>
      <x:c r="F9" s="12"/>
      <x:c r="G9" s="12"/>
      <x:c r="H9" s="12"/>
      <x:c r="I9" s="12"/>
    </x:row>
    <x:row r="10" s="1" customFormat="1" ht="14.25" hidden="0" customHeight="1">
      <x:c r="A10" s="7" t="s">
        <x:v>853</x:v>
      </x:c>
      <x:c r="B10" s="5" t="s">
        <x:v>872</x:v>
      </x:c>
      <x:c r="C10" s="5" t="s">
        <x:v>873</x:v>
      </x:c>
      <x:c r="D10" s="5" t="s">
        <x:v>874</x:v>
      </x:c>
      <x:c r="E10" s="5" t="s">
        <x:v>875</x:v>
      </x:c>
      <x:c r="F10" s="5" t="s">
        <x:v>876</x:v>
      </x:c>
      <x:c r="G10" s="5" t="s">
        <x:v>877</x:v>
      </x:c>
      <x:c r="H10" s="5" t="s">
        <x:v>878</x:v>
      </x:c>
      <x:c r="I10" s="5" t="s">
        <x:v>879</x:v>
      </x:c>
      <x:c r="J10" s="62" t="s">
        <x:v>120</x:v>
      </x:c>
      <x:c r="K10" s="62" t="s">
        <x:v>880</x:v>
      </x:c>
      <x:c r="L10" s="62" t="s">
        <x:v>881</x:v>
      </x:c>
      <x:c r="M10" s="62" t="s">
        <x:v>882</x:v>
      </x:c>
      <x:c r="N10" s="62" t="s">
        <x:v>883</x:v>
      </x:c>
      <x:c r="O10" s="62" t="s">
        <x:v>884</x:v>
      </x:c>
      <x:c r="P10" s="62" t="s">
        <x:v>885</x:v>
      </x:c>
      <x:c r="Q10" s="62" t="s">
        <x:v>886</x:v>
      </x:c>
      <x:c r="R10" s="62" t="s">
        <x:v>887</x:v>
      </x:c>
      <x:c r="S10" s="62" t="s">
        <x:v>888</x:v>
      </x:c>
    </x:row>
    <x:row r="11" s="1" customFormat="1" ht="14.25" hidden="0" customHeight="1">
      <x:c r="A11" s="63"/>
      <x:c r="B11" s="63"/>
      <x:c r="C11" s="63"/>
      <x:c r="D11" s="63"/>
      <x:c r="E11" s="63"/>
      <x:c r="F11" s="63"/>
      <x:c r="G11" s="63"/>
      <x:c r="H11" s="12"/>
      <x:c r="I11" s="12"/>
      <x:c r="J11" s="64" t="s">
        <x:v>889</x:v>
      </x:c>
      <x:c r="K11" s="64"/>
      <x:c r="L11" s="64"/>
      <x:c r="M11" s="64"/>
      <x:c r="N11" s="64"/>
      <x:c r="O11" s="64"/>
      <x:c r="P11" s="64"/>
      <x:c r="Q11" s="64"/>
      <x:c r="R11" s="64"/>
      <x:c r="S11" s="64"/>
    </x:row>
    <x:row r="12" s="1" customFormat="1" ht="14.25" hidden="0" customHeight="1">
      <x:c r="A12" s="7" t="s">
        <x:v>855</x:v>
      </x:c>
      <x:c r="B12" s="5" t="n">
        <x:v>0.95</x:v>
      </x:c>
      <x:c r="C12" s="5" t="n">
        <x:v>0.2</x:v>
      </x:c>
      <x:c r="D12" s="5" t="n">
        <x:v>0.316666666666667</x:v>
      </x:c>
      <x:c r="E12" s="5" t="n">
        <x:v>0.307666666666667</x:v>
      </x:c>
      <x:c r="F12" s="5" t="s">
        <x:v>890</x:v>
      </x:c>
      <x:c r="G12" s="5" t="s">
        <x:v>891</x:v>
      </x:c>
      <x:c r="H12" s="5" t="s">
        <x:v>892</x:v>
      </x:c>
      <x:c r="I12" s="5" t="s">
        <x:v>893</x:v>
      </x:c>
      <x:c r="J12" s="64" t="s">
        <x:v>855</x:v>
      </x:c>
      <x:c r="K12" s="64" t="n">
        <x:v>0.95</x:v>
      </x:c>
      <x:c r="L12" s="64" t="n">
        <x:v>0.9</x:v>
      </x:c>
      <x:c r="M12" s="64" t="n">
        <x:v>0.8</x:v>
      </x:c>
      <x:c r="N12" s="64" t="n">
        <x:v>0.5</x:v>
      </x:c>
      <x:c r="O12" s="65" t="n">
        <x:v>0.764727180560844</x:v>
      </x:c>
      <x:c r="P12" s="65" t="n">
        <x:v>0.95</x:v>
      </x:c>
      <x:c r="Q12" s="65" t="n">
        <x:v>0.266786746588952</x:v>
      </x:c>
      <x:c r="R12" s="65" t="n">
        <x:v>0.248571428571429</x:v>
      </x:c>
      <x:c r="S12" s="65" t="n">
        <x:v>0.302866242038217</x:v>
      </x:c>
    </x:row>
    <x:row r="13" s="1" customFormat="1" ht="24" hidden="0" customHeight="1">
      <x:c r="A13" s="7" t="s">
        <x:v>856</x:v>
      </x:c>
      <x:c r="B13" s="8" t="n">
        <x:v>0.85</x:v>
      </x:c>
      <x:c r="C13" s="8" t="n">
        <x:v>0.06</x:v>
      </x:c>
      <x:c r="D13" s="8" t="n">
        <x:v>0.283333333333333</x:v>
      </x:c>
      <x:c r="E13" s="8" t="n">
        <x:v>0.156333333333333</x:v>
      </x:c>
      <x:c r="F13" s="8" t="s">
        <x:v>890</x:v>
      </x:c>
      <x:c r="G13" s="8" t="s">
        <x:v>894</x:v>
      </x:c>
      <x:c r="H13" s="8" t="s">
        <x:v>892</x:v>
      </x:c>
      <x:c r="I13" s="8" t="s">
        <x:v>895</x:v>
      </x:c>
      <x:c r="J13" s="64" t="s">
        <x:v>856</x:v>
      </x:c>
      <x:c r="K13" s="64" t="n">
        <x:v>0.85</x:v>
      </x:c>
      <x:c r="L13" s="64" t="n">
        <x:v>0.85</x:v>
      </x:c>
      <x:c r="M13" s="64" t="n">
        <x:v>0.75</x:v>
      </x:c>
      <x:c r="N13" s="64" t="n">
        <x:v>0.45</x:v>
      </x:c>
      <x:c r="O13" s="65" t="n">
        <x:v>0.702712869272682</x:v>
      </x:c>
      <x:c r="P13" s="65" t="n">
        <x:v>0.85</x:v>
      </x:c>
      <x:c r="Q13" s="65" t="n">
        <x:v>0.121370783617879</x:v>
      </x:c>
      <x:c r="R13" s="65" t="n">
        <x:v>0.108571428571429</x:v>
      </x:c>
      <x:c r="S13" s="65" t="n">
        <x:v>0.15203821656051</x:v>
      </x:c>
    </x:row>
    <x:row r="14" s="1" customFormat="1" ht="24" hidden="0" customHeight="1">
      <x:c r="A14" s="7" t="s">
        <x:v>857</x:v>
      </x:c>
      <x:c r="B14" s="5" t="n">
        <x:v>0.55</x:v>
      </x:c>
      <x:c r="C14" s="5" t="n">
        <x:v>0.06</x:v>
      </x:c>
      <x:c r="D14" s="5" t="n">
        <x:v>0.183333333333333</x:v>
      </x:c>
      <x:c r="E14" s="5" t="n">
        <x:v>0.122333333333333</x:v>
      </x:c>
      <x:c r="F14" s="5" t="s">
        <x:v>890</x:v>
      </x:c>
      <x:c r="G14" s="5" t="s">
        <x:v>896</x:v>
      </x:c>
      <x:c r="H14" s="5" t="s">
        <x:v>892</x:v>
      </x:c>
      <x:c r="I14" s="5" t="s">
        <x:v>897</x:v>
      </x:c>
      <x:c r="J14" s="64" t="s">
        <x:v>857</x:v>
      </x:c>
      <x:c r="K14" s="64" t="n">
        <x:v>0.55</x:v>
      </x:c>
      <x:c r="L14" s="64" t="n">
        <x:v>0.75</x:v>
      </x:c>
      <x:c r="M14" s="64" t="n">
        <x:v>0.65</x:v>
      </x:c>
      <x:c r="N14" s="64" t="n">
        <x:v>0.55</x:v>
      </x:c>
      <x:c r="O14" s="65" t="n">
        <x:v>0.619690730287009</x:v>
      </x:c>
      <x:c r="P14" s="65" t="n">
        <x:v>0.55</x:v>
      </x:c>
      <x:c r="Q14" s="65" t="n">
        <x:v>0.114120121291947</x:v>
      </x:c>
      <x:c r="R14" s="65" t="n">
        <x:v>0.108571428571429</x:v>
      </x:c>
      <x:c r="S14" s="65" t="n">
        <x:v>0.119554140127389</x:v>
      </x:c>
    </x:row>
    <x:row r="15" s="1" customFormat="1" ht="24" hidden="0" customHeight="1">
      <x:c r="A15" s="7" t="s">
        <x:v>839</x:v>
      </x:c>
      <x:c r="B15" s="8" t="n">
        <x:v>0.5</x:v>
      </x:c>
      <x:c r="C15" s="8" t="n">
        <x:v>0.06</x:v>
      </x:c>
      <x:c r="D15" s="8" t="n">
        <x:v>0.166666666666667</x:v>
      </x:c>
      <x:c r="E15" s="8" t="n">
        <x:v>0.116666666666667</x:v>
      </x:c>
      <x:c r="F15" s="8" t="s">
        <x:v>890</x:v>
      </x:c>
      <x:c r="G15" s="8" t="s">
        <x:v>898</x:v>
      </x:c>
      <x:c r="H15" s="8" t="s">
        <x:v>892</x:v>
      </x:c>
      <x:c r="I15" s="8" t="s">
        <x:v>899</x:v>
      </x:c>
      <x:c r="J15" s="64" t="s">
        <x:v>839</x:v>
      </x:c>
      <x:c r="K15" s="64" t="n">
        <x:v>0.5</x:v>
      </x:c>
      <x:c r="L15" s="64" t="n">
        <x:v>0.8</x:v>
      </x:c>
      <x:c r="M15" s="64" t="n">
        <x:v>0.75</x:v>
      </x:c>
      <x:c r="N15" s="64" t="n">
        <x:v>0.6</x:v>
      </x:c>
      <x:c r="O15" s="65" t="n">
        <x:v>0.651355562432631</x:v>
      </x:c>
      <x:c r="P15" s="65" t="n">
        <x:v>0.5</x:v>
      </x:c>
      <x:c r="Q15" s="65" t="n">
        <x:v>0.116885540351251</x:v>
      </x:c>
      <x:c r="R15" s="65" t="n">
        <x:v>0.108571428571429</x:v>
      </x:c>
      <x:c r="S15" s="65" t="n">
        <x:v>0.114140127388535</x:v>
      </x:c>
    </x:row>
    <x:row r="16" s="1" customFormat="1" ht="24" hidden="0" customHeight="1">
      <x:c r="A16" s="7" t="s">
        <x:v>840</x:v>
      </x:c>
      <x:c r="B16" s="5" t="n">
        <x:v>0.1</x:v>
      </x:c>
      <x:c r="C16" s="5" t="n">
        <x:v>0.08</x:v>
      </x:c>
      <x:c r="D16" s="5" t="n">
        <x:v>0.0333333333333333</x:v>
      </x:c>
      <x:c r="E16" s="5" t="n">
        <x:v>0.0913333333333333</x:v>
      </x:c>
      <x:c r="F16" s="5" t="s">
        <x:v>900</x:v>
      </x:c>
      <x:c r="G16" s="5" t="s">
        <x:v>901</x:v>
      </x:c>
      <x:c r="H16" s="5" t="s">
        <x:v>902</x:v>
      </x:c>
      <x:c r="I16" s="5" t="s">
        <x:v>903</x:v>
      </x:c>
      <x:c r="J16" s="64" t="s">
        <x:v>840</x:v>
      </x:c>
      <x:c r="K16" s="64" t="n">
        <x:v>0.2</x:v>
      </x:c>
      <x:c r="L16" s="64" t="n">
        <x:v>0.5</x:v>
      </x:c>
      <x:c r="M16" s="64" t="n">
        <x:v>0.5</x:v>
      </x:c>
      <x:c r="N16" s="64" t="n">
        <x:v>0.7</x:v>
      </x:c>
      <x:c r="O16" s="65" t="n">
        <x:v>0.432530772707211</x:v>
      </x:c>
      <x:c r="P16" s="65" t="n">
        <x:v>0.1</x:v>
      </x:c>
      <x:c r="Q16" s="65" t="n">
        <x:v>0.117774678137548</x:v>
      </x:c>
      <x:c r="R16" s="65" t="n">
        <x:v>0.128571428571429</x:v>
      </x:c>
      <x:c r="S16" s="65" t="n">
        <x:v>0.090828025477707</x:v>
      </x:c>
    </x:row>
    <x:row r="17" s="1" customFormat="1" ht="24" hidden="0" customHeight="1">
      <x:c r="A17" s="7" t="s">
        <x:v>841</x:v>
      </x:c>
      <x:c r="B17" s="8" t="n">
        <x:v>0.03</x:v>
      </x:c>
      <x:c r="C17" s="8" t="n">
        <x:v>0.1</x:v>
      </x:c>
      <x:c r="D17" s="8" t="n">
        <x:v>0.01</x:v>
      </x:c>
      <x:c r="E17" s="8" t="n">
        <x:v>0.1034</x:v>
      </x:c>
      <x:c r="F17" s="8" t="s">
        <x:v>900</x:v>
      </x:c>
      <x:c r="G17" s="8" t="s">
        <x:v>904</x:v>
      </x:c>
      <x:c r="H17" s="8" t="s">
        <x:v>902</x:v>
      </x:c>
      <x:c r="I17" s="8" t="s">
        <x:v>905</x:v>
      </x:c>
      <x:c r="J17" s="64" t="s">
        <x:v>841</x:v>
      </x:c>
      <x:c r="K17" s="64" t="n">
        <x:v>0.1</x:v>
      </x:c>
      <x:c r="L17" s="64" t="n">
        <x:v>0.3</x:v>
      </x:c>
      <x:c r="M17" s="64" t="n">
        <x:v>0.4</x:v>
      </x:c>
      <x:c r="N17" s="64" t="n">
        <x:v>0.8</x:v>
      </x:c>
      <x:c r="O17" s="65" t="n">
        <x:v>0.313016916014658</x:v>
      </x:c>
      <x:c r="P17" s="65" t="n">
        <x:v>0.095</x:v>
      </x:c>
      <x:c r="Q17" s="65" t="n">
        <x:v>0.127337045131042</x:v>
      </x:c>
      <x:c r="R17" s="65" t="n">
        <x:v>0.148571428571429</x:v>
      </x:c>
      <x:c r="S17" s="65" t="n">
        <x:v>0.110286624203822</x:v>
      </x:c>
    </x:row>
    <x:row r="18" s="1" customFormat="1" ht="14.25" hidden="0" customHeight="1">
      <x:c r="A18" s="7" t="s">
        <x:v>842</x:v>
      </x:c>
      <x:c r="B18" s="5" t="n">
        <x:v>0.02</x:v>
      </x:c>
      <x:c r="C18" s="5" t="n">
        <x:v>0.1</x:v>
      </x:c>
      <x:c r="D18" s="5" t="n">
        <x:v>0.00666666666666667</x:v>
      </x:c>
      <x:c r="E18" s="5" t="n">
        <x:v>0.102266666666667</x:v>
      </x:c>
      <x:c r="F18" s="5" t="s">
        <x:v>900</x:v>
      </x:c>
      <x:c r="G18" s="5" t="s">
        <x:v>906</x:v>
      </x:c>
      <x:c r="H18" s="5" t="s">
        <x:v>902</x:v>
      </x:c>
      <x:c r="I18" s="5" t="s">
        <x:v>907</x:v>
      </x:c>
      <x:c r="J18" s="64" t="s">
        <x:v>842</x:v>
      </x:c>
      <x:c r="K18" s="64" t="n">
        <x:v>0.1</x:v>
      </x:c>
      <x:c r="L18" s="64" t="n">
        <x:v>0.5</x:v>
      </x:c>
      <x:c r="M18" s="64" t="n">
        <x:v>0.8</x:v>
      </x:c>
      <x:c r="N18" s="64" t="n">
        <x:v>0.7</x:v>
      </x:c>
      <x:c r="O18" s="65" t="n">
        <x:v>0.409062348923505</x:v>
      </x:c>
      <x:c r="P18" s="65" t="n">
        <x:v>0.095</x:v>
      </x:c>
      <x:c r="Q18" s="65" t="n">
        <x:v>0.135725084881381</x:v>
      </x:c>
      <x:c r="R18" s="65" t="n">
        <x:v>0.148571428571429</x:v>
      </x:c>
      <x:c r="S18" s="65" t="n">
        <x:v>0.110286624203822</x:v>
      </x:c>
    </x:row>
    <x:row r="19" s="1" customFormat="1" ht="14.25" hidden="0" customHeight="1">
      <x:c r="A19" s="63"/>
      <x:c r="B19" s="63"/>
      <x:c r="C19" s="63"/>
      <x:c r="D19" s="63"/>
      <x:c r="E19" s="63"/>
      <x:c r="F19" s="63"/>
      <x:c r="G19" s="63"/>
      <x:c r="H19" s="12"/>
      <x:c r="I19" s="12"/>
    </x:row>
    <x:row r="20" s="1" customFormat="1" ht="14.25" hidden="0" customHeight="1">
      <x:c r="A20" s="7" t="s">
        <x:v>908</x:v>
      </x:c>
      <x:c r="B20" s="5" t="n">
        <x:v>0.34</x:v>
      </x:c>
      <x:c r="C20" s="63"/>
      <x:c r="D20" s="63"/>
      <x:c r="E20" s="63"/>
      <x:c r="F20" s="63"/>
      <x:c r="G20" s="63"/>
      <x:c r="H20" s="12"/>
      <x:c r="I20" s="12"/>
    </x:row>
    <x:row r="21" s="1" customFormat="1" ht="14.25" hidden="0" customHeight="1">
      <x:c r="A21" s="7" t="s">
        <x:v>909</x:v>
      </x:c>
      <x:c r="B21" s="8" t="n">
        <x:v>1</x:v>
      </x:c>
      <x:c r="C21" s="63"/>
      <x:c r="D21" s="63"/>
      <x:c r="E21" s="63"/>
      <x:c r="F21" s="63"/>
      <x:c r="G21" s="63"/>
      <x:c r="H21" s="12"/>
      <x:c r="I21" s="12"/>
    </x:row>
    <x:row r="22" s="1" customFormat="1" ht="14.25" hidden="0" customHeight="1">
      <x:c r="A22" s="7" t="s">
        <x:v>910</x:v>
      </x:c>
      <x:c r="B22" s="5" t="s">
        <x:v>292</x:v>
      </x:c>
      <x:c r="C22" s="63"/>
      <x:c r="D22" s="63"/>
      <x:c r="E22" s="63"/>
      <x:c r="F22" s="63"/>
      <x:c r="G22" s="63"/>
      <x:c r="H22" s="12"/>
      <x:c r="I22" s="12"/>
    </x:row>
    <x:row r="23" s="1" customFormat="1" ht="14.25" hidden="0" customHeight="1">
      <x:c r="A23" s="7" t="s">
        <x:v>911</x:v>
      </x:c>
      <x:c r="B23" s="8" t="s">
        <x:v>912</x:v>
      </x:c>
      <x:c r="C23" s="63"/>
      <x:c r="D23" s="63"/>
      <x:c r="E23" s="63"/>
      <x:c r="F23" s="63"/>
      <x:c r="G23" s="63"/>
      <x:c r="H23" s="12"/>
      <x:c r="I23" s="12"/>
    </x:row>
    <x:row r="24" s="1" customFormat="1" ht="108" hidden="0" customHeight="1">
      <x:c r="A24" s="7" t="s">
        <x:v>913</x:v>
      </x:c>
      <x:c r="B24" s="5" t="s">
        <x:v>914</x:v>
      </x:c>
      <x:c r="C24" s="5"/>
      <x:c r="D24" s="5"/>
      <x:c r="E24" s="5"/>
      <x:c r="F24" s="5"/>
      <x:c r="G24" s="5"/>
      <x:c r="H24" s="12"/>
      <x:c r="I24" s="12"/>
    </x:row>
    <x:row r="25" s="1" customFormat="1" ht="14.25" hidden="0" customHeight="1">
      <x:c r="A25" s="12"/>
      <x:c r="B25" s="12"/>
      <x:c r="C25" s="12"/>
      <x:c r="D25" s="12"/>
      <x:c r="E25" s="12"/>
      <x:c r="F25" s="12"/>
      <x:c r="G25" s="12"/>
      <x:c r="H25" s="12"/>
      <x:c r="I25" s="12"/>
    </x:row>
    <x:row r="26" s="1" customFormat="1" ht="24" hidden="0" customHeight="1">
      <x:c r="A26" s="7" t="s">
        <x:v>915</x:v>
      </x:c>
      <x:c r="B26" s="7"/>
      <x:c r="C26" s="12"/>
      <x:c r="D26" s="12"/>
      <x:c r="E26" s="12"/>
      <x:c r="F26" s="12"/>
      <x:c r="G26" s="12"/>
      <x:c r="H26" s="12"/>
      <x:c r="I26" s="12"/>
    </x:row>
    <x:row r="27" s="1" customFormat="1" ht="96" hidden="0" customHeight="1">
      <x:c r="A27" s="7" t="s">
        <x:v>916</x:v>
      </x:c>
      <x:c r="B27" s="8" t="s">
        <x:v>917</x:v>
      </x:c>
      <x:c r="C27" s="12"/>
      <x:c r="D27" s="12"/>
      <x:c r="E27" s="12"/>
      <x:c r="F27" s="12"/>
      <x:c r="G27" s="12"/>
      <x:c r="H27" s="12"/>
      <x:c r="I27" s="12"/>
    </x:row>
    <x:row r="28" s="1" customFormat="1" ht="192" hidden="0" customHeight="1">
      <x:c r="A28" s="7" t="s">
        <x:v>918</x:v>
      </x:c>
      <x:c r="B28" s="5" t="s">
        <x:v>919</x:v>
      </x:c>
      <x:c r="C28" s="12"/>
      <x:c r="D28" s="12"/>
      <x:c r="E28" s="12"/>
      <x:c r="F28" s="12"/>
      <x:c r="G28" s="12"/>
      <x:c r="H28" s="12"/>
      <x:c r="I28" s="12"/>
    </x:row>
    <x:row r="29" s="1" customFormat="1" ht="48" hidden="0" customHeight="1">
      <x:c r="A29" s="7" t="s">
        <x:v>920</x:v>
      </x:c>
      <x:c r="B29" s="8" t="s">
        <x:v>921</x:v>
      </x:c>
      <x:c r="C29" s="12"/>
      <x:c r="D29" s="12"/>
      <x:c r="E29" s="12"/>
      <x:c r="F29" s="12"/>
      <x:c r="G29" s="12"/>
      <x:c r="H29" s="12"/>
      <x:c r="I29" s="12"/>
    </x:row>
    <x:row r="30" s="1" customFormat="1" ht="108" hidden="0" customHeight="1">
      <x:c r="A30" s="7" t="s">
        <x:v>922</x:v>
      </x:c>
      <x:c r="B30" s="5" t="s">
        <x:v>923</x:v>
      </x:c>
      <x:c r="C30" s="12"/>
      <x:c r="D30" s="12"/>
      <x:c r="E30" s="12"/>
      <x:c r="F30" s="12"/>
      <x:c r="G30" s="12"/>
      <x:c r="H30" s="12"/>
      <x:c r="I30" s="12"/>
    </x:row>
    <x:row r="31" s="1" customFormat="1" ht="60" hidden="0" customHeight="1">
      <x:c r="A31" s="7" t="s">
        <x:v>924</x:v>
      </x:c>
      <x:c r="B31" s="8" t="s">
        <x:v>925</x:v>
      </x:c>
      <x:c r="C31" s="12"/>
      <x:c r="D31" s="12"/>
      <x:c r="E31" s="12"/>
      <x:c r="F31" s="12"/>
      <x:c r="G31" s="12"/>
      <x:c r="H31" s="12"/>
      <x:c r="I31" s="12"/>
    </x:row>
    <x:row r="32" ht="14.25" hidden="0" customHeight="1">
      <x:c r="A32" s="12"/>
      <x:c r="B32" s="12"/>
      <x:c r="C32" s="12"/>
      <x:c r="D32" s="12"/>
      <x:c r="E32" s="12"/>
      <x:c r="F32" s="12"/>
      <x:c r="G32" s="12"/>
      <x:c r="H32" s="12"/>
      <x:c r="I32" s="12"/>
    </x:row>
    <x:row r="33" ht="42" hidden="0" customHeight="1">
      <x:c r="A33" s="62" t="s">
        <x:v>926</x:v>
      </x:c>
      <x:c r="B33" s="62" t="s">
        <x:v>927</x:v>
      </x:c>
      <x:c r="C33" s="62" t="s">
        <x:v>928</x:v>
      </x:c>
      <x:c r="D33" s="62" t="s">
        <x:v>929</x:v>
      </x:c>
      <x:c r="E33" s="62" t="s">
        <x:v>930</x:v>
      </x:c>
      <x:c r="F33" s="62" t="s">
        <x:v>931</x:v>
      </x:c>
      <x:c r="G33" s="62" t="s">
        <x:v>932</x:v>
      </x:c>
      <x:c r="H33" s="62" t="s">
        <x:v>933</x:v>
      </x:c>
      <x:c r="I33" s="62" t="s">
        <x:v>458</x:v>
      </x:c>
    </x:row>
    <x:row r="34" ht="52" hidden="0" customHeight="1">
      <x:c r="A34" s="66" t="s">
        <x:v>934</x:v>
      </x:c>
      <x:c r="B34" s="66" t="s">
        <x:v>685</x:v>
      </x:c>
      <x:c r="C34" s="66" t="s">
        <x:v>685</x:v>
      </x:c>
      <x:c r="D34" s="66" t="s">
        <x:v>685</x:v>
      </x:c>
      <x:c r="E34" s="66" t="s">
        <x:v>685</x:v>
      </x:c>
      <x:c r="F34" s="66" t="s">
        <x:v>935</x:v>
      </x:c>
      <x:c r="G34" s="66" t="s">
        <x:v>404</x:v>
      </x:c>
      <x:c r="H34" s="66" t="s">
        <x:v>936</x:v>
      </x:c>
      <x:c r="I34" s="66" t="s">
        <x:v>937</x:v>
      </x:c>
    </x:row>
    <x:row r="35" ht="14.25" hidden="0" customHeight="1">
      <x:c r="A35" s="12" t="s">
        <x:v>938</x:v>
      </x:c>
      <x:c r="B35" s="67" t="n">
        <x:v>0.307666666666667</x:v>
      </x:c>
      <x:c r="C35" s="67" t="n">
        <x:v>0.266786746588952</x:v>
      </x:c>
      <x:c r="D35" s="67" t="n">
        <x:v>0.248571428571429</x:v>
      </x:c>
      <x:c r="E35" s="67" t="n">
        <x:v>0.302866242038217</x:v>
      </x:c>
      <x:c r="F35" s="12"/>
      <x:c r="G35" s="12"/>
      <x:c r="H35" s="12"/>
      <x:c r="I35" s="12"/>
    </x:row>
    <x:row r="36" ht="14.25" hidden="0" customHeight="1">
      <x:c r="A36" s="12" t="s">
        <x:v>939</x:v>
      </x:c>
      <x:c r="B36" s="67" t="n">
        <x:v>0.156333333333333</x:v>
      </x:c>
      <x:c r="C36" s="67" t="n">
        <x:v>0.121370783617879</x:v>
      </x:c>
      <x:c r="D36" s="67" t="n">
        <x:v>0.108571428571429</x:v>
      </x:c>
      <x:c r="E36" s="67" t="n">
        <x:v>0.15203821656051</x:v>
      </x:c>
      <x:c r="F36" s="12"/>
      <x:c r="G36" s="12"/>
      <x:c r="H36" s="12"/>
      <x:c r="I36" s="12"/>
    </x:row>
    <x:row r="37" ht="14.25" hidden="0" customHeight="1">
      <x:c r="A37" s="12" t="s">
        <x:v>940</x:v>
      </x:c>
      <x:c r="B37" s="67" t="n">
        <x:v>0.122333333333333</x:v>
      </x:c>
      <x:c r="C37" s="67" t="n">
        <x:v>0.114120121291947</x:v>
      </x:c>
      <x:c r="D37" s="67" t="n">
        <x:v>0.108571428571429</x:v>
      </x:c>
      <x:c r="E37" s="67" t="n">
        <x:v>0.119554140127389</x:v>
      </x:c>
      <x:c r="F37" s="12"/>
      <x:c r="G37" s="12"/>
      <x:c r="H37" s="12"/>
      <x:c r="I37" s="12"/>
    </x:row>
    <x:row r="38" ht="14.25" hidden="0" customHeight="1">
      <x:c r="A38" s="12" t="s">
        <x:v>941</x:v>
      </x:c>
      <x:c r="B38" s="67" t="n">
        <x:v>0.116666666666667</x:v>
      </x:c>
      <x:c r="C38" s="67" t="n">
        <x:v>0.116885540351251</x:v>
      </x:c>
      <x:c r="D38" s="67" t="n">
        <x:v>0.108571428571429</x:v>
      </x:c>
      <x:c r="E38" s="67" t="n">
        <x:v>0.114140127388535</x:v>
      </x:c>
      <x:c r="F38" s="12"/>
      <x:c r="G38" s="12"/>
      <x:c r="H38" s="12"/>
      <x:c r="I38" s="12"/>
    </x:row>
    <x:row r="39" ht="24" hidden="0" customHeight="1">
      <x:c r="A39" s="12" t="s">
        <x:v>942</x:v>
      </x:c>
      <x:c r="B39" s="67" t="n">
        <x:v>0.0913333333333333</x:v>
      </x:c>
      <x:c r="C39" s="67" t="n">
        <x:v>0.117774678137548</x:v>
      </x:c>
      <x:c r="D39" s="67" t="n">
        <x:v>0.128571428571429</x:v>
      </x:c>
      <x:c r="E39" s="67" t="n">
        <x:v>0.090828025477707</x:v>
      </x:c>
      <x:c r="F39" s="12"/>
      <x:c r="G39" s="12"/>
      <x:c r="H39" s="12"/>
      <x:c r="I39" s="12"/>
    </x:row>
    <x:row r="40" ht="38" hidden="0" customHeight="1">
      <x:c r="A40" s="12" t="s">
        <x:v>943</x:v>
      </x:c>
      <x:c r="B40" s="67" t="n">
        <x:v>0.1034</x:v>
      </x:c>
      <x:c r="C40" s="67" t="n">
        <x:v>0.127337045131042</x:v>
      </x:c>
      <x:c r="D40" s="67" t="n">
        <x:v>0.148571428571429</x:v>
      </x:c>
      <x:c r="E40" s="67" t="n">
        <x:v>0.110286624203822</x:v>
      </x:c>
      <x:c r="F40" s="12"/>
      <x:c r="G40" s="12"/>
      <x:c r="H40" s="12"/>
      <x:c r="I40" s="12"/>
    </x:row>
    <x:row r="41" ht="14.25" hidden="0">
      <x:c r="A41" s="64" t="s">
        <x:v>944</x:v>
      </x:c>
      <x:c r="B41" s="65" t="n">
        <x:v>0.102266666666667</x:v>
      </x:c>
      <x:c r="C41" s="65" t="n">
        <x:v>0.135725084881381</x:v>
      </x:c>
      <x:c r="D41" s="65" t="n">
        <x:v>0.148571428571429</x:v>
      </x:c>
      <x:c r="E41" s="65" t="n">
        <x:v>0.110286624203822</x:v>
      </x:c>
      <x:c r="F41" s="64"/>
      <x:c r="G41" s="64"/>
      <x:c r="H41" s="64"/>
      <x:c r="I41" s="64"/>
    </x:row>
    <x:row r="42" ht="44" hidden="0" customHeight="1">
      <x:c r="A42" s="395" t="s">
        <x:v>945</x:v>
      </x:c>
      <x:c r="B42" s="396" t="n">
        <x:v>0.0153129427168233</x:v>
      </x:c>
      <x:c r="C42" s="396" t="n">
        <x:v>0.0129800164721485</x:v>
      </x:c>
      <x:c r="D42" s="396" t="n">
        <x:v>0.012084277517833</x:v>
      </x:c>
      <x:c r="E42" s="396" t="n">
        <x:v>0.0151039535567746</x:v>
      </x:c>
      <x:c r="F42" s="397" t="s">
        <x:v>946</x:v>
      </x:c>
      <x:c r="G42" s="397" t="s">
        <x:v>404</x:v>
      </x:c>
      <x:c r="H42" s="397" t="s">
        <x:v>947</x:v>
      </x:c>
      <x:c r="I42" s="397" t="s">
        <x:v>948</x:v>
      </x:c>
    </x:row>
    <x:row r="43" ht="14.25" hidden="0">
      <x:c r="A43" s="395" t="s">
        <x:v>949</x:v>
      </x:c>
      <x:c r="B43" s="396" t="n">
        <x:v>-0.00112238738505248</x:v>
      </x:c>
      <x:c r="C43" s="396" t="n">
        <x:v>-0.000895670789552648</x:v>
      </x:c>
      <x:c r="D43" s="396" t="n">
        <x:v>-0.000831410840646811</x:v>
      </x:c>
      <x:c r="E43" s="396" t="n">
        <x:v>-0.00112432467816456</x:v>
      </x:c>
      <x:c r="F43" s="397"/>
      <x:c r="G43" s="397"/>
      <x:c r="H43" s="397"/>
      <x:c r="I43" s="397"/>
    </x:row>
    <x:row r="44" ht="23.850000381469727" hidden="0">
      <x:c r="A44" s="395" t="s">
        <x:v>950</x:v>
      </x:c>
      <x:c r="B44" s="396" t="n">
        <x:v>0.0164353301018758</x:v>
      </x:c>
      <x:c r="C44" s="396" t="n">
        <x:v>0.0138756872617011</x:v>
      </x:c>
      <x:c r="D44" s="396" t="n">
        <x:v>0.0129156883584798</x:v>
      </x:c>
      <x:c r="E44" s="396" t="n">
        <x:v>0.0162282782349391</x:v>
      </x:c>
      <x:c r="F44" s="397"/>
      <x:c r="G44" s="397"/>
      <x:c r="H44" s="397"/>
      <x:c r="I44" s="397" t="s">
        <x:v>951</x:v>
      </x:c>
    </x:row>
    <x:row r="45" ht="34" hidden="0" customHeight="1">
      <x:c r="A45" s="395" t="s">
        <x:v>952</x:v>
      </x:c>
      <x:c r="B45" s="397" t="s">
        <x:v>953</x:v>
      </x:c>
      <x:c r="C45" s="397" t="s">
        <x:v>953</x:v>
      </x:c>
      <x:c r="D45" s="397" t="s">
        <x:v>953</x:v>
      </x:c>
      <x:c r="E45" s="397" t="s">
        <x:v>953</x:v>
      </x:c>
      <x:c r="F45" s="397"/>
      <x:c r="G45" s="397"/>
      <x:c r="H45" s="397"/>
      <x:c r="I45" s="397"/>
    </x:row>
    <x:row r="46" ht="44" hidden="0" customHeight="1">
      <x:c r="A46" s="395" t="s">
        <x:v>954</x:v>
      </x:c>
      <x:c r="B46" s="397" t="s">
        <x:v>955</x:v>
      </x:c>
      <x:c r="C46" s="397" t="s">
        <x:v>233</x:v>
      </x:c>
      <x:c r="D46" s="397" t="s">
        <x:v>233</x:v>
      </x:c>
      <x:c r="E46" s="397" t="s">
        <x:v>233</x:v>
      </x:c>
      <x:c r="F46" s="397"/>
      <x:c r="G46" s="397"/>
      <x:c r="H46" s="397"/>
      <x:c r="I46" s="397"/>
    </x:row>
    <x:row r="47" ht="84" hidden="0" customHeight="1">
      <x:c r="A47" s="395" t="s">
        <x:v>956</x:v>
      </x:c>
      <x:c r="B47" s="397" t="str">
        <x:v>NON-DECISIVE</x:v>
      </x:c>
      <x:c r="C47" s="397" t="str">
        <x:v>NON-DECISIVE</x:v>
      </x:c>
      <x:c r="D47" s="397" t="str">
        <x:v>NON-DECISIVE</x:v>
      </x:c>
      <x:c r="E47" s="397" t="str">
        <x:v>NON-DECISIVE</x:v>
      </x:c>
      <x:c r="F47" s="397" t="str">
        <x:v>NON-DECISIVE UNDER UNCERTAINTY STRESS</x:v>
      </x:c>
      <x:c r="G47" s="397" t="str">
        <x:v>UNCERTAINTY_DECISIVENESS_SENSITIVE</x:v>
      </x:c>
      <x:c r="H47" s="397" t="str">
        <x:v>All four constructions retain Option A as the higher point-score option. None overcomes the unvalidated uncertainty basis or the σ×2 sensitivity; the governing framework result remains non-decisive.</x:v>
      </x:c>
      <x:c r="I47" s="397" t="str">
        <x:v>Canon §§10.3.2 and 10.4A</x:v>
      </x:c>
    </x:row>
    <x:row r="48" ht="35" hidden="0" customHeight="1">
      <x:c r="A48" s="395" t="s">
        <x:v>957</x:v>
      </x:c>
      <x:c r="B48" s="397" t="str">
        <x:v>BASELINE NON-DECISIVE</x:v>
      </x:c>
      <x:c r="C48" s="397" t="str">
        <x:v>NO</x:v>
      </x:c>
      <x:c r="D48" s="397" t="str">
        <x:v>NO</x:v>
      </x:c>
      <x:c r="E48" s="397" t="str">
        <x:v>NO</x:v>
      </x:c>
      <x:c r="F48" s="397"/>
      <x:c r="G48" s="397"/>
      <x:c r="H48" s="397"/>
      <x:c r="I48" s="397"/>
    </x:row>
    <x:row r="49" ht="60" hidden="0" customHeight="1">
      <x:c r="A49" s="395"/>
      <x:c r="B49" s="397" t="str">
        <x:v>COMPLETE_NO_RANKING_CHANGE__NONDECISIVE_UNDER_UNCERTAINTY_STRESS</x:v>
      </x:c>
      <x:c r="C49" s="397"/>
      <x:c r="D49" s="397"/>
      <x:c r="E49" s="397"/>
      <x:c r="F49" s="397"/>
      <x:c r="G49" s="397"/>
      <x:c r="H49" s="397"/>
      <x:c r="I49" s="397"/>
    </x:row>
    <x:row r="50" ht="60" hidden="0" customHeight="1">
      <x:c r="A50" s="395" t="s">
        <x:v>958</x:v>
      </x:c>
      <x:c r="B50" s="397" t="str">
        <x:v>COMPLETE_NO_RANKING_CHANGE__NONDECISIVE_UNDER_UNCERTAINTY_STRESS</x:v>
      </x:c>
      <x:c r="C50" s="397"/>
      <x:c r="D50" s="397"/>
      <x:c r="E50" s="397"/>
      <x:c r="F50" s="397"/>
      <x:c r="G50" s="397"/>
      <x:c r="H50" s="397" t="str">
        <x:v>Worked-run robustness comparison only: prominence constructions preserve the point-score ordering, but they do not cure uncertainty-calibration or decisiveness sensitivity.</x:v>
      </x:c>
      <x:c r="I50" s="397"/>
    </x:row>
  </x:sheetData>
  <x:mergeCells>
    <x:mergeCell ref="A1:G1"/>
    <x:mergeCell ref="B24:G24"/>
    <x:mergeCell ref="A26:B26"/>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ColWidth="8.66796875" defaultRowHeight="12.75"/>
  <x:cols>
    <x:col min="1" max="1" width="36" style="1" hidden="0" customWidth="1"/>
    <x:col min="2" max="8" width="16" style="1" hidden="0" customWidth="1"/>
  </x:cols>
  <x:sheetData>
    <x:row r="1" s="1" customFormat="1" ht="14.25" hidden="0" customHeight="1">
      <x:c r="A1" s="2" t="s">
        <x:v>959</x:v>
      </x:c>
      <x:c r="B1" s="2"/>
      <x:c r="C1" s="2"/>
      <x:c r="D1" s="2"/>
      <x:c r="E1" s="2"/>
      <x:c r="F1" s="2"/>
      <x:c r="G1" s="2"/>
      <x:c r="H1" s="2"/>
    </x:row>
    <x:row r="2" s="1" customFormat="1" ht="13.5" hidden="0" customHeight="1">
      <x:c r="A2" s="6"/>
      <x:c r="B2" s="6"/>
      <x:c r="C2" s="6"/>
      <x:c r="D2" s="6"/>
      <x:c r="E2" s="6"/>
      <x:c r="F2" s="6"/>
      <x:c r="G2" s="6"/>
      <x:c r="H2" s="6"/>
    </x:row>
    <x:row r="3" s="1" customFormat="1" ht="14.25" hidden="0" customHeight="1">
      <x:c r="A3" s="7" t="s">
        <x:v>960</x:v>
      </x:c>
      <x:c r="B3" s="6"/>
      <x:c r="C3" s="6"/>
      <x:c r="D3" s="6"/>
      <x:c r="E3" s="6"/>
      <x:c r="F3" s="6"/>
      <x:c r="G3" s="6"/>
      <x:c r="H3" s="6"/>
    </x:row>
    <x:row r="4" s="1" customFormat="1" ht="13.5" hidden="0" customHeight="1">
      <x:c r="A4" s="6"/>
      <x:c r="B4" s="6"/>
      <x:c r="C4" s="6"/>
      <x:c r="D4" s="6"/>
      <x:c r="E4" s="6"/>
      <x:c r="F4" s="6"/>
      <x:c r="G4" s="6"/>
      <x:c r="H4" s="6"/>
    </x:row>
    <x:row r="5" s="1" customFormat="1" ht="14.25" hidden="0" customHeight="1">
      <x:c r="A5" s="7" t="s">
        <x:v>961</x:v>
      </x:c>
      <x:c r="B5" s="69" t="s">
        <x:v>271</x:v>
      </x:c>
      <x:c r="C5" s="69" t="s">
        <x:v>853</x:v>
      </x:c>
      <x:c r="D5" s="69" t="s">
        <x:v>859</x:v>
      </x:c>
      <x:c r="E5" s="69" t="s">
        <x:v>273</x:v>
      </x:c>
      <x:c r="F5" s="6"/>
      <x:c r="G5" s="6"/>
      <x:c r="H5" s="6"/>
    </x:row>
    <x:row r="6" s="1" customFormat="1" ht="14.25" hidden="0" customHeight="1">
      <x:c r="A6" s="7" t="s">
        <x:v>961</x:v>
      </x:c>
      <x:c r="B6" s="5" t="s">
        <x:v>271</x:v>
      </x:c>
      <x:c r="C6" s="5" t="s">
        <x:v>853</x:v>
      </x:c>
      <x:c r="D6" s="5" t="s">
        <x:v>859</x:v>
      </x:c>
      <x:c r="E6" s="5" t="s">
        <x:v>273</x:v>
      </x:c>
      <x:c r="F6" s="6"/>
      <x:c r="G6" s="6"/>
      <x:c r="H6" s="6"/>
    </x:row>
    <x:row r="7" s="1" customFormat="1" ht="14.25" hidden="0" customHeight="1">
      <x:c r="A7" s="7" t="n">
        <x:v>1</x:v>
      </x:c>
      <x:c r="B7" s="8" t="s">
        <x:v>275</x:v>
      </x:c>
      <x:c r="C7" s="8" t="s">
        <x:v>962</x:v>
      </x:c>
      <x:c r="D7" s="70" t="s">
        <x:v>963</x:v>
      </x:c>
      <x:c r="E7" s="70" t="n">
        <x:v>-0.9</x:v>
      </x:c>
      <x:c r="F7" s="6"/>
      <x:c r="G7" s="6"/>
      <x:c r="H7" s="6"/>
    </x:row>
    <x:row r="8" s="1" customFormat="1" ht="14.25" hidden="0" customHeight="1">
      <x:c r="A8" s="7" t="n">
        <x:v>2</x:v>
      </x:c>
      <x:c r="B8" s="5" t="s">
        <x:v>275</x:v>
      </x:c>
      <x:c r="C8" s="5" t="s">
        <x:v>964</x:v>
      </x:c>
      <x:c r="D8" s="71" t="s">
        <x:v>963</x:v>
      </x:c>
      <x:c r="E8" s="71" t="n">
        <x:v>-0.9</x:v>
      </x:c>
      <x:c r="F8" s="6"/>
      <x:c r="G8" s="6"/>
      <x:c r="H8" s="6"/>
    </x:row>
    <x:row r="9" s="1" customFormat="1" ht="14.25" hidden="0" customHeight="1">
      <x:c r="A9" s="7" t="n">
        <x:v>3</x:v>
      </x:c>
      <x:c r="B9" s="8" t="s">
        <x:v>275</x:v>
      </x:c>
      <x:c r="C9" s="8" t="s">
        <x:v>965</x:v>
      </x:c>
      <x:c r="D9" s="70" t="s">
        <x:v>963</x:v>
      </x:c>
      <x:c r="E9" s="70" t="n">
        <x:v>-0.9</x:v>
      </x:c>
      <x:c r="F9" s="6"/>
      <x:c r="G9" s="6"/>
      <x:c r="H9" s="6"/>
    </x:row>
    <x:row r="10" s="1" customFormat="1" ht="14.25" hidden="0" customHeight="1">
      <x:c r="A10" s="7" t="n">
        <x:v>4</x:v>
      </x:c>
      <x:c r="B10" s="5" t="s">
        <x:v>275</x:v>
      </x:c>
      <x:c r="C10" s="5" t="s">
        <x:v>966</x:v>
      </x:c>
      <x:c r="D10" s="71" t="s">
        <x:v>963</x:v>
      </x:c>
      <x:c r="E10" s="71" t="n">
        <x:v>-0.9</x:v>
      </x:c>
      <x:c r="F10" s="6"/>
      <x:c r="G10" s="6"/>
      <x:c r="H10" s="6"/>
    </x:row>
    <x:row r="11" s="1" customFormat="1" ht="14.25" hidden="0" customHeight="1">
      <x:c r="A11" s="7" t="n">
        <x:v>5</x:v>
      </x:c>
      <x:c r="B11" s="8" t="s">
        <x:v>275</x:v>
      </x:c>
      <x:c r="C11" s="8" t="s">
        <x:v>967</x:v>
      </x:c>
      <x:c r="D11" s="70" t="s">
        <x:v>963</x:v>
      </x:c>
      <x:c r="E11" s="70" t="n">
        <x:v>-0.9</x:v>
      </x:c>
      <x:c r="F11" s="6"/>
      <x:c r="G11" s="6"/>
      <x:c r="H11" s="6"/>
    </x:row>
    <x:row r="12" s="1" customFormat="1" ht="14.25" hidden="0" customHeight="1">
      <x:c r="A12" s="7" t="n">
        <x:v>6</x:v>
      </x:c>
      <x:c r="B12" s="5" t="s">
        <x:v>275</x:v>
      </x:c>
      <x:c r="C12" s="5" t="s">
        <x:v>968</x:v>
      </x:c>
      <x:c r="D12" s="71" t="s">
        <x:v>963</x:v>
      </x:c>
      <x:c r="E12" s="71" t="n">
        <x:v>-0.9</x:v>
      </x:c>
      <x:c r="F12" s="6"/>
      <x:c r="G12" s="6"/>
      <x:c r="H12" s="6"/>
    </x:row>
    <x:row r="13" s="1" customFormat="1" ht="14.25" hidden="0" customHeight="1">
      <x:c r="A13" s="7" t="n">
        <x:v>7</x:v>
      </x:c>
      <x:c r="B13" s="8" t="s">
        <x:v>275</x:v>
      </x:c>
      <x:c r="C13" s="8" t="s">
        <x:v>968</x:v>
      </x:c>
      <x:c r="D13" s="70" t="s">
        <x:v>969</x:v>
      </x:c>
      <x:c r="E13" s="70" t="n">
        <x:v>-0.9</x:v>
      </x:c>
      <x:c r="F13" s="6"/>
      <x:c r="G13" s="6"/>
      <x:c r="H13" s="6"/>
    </x:row>
    <x:row r="14" s="1" customFormat="1" ht="14.25" hidden="0" customHeight="1">
      <x:c r="A14" s="7" t="n">
        <x:v>8</x:v>
      </x:c>
      <x:c r="B14" s="5" t="s">
        <x:v>276</x:v>
      </x:c>
      <x:c r="C14" s="5" t="s">
        <x:v>962</x:v>
      </x:c>
      <x:c r="D14" s="71" t="s">
        <x:v>963</x:v>
      </x:c>
      <x:c r="E14" s="71" t="n">
        <x:v>-0.7</x:v>
      </x:c>
      <x:c r="F14" s="6"/>
      <x:c r="G14" s="6"/>
      <x:c r="H14" s="6"/>
    </x:row>
    <x:row r="15" s="1" customFormat="1" ht="14.25" hidden="0" customHeight="1">
      <x:c r="A15" s="7" t="n">
        <x:v>9</x:v>
      </x:c>
      <x:c r="B15" s="8" t="s">
        <x:v>276</x:v>
      </x:c>
      <x:c r="C15" s="8" t="s">
        <x:v>964</x:v>
      </x:c>
      <x:c r="D15" s="70" t="s">
        <x:v>963</x:v>
      </x:c>
      <x:c r="E15" s="70" t="n">
        <x:v>-0.7</x:v>
      </x:c>
      <x:c r="F15" s="6"/>
      <x:c r="G15" s="6"/>
      <x:c r="H15" s="6"/>
    </x:row>
    <x:row r="16" s="1" customFormat="1" ht="14.25" hidden="0" customHeight="1">
      <x:c r="A16" s="7" t="n">
        <x:v>10</x:v>
      </x:c>
      <x:c r="B16" s="5" t="s">
        <x:v>276</x:v>
      </x:c>
      <x:c r="C16" s="5" t="s">
        <x:v>965</x:v>
      </x:c>
      <x:c r="D16" s="71" t="s">
        <x:v>963</x:v>
      </x:c>
      <x:c r="E16" s="71" t="n">
        <x:v>-0.7</x:v>
      </x:c>
      <x:c r="F16" s="6"/>
      <x:c r="G16" s="6"/>
      <x:c r="H16" s="6"/>
    </x:row>
    <x:row r="17" s="1" customFormat="1" ht="14.25" hidden="0" customHeight="1">
      <x:c r="A17" s="7" t="n">
        <x:v>11</x:v>
      </x:c>
      <x:c r="B17" s="8" t="s">
        <x:v>276</x:v>
      </x:c>
      <x:c r="C17" s="8" t="s">
        <x:v>966</x:v>
      </x:c>
      <x:c r="D17" s="70" t="s">
        <x:v>963</x:v>
      </x:c>
      <x:c r="E17" s="70" t="n">
        <x:v>-0.7</x:v>
      </x:c>
      <x:c r="F17" s="6"/>
      <x:c r="G17" s="6"/>
      <x:c r="H17" s="6"/>
    </x:row>
    <x:row r="18" s="1" customFormat="1" ht="14.25" hidden="0" customHeight="1">
      <x:c r="A18" s="7" t="n">
        <x:v>12</x:v>
      </x:c>
      <x:c r="B18" s="5" t="s">
        <x:v>276</x:v>
      </x:c>
      <x:c r="C18" s="5" t="s">
        <x:v>967</x:v>
      </x:c>
      <x:c r="D18" s="71" t="s">
        <x:v>963</x:v>
      </x:c>
      <x:c r="E18" s="71" t="n">
        <x:v>-0.7</x:v>
      </x:c>
      <x:c r="F18" s="6"/>
      <x:c r="G18" s="6"/>
      <x:c r="H18" s="6"/>
    </x:row>
    <x:row r="19" s="1" customFormat="1" ht="14.25" hidden="0" customHeight="1">
      <x:c r="A19" s="7" t="n">
        <x:v>13</x:v>
      </x:c>
      <x:c r="B19" s="8" t="s">
        <x:v>276</x:v>
      </x:c>
      <x:c r="C19" s="8" t="s">
        <x:v>968</x:v>
      </x:c>
      <x:c r="D19" s="70" t="s">
        <x:v>963</x:v>
      </x:c>
      <x:c r="E19" s="70" t="n">
        <x:v>-0.7</x:v>
      </x:c>
      <x:c r="F19" s="6"/>
      <x:c r="G19" s="6"/>
      <x:c r="H19" s="6"/>
    </x:row>
    <x:row r="20" s="1" customFormat="1" ht="14.25" hidden="0" customHeight="1">
      <x:c r="A20" s="7" t="n">
        <x:v>14</x:v>
      </x:c>
      <x:c r="B20" s="5" t="s">
        <x:v>282</x:v>
      </x:c>
      <x:c r="C20" s="5" t="s">
        <x:v>968</x:v>
      </x:c>
      <x:c r="D20" s="71" t="s">
        <x:v>969</x:v>
      </x:c>
      <x:c r="E20" s="71" t="n">
        <x:v>-0.65</x:v>
      </x:c>
      <x:c r="F20" s="6"/>
      <x:c r="G20" s="6"/>
      <x:c r="H20" s="6"/>
    </x:row>
    <x:row r="21" s="1" customFormat="1" ht="14.25" hidden="0" customHeight="1">
      <x:c r="A21" s="7" t="n">
        <x:v>15</x:v>
      </x:c>
      <x:c r="B21" s="8" t="s">
        <x:v>282</x:v>
      </x:c>
      <x:c r="C21" s="8" t="s">
        <x:v>970</x:v>
      </x:c>
      <x:c r="D21" s="70" t="s">
        <x:v>969</x:v>
      </x:c>
      <x:c r="E21" s="70" t="n">
        <x:v>-0.65</x:v>
      </x:c>
      <x:c r="F21" s="6"/>
      <x:c r="G21" s="6"/>
      <x:c r="H21" s="6"/>
    </x:row>
    <x:row r="22" s="1" customFormat="1" ht="14.25" hidden="0" customHeight="1">
      <x:c r="A22" s="7" t="n">
        <x:v>16</x:v>
      </x:c>
      <x:c r="B22" s="5" t="s">
        <x:v>277</x:v>
      </x:c>
      <x:c r="C22" s="5" t="s">
        <x:v>962</x:v>
      </x:c>
      <x:c r="D22" s="71" t="s">
        <x:v>971</x:v>
      </x:c>
      <x:c r="E22" s="71" t="n">
        <x:v>-0.65</x:v>
      </x:c>
      <x:c r="F22" s="6"/>
      <x:c r="G22" s="6"/>
      <x:c r="H22" s="6"/>
    </x:row>
    <x:row r="23" s="1" customFormat="1" ht="14.25" hidden="0" customHeight="1">
      <x:c r="A23" s="7" t="n">
        <x:v>17</x:v>
      </x:c>
      <x:c r="B23" s="8" t="s">
        <x:v>277</x:v>
      </x:c>
      <x:c r="C23" s="8" t="s">
        <x:v>964</x:v>
      </x:c>
      <x:c r="D23" s="70" t="s">
        <x:v>971</x:v>
      </x:c>
      <x:c r="E23" s="70" t="n">
        <x:v>-0.65</x:v>
      </x:c>
      <x:c r="F23" s="6"/>
      <x:c r="G23" s="6"/>
      <x:c r="H23" s="6"/>
    </x:row>
    <x:row r="24" s="1" customFormat="1" ht="14.25" hidden="0" customHeight="1">
      <x:c r="A24" s="7" t="n">
        <x:v>18</x:v>
      </x:c>
      <x:c r="B24" s="5" t="s">
        <x:v>277</x:v>
      </x:c>
      <x:c r="C24" s="5" t="s">
        <x:v>965</x:v>
      </x:c>
      <x:c r="D24" s="71" t="s">
        <x:v>971</x:v>
      </x:c>
      <x:c r="E24" s="71" t="n">
        <x:v>-0.65</x:v>
      </x:c>
      <x:c r="F24" s="6"/>
      <x:c r="G24" s="6"/>
      <x:c r="H24" s="6"/>
    </x:row>
    <x:row r="25" s="1" customFormat="1" ht="14.25" hidden="0" customHeight="1">
      <x:c r="A25" s="7" t="n">
        <x:v>19</x:v>
      </x:c>
      <x:c r="B25" s="8" t="s">
        <x:v>277</x:v>
      </x:c>
      <x:c r="C25" s="8" t="s">
        <x:v>966</x:v>
      </x:c>
      <x:c r="D25" s="70" t="s">
        <x:v>971</x:v>
      </x:c>
      <x:c r="E25" s="70" t="n">
        <x:v>-0.65</x:v>
      </x:c>
      <x:c r="F25" s="6"/>
      <x:c r="G25" s="6"/>
      <x:c r="H25" s="6"/>
    </x:row>
    <x:row r="26" s="1" customFormat="1" ht="14.25" hidden="0" customHeight="1">
      <x:c r="A26" s="7" t="n">
        <x:v>20</x:v>
      </x:c>
      <x:c r="B26" s="5" t="s">
        <x:v>277</x:v>
      </x:c>
      <x:c r="C26" s="5" t="s">
        <x:v>967</x:v>
      </x:c>
      <x:c r="D26" s="71" t="s">
        <x:v>971</x:v>
      </x:c>
      <x:c r="E26" s="71" t="n">
        <x:v>-0.65</x:v>
      </x:c>
      <x:c r="F26" s="6"/>
      <x:c r="G26" s="6"/>
      <x:c r="H26" s="6"/>
    </x:row>
    <x:row r="27" s="1" customFormat="1" ht="14.25" hidden="0" customHeight="1">
      <x:c r="A27" s="7" t="n">
        <x:v>21</x:v>
      </x:c>
      <x:c r="B27" s="8" t="s">
        <x:v>277</x:v>
      </x:c>
      <x:c r="C27" s="8" t="s">
        <x:v>968</x:v>
      </x:c>
      <x:c r="D27" s="70" t="s">
        <x:v>971</x:v>
      </x:c>
      <x:c r="E27" s="70" t="n">
        <x:v>-0.65</x:v>
      </x:c>
      <x:c r="F27" s="6"/>
      <x:c r="G27" s="6"/>
      <x:c r="H27" s="6"/>
    </x:row>
    <x:row r="28" s="1" customFormat="1" ht="14.25" hidden="0" customHeight="1">
      <x:c r="A28" s="7" t="n">
        <x:v>22</x:v>
      </x:c>
      <x:c r="B28" s="5" t="s">
        <x:v>277</x:v>
      </x:c>
      <x:c r="C28" s="5" t="s">
        <x:v>965</x:v>
      </x:c>
      <x:c r="D28" s="71" t="s">
        <x:v>972</x:v>
      </x:c>
      <x:c r="E28" s="71" t="n">
        <x:v>-0.65</x:v>
      </x:c>
      <x:c r="F28" s="6"/>
      <x:c r="G28" s="6"/>
      <x:c r="H28" s="6"/>
    </x:row>
    <x:row r="29" s="1" customFormat="1" ht="14.25" hidden="0" customHeight="1">
      <x:c r="A29" s="7" t="n">
        <x:v>23</x:v>
      </x:c>
      <x:c r="B29" s="8" t="s">
        <x:v>277</x:v>
      </x:c>
      <x:c r="C29" s="8" t="s">
        <x:v>966</x:v>
      </x:c>
      <x:c r="D29" s="70" t="s">
        <x:v>972</x:v>
      </x:c>
      <x:c r="E29" s="70" t="n">
        <x:v>-0.65</x:v>
      </x:c>
      <x:c r="F29" s="6"/>
      <x:c r="G29" s="6"/>
      <x:c r="H29" s="6"/>
    </x:row>
    <x:row r="30" s="1" customFormat="1" ht="14.25" hidden="0" customHeight="1">
      <x:c r="A30" s="7" t="n">
        <x:v>24</x:v>
      </x:c>
      <x:c r="B30" s="5" t="s">
        <x:v>277</x:v>
      </x:c>
      <x:c r="C30" s="5" t="s">
        <x:v>967</x:v>
      </x:c>
      <x:c r="D30" s="71" t="s">
        <x:v>972</x:v>
      </x:c>
      <x:c r="E30" s="71" t="n">
        <x:v>-0.65</x:v>
      </x:c>
      <x:c r="F30" s="6"/>
      <x:c r="G30" s="6"/>
      <x:c r="H30" s="6"/>
    </x:row>
    <x:row r="31" s="1" customFormat="1" ht="14.25" hidden="0" customHeight="1">
      <x:c r="A31" s="7" t="n">
        <x:v>25</x:v>
      </x:c>
      <x:c r="B31" s="8" t="s">
        <x:v>277</x:v>
      </x:c>
      <x:c r="C31" s="8" t="s">
        <x:v>968</x:v>
      </x:c>
      <x:c r="D31" s="70" t="s">
        <x:v>972</x:v>
      </x:c>
      <x:c r="E31" s="70" t="n">
        <x:v>-0.65</x:v>
      </x:c>
      <x:c r="F31" s="6"/>
      <x:c r="G31" s="6"/>
      <x:c r="H31" s="6"/>
    </x:row>
    <x:row r="32" s="1" customFormat="1" ht="14.25" hidden="0" customHeight="1">
      <x:c r="A32" s="7" t="n">
        <x:v>26</x:v>
      </x:c>
      <x:c r="B32" s="5" t="s">
        <x:v>278</x:v>
      </x:c>
      <x:c r="C32" s="5" t="s">
        <x:v>962</x:v>
      </x:c>
      <x:c r="D32" s="71" t="s">
        <x:v>973</x:v>
      </x:c>
      <x:c r="E32" s="71" t="n">
        <x:v>-0.5</x:v>
      </x:c>
      <x:c r="F32" s="6"/>
      <x:c r="G32" s="6"/>
      <x:c r="H32" s="6"/>
    </x:row>
    <x:row r="33" s="1" customFormat="1" ht="14.25" hidden="0" customHeight="1">
      <x:c r="A33" s="7" t="n">
        <x:v>27</x:v>
      </x:c>
      <x:c r="B33" s="8" t="s">
        <x:v>278</x:v>
      </x:c>
      <x:c r="C33" s="8" t="s">
        <x:v>962</x:v>
      </x:c>
      <x:c r="D33" s="70" t="s">
        <x:v>963</x:v>
      </x:c>
      <x:c r="E33" s="70" t="n">
        <x:v>-0.5</x:v>
      </x:c>
      <x:c r="F33" s="6"/>
      <x:c r="G33" s="6"/>
      <x:c r="H33" s="6"/>
    </x:row>
    <x:row r="34" s="1" customFormat="1" ht="14.25" hidden="0" customHeight="1">
      <x:c r="A34" s="7" t="n">
        <x:v>28</x:v>
      </x:c>
      <x:c r="B34" s="5" t="s">
        <x:v>278</x:v>
      </x:c>
      <x:c r="C34" s="5" t="s">
        <x:v>964</x:v>
      </x:c>
      <x:c r="D34" s="71" t="s">
        <x:v>973</x:v>
      </x:c>
      <x:c r="E34" s="71" t="n">
        <x:v>-0.5</x:v>
      </x:c>
      <x:c r="F34" s="6"/>
      <x:c r="G34" s="6"/>
      <x:c r="H34" s="6"/>
    </x:row>
    <x:row r="35" s="1" customFormat="1" ht="14.25" hidden="0" customHeight="1">
      <x:c r="A35" s="7" t="n">
        <x:v>29</x:v>
      </x:c>
      <x:c r="B35" s="8" t="s">
        <x:v>278</x:v>
      </x:c>
      <x:c r="C35" s="8" t="s">
        <x:v>964</x:v>
      </x:c>
      <x:c r="D35" s="70" t="s">
        <x:v>963</x:v>
      </x:c>
      <x:c r="E35" s="70" t="n">
        <x:v>-0.5</x:v>
      </x:c>
      <x:c r="F35" s="6"/>
      <x:c r="G35" s="6"/>
      <x:c r="H35" s="6"/>
    </x:row>
    <x:row r="36" s="1" customFormat="1" ht="14.25" hidden="0" customHeight="1">
      <x:c r="A36" s="7" t="n">
        <x:v>30</x:v>
      </x:c>
      <x:c r="B36" s="5" t="s">
        <x:v>278</x:v>
      </x:c>
      <x:c r="C36" s="5" t="s">
        <x:v>965</x:v>
      </x:c>
      <x:c r="D36" s="71" t="s">
        <x:v>973</x:v>
      </x:c>
      <x:c r="E36" s="71" t="n">
        <x:v>-0.5</x:v>
      </x:c>
      <x:c r="F36" s="6"/>
      <x:c r="G36" s="6"/>
      <x:c r="H36" s="6"/>
    </x:row>
    <x:row r="37" s="1" customFormat="1" ht="14.25" hidden="0" customHeight="1">
      <x:c r="A37" s="7" t="n">
        <x:v>31</x:v>
      </x:c>
      <x:c r="B37" s="8" t="s">
        <x:v>278</x:v>
      </x:c>
      <x:c r="C37" s="8" t="s">
        <x:v>965</x:v>
      </x:c>
      <x:c r="D37" s="70" t="s">
        <x:v>963</x:v>
      </x:c>
      <x:c r="E37" s="70" t="n">
        <x:v>-0.5</x:v>
      </x:c>
      <x:c r="F37" s="6"/>
      <x:c r="G37" s="6"/>
      <x:c r="H37" s="6"/>
    </x:row>
    <x:row r="38" s="1" customFormat="1" ht="14.25" hidden="0" customHeight="1">
      <x:c r="A38" s="7" t="n">
        <x:v>32</x:v>
      </x:c>
      <x:c r="B38" s="5" t="s">
        <x:v>278</x:v>
      </x:c>
      <x:c r="C38" s="5" t="s">
        <x:v>966</x:v>
      </x:c>
      <x:c r="D38" s="71" t="s">
        <x:v>973</x:v>
      </x:c>
      <x:c r="E38" s="71" t="n">
        <x:v>-0.5</x:v>
      </x:c>
      <x:c r="F38" s="6"/>
      <x:c r="G38" s="6"/>
      <x:c r="H38" s="6"/>
    </x:row>
    <x:row r="39" s="1" customFormat="1" ht="14.25" hidden="0" customHeight="1">
      <x:c r="A39" s="7" t="n">
        <x:v>33</x:v>
      </x:c>
      <x:c r="B39" s="8" t="s">
        <x:v>278</x:v>
      </x:c>
      <x:c r="C39" s="8" t="s">
        <x:v>966</x:v>
      </x:c>
      <x:c r="D39" s="70" t="s">
        <x:v>963</x:v>
      </x:c>
      <x:c r="E39" s="70" t="n">
        <x:v>-0.5</x:v>
      </x:c>
      <x:c r="F39" s="6"/>
      <x:c r="G39" s="6"/>
      <x:c r="H39" s="6"/>
    </x:row>
    <x:row r="40" s="1" customFormat="1" ht="14.25" hidden="0" customHeight="1">
      <x:c r="A40" s="7" t="n">
        <x:v>34</x:v>
      </x:c>
      <x:c r="B40" s="5" t="s">
        <x:v>278</x:v>
      </x:c>
      <x:c r="C40" s="5" t="s">
        <x:v>967</x:v>
      </x:c>
      <x:c r="D40" s="71" t="s">
        <x:v>973</x:v>
      </x:c>
      <x:c r="E40" s="71" t="n">
        <x:v>-0.5</x:v>
      </x:c>
      <x:c r="F40" s="6"/>
      <x:c r="G40" s="6"/>
      <x:c r="H40" s="6"/>
    </x:row>
    <x:row r="41" s="1" customFormat="1" ht="14.25" hidden="0" customHeight="1">
      <x:c r="A41" s="7" t="n">
        <x:v>35</x:v>
      </x:c>
      <x:c r="B41" s="8" t="s">
        <x:v>278</x:v>
      </x:c>
      <x:c r="C41" s="8" t="s">
        <x:v>967</x:v>
      </x:c>
      <x:c r="D41" s="70" t="s">
        <x:v>963</x:v>
      </x:c>
      <x:c r="E41" s="70" t="n">
        <x:v>-0.5</x:v>
      </x:c>
      <x:c r="F41" s="6"/>
      <x:c r="G41" s="6"/>
      <x:c r="H41" s="6"/>
    </x:row>
    <x:row r="42" s="1" customFormat="1" ht="14.25" hidden="0" customHeight="1">
      <x:c r="A42" s="7" t="n">
        <x:v>36</x:v>
      </x:c>
      <x:c r="B42" s="5" t="s">
        <x:v>278</x:v>
      </x:c>
      <x:c r="C42" s="5" t="s">
        <x:v>968</x:v>
      </x:c>
      <x:c r="D42" s="71" t="s">
        <x:v>973</x:v>
      </x:c>
      <x:c r="E42" s="71" t="n">
        <x:v>-0.5</x:v>
      </x:c>
      <x:c r="F42" s="6"/>
      <x:c r="G42" s="6"/>
      <x:c r="H42" s="6"/>
    </x:row>
    <x:row r="43" s="1" customFormat="1" ht="14.25" hidden="0" customHeight="1">
      <x:c r="A43" s="7" t="n">
        <x:v>37</x:v>
      </x:c>
      <x:c r="B43" s="8" t="s">
        <x:v>278</x:v>
      </x:c>
      <x:c r="C43" s="8" t="s">
        <x:v>968</x:v>
      </x:c>
      <x:c r="D43" s="70" t="s">
        <x:v>963</x:v>
      </x:c>
      <x:c r="E43" s="70" t="n">
        <x:v>-0.5</x:v>
      </x:c>
      <x:c r="F43" s="6"/>
      <x:c r="G43" s="6"/>
      <x:c r="H43" s="6"/>
    </x:row>
    <x:row r="44" s="1" customFormat="1" ht="14.25" hidden="0" customHeight="1">
      <x:c r="A44" s="7" t="n">
        <x:v>38</x:v>
      </x:c>
      <x:c r="B44" s="5" t="s">
        <x:v>279</x:v>
      </x:c>
      <x:c r="C44" s="5" t="s">
        <x:v>962</x:v>
      </x:c>
      <x:c r="D44" s="71" t="s">
        <x:v>972</x:v>
      </x:c>
      <x:c r="E44" s="71" t="n">
        <x:v>-0.55</x:v>
      </x:c>
      <x:c r="F44" s="6"/>
      <x:c r="G44" s="6"/>
      <x:c r="H44" s="6"/>
    </x:row>
    <x:row r="45" s="1" customFormat="1" ht="14.25" hidden="0" customHeight="1">
      <x:c r="A45" s="7" t="n">
        <x:v>39</x:v>
      </x:c>
      <x:c r="B45" s="8" t="s">
        <x:v>279</x:v>
      </x:c>
      <x:c r="C45" s="8" t="s">
        <x:v>962</x:v>
      </x:c>
      <x:c r="D45" s="70" t="s">
        <x:v>971</x:v>
      </x:c>
      <x:c r="E45" s="70" t="n">
        <x:v>-0.55</x:v>
      </x:c>
      <x:c r="F45" s="6"/>
      <x:c r="G45" s="6"/>
      <x:c r="H45" s="6"/>
    </x:row>
    <x:row r="46" s="1" customFormat="1" ht="14.25" hidden="0" customHeight="1">
      <x:c r="A46" s="7" t="n">
        <x:v>40</x:v>
      </x:c>
      <x:c r="B46" s="5" t="s">
        <x:v>279</x:v>
      </x:c>
      <x:c r="C46" s="5" t="s">
        <x:v>964</x:v>
      </x:c>
      <x:c r="D46" s="71" t="s">
        <x:v>972</x:v>
      </x:c>
      <x:c r="E46" s="71" t="n">
        <x:v>-0.55</x:v>
      </x:c>
      <x:c r="F46" s="6"/>
      <x:c r="G46" s="6"/>
      <x:c r="H46" s="6"/>
    </x:row>
    <x:row r="47" s="1" customFormat="1" ht="14.25" hidden="0" customHeight="1">
      <x:c r="A47" s="7" t="n">
        <x:v>41</x:v>
      </x:c>
      <x:c r="B47" s="8" t="s">
        <x:v>279</x:v>
      </x:c>
      <x:c r="C47" s="8" t="s">
        <x:v>964</x:v>
      </x:c>
      <x:c r="D47" s="70" t="s">
        <x:v>971</x:v>
      </x:c>
      <x:c r="E47" s="70" t="n">
        <x:v>-0.55</x:v>
      </x:c>
      <x:c r="F47" s="6"/>
      <x:c r="G47" s="6"/>
      <x:c r="H47" s="6"/>
    </x:row>
    <x:row r="48" s="1" customFormat="1" ht="14.25" hidden="0" customHeight="1">
      <x:c r="A48" s="7" t="n">
        <x:v>42</x:v>
      </x:c>
      <x:c r="B48" s="5" t="s">
        <x:v>279</x:v>
      </x:c>
      <x:c r="C48" s="5" t="s">
        <x:v>965</x:v>
      </x:c>
      <x:c r="D48" s="71" t="s">
        <x:v>972</x:v>
      </x:c>
      <x:c r="E48" s="71" t="n">
        <x:v>-0.55</x:v>
      </x:c>
      <x:c r="F48" s="6"/>
      <x:c r="G48" s="6"/>
      <x:c r="H48" s="6"/>
    </x:row>
    <x:row r="49" s="1" customFormat="1" ht="14.25" hidden="0" customHeight="1">
      <x:c r="A49" s="7" t="n">
        <x:v>43</x:v>
      </x:c>
      <x:c r="B49" s="8" t="s">
        <x:v>279</x:v>
      </x:c>
      <x:c r="C49" s="8" t="s">
        <x:v>965</x:v>
      </x:c>
      <x:c r="D49" s="70" t="s">
        <x:v>971</x:v>
      </x:c>
      <x:c r="E49" s="70" t="n">
        <x:v>-0.55</x:v>
      </x:c>
      <x:c r="F49" s="6"/>
      <x:c r="G49" s="6"/>
      <x:c r="H49" s="6"/>
    </x:row>
    <x:row r="50" s="1" customFormat="1" ht="14.25" hidden="0" customHeight="1">
      <x:c r="A50" s="7" t="n">
        <x:v>44</x:v>
      </x:c>
      <x:c r="B50" s="5" t="s">
        <x:v>279</x:v>
      </x:c>
      <x:c r="C50" s="5" t="s">
        <x:v>966</x:v>
      </x:c>
      <x:c r="D50" s="71" t="s">
        <x:v>972</x:v>
      </x:c>
      <x:c r="E50" s="71" t="n">
        <x:v>-0.55</x:v>
      </x:c>
      <x:c r="F50" s="6"/>
      <x:c r="G50" s="6"/>
      <x:c r="H50" s="6"/>
    </x:row>
    <x:row r="51" s="1" customFormat="1" ht="14.25" hidden="0" customHeight="1">
      <x:c r="A51" s="7" t="n">
        <x:v>45</x:v>
      </x:c>
      <x:c r="B51" s="8" t="s">
        <x:v>279</x:v>
      </x:c>
      <x:c r="C51" s="8" t="s">
        <x:v>966</x:v>
      </x:c>
      <x:c r="D51" s="70" t="s">
        <x:v>971</x:v>
      </x:c>
      <x:c r="E51" s="70" t="n">
        <x:v>-0.55</x:v>
      </x:c>
      <x:c r="F51" s="6"/>
      <x:c r="G51" s="6"/>
      <x:c r="H51" s="6"/>
    </x:row>
    <x:row r="52" s="1" customFormat="1" ht="14.25" hidden="0" customHeight="1">
      <x:c r="A52" s="7" t="n">
        <x:v>46</x:v>
      </x:c>
      <x:c r="B52" s="5" t="s">
        <x:v>279</x:v>
      </x:c>
      <x:c r="C52" s="5" t="s">
        <x:v>967</x:v>
      </x:c>
      <x:c r="D52" s="71" t="s">
        <x:v>972</x:v>
      </x:c>
      <x:c r="E52" s="71" t="n">
        <x:v>-0.55</x:v>
      </x:c>
      <x:c r="F52" s="6"/>
      <x:c r="G52" s="6"/>
      <x:c r="H52" s="6"/>
    </x:row>
    <x:row r="53" s="1" customFormat="1" ht="14.25" hidden="0" customHeight="1">
      <x:c r="A53" s="7" t="n">
        <x:v>47</x:v>
      </x:c>
      <x:c r="B53" s="8" t="s">
        <x:v>279</x:v>
      </x:c>
      <x:c r="C53" s="8" t="s">
        <x:v>967</x:v>
      </x:c>
      <x:c r="D53" s="70" t="s">
        <x:v>971</x:v>
      </x:c>
      <x:c r="E53" s="70" t="n">
        <x:v>-0.55</x:v>
      </x:c>
      <x:c r="F53" s="6"/>
      <x:c r="G53" s="6"/>
      <x:c r="H53" s="6"/>
    </x:row>
    <x:row r="54" s="1" customFormat="1" ht="14.25" hidden="0" customHeight="1">
      <x:c r="A54" s="7" t="n">
        <x:v>48</x:v>
      </x:c>
      <x:c r="B54" s="5" t="s">
        <x:v>279</x:v>
      </x:c>
      <x:c r="C54" s="5" t="s">
        <x:v>968</x:v>
      </x:c>
      <x:c r="D54" s="71" t="s">
        <x:v>972</x:v>
      </x:c>
      <x:c r="E54" s="71" t="n">
        <x:v>-0.55</x:v>
      </x:c>
      <x:c r="F54" s="6"/>
      <x:c r="G54" s="6"/>
      <x:c r="H54" s="6"/>
    </x:row>
    <x:row r="55" s="1" customFormat="1" ht="14.25" hidden="0" customHeight="1">
      <x:c r="A55" s="7" t="n">
        <x:v>49</x:v>
      </x:c>
      <x:c r="B55" s="8" t="s">
        <x:v>279</x:v>
      </x:c>
      <x:c r="C55" s="8" t="s">
        <x:v>968</x:v>
      </x:c>
      <x:c r="D55" s="70" t="s">
        <x:v>971</x:v>
      </x:c>
      <x:c r="E55" s="70" t="n">
        <x:v>-0.55</x:v>
      </x:c>
      <x:c r="F55" s="6"/>
      <x:c r="G55" s="6"/>
      <x:c r="H55" s="6"/>
    </x:row>
    <x:row r="56" s="1" customFormat="1" ht="14.25" hidden="0" customHeight="1">
      <x:c r="A56" s="7" t="n">
        <x:v>50</x:v>
      </x:c>
      <x:c r="B56" s="5" t="s">
        <x:v>280</x:v>
      </x:c>
      <x:c r="C56" s="5" t="s">
        <x:v>966</x:v>
      </x:c>
      <x:c r="D56" s="71" t="s">
        <x:v>972</x:v>
      </x:c>
      <x:c r="E56" s="71" t="n">
        <x:v>-0.45</x:v>
      </x:c>
      <x:c r="F56" s="6"/>
      <x:c r="G56" s="6"/>
      <x:c r="H56" s="6"/>
    </x:row>
    <x:row r="57" s="1" customFormat="1" ht="14.25" hidden="0" customHeight="1">
      <x:c r="A57" s="7" t="n">
        <x:v>51</x:v>
      </x:c>
      <x:c r="B57" s="8" t="s">
        <x:v>280</x:v>
      </x:c>
      <x:c r="C57" s="8" t="s">
        <x:v>966</x:v>
      </x:c>
      <x:c r="D57" s="70" t="s">
        <x:v>974</x:v>
      </x:c>
      <x:c r="E57" s="70" t="n">
        <x:v>-0.45</x:v>
      </x:c>
      <x:c r="F57" s="6"/>
      <x:c r="G57" s="6"/>
      <x:c r="H57" s="6"/>
    </x:row>
    <x:row r="58" s="1" customFormat="1" ht="14.25" hidden="0" customHeight="1">
      <x:c r="A58" s="7" t="n">
        <x:v>52</x:v>
      </x:c>
      <x:c r="B58" s="5" t="s">
        <x:v>280</x:v>
      </x:c>
      <x:c r="C58" s="5" t="s">
        <x:v>966</x:v>
      </x:c>
      <x:c r="D58" s="71" t="s">
        <x:v>971</x:v>
      </x:c>
      <x:c r="E58" s="71" t="n">
        <x:v>-0.45</x:v>
      </x:c>
      <x:c r="F58" s="6"/>
      <x:c r="G58" s="6"/>
      <x:c r="H58" s="6"/>
    </x:row>
    <x:row r="59" s="1" customFormat="1" ht="14.25" hidden="0" customHeight="1">
      <x:c r="A59" s="7" t="n">
        <x:v>53</x:v>
      </x:c>
      <x:c r="B59" s="8" t="s">
        <x:v>280</x:v>
      </x:c>
      <x:c r="C59" s="8" t="s">
        <x:v>967</x:v>
      </x:c>
      <x:c r="D59" s="70" t="s">
        <x:v>972</x:v>
      </x:c>
      <x:c r="E59" s="70" t="n">
        <x:v>-0.45</x:v>
      </x:c>
      <x:c r="F59" s="6"/>
      <x:c r="G59" s="6"/>
      <x:c r="H59" s="6"/>
    </x:row>
    <x:row r="60" s="1" customFormat="1" ht="14.25" hidden="0" customHeight="1">
      <x:c r="A60" s="7" t="n">
        <x:v>54</x:v>
      </x:c>
      <x:c r="B60" s="5" t="s">
        <x:v>280</x:v>
      </x:c>
      <x:c r="C60" s="5" t="s">
        <x:v>967</x:v>
      </x:c>
      <x:c r="D60" s="71" t="s">
        <x:v>974</x:v>
      </x:c>
      <x:c r="E60" s="71" t="n">
        <x:v>-0.45</x:v>
      </x:c>
      <x:c r="F60" s="6"/>
      <x:c r="G60" s="6"/>
      <x:c r="H60" s="6"/>
    </x:row>
    <x:row r="61" s="1" customFormat="1" ht="14.25" hidden="0" customHeight="1">
      <x:c r="A61" s="7" t="n">
        <x:v>55</x:v>
      </x:c>
      <x:c r="B61" s="8" t="s">
        <x:v>280</x:v>
      </x:c>
      <x:c r="C61" s="8" t="s">
        <x:v>967</x:v>
      </x:c>
      <x:c r="D61" s="70" t="s">
        <x:v>971</x:v>
      </x:c>
      <x:c r="E61" s="70" t="n">
        <x:v>-0.45</x:v>
      </x:c>
      <x:c r="F61" s="6"/>
      <x:c r="G61" s="6"/>
      <x:c r="H61" s="6"/>
    </x:row>
    <x:row r="62" s="1" customFormat="1" ht="14.25" hidden="0" customHeight="1">
      <x:c r="A62" s="7" t="n">
        <x:v>56</x:v>
      </x:c>
      <x:c r="B62" s="5" t="s">
        <x:v>280</x:v>
      </x:c>
      <x:c r="C62" s="5" t="s">
        <x:v>968</x:v>
      </x:c>
      <x:c r="D62" s="71" t="s">
        <x:v>972</x:v>
      </x:c>
      <x:c r="E62" s="71" t="n">
        <x:v>-0.45</x:v>
      </x:c>
      <x:c r="F62" s="6"/>
      <x:c r="G62" s="6"/>
      <x:c r="H62" s="6"/>
    </x:row>
    <x:row r="63" s="1" customFormat="1" ht="14.25" hidden="0" customHeight="1">
      <x:c r="A63" s="7" t="n">
        <x:v>57</x:v>
      </x:c>
      <x:c r="B63" s="8" t="s">
        <x:v>280</x:v>
      </x:c>
      <x:c r="C63" s="8" t="s">
        <x:v>968</x:v>
      </x:c>
      <x:c r="D63" s="70" t="s">
        <x:v>974</x:v>
      </x:c>
      <x:c r="E63" s="70" t="n">
        <x:v>-0.45</x:v>
      </x:c>
      <x:c r="F63" s="6"/>
      <x:c r="G63" s="6"/>
      <x:c r="H63" s="6"/>
    </x:row>
    <x:row r="64" s="1" customFormat="1" ht="14.25" hidden="0" customHeight="1">
      <x:c r="A64" s="7" t="n">
        <x:v>58</x:v>
      </x:c>
      <x:c r="B64" s="5" t="s">
        <x:v>280</x:v>
      </x:c>
      <x:c r="C64" s="5" t="s">
        <x:v>968</x:v>
      </x:c>
      <x:c r="D64" s="71" t="s">
        <x:v>971</x:v>
      </x:c>
      <x:c r="E64" s="71" t="n">
        <x:v>-0.45</x:v>
      </x:c>
      <x:c r="F64" s="6"/>
      <x:c r="G64" s="6"/>
      <x:c r="H64" s="6"/>
    </x:row>
    <x:row r="65" s="1" customFormat="1" ht="14.25" hidden="0" customHeight="1">
      <x:c r="A65" s="7" t="n">
        <x:v>59</x:v>
      </x:c>
      <x:c r="B65" s="8" t="s">
        <x:v>281</x:v>
      </x:c>
      <x:c r="C65" s="8" t="s">
        <x:v>962</x:v>
      </x:c>
      <x:c r="D65" s="70" t="s">
        <x:v>974</x:v>
      </x:c>
      <x:c r="E65" s="70" t="n">
        <x:v>-0.4</x:v>
      </x:c>
      <x:c r="F65" s="6"/>
      <x:c r="G65" s="6"/>
      <x:c r="H65" s="6"/>
    </x:row>
    <x:row r="66" s="1" customFormat="1" ht="14.25" hidden="0" customHeight="1">
      <x:c r="A66" s="7" t="n">
        <x:v>60</x:v>
      </x:c>
      <x:c r="B66" s="5" t="s">
        <x:v>281</x:v>
      </x:c>
      <x:c r="C66" s="5" t="s">
        <x:v>962</x:v>
      </x:c>
      <x:c r="D66" s="71" t="s">
        <x:v>971</x:v>
      </x:c>
      <x:c r="E66" s="71" t="n">
        <x:v>-0.4</x:v>
      </x:c>
      <x:c r="F66" s="6"/>
      <x:c r="G66" s="6"/>
      <x:c r="H66" s="6"/>
    </x:row>
    <x:row r="67" s="1" customFormat="1" ht="14.25" hidden="0" customHeight="1">
      <x:c r="A67" s="7" t="n">
        <x:v>61</x:v>
      </x:c>
      <x:c r="B67" s="8" t="s">
        <x:v>281</x:v>
      </x:c>
      <x:c r="C67" s="8" t="s">
        <x:v>964</x:v>
      </x:c>
      <x:c r="D67" s="70" t="s">
        <x:v>974</x:v>
      </x:c>
      <x:c r="E67" s="70" t="n">
        <x:v>-0.4</x:v>
      </x:c>
      <x:c r="F67" s="6"/>
      <x:c r="G67" s="6"/>
      <x:c r="H67" s="6"/>
    </x:row>
    <x:row r="68" s="1" customFormat="1" ht="14.25" hidden="0" customHeight="1">
      <x:c r="A68" s="7" t="n">
        <x:v>62</x:v>
      </x:c>
      <x:c r="B68" s="5" t="s">
        <x:v>281</x:v>
      </x:c>
      <x:c r="C68" s="5" t="s">
        <x:v>964</x:v>
      </x:c>
      <x:c r="D68" s="71" t="s">
        <x:v>971</x:v>
      </x:c>
      <x:c r="E68" s="71" t="n">
        <x:v>-0.4</x:v>
      </x:c>
      <x:c r="F68" s="6"/>
      <x:c r="G68" s="6"/>
      <x:c r="H68" s="6"/>
    </x:row>
    <x:row r="69" s="1" customFormat="1" ht="14.25" hidden="0" customHeight="1">
      <x:c r="A69" s="7" t="n">
        <x:v>63</x:v>
      </x:c>
      <x:c r="B69" s="8" t="s">
        <x:v>281</x:v>
      </x:c>
      <x:c r="C69" s="8" t="s">
        <x:v>965</x:v>
      </x:c>
      <x:c r="D69" s="70" t="s">
        <x:v>974</x:v>
      </x:c>
      <x:c r="E69" s="70" t="n">
        <x:v>-0.4</x:v>
      </x:c>
      <x:c r="F69" s="6"/>
      <x:c r="G69" s="6"/>
      <x:c r="H69" s="6"/>
    </x:row>
    <x:row r="70" s="1" customFormat="1" ht="14.25" hidden="0" customHeight="1">
      <x:c r="A70" s="7" t="n">
        <x:v>64</x:v>
      </x:c>
      <x:c r="B70" s="5" t="s">
        <x:v>281</x:v>
      </x:c>
      <x:c r="C70" s="5" t="s">
        <x:v>965</x:v>
      </x:c>
      <x:c r="D70" s="71" t="s">
        <x:v>971</x:v>
      </x:c>
      <x:c r="E70" s="71" t="n">
        <x:v>-0.4</x:v>
      </x:c>
      <x:c r="F70" s="6"/>
      <x:c r="G70" s="6"/>
      <x:c r="H70" s="6"/>
    </x:row>
    <x:row r="71" s="1" customFormat="1" ht="14.25" hidden="0" customHeight="1">
      <x:c r="A71" s="7" t="n">
        <x:v>65</x:v>
      </x:c>
      <x:c r="B71" s="8" t="s">
        <x:v>281</x:v>
      </x:c>
      <x:c r="C71" s="8" t="s">
        <x:v>966</x:v>
      </x:c>
      <x:c r="D71" s="70" t="s">
        <x:v>974</x:v>
      </x:c>
      <x:c r="E71" s="70" t="n">
        <x:v>-0.4</x:v>
      </x:c>
      <x:c r="F71" s="6"/>
      <x:c r="G71" s="6"/>
      <x:c r="H71" s="6"/>
    </x:row>
    <x:row r="72" s="1" customFormat="1" ht="14.25" hidden="0" customHeight="1">
      <x:c r="A72" s="7" t="n">
        <x:v>66</x:v>
      </x:c>
      <x:c r="B72" s="5" t="s">
        <x:v>281</x:v>
      </x:c>
      <x:c r="C72" s="5" t="s">
        <x:v>966</x:v>
      </x:c>
      <x:c r="D72" s="5" t="s">
        <x:v>971</x:v>
      </x:c>
      <x:c r="E72" s="5" t="n">
        <x:v>-0.4</x:v>
      </x:c>
      <x:c r="F72" s="6"/>
      <x:c r="G72" s="6"/>
      <x:c r="H72" s="6"/>
    </x:row>
    <x:row r="73" s="1" customFormat="1" ht="14.25" hidden="0" customHeight="1">
      <x:c r="A73" s="7" t="n">
        <x:v>67</x:v>
      </x:c>
      <x:c r="B73" s="8" t="s">
        <x:v>281</x:v>
      </x:c>
      <x:c r="C73" s="8" t="s">
        <x:v>967</x:v>
      </x:c>
      <x:c r="D73" s="8" t="s">
        <x:v>974</x:v>
      </x:c>
      <x:c r="E73" s="8" t="n">
        <x:v>-0.4</x:v>
      </x:c>
      <x:c r="F73" s="6"/>
      <x:c r="G73" s="6"/>
      <x:c r="H73" s="6"/>
    </x:row>
    <x:row r="74" s="1" customFormat="1" ht="14.25" hidden="0" customHeight="1">
      <x:c r="A74" s="7" t="n">
        <x:v>68</x:v>
      </x:c>
      <x:c r="B74" s="5" t="s">
        <x:v>281</x:v>
      </x:c>
      <x:c r="C74" s="5" t="s">
        <x:v>967</x:v>
      </x:c>
      <x:c r="D74" s="5" t="s">
        <x:v>971</x:v>
      </x:c>
      <x:c r="E74" s="5" t="n">
        <x:v>-0.4</x:v>
      </x:c>
      <x:c r="F74" s="6"/>
      <x:c r="G74" s="6"/>
      <x:c r="H74" s="6"/>
    </x:row>
    <x:row r="75" s="1" customFormat="1" ht="14.25" hidden="0" customHeight="1">
      <x:c r="A75" s="7" t="n">
        <x:v>69</x:v>
      </x:c>
      <x:c r="B75" s="8" t="s">
        <x:v>281</x:v>
      </x:c>
      <x:c r="C75" s="8" t="s">
        <x:v>968</x:v>
      </x:c>
      <x:c r="D75" s="8" t="s">
        <x:v>974</x:v>
      </x:c>
      <x:c r="E75" s="8" t="n">
        <x:v>-0.4</x:v>
      </x:c>
      <x:c r="F75" s="6"/>
      <x:c r="G75" s="6"/>
      <x:c r="H75" s="6"/>
    </x:row>
    <x:row r="76" s="1" customFormat="1" ht="14.25" hidden="0" customHeight="1">
      <x:c r="A76" s="7" t="n">
        <x:v>70</x:v>
      </x:c>
      <x:c r="B76" s="5" t="s">
        <x:v>281</x:v>
      </x:c>
      <x:c r="C76" s="5" t="s">
        <x:v>968</x:v>
      </x:c>
      <x:c r="D76" s="5" t="s">
        <x:v>971</x:v>
      </x:c>
      <x:c r="E76" s="5" t="n">
        <x:v>-0.4</x:v>
      </x:c>
      <x:c r="F76" s="6"/>
      <x:c r="G76" s="6"/>
      <x:c r="H76" s="6"/>
    </x:row>
  </x:sheetData>
  <x:mergeCells>
    <x:mergeCell ref="A1:H1"/>
  </x:mergeCells>
  <x:pageMargins left="0.7" right="0.7" top="0.75" bottom="0.75" header="0.3" footer="0.3"/>
</x:worksheet>
</file>

<file path=xl/worksheets/sheet10.xml><?xml version="1.0" encoding="utf-8"?>
<x:worksheet xmlns:x="http://schemas.openxmlformats.org/spreadsheetml/2006/main">
  <x:sheetViews>
    <x:sheetView showGridLines="1" workbookViewId="0"/>
  </x:sheetViews>
  <x:sheetFormatPr defaultColWidth="8.66796875" defaultRowHeight="12.75"/>
  <x:cols>
    <x:col min="1" max="2" width="14" style="1" hidden="0" customWidth="1"/>
    <x:col min="3" max="5" width="16" style="1" hidden="0" customWidth="1"/>
    <x:col min="6" max="11" width="36" style="1" hidden="0" customWidth="1"/>
    <x:col min="12" max="14" width="16" style="1" hidden="0" customWidth="1"/>
    <x:col min="15" max="16" width="22" style="1" hidden="1" customWidth="1"/>
  </x:cols>
  <x:sheetData>
    <x:row r="1" s="1" customFormat="1" ht="31.5" hidden="0" customHeight="1">
      <x:c r="A1" s="2" t="s">
        <x:v>961</x:v>
      </x:c>
      <x:c r="B1" s="2" t="s">
        <x:v>271</x:v>
      </x:c>
      <x:c r="C1" s="2" t="s">
        <x:v>853</x:v>
      </x:c>
      <x:c r="D1" s="2" t="s">
        <x:v>859</x:v>
      </x:c>
      <x:c r="E1" s="2" t="s">
        <x:v>273</x:v>
      </x:c>
      <x:c r="F1" s="2" t="s">
        <x:v>975</x:v>
      </x:c>
      <x:c r="G1" s="2" t="s">
        <x:v>976</x:v>
      </x:c>
      <x:c r="H1" s="2" t="s">
        <x:v>977</x:v>
      </x:c>
      <x:c r="I1" s="2" t="s">
        <x:v>978</x:v>
      </x:c>
      <x:c r="J1" s="2" t="s">
        <x:v>979</x:v>
      </x:c>
      <x:c r="K1" s="2" t="s">
        <x:v>980</x:v>
      </x:c>
      <x:c r="L1" s="2" t="s">
        <x:v>981</x:v>
      </x:c>
      <x:c r="M1" s="2" t="s">
        <x:v>982</x:v>
      </x:c>
      <x:c r="N1" s="2" t="s">
        <x:v>983</x:v>
      </x:c>
      <x:c r="O1" s="2" t="s">
        <x:v>984</x:v>
      </x:c>
      <x:c r="P1" s="2" t="s">
        <x:v>985</x:v>
      </x:c>
    </x:row>
    <x:row r="2" s="1" customFormat="1" ht="14.25" hidden="0" customHeight="1">
      <x:c r="A2" s="4" t="s">
        <x:v>986</x:v>
      </x:c>
      <x:c r="B2" s="5" t="s">
        <x:v>275</x:v>
      </x:c>
      <x:c r="C2" s="5" t="s">
        <x:v>962</x:v>
      </x:c>
      <x:c r="D2" s="5" t="s">
        <x:v>963</x:v>
      </x:c>
      <x:c r="E2" s="5" t="n">
        <x:v>-0.9</x:v>
      </x:c>
      <x:c r="F2" s="71" t="n">
        <x:f aca="0">INDEX(I_prop!$B$7:$H$13, MATCH($C2, I_prop!$A$7:$A$13,0), MATCH($D2, I_prop!$B$6:$H$6,0))</x:f>
        <x:v>0</x:v>
      </x:c>
      <x:c r="G2" s="71" t="n">
        <x:f aca="0">INDEX(I_prop!$B$18:$H$24, MATCH($C2, I_prop!$A$18:$A$24,0), MATCH($D2, I_prop!$B$17:$H$17,0))</x:f>
        <x:v>0</x:v>
      </x:c>
      <x:c r="H2" s="71" t="n">
        <x:f aca="0">IF($J2&lt;&gt;"",$J2,IF($F2&lt;0,MAX(-1,Subgroup_Overrides!$B$7*$F2),$F2))</x:f>
        <x:v>0</x:v>
      </x:c>
      <x:c r="I2" s="71" t="n">
        <x:f aca="0">IF($K2&lt;&gt;"",$K2,IF($G2&lt;0,MAX(-1,Subgroup_Overrides!$B$7*$G2),$G2))</x:f>
        <x:v>0</x:v>
      </x:c>
      <x:c r="J2" s="5" t="str">
        <x:f aca="0">IF(COUNTIF(Subgroup_Overrides!$H$11:$H$100,"A|"&amp;$C2&amp;"|"&amp;$D2)&gt;0,SUMIFS(Subgroup_Overrides!$F$11:$F$100,Subgroup_Overrides!$H$11:$H$100,"A|"&amp;$C2&amp;"|"&amp;$D2),"")</x:f>
      </x:c>
      <x:c r="K2" s="5" t="str">
        <x:f aca="0">IF(COUNTIF(Subgroup_Overrides!$H$11:$H$100,"B|"&amp;$C2&amp;"|"&amp;$D2)&gt;0,SUMIFS(Subgroup_Overrides!$F$11:$F$100,Subgroup_Overrides!$H$11:$H$100,"B|"&amp;$C2&amp;"|"&amp;$D2),"")</x:f>
      </x:c>
      <x:c r="L2" s="5" t="str">
        <x:f aca="0">TRIM(B2)</x:f>
        <x:v>LIFE</x:v>
      </x:c>
      <x:c r="M2" s="5" t="str">
        <x:f aca="0">IF($H2="","",1*$H2)</x:f>
      </x:c>
      <x:c r="N2" s="5" t="str">
        <x:f aca="0">IF($I2="","",1*$I2)</x:f>
      </x:c>
      <x:c r="O2" s="5" t="str">
        <x:f aca="0">IF($M2="","",$B2&amp;"|"&amp;ROUND($M2*1000000000000,0))</x:f>
      </x:c>
      <x:c r="P2" s="5" t="str">
        <x:f aca="0">IF($N2="","",$B2&amp;"|"&amp;ROUND($N2*1000000000000,0))</x:f>
      </x:c>
    </x:row>
    <x:row r="3" s="1" customFormat="1" ht="14.25" hidden="0" customHeight="1">
      <x:c r="A3" s="7" t="n">
        <x:v>2</x:v>
      </x:c>
      <x:c r="B3" s="8" t="s">
        <x:v>275</x:v>
      </x:c>
      <x:c r="C3" s="8" t="s">
        <x:v>964</x:v>
      </x:c>
      <x:c r="D3" s="8" t="s">
        <x:v>963</x:v>
      </x:c>
      <x:c r="E3" s="8" t="n">
        <x:v>-0.9</x:v>
      </x:c>
      <x:c r="F3" s="70" t="n">
        <x:f aca="0">INDEX(I_prop!$B$7:$H$13, MATCH($C3, I_prop!$A$7:$A$13,0), MATCH($D3, I_prop!$B$6:$H$6,0))</x:f>
        <x:v>0</x:v>
      </x:c>
      <x:c r="G3" s="70" t="n">
        <x:f aca="0">INDEX(I_prop!$B$18:$H$24, MATCH($C3, I_prop!$A$18:$A$24,0), MATCH($D3, I_prop!$B$17:$H$17,0))</x:f>
        <x:v>0</x:v>
      </x:c>
      <x:c r="H3" s="70" t="n">
        <x:f aca="0">IF($J3&lt;&gt;"",$J3,IF($F3&lt;0,MAX(-1,Subgroup_Overrides!$B$7*$F3),$F3))</x:f>
        <x:v>0</x:v>
      </x:c>
      <x:c r="I3" s="70" t="n">
        <x:f aca="0">IF($K3&lt;&gt;"",$K3,IF($G3&lt;0,MAX(-1,Subgroup_Overrides!$B$7*$G3),$G3))</x:f>
        <x:v>0</x:v>
      </x:c>
      <x:c r="J3" s="8" t="str">
        <x:f aca="0">IF(COUNTIF(Subgroup_Overrides!$H$11:$H$100,"A|"&amp;$C3&amp;"|"&amp;$D3)&gt;0,SUMIFS(Subgroup_Overrides!$F$11:$F$100,Subgroup_Overrides!$H$11:$H$100,"A|"&amp;$C3&amp;"|"&amp;$D3),"")</x:f>
      </x:c>
      <x:c r="K3" s="8" t="str">
        <x:f aca="0">IF(COUNTIF(Subgroup_Overrides!$H$11:$H$100,"B|"&amp;$C3&amp;"|"&amp;$D3)&gt;0,SUMIFS(Subgroup_Overrides!$F$11:$F$100,Subgroup_Overrides!$H$11:$H$100,"B|"&amp;$C3&amp;"|"&amp;$D3),"")</x:f>
      </x:c>
      <x:c r="L3" s="8" t="str">
        <x:f aca="0">TRIM(B3)</x:f>
        <x:v>LIFE</x:v>
      </x:c>
      <x:c r="M3" s="8" t="str">
        <x:f aca="0">IF($H3="","",1*$H3)</x:f>
      </x:c>
      <x:c r="N3" s="8" t="str">
        <x:f aca="0">IF($I3="","",1*$I3)</x:f>
      </x:c>
      <x:c r="O3" s="8" t="str">
        <x:f aca="0">IF($M3="","",$B3&amp;"|"&amp;ROUND($M3*1000000000000,0))</x:f>
      </x:c>
      <x:c r="P3" s="8" t="str">
        <x:f aca="0">IF($N3="","",$B3&amp;"|"&amp;ROUND($N3*1000000000000,0))</x:f>
      </x:c>
    </x:row>
    <x:row r="4" s="1" customFormat="1" ht="14.25" hidden="0" customHeight="1">
      <x:c r="A4" s="7" t="n">
        <x:v>3</x:v>
      </x:c>
      <x:c r="B4" s="5" t="s">
        <x:v>275</x:v>
      </x:c>
      <x:c r="C4" s="5" t="s">
        <x:v>965</x:v>
      </x:c>
      <x:c r="D4" s="5" t="s">
        <x:v>963</x:v>
      </x:c>
      <x:c r="E4" s="5" t="n">
        <x:v>-0.9</x:v>
      </x:c>
      <x:c r="F4" s="71" t="n">
        <x:f aca="0">INDEX(I_prop!$B$7:$H$13, MATCH($C4, I_prop!$A$7:$A$13,0), MATCH($D4, I_prop!$B$6:$H$6,0))</x:f>
        <x:v>0</x:v>
      </x:c>
      <x:c r="G4" s="71" t="n">
        <x:f aca="0">INDEX(I_prop!$B$18:$H$24, MATCH($C4, I_prop!$A$18:$A$24,0), MATCH($D4, I_prop!$B$17:$H$17,0))</x:f>
        <x:v>0</x:v>
      </x:c>
      <x:c r="H4" s="71" t="n">
        <x:f aca="0">IF($J4&lt;&gt;"",$J4,IF($F4&lt;0,MAX(-1,Subgroup_Overrides!$B$7*$F4),$F4))</x:f>
        <x:v>0</x:v>
      </x:c>
      <x:c r="I4" s="71" t="n">
        <x:f aca="0">IF($K4&lt;&gt;"",$K4,IF($G4&lt;0,MAX(-1,Subgroup_Overrides!$B$7*$G4),$G4))</x:f>
        <x:v>0</x:v>
      </x:c>
      <x:c r="J4" s="5" t="str">
        <x:f aca="0">IF(COUNTIF(Subgroup_Overrides!$H$11:$H$100,"A|"&amp;$C4&amp;"|"&amp;$D4)&gt;0,SUMIFS(Subgroup_Overrides!$F$11:$F$100,Subgroup_Overrides!$H$11:$H$100,"A|"&amp;$C4&amp;"|"&amp;$D4),"")</x:f>
      </x:c>
      <x:c r="K4" s="5" t="str">
        <x:f aca="0">IF(COUNTIF(Subgroup_Overrides!$H$11:$H$100,"B|"&amp;$C4&amp;"|"&amp;$D4)&gt;0,SUMIFS(Subgroup_Overrides!$F$11:$F$100,Subgroup_Overrides!$H$11:$H$100,"B|"&amp;$C4&amp;"|"&amp;$D4),"")</x:f>
      </x:c>
      <x:c r="L4" s="5" t="str">
        <x:f aca="0">TRIM(B4)</x:f>
        <x:v>LIFE</x:v>
      </x:c>
      <x:c r="M4" s="5" t="str">
        <x:f aca="0">IF($H4="","",1*$H4)</x:f>
      </x:c>
      <x:c r="N4" s="5" t="str">
        <x:f aca="0">IF($I4="","",1*$I4)</x:f>
      </x:c>
      <x:c r="O4" s="5" t="str">
        <x:f aca="0">IF($M4="","",$B4&amp;"|"&amp;ROUND($M4*1000000000000,0))</x:f>
      </x:c>
      <x:c r="P4" s="5" t="str">
        <x:f aca="0">IF($N4="","",$B4&amp;"|"&amp;ROUND($N4*1000000000000,0))</x:f>
      </x:c>
    </x:row>
    <x:row r="5" s="1" customFormat="1" ht="14.25" hidden="0" customHeight="1">
      <x:c r="A5" s="7" t="n">
        <x:v>4</x:v>
      </x:c>
      <x:c r="B5" s="8" t="s">
        <x:v>275</x:v>
      </x:c>
      <x:c r="C5" s="8" t="s">
        <x:v>966</x:v>
      </x:c>
      <x:c r="D5" s="8" t="s">
        <x:v>963</x:v>
      </x:c>
      <x:c r="E5" s="8" t="n">
        <x:v>-0.9</x:v>
      </x:c>
      <x:c r="F5" s="70" t="n">
        <x:f aca="0">INDEX(I_prop!$B$7:$H$13, MATCH($C5, I_prop!$A$7:$A$13,0), MATCH($D5, I_prop!$B$6:$H$6,0))</x:f>
        <x:v>0</x:v>
      </x:c>
      <x:c r="G5" s="70" t="n">
        <x:f aca="0">INDEX(I_prop!$B$18:$H$24, MATCH($C5, I_prop!$A$18:$A$24,0), MATCH($D5, I_prop!$B$17:$H$17,0))</x:f>
        <x:v>0</x:v>
      </x:c>
      <x:c r="H5" s="70" t="n">
        <x:f aca="0">IF($J5&lt;&gt;"",$J5,IF($F5&lt;0,MAX(-1,Subgroup_Overrides!$B$7*$F5),$F5))</x:f>
        <x:v>0</x:v>
      </x:c>
      <x:c r="I5" s="70" t="n">
        <x:f aca="0">IF($K5&lt;&gt;"",$K5,IF($G5&lt;0,MAX(-1,Subgroup_Overrides!$B$7*$G5),$G5))</x:f>
        <x:v>0</x:v>
      </x:c>
      <x:c r="J5" s="8" t="str">
        <x:f aca="0">IF(COUNTIF(Subgroup_Overrides!$H$11:$H$100,"A|"&amp;$C5&amp;"|"&amp;$D5)&gt;0,SUMIFS(Subgroup_Overrides!$F$11:$F$100,Subgroup_Overrides!$H$11:$H$100,"A|"&amp;$C5&amp;"|"&amp;$D5),"")</x:f>
      </x:c>
      <x:c r="K5" s="8" t="str">
        <x:f aca="0">IF(COUNTIF(Subgroup_Overrides!$H$11:$H$100,"B|"&amp;$C5&amp;"|"&amp;$D5)&gt;0,SUMIFS(Subgroup_Overrides!$F$11:$F$100,Subgroup_Overrides!$H$11:$H$100,"B|"&amp;$C5&amp;"|"&amp;$D5),"")</x:f>
      </x:c>
      <x:c r="L5" s="8" t="str">
        <x:f aca="0">TRIM(B5)</x:f>
        <x:v>LIFE</x:v>
      </x:c>
      <x:c r="M5" s="8" t="str">
        <x:f aca="0">IF($H5="","",1*$H5)</x:f>
      </x:c>
      <x:c r="N5" s="8" t="str">
        <x:f aca="0">IF($I5="","",1*$I5)</x:f>
      </x:c>
      <x:c r="O5" s="8" t="str">
        <x:f aca="0">IF($M5="","",$B5&amp;"|"&amp;ROUND($M5*1000000000000,0))</x:f>
      </x:c>
      <x:c r="P5" s="8" t="str">
        <x:f aca="0">IF($N5="","",$B5&amp;"|"&amp;ROUND($N5*1000000000000,0))</x:f>
      </x:c>
    </x:row>
    <x:row r="6" s="1" customFormat="1" ht="14.25" hidden="0" customHeight="1">
      <x:c r="A6" s="7" t="n">
        <x:v>5</x:v>
      </x:c>
      <x:c r="B6" s="5" t="s">
        <x:v>275</x:v>
      </x:c>
      <x:c r="C6" s="5" t="s">
        <x:v>967</x:v>
      </x:c>
      <x:c r="D6" s="5" t="s">
        <x:v>963</x:v>
      </x:c>
      <x:c r="E6" s="5" t="n">
        <x:v>-0.9</x:v>
      </x:c>
      <x:c r="F6" s="71" t="n">
        <x:f aca="0">INDEX(I_prop!$B$7:$H$13, MATCH($C6, I_prop!$A$7:$A$13,0), MATCH($D6, I_prop!$B$6:$H$6,0))</x:f>
        <x:v>0</x:v>
      </x:c>
      <x:c r="G6" s="71" t="n">
        <x:f aca="0">INDEX(I_prop!$B$18:$H$24, MATCH($C6, I_prop!$A$18:$A$24,0), MATCH($D6, I_prop!$B$17:$H$17,0))</x:f>
        <x:v>0</x:v>
      </x:c>
      <x:c r="H6" s="71" t="n">
        <x:f aca="0">IF($J6&lt;&gt;"",$J6,IF($F6&lt;0,MAX(-1,Subgroup_Overrides!$B$7*$F6),$F6))</x:f>
        <x:v>0</x:v>
      </x:c>
      <x:c r="I6" s="71" t="n">
        <x:f aca="0">IF($K6&lt;&gt;"",$K6,IF($G6&lt;0,MAX(-1,Subgroup_Overrides!$B$7*$G6),$G6))</x:f>
        <x:v>0</x:v>
      </x:c>
      <x:c r="J6" s="5" t="str">
        <x:f aca="0">IF(COUNTIF(Subgroup_Overrides!$H$11:$H$100,"A|"&amp;$C6&amp;"|"&amp;$D6)&gt;0,SUMIFS(Subgroup_Overrides!$F$11:$F$100,Subgroup_Overrides!$H$11:$H$100,"A|"&amp;$C6&amp;"|"&amp;$D6),"")</x:f>
      </x:c>
      <x:c r="K6" s="5" t="str">
        <x:f aca="0">IF(COUNTIF(Subgroup_Overrides!$H$11:$H$100,"B|"&amp;$C6&amp;"|"&amp;$D6)&gt;0,SUMIFS(Subgroup_Overrides!$F$11:$F$100,Subgroup_Overrides!$H$11:$H$100,"B|"&amp;$C6&amp;"|"&amp;$D6),"")</x:f>
      </x:c>
      <x:c r="L6" s="5" t="str">
        <x:f aca="0">TRIM(B6)</x:f>
        <x:v>LIFE</x:v>
      </x:c>
      <x:c r="M6" s="5" t="str">
        <x:f aca="0">IF($H6="","",1*$H6)</x:f>
      </x:c>
      <x:c r="N6" s="5" t="str">
        <x:f aca="0">IF($I6="","",1*$I6)</x:f>
      </x:c>
      <x:c r="O6" s="5" t="str">
        <x:f aca="0">IF($M6="","",$B6&amp;"|"&amp;ROUND($M6*1000000000000,0))</x:f>
      </x:c>
      <x:c r="P6" s="5" t="str">
        <x:f aca="0">IF($N6="","",$B6&amp;"|"&amp;ROUND($N6*1000000000000,0))</x:f>
      </x:c>
    </x:row>
    <x:row r="7" s="1" customFormat="1" ht="14.25" hidden="0" customHeight="1">
      <x:c r="A7" s="7" t="n">
        <x:v>6</x:v>
      </x:c>
      <x:c r="B7" s="8" t="s">
        <x:v>275</x:v>
      </x:c>
      <x:c r="C7" s="8" t="s">
        <x:v>968</x:v>
      </x:c>
      <x:c r="D7" s="8" t="s">
        <x:v>963</x:v>
      </x:c>
      <x:c r="E7" s="8" t="n">
        <x:v>-0.9</x:v>
      </x:c>
      <x:c r="F7" s="70" t="n">
        <x:f aca="0">INDEX(I_prop!$B$7:$H$13, MATCH($C7, I_prop!$A$7:$A$13,0), MATCH($D7, I_prop!$B$6:$H$6,0))</x:f>
        <x:v>0</x:v>
      </x:c>
      <x:c r="G7" s="70" t="n">
        <x:f aca="0">INDEX(I_prop!$B$18:$H$24, MATCH($C7, I_prop!$A$18:$A$24,0), MATCH($D7, I_prop!$B$17:$H$17,0))</x:f>
        <x:v>0</x:v>
      </x:c>
      <x:c r="H7" s="70" t="n">
        <x:f aca="0">IF($J7&lt;&gt;"",$J7,IF($F7&lt;0,MAX(-1,Subgroup_Overrides!$B$7*$F7),$F7))</x:f>
        <x:v>0</x:v>
      </x:c>
      <x:c r="I7" s="70" t="n">
        <x:f aca="0">IF($K7&lt;&gt;"",$K7,IF($G7&lt;0,MAX(-1,Subgroup_Overrides!$B$7*$G7),$G7))</x:f>
        <x:v>0</x:v>
      </x:c>
      <x:c r="J7" s="8" t="str">
        <x:f aca="0">IF(COUNTIF(Subgroup_Overrides!$H$11:$H$100,"A|"&amp;$C7&amp;"|"&amp;$D7)&gt;0,SUMIFS(Subgroup_Overrides!$F$11:$F$100,Subgroup_Overrides!$H$11:$H$100,"A|"&amp;$C7&amp;"|"&amp;$D7),"")</x:f>
      </x:c>
      <x:c r="K7" s="8" t="str">
        <x:f aca="0">IF(COUNTIF(Subgroup_Overrides!$H$11:$H$100,"B|"&amp;$C7&amp;"|"&amp;$D7)&gt;0,SUMIFS(Subgroup_Overrides!$F$11:$F$100,Subgroup_Overrides!$H$11:$H$100,"B|"&amp;$C7&amp;"|"&amp;$D7),"")</x:f>
      </x:c>
      <x:c r="L7" s="8" t="str">
        <x:f aca="0">TRIM(B7)</x:f>
        <x:v>LIFE</x:v>
      </x:c>
      <x:c r="M7" s="8" t="str">
        <x:f aca="0">IF($H7="","",1*$H7)</x:f>
      </x:c>
      <x:c r="N7" s="8" t="str">
        <x:f aca="0">IF($I7="","",1*$I7)</x:f>
      </x:c>
      <x:c r="O7" s="8" t="str">
        <x:f aca="0">IF($M7="","",$B7&amp;"|"&amp;ROUND($M7*1000000000000,0))</x:f>
      </x:c>
      <x:c r="P7" s="8" t="str">
        <x:f aca="0">IF($N7="","",$B7&amp;"|"&amp;ROUND($N7*1000000000000,0))</x:f>
      </x:c>
    </x:row>
    <x:row r="8" s="1" customFormat="1" ht="14.25" hidden="0" customHeight="1">
      <x:c r="A8" s="7" t="n">
        <x:v>7</x:v>
      </x:c>
      <x:c r="B8" s="5" t="s">
        <x:v>275</x:v>
      </x:c>
      <x:c r="C8" s="5" t="s">
        <x:v>968</x:v>
      </x:c>
      <x:c r="D8" s="5" t="s">
        <x:v>969</x:v>
      </x:c>
      <x:c r="E8" s="5" t="n">
        <x:v>-0.9</x:v>
      </x:c>
      <x:c r="F8" s="71" t="n">
        <x:f aca="0">INDEX(I_prop!$B$7:$H$13, MATCH($C8, I_prop!$A$7:$A$13,0), MATCH($D8, I_prop!$B$6:$H$6,0))</x:f>
        <x:v>0</x:v>
      </x:c>
      <x:c r="G8" s="71" t="n">
        <x:f aca="0">INDEX(I_prop!$B$18:$H$24, MATCH($C8, I_prop!$A$18:$A$24,0), MATCH($D8, I_prop!$B$17:$H$17,0))</x:f>
        <x:v>0</x:v>
      </x:c>
      <x:c r="H8" s="71" t="n">
        <x:f aca="0">IF($J8&lt;&gt;"",$J8,IF($F8&lt;0,MAX(-1,Subgroup_Overrides!$B$7*$F8),$F8))</x:f>
        <x:v>0</x:v>
      </x:c>
      <x:c r="I8" s="71" t="n">
        <x:f aca="0">IF($K8&lt;&gt;"",$K8,IF($G8&lt;0,MAX(-1,Subgroup_Overrides!$B$7*$G8),$G8))</x:f>
        <x:v>0</x:v>
      </x:c>
      <x:c r="J8" s="5" t="str">
        <x:f aca="0">IF(COUNTIF(Subgroup_Overrides!$H$11:$H$100,"A|"&amp;$C8&amp;"|"&amp;$D8)&gt;0,SUMIFS(Subgroup_Overrides!$F$11:$F$100,Subgroup_Overrides!$H$11:$H$100,"A|"&amp;$C8&amp;"|"&amp;$D8),"")</x:f>
      </x:c>
      <x:c r="K8" s="5" t="str">
        <x:f aca="0">IF(COUNTIF(Subgroup_Overrides!$H$11:$H$100,"B|"&amp;$C8&amp;"|"&amp;$D8)&gt;0,SUMIFS(Subgroup_Overrides!$F$11:$F$100,Subgroup_Overrides!$H$11:$H$100,"B|"&amp;$C8&amp;"|"&amp;$D8),"")</x:f>
      </x:c>
      <x:c r="L8" s="5" t="str">
        <x:f aca="0">TRIM(B8)</x:f>
        <x:v>LIFE</x:v>
      </x:c>
      <x:c r="M8" s="5" t="str">
        <x:f aca="0">IF($H8="","",1*$H8)</x:f>
      </x:c>
      <x:c r="N8" s="5" t="str">
        <x:f aca="0">IF($I8="","",1*$I8)</x:f>
      </x:c>
      <x:c r="O8" s="5" t="str">
        <x:f aca="0">IF($M8="","",$B8&amp;"|"&amp;ROUND($M8*1000000000000,0))</x:f>
      </x:c>
      <x:c r="P8" s="5" t="str">
        <x:f aca="0">IF($N8="","",$B8&amp;"|"&amp;ROUND($N8*1000000000000,0))</x:f>
      </x:c>
    </x:row>
    <x:row r="9" s="1" customFormat="1" ht="14.25" hidden="0" customHeight="1">
      <x:c r="A9" s="7" t="n">
        <x:v>8</x:v>
      </x:c>
      <x:c r="B9" s="8" t="s">
        <x:v>276</x:v>
      </x:c>
      <x:c r="C9" s="8" t="s">
        <x:v>962</x:v>
      </x:c>
      <x:c r="D9" s="8" t="s">
        <x:v>963</x:v>
      </x:c>
      <x:c r="E9" s="8" t="n">
        <x:v>-0.7</x:v>
      </x:c>
      <x:c r="F9" s="70" t="n">
        <x:f aca="0">INDEX(I_prop!$B$7:$H$13, MATCH($C9, I_prop!$A$7:$A$13,0), MATCH($D9, I_prop!$B$6:$H$6,0))</x:f>
        <x:v>0</x:v>
      </x:c>
      <x:c r="G9" s="70" t="n">
        <x:f aca="0">INDEX(I_prop!$B$18:$H$24, MATCH($C9, I_prop!$A$18:$A$24,0), MATCH($D9, I_prop!$B$17:$H$17,0))</x:f>
        <x:v>0</x:v>
      </x:c>
      <x:c r="H9" s="70" t="n">
        <x:f aca="0">IF($J9&lt;&gt;"",$J9,IF($F9&lt;0,MAX(-1,Subgroup_Overrides!$B$7*$F9),$F9))</x:f>
        <x:v>0</x:v>
      </x:c>
      <x:c r="I9" s="70" t="n">
        <x:f aca="0">IF($K9&lt;&gt;"",$K9,IF($G9&lt;0,MAX(-1,Subgroup_Overrides!$B$7*$G9),$G9))</x:f>
        <x:v>0</x:v>
      </x:c>
      <x:c r="J9" s="8" t="str">
        <x:f aca="0">IF(COUNTIF(Subgroup_Overrides!$H$11:$H$100,"A|"&amp;$C9&amp;"|"&amp;$D9)&gt;0,SUMIFS(Subgroup_Overrides!$F$11:$F$100,Subgroup_Overrides!$H$11:$H$100,"A|"&amp;$C9&amp;"|"&amp;$D9),"")</x:f>
      </x:c>
      <x:c r="K9" s="8" t="str">
        <x:f aca="0">IF(COUNTIF(Subgroup_Overrides!$H$11:$H$100,"B|"&amp;$C9&amp;"|"&amp;$D9)&gt;0,SUMIFS(Subgroup_Overrides!$F$11:$F$100,Subgroup_Overrides!$H$11:$H$100,"B|"&amp;$C9&amp;"|"&amp;$D9),"")</x:f>
      </x:c>
      <x:c r="L9" s="8" t="str">
        <x:f aca="0">TRIM(B9)</x:f>
        <x:v>BODY</x:v>
      </x:c>
      <x:c r="M9" s="8" t="str">
        <x:f aca="0">IF($H9="","",1*$H9)</x:f>
      </x:c>
      <x:c r="N9" s="8" t="str">
        <x:f aca="0">IF($I9="","",1*$I9)</x:f>
      </x:c>
      <x:c r="O9" s="8" t="str">
        <x:f aca="0">IF($M9="","",$B9&amp;"|"&amp;ROUND($M9*1000000000000,0))</x:f>
      </x:c>
      <x:c r="P9" s="8" t="str">
        <x:f aca="0">IF($N9="","",$B9&amp;"|"&amp;ROUND($N9*1000000000000,0))</x:f>
      </x:c>
    </x:row>
    <x:row r="10" s="1" customFormat="1" ht="14.25" hidden="0" customHeight="1">
      <x:c r="A10" s="7" t="n">
        <x:v>9</x:v>
      </x:c>
      <x:c r="B10" s="5" t="s">
        <x:v>276</x:v>
      </x:c>
      <x:c r="C10" s="5" t="s">
        <x:v>964</x:v>
      </x:c>
      <x:c r="D10" s="5" t="s">
        <x:v>963</x:v>
      </x:c>
      <x:c r="E10" s="5" t="n">
        <x:v>-0.7</x:v>
      </x:c>
      <x:c r="F10" s="71" t="n">
        <x:f aca="0">INDEX(I_prop!$B$7:$H$13, MATCH($C10, I_prop!$A$7:$A$13,0), MATCH($D10, I_prop!$B$6:$H$6,0))</x:f>
        <x:v>0</x:v>
      </x:c>
      <x:c r="G10" s="71" t="n">
        <x:f aca="0">INDEX(I_prop!$B$18:$H$24, MATCH($C10, I_prop!$A$18:$A$24,0), MATCH($D10, I_prop!$B$17:$H$17,0))</x:f>
        <x:v>0</x:v>
      </x:c>
      <x:c r="H10" s="71" t="n">
        <x:f aca="0">IF($J10&lt;&gt;"",$J10,IF($F10&lt;0,MAX(-1,Subgroup_Overrides!$B$7*$F10),$F10))</x:f>
        <x:v>0</x:v>
      </x:c>
      <x:c r="I10" s="71" t="n">
        <x:f aca="0">IF($K10&lt;&gt;"",$K10,IF($G10&lt;0,MAX(-1,Subgroup_Overrides!$B$7*$G10),$G10))</x:f>
        <x:v>0</x:v>
      </x:c>
      <x:c r="J10" s="5" t="str">
        <x:f aca="0">IF(COUNTIF(Subgroup_Overrides!$H$11:$H$100,"A|"&amp;$C10&amp;"|"&amp;$D10)&gt;0,SUMIFS(Subgroup_Overrides!$F$11:$F$100,Subgroup_Overrides!$H$11:$H$100,"A|"&amp;$C10&amp;"|"&amp;$D10),"")</x:f>
      </x:c>
      <x:c r="K10" s="5" t="str">
        <x:f aca="0">IF(COUNTIF(Subgroup_Overrides!$H$11:$H$100,"B|"&amp;$C10&amp;"|"&amp;$D10)&gt;0,SUMIFS(Subgroup_Overrides!$F$11:$F$100,Subgroup_Overrides!$H$11:$H$100,"B|"&amp;$C10&amp;"|"&amp;$D10),"")</x:f>
      </x:c>
      <x:c r="L10" s="5" t="str">
        <x:f aca="0">TRIM(B10)</x:f>
        <x:v>BODY</x:v>
      </x:c>
      <x:c r="M10" s="5" t="str">
        <x:f aca="0">IF($H10="","",1*$H10)</x:f>
      </x:c>
      <x:c r="N10" s="5" t="str">
        <x:f aca="0">IF($I10="","",1*$I10)</x:f>
      </x:c>
      <x:c r="O10" s="5" t="str">
        <x:f aca="0">IF($M10="","",$B10&amp;"|"&amp;ROUND($M10*1000000000000,0))</x:f>
      </x:c>
      <x:c r="P10" s="5" t="str">
        <x:f aca="0">IF($N10="","",$B10&amp;"|"&amp;ROUND($N10*1000000000000,0))</x:f>
      </x:c>
    </x:row>
    <x:row r="11" s="1" customFormat="1" ht="14.25" hidden="0" customHeight="1">
      <x:c r="A11" s="7" t="n">
        <x:v>10</x:v>
      </x:c>
      <x:c r="B11" s="8" t="s">
        <x:v>276</x:v>
      </x:c>
      <x:c r="C11" s="8" t="s">
        <x:v>965</x:v>
      </x:c>
      <x:c r="D11" s="8" t="s">
        <x:v>963</x:v>
      </x:c>
      <x:c r="E11" s="8" t="n">
        <x:v>-0.7</x:v>
      </x:c>
      <x:c r="F11" s="70" t="n">
        <x:f aca="0">INDEX(I_prop!$B$7:$H$13, MATCH($C11, I_prop!$A$7:$A$13,0), MATCH($D11, I_prop!$B$6:$H$6,0))</x:f>
        <x:v>0</x:v>
      </x:c>
      <x:c r="G11" s="70" t="n">
        <x:f aca="0">INDEX(I_prop!$B$18:$H$24, MATCH($C11, I_prop!$A$18:$A$24,0), MATCH($D11, I_prop!$B$17:$H$17,0))</x:f>
        <x:v>0</x:v>
      </x:c>
      <x:c r="H11" s="70" t="n">
        <x:f aca="0">IF($J11&lt;&gt;"",$J11,IF($F11&lt;0,MAX(-1,Subgroup_Overrides!$B$7*$F11),$F11))</x:f>
        <x:v>0</x:v>
      </x:c>
      <x:c r="I11" s="70" t="n">
        <x:f aca="0">IF($K11&lt;&gt;"",$K11,IF($G11&lt;0,MAX(-1,Subgroup_Overrides!$B$7*$G11),$G11))</x:f>
        <x:v>0</x:v>
      </x:c>
      <x:c r="J11" s="8" t="str">
        <x:f aca="0">IF(COUNTIF(Subgroup_Overrides!$H$11:$H$100,"A|"&amp;$C11&amp;"|"&amp;$D11)&gt;0,SUMIFS(Subgroup_Overrides!$F$11:$F$100,Subgroup_Overrides!$H$11:$H$100,"A|"&amp;$C11&amp;"|"&amp;$D11),"")</x:f>
      </x:c>
      <x:c r="K11" s="8" t="str">
        <x:f aca="0">IF(COUNTIF(Subgroup_Overrides!$H$11:$H$100,"B|"&amp;$C11&amp;"|"&amp;$D11)&gt;0,SUMIFS(Subgroup_Overrides!$F$11:$F$100,Subgroup_Overrides!$H$11:$H$100,"B|"&amp;$C11&amp;"|"&amp;$D11),"")</x:f>
      </x:c>
      <x:c r="L11" s="8" t="str">
        <x:f aca="0">TRIM(B11)</x:f>
        <x:v>BODY</x:v>
      </x:c>
      <x:c r="M11" s="8" t="str">
        <x:f aca="0">IF($H11="","",1*$H11)</x:f>
      </x:c>
      <x:c r="N11" s="8" t="str">
        <x:f aca="0">IF($I11="","",1*$I11)</x:f>
      </x:c>
      <x:c r="O11" s="8" t="str">
        <x:f aca="0">IF($M11="","",$B11&amp;"|"&amp;ROUND($M11*1000000000000,0))</x:f>
      </x:c>
      <x:c r="P11" s="8" t="str">
        <x:f aca="0">IF($N11="","",$B11&amp;"|"&amp;ROUND($N11*1000000000000,0))</x:f>
      </x:c>
    </x:row>
    <x:row r="12" s="1" customFormat="1" ht="14.25" hidden="0" customHeight="1">
      <x:c r="A12" s="7" t="n">
        <x:v>11</x:v>
      </x:c>
      <x:c r="B12" s="5" t="s">
        <x:v>276</x:v>
      </x:c>
      <x:c r="C12" s="5" t="s">
        <x:v>966</x:v>
      </x:c>
      <x:c r="D12" s="5" t="s">
        <x:v>963</x:v>
      </x:c>
      <x:c r="E12" s="5" t="n">
        <x:v>-0.7</x:v>
      </x:c>
      <x:c r="F12" s="71" t="n">
        <x:f aca="0">INDEX(I_prop!$B$7:$H$13, MATCH($C12, I_prop!$A$7:$A$13,0), MATCH($D12, I_prop!$B$6:$H$6,0))</x:f>
        <x:v>0</x:v>
      </x:c>
      <x:c r="G12" s="71" t="n">
        <x:f aca="0">INDEX(I_prop!$B$18:$H$24, MATCH($C12, I_prop!$A$18:$A$24,0), MATCH($D12, I_prop!$B$17:$H$17,0))</x:f>
        <x:v>0</x:v>
      </x:c>
      <x:c r="H12" s="71" t="n">
        <x:f aca="0">IF($J12&lt;&gt;"",$J12,IF($F12&lt;0,MAX(-1,Subgroup_Overrides!$B$7*$F12),$F12))</x:f>
        <x:v>0</x:v>
      </x:c>
      <x:c r="I12" s="71" t="n">
        <x:f aca="0">IF($K12&lt;&gt;"",$K12,IF($G12&lt;0,MAX(-1,Subgroup_Overrides!$B$7*$G12),$G12))</x:f>
        <x:v>0</x:v>
      </x:c>
      <x:c r="J12" s="5" t="str">
        <x:f aca="0">IF(COUNTIF(Subgroup_Overrides!$H$11:$H$100,"A|"&amp;$C12&amp;"|"&amp;$D12)&gt;0,SUMIFS(Subgroup_Overrides!$F$11:$F$100,Subgroup_Overrides!$H$11:$H$100,"A|"&amp;$C12&amp;"|"&amp;$D12),"")</x:f>
      </x:c>
      <x:c r="K12" s="5" t="str">
        <x:f aca="0">IF(COUNTIF(Subgroup_Overrides!$H$11:$H$100,"B|"&amp;$C12&amp;"|"&amp;$D12)&gt;0,SUMIFS(Subgroup_Overrides!$F$11:$F$100,Subgroup_Overrides!$H$11:$H$100,"B|"&amp;$C12&amp;"|"&amp;$D12),"")</x:f>
      </x:c>
      <x:c r="L12" s="5" t="str">
        <x:f aca="0">TRIM(B12)</x:f>
        <x:v>BODY</x:v>
      </x:c>
      <x:c r="M12" s="5" t="str">
        <x:f aca="0">IF($H12="","",1*$H12)</x:f>
      </x:c>
      <x:c r="N12" s="5" t="str">
        <x:f aca="0">IF($I12="","",1*$I12)</x:f>
      </x:c>
      <x:c r="O12" s="5" t="str">
        <x:f aca="0">IF($M12="","",$B12&amp;"|"&amp;ROUND($M12*1000000000000,0))</x:f>
      </x:c>
      <x:c r="P12" s="5" t="str">
        <x:f aca="0">IF($N12="","",$B12&amp;"|"&amp;ROUND($N12*1000000000000,0))</x:f>
      </x:c>
    </x:row>
    <x:row r="13" s="1" customFormat="1" ht="14.25" hidden="0" customHeight="1">
      <x:c r="A13" s="7" t="n">
        <x:v>12</x:v>
      </x:c>
      <x:c r="B13" s="8" t="s">
        <x:v>276</x:v>
      </x:c>
      <x:c r="C13" s="8" t="s">
        <x:v>967</x:v>
      </x:c>
      <x:c r="D13" s="8" t="s">
        <x:v>963</x:v>
      </x:c>
      <x:c r="E13" s="8" t="n">
        <x:v>-0.7</x:v>
      </x:c>
      <x:c r="F13" s="70" t="n">
        <x:f aca="0">INDEX(I_prop!$B$7:$H$13, MATCH($C13, I_prop!$A$7:$A$13,0), MATCH($D13, I_prop!$B$6:$H$6,0))</x:f>
        <x:v>0</x:v>
      </x:c>
      <x:c r="G13" s="70" t="n">
        <x:f aca="0">INDEX(I_prop!$B$18:$H$24, MATCH($C13, I_prop!$A$18:$A$24,0), MATCH($D13, I_prop!$B$17:$H$17,0))</x:f>
        <x:v>0</x:v>
      </x:c>
      <x:c r="H13" s="70" t="n">
        <x:f aca="0">IF($J13&lt;&gt;"",$J13,IF($F13&lt;0,MAX(-1,Subgroup_Overrides!$B$7*$F13),$F13))</x:f>
        <x:v>0</x:v>
      </x:c>
      <x:c r="I13" s="70" t="n">
        <x:f aca="0">IF($K13&lt;&gt;"",$K13,IF($G13&lt;0,MAX(-1,Subgroup_Overrides!$B$7*$G13),$G13))</x:f>
        <x:v>0</x:v>
      </x:c>
      <x:c r="J13" s="8" t="str">
        <x:f aca="0">IF(COUNTIF(Subgroup_Overrides!$H$11:$H$100,"A|"&amp;$C13&amp;"|"&amp;$D13)&gt;0,SUMIFS(Subgroup_Overrides!$F$11:$F$100,Subgroup_Overrides!$H$11:$H$100,"A|"&amp;$C13&amp;"|"&amp;$D13),"")</x:f>
      </x:c>
      <x:c r="K13" s="8" t="str">
        <x:f aca="0">IF(COUNTIF(Subgroup_Overrides!$H$11:$H$100,"B|"&amp;$C13&amp;"|"&amp;$D13)&gt;0,SUMIFS(Subgroup_Overrides!$F$11:$F$100,Subgroup_Overrides!$H$11:$H$100,"B|"&amp;$C13&amp;"|"&amp;$D13),"")</x:f>
      </x:c>
      <x:c r="L13" s="8" t="str">
        <x:f aca="0">TRIM(B13)</x:f>
        <x:v>BODY</x:v>
      </x:c>
      <x:c r="M13" s="8" t="str">
        <x:f aca="0">IF($H13="","",1*$H13)</x:f>
      </x:c>
      <x:c r="N13" s="8" t="str">
        <x:f aca="0">IF($I13="","",1*$I13)</x:f>
      </x:c>
      <x:c r="O13" s="8" t="str">
        <x:f aca="0">IF($M13="","",$B13&amp;"|"&amp;ROUND($M13*1000000000000,0))</x:f>
      </x:c>
      <x:c r="P13" s="8" t="str">
        <x:f aca="0">IF($N13="","",$B13&amp;"|"&amp;ROUND($N13*1000000000000,0))</x:f>
      </x:c>
    </x:row>
    <x:row r="14" s="1" customFormat="1" ht="14.25" hidden="0" customHeight="1">
      <x:c r="A14" s="7" t="n">
        <x:v>13</x:v>
      </x:c>
      <x:c r="B14" s="5" t="s">
        <x:v>276</x:v>
      </x:c>
      <x:c r="C14" s="5" t="s">
        <x:v>968</x:v>
      </x:c>
      <x:c r="D14" s="5" t="s">
        <x:v>963</x:v>
      </x:c>
      <x:c r="E14" s="5" t="n">
        <x:v>-0.7</x:v>
      </x:c>
      <x:c r="F14" s="71" t="n">
        <x:f aca="0">INDEX(I_prop!$B$7:$H$13, MATCH($C14, I_prop!$A$7:$A$13,0), MATCH($D14, I_prop!$B$6:$H$6,0))</x:f>
        <x:v>0</x:v>
      </x:c>
      <x:c r="G14" s="71" t="n">
        <x:f aca="0">INDEX(I_prop!$B$18:$H$24, MATCH($C14, I_prop!$A$18:$A$24,0), MATCH($D14, I_prop!$B$17:$H$17,0))</x:f>
        <x:v>0</x:v>
      </x:c>
      <x:c r="H14" s="71" t="n">
        <x:f aca="0">IF($J14&lt;&gt;"",$J14,IF($F14&lt;0,MAX(-1,Subgroup_Overrides!$B$7*$F14),$F14))</x:f>
        <x:v>0</x:v>
      </x:c>
      <x:c r="I14" s="71" t="n">
        <x:f aca="0">IF($K14&lt;&gt;"",$K14,IF($G14&lt;0,MAX(-1,Subgroup_Overrides!$B$7*$G14),$G14))</x:f>
        <x:v>0</x:v>
      </x:c>
      <x:c r="J14" s="5" t="str">
        <x:f aca="0">IF(COUNTIF(Subgroup_Overrides!$H$11:$H$100,"A|"&amp;$C14&amp;"|"&amp;$D14)&gt;0,SUMIFS(Subgroup_Overrides!$F$11:$F$100,Subgroup_Overrides!$H$11:$H$100,"A|"&amp;$C14&amp;"|"&amp;$D14),"")</x:f>
      </x:c>
      <x:c r="K14" s="5" t="str">
        <x:f aca="0">IF(COUNTIF(Subgroup_Overrides!$H$11:$H$100,"B|"&amp;$C14&amp;"|"&amp;$D14)&gt;0,SUMIFS(Subgroup_Overrides!$F$11:$F$100,Subgroup_Overrides!$H$11:$H$100,"B|"&amp;$C14&amp;"|"&amp;$D14),"")</x:f>
      </x:c>
      <x:c r="L14" s="5" t="str">
        <x:f aca="0">TRIM(B14)</x:f>
        <x:v>BODY</x:v>
      </x:c>
      <x:c r="M14" s="5" t="str">
        <x:f aca="0">IF($H14="","",1*$H14)</x:f>
      </x:c>
      <x:c r="N14" s="5" t="str">
        <x:f aca="0">IF($I14="","",1*$I14)</x:f>
      </x:c>
      <x:c r="O14" s="5" t="str">
        <x:f aca="0">IF($M14="","",$B14&amp;"|"&amp;ROUND($M14*1000000000000,0))</x:f>
      </x:c>
      <x:c r="P14" s="5" t="str">
        <x:f aca="0">IF($N14="","",$B14&amp;"|"&amp;ROUND($N14*1000000000000,0))</x:f>
      </x:c>
    </x:row>
    <x:row r="15" s="1" customFormat="1" ht="14.25" hidden="0" customHeight="1">
      <x:c r="A15" s="7" t="n">
        <x:v>14</x:v>
      </x:c>
      <x:c r="B15" s="8" t="s">
        <x:v>282</x:v>
      </x:c>
      <x:c r="C15" s="8" t="s">
        <x:v>968</x:v>
      </x:c>
      <x:c r="D15" s="8" t="s">
        <x:v>969</x:v>
      </x:c>
      <x:c r="E15" s="8" t="n">
        <x:v>-0.65</x:v>
      </x:c>
      <x:c r="F15" s="70" t="n">
        <x:f aca="0">INDEX(I_prop!$B$7:$H$13, MATCH($C15, I_prop!$A$7:$A$13,0), MATCH($D15, I_prop!$B$6:$H$6,0))</x:f>
        <x:v>0</x:v>
      </x:c>
      <x:c r="G15" s="70" t="n">
        <x:f aca="0">INDEX(I_prop!$B$18:$H$24, MATCH($C15, I_prop!$A$18:$A$24,0), MATCH($D15, I_prop!$B$17:$H$17,0))</x:f>
        <x:v>0</x:v>
      </x:c>
      <x:c r="H15" s="70" t="n">
        <x:f aca="0">IF($J15&lt;&gt;"",$J15,IF($F15&lt;0,MAX(-1,Subgroup_Overrides!$B$7*$F15),$F15))</x:f>
        <x:v>0</x:v>
      </x:c>
      <x:c r="I15" s="70" t="n">
        <x:f aca="0">IF($K15&lt;&gt;"",$K15,IF($G15&lt;0,MAX(-1,Subgroup_Overrides!$B$7*$G15),$G15))</x:f>
        <x:v>0</x:v>
      </x:c>
      <x:c r="J15" s="8" t="str">
        <x:f aca="0">IF(COUNTIF(Subgroup_Overrides!$H$11:$H$100,"A|"&amp;$C15&amp;"|"&amp;$D15)&gt;0,SUMIFS(Subgroup_Overrides!$F$11:$F$100,Subgroup_Overrides!$H$11:$H$100,"A|"&amp;$C15&amp;"|"&amp;$D15),"")</x:f>
      </x:c>
      <x:c r="K15" s="8" t="str">
        <x:f aca="0">IF(COUNTIF(Subgroup_Overrides!$H$11:$H$100,"B|"&amp;$C15&amp;"|"&amp;$D15)&gt;0,SUMIFS(Subgroup_Overrides!$F$11:$F$100,Subgroup_Overrides!$H$11:$H$100,"B|"&amp;$C15&amp;"|"&amp;$D15),"")</x:f>
      </x:c>
      <x:c r="L15" s="8" t="str">
        <x:f aca="0">TRIM(B15)</x:f>
        <x:v>ECOL</x:v>
      </x:c>
      <x:c r="M15" s="8" t="str">
        <x:f aca="0">IF($H15="","",1*$H15)</x:f>
      </x:c>
      <x:c r="N15" s="8" t="str">
        <x:f aca="0">IF($I15="","",1*$I15)</x:f>
      </x:c>
      <x:c r="O15" s="8" t="str">
        <x:f aca="0">IF($M15="","",$B15&amp;"|"&amp;ROUND($M15*1000000000000,0))</x:f>
      </x:c>
      <x:c r="P15" s="8" t="str">
        <x:f aca="0">IF($N15="","",$B15&amp;"|"&amp;ROUND($N15*1000000000000,0))</x:f>
      </x:c>
    </x:row>
    <x:row r="16" s="1" customFormat="1" ht="14.25" hidden="0" customHeight="1">
      <x:c r="A16" s="7" t="n">
        <x:v>15</x:v>
      </x:c>
      <x:c r="B16" s="5" t="s">
        <x:v>282</x:v>
      </x:c>
      <x:c r="C16" s="5" t="s">
        <x:v>970</x:v>
      </x:c>
      <x:c r="D16" s="5" t="s">
        <x:v>969</x:v>
      </x:c>
      <x:c r="E16" s="5" t="n">
        <x:v>-0.65</x:v>
      </x:c>
      <x:c r="F16" s="71" t="n">
        <x:f aca="0">INDEX(I_prop!$B$7:$H$13, MATCH($C16, I_prop!$A$7:$A$13,0), MATCH($D16, I_prop!$B$6:$H$6,0))</x:f>
        <x:v>0.01531651795735988</x:v>
      </x:c>
      <x:c r="G16" s="71" t="n">
        <x:f aca="0">INDEX(I_prop!$B$18:$H$24, MATCH($C16, I_prop!$A$18:$A$24,0), MATCH($D16, I_prop!$B$17:$H$17,0))</x:f>
        <x:v>-0.010211455619172184</x:v>
      </x:c>
      <x:c r="H16" s="71" t="n">
        <x:f aca="0">IF($J16&lt;&gt;"",$J16,IF($F16&lt;0,MAX(-1,Subgroup_Overrides!$B$7*$F16),$F16))</x:f>
        <x:v>0.01531651795735988</x:v>
      </x:c>
      <x:c r="I16" s="71" t="n">
        <x:f aca="0">IF($K16&lt;&gt;"",$K16,IF($G16&lt;0,MAX(-1,Subgroup_Overrides!$B$7*$G16),$G16))</x:f>
        <x:v>-0.08</x:v>
      </x:c>
      <x:c r="J16" s="5" t="str">
        <x:f aca="0">IF(COUNTIF(Subgroup_Overrides!$H$11:$H$100,"A|"&amp;$C16&amp;"|"&amp;$D16)&gt;0,SUMIFS(Subgroup_Overrides!$F$11:$F$100,Subgroup_Overrides!$H$11:$H$100,"A|"&amp;$C16&amp;"|"&amp;$D16),"")</x:f>
      </x:c>
      <x:c r="K16" s="5" t="n">
        <x:f aca="0">IF(COUNTIF(Subgroup_Overrides!$H$11:$H$100,"B|"&amp;$C16&amp;"|"&amp;$D16)&gt;0,SUMIFS(Subgroup_Overrides!$F$11:$F$100,Subgroup_Overrides!$H$11:$H$100,"B|"&amp;$C16&amp;"|"&amp;$D16),"")</x:f>
        <x:v>-0.08</x:v>
      </x:c>
      <x:c r="L16" s="5" t="str">
        <x:f aca="0">TRIM(B16)</x:f>
        <x:v>ECOL</x:v>
      </x:c>
      <x:c r="M16" s="5" t="n">
        <x:f aca="0">IF($H16="","",1*$H16)</x:f>
        <x:v>0.01531651795735988</x:v>
      </x:c>
      <x:c r="N16" s="5" t="n">
        <x:f aca="0">IF($I16="","",1*$I16)</x:f>
        <x:v>-0.08</x:v>
      </x:c>
      <x:c r="O16" s="5" t="str">
        <x:f aca="0">IF($M16="","",$B16&amp;"|"&amp;ROUND($M16*1000000000000,0))</x:f>
        <x:v>ECOL|15316517957</x:v>
      </x:c>
      <x:c r="P16" s="5" t="str">
        <x:f aca="0">IF($N16="","",$B16&amp;"|"&amp;ROUND($N16*1000000000000,0))</x:f>
        <x:v>ECOL|-80000000000</x:v>
      </x:c>
    </x:row>
    <x:row r="17" s="1" customFormat="1" ht="14.25" hidden="0" customHeight="1">
      <x:c r="A17" s="7" t="n">
        <x:v>16</x:v>
      </x:c>
      <x:c r="B17" s="8" t="s">
        <x:v>277</x:v>
      </x:c>
      <x:c r="C17" s="8" t="s">
        <x:v>962</x:v>
      </x:c>
      <x:c r="D17" s="8" t="s">
        <x:v>971</x:v>
      </x:c>
      <x:c r="E17" s="8" t="n">
        <x:v>-0.65</x:v>
      </x:c>
      <x:c r="F17" s="70" t="n">
        <x:f aca="0">INDEX(I_prop!$B$7:$H$13, MATCH($C17, I_prop!$A$7:$A$13,0), MATCH($D17, I_prop!$B$6:$H$6,0))</x:f>
        <x:v>0.2490078843274226</x:v>
      </x:c>
      <x:c r="G17" s="70" t="n">
        <x:f aca="0">INDEX(I_prop!$B$18:$H$24, MATCH($C17, I_prop!$A$18:$A$24,0), MATCH($D17, I_prop!$B$17:$H$17,0))</x:f>
        <x:v>-0.046333567670633624</x:v>
      </x:c>
      <x:c r="H17" s="70" t="n">
        <x:f aca="0">IF($J17&lt;&gt;"",$J17,IF($F17&lt;0,MAX(-1,Subgroup_Overrides!$B$7*$F17),$F17))</x:f>
        <x:v>0.2490078843274226</x:v>
      </x:c>
      <x:c r="I17" s="70" t="n">
        <x:f aca="0">IF($K17&lt;&gt;"",$K17,IF($G17&lt;0,MAX(-1,Subgroup_Overrides!$B$7*$G17),$G17))</x:f>
        <x:v>-0.15</x:v>
      </x:c>
      <x:c r="J17" s="8" t="str">
        <x:f aca="0">IF(COUNTIF(Subgroup_Overrides!$H$11:$H$100,"A|"&amp;$C17&amp;"|"&amp;$D17)&gt;0,SUMIFS(Subgroup_Overrides!$F$11:$F$100,Subgroup_Overrides!$H$11:$H$100,"A|"&amp;$C17&amp;"|"&amp;$D17),"")</x:f>
      </x:c>
      <x:c r="K17" s="8" t="n">
        <x:f aca="0">IF(COUNTIF(Subgroup_Overrides!$H$11:$H$100,"B|"&amp;$C17&amp;"|"&amp;$D17)&gt;0,SUMIFS(Subgroup_Overrides!$F$11:$F$100,Subgroup_Overrides!$H$11:$H$100,"B|"&amp;$C17&amp;"|"&amp;$D17),"")</x:f>
        <x:v>-0.15</x:v>
      </x:c>
      <x:c r="L17" s="8" t="str">
        <x:f aca="0">TRIM(B17)</x:f>
        <x:v>LBTY</x:v>
      </x:c>
      <x:c r="M17" s="8" t="n">
        <x:f aca="0">IF($H17="","",1*$H17)</x:f>
        <x:v>0.2490078843274226</x:v>
      </x:c>
      <x:c r="N17" s="8" t="n">
        <x:f aca="0">IF($I17="","",1*$I17)</x:f>
        <x:v>-0.15</x:v>
      </x:c>
      <x:c r="O17" s="8" t="str">
        <x:f aca="0">IF($M17="","",$B17&amp;"|"&amp;ROUND($M17*1000000000000,0))</x:f>
        <x:v>LBTY|249007884327</x:v>
      </x:c>
      <x:c r="P17" s="8" t="str">
        <x:f aca="0">IF($N17="","",$B17&amp;"|"&amp;ROUND($N17*1000000000000,0))</x:f>
        <x:v>LBTY|-150000000000</x:v>
      </x:c>
    </x:row>
    <x:row r="18" s="1" customFormat="1" ht="14.25" hidden="0" customHeight="1">
      <x:c r="A18" s="7" t="n">
        <x:v>17</x:v>
      </x:c>
      <x:c r="B18" s="5" t="s">
        <x:v>277</x:v>
      </x:c>
      <x:c r="C18" s="5" t="s">
        <x:v>964</x:v>
      </x:c>
      <x:c r="D18" s="5" t="s">
        <x:v>971</x:v>
      </x:c>
      <x:c r="E18" s="5" t="n">
        <x:v>-0.65</x:v>
      </x:c>
      <x:c r="F18" s="71" t="n">
        <x:f aca="0">INDEX(I_prop!$B$7:$H$13, MATCH($C18, I_prop!$A$7:$A$13,0), MATCH($D18, I_prop!$B$6:$H$6,0))</x:f>
        <x:v>0</x:v>
      </x:c>
      <x:c r="G18" s="71" t="n">
        <x:f aca="0">INDEX(I_prop!$B$18:$H$24, MATCH($C18, I_prop!$A$18:$A$24,0), MATCH($D18, I_prop!$B$17:$H$17,0))</x:f>
        <x:v>0</x:v>
      </x:c>
      <x:c r="H18" s="71" t="n">
        <x:f aca="0">IF($J18&lt;&gt;"",$J18,IF($F18&lt;0,MAX(-1,Subgroup_Overrides!$B$7*$F18),$F18))</x:f>
        <x:v>0</x:v>
      </x:c>
      <x:c r="I18" s="71" t="n">
        <x:f aca="0">IF($K18&lt;&gt;"",$K18,IF($G18&lt;0,MAX(-1,Subgroup_Overrides!$B$7*$G18),$G18))</x:f>
        <x:v>0</x:v>
      </x:c>
      <x:c r="J18" s="5" t="str">
        <x:f aca="0">IF(COUNTIF(Subgroup_Overrides!$H$11:$H$100,"A|"&amp;$C18&amp;"|"&amp;$D18)&gt;0,SUMIFS(Subgroup_Overrides!$F$11:$F$100,Subgroup_Overrides!$H$11:$H$100,"A|"&amp;$C18&amp;"|"&amp;$D18),"")</x:f>
      </x:c>
      <x:c r="K18" s="5" t="str">
        <x:f aca="0">IF(COUNTIF(Subgroup_Overrides!$H$11:$H$100,"B|"&amp;$C18&amp;"|"&amp;$D18)&gt;0,SUMIFS(Subgroup_Overrides!$F$11:$F$100,Subgroup_Overrides!$H$11:$H$100,"B|"&amp;$C18&amp;"|"&amp;$D18),"")</x:f>
      </x:c>
      <x:c r="L18" s="5" t="str">
        <x:f aca="0">TRIM(B18)</x:f>
        <x:v>LBTY</x:v>
      </x:c>
      <x:c r="M18" s="5" t="str">
        <x:f aca="0">IF($H18="","",1*$H18)</x:f>
      </x:c>
      <x:c r="N18" s="5" t="str">
        <x:f aca="0">IF($I18="","",1*$I18)</x:f>
      </x:c>
      <x:c r="O18" s="5" t="str">
        <x:f aca="0">IF($M18="","",$B18&amp;"|"&amp;ROUND($M18*1000000000000,0))</x:f>
      </x:c>
      <x:c r="P18" s="5" t="str">
        <x:f aca="0">IF($N18="","",$B18&amp;"|"&amp;ROUND($N18*1000000000000,0))</x:f>
      </x:c>
    </x:row>
    <x:row r="19" s="1" customFormat="1" ht="14.25" hidden="0" customHeight="1">
      <x:c r="A19" s="7" t="n">
        <x:v>18</x:v>
      </x:c>
      <x:c r="B19" s="8" t="s">
        <x:v>277</x:v>
      </x:c>
      <x:c r="C19" s="8" t="s">
        <x:v>965</x:v>
      </x:c>
      <x:c r="D19" s="8" t="s">
        <x:v>971</x:v>
      </x:c>
      <x:c r="E19" s="8" t="n">
        <x:v>-0.65</x:v>
      </x:c>
      <x:c r="F19" s="70" t="n">
        <x:f aca="0">INDEX(I_prop!$B$7:$H$13, MATCH($C19, I_prop!$A$7:$A$13,0), MATCH($D19, I_prop!$B$6:$H$6,0))</x:f>
        <x:v>0</x:v>
      </x:c>
      <x:c r="G19" s="70" t="n">
        <x:f aca="0">INDEX(I_prop!$B$18:$H$24, MATCH($C19, I_prop!$A$18:$A$24,0), MATCH($D19, I_prop!$B$17:$H$17,0))</x:f>
        <x:v>0</x:v>
      </x:c>
      <x:c r="H19" s="70" t="n">
        <x:f aca="0">IF($J19&lt;&gt;"",$J19,IF($F19&lt;0,MAX(-1,Subgroup_Overrides!$B$7*$F19),$F19))</x:f>
        <x:v>0</x:v>
      </x:c>
      <x:c r="I19" s="70" t="n">
        <x:f aca="0">IF($K19&lt;&gt;"",$K19,IF($G19&lt;0,MAX(-1,Subgroup_Overrides!$B$7*$G19),$G19))</x:f>
        <x:v>0</x:v>
      </x:c>
      <x:c r="J19" s="8" t="str">
        <x:f aca="0">IF(COUNTIF(Subgroup_Overrides!$H$11:$H$100,"A|"&amp;$C19&amp;"|"&amp;$D19)&gt;0,SUMIFS(Subgroup_Overrides!$F$11:$F$100,Subgroup_Overrides!$H$11:$H$100,"A|"&amp;$C19&amp;"|"&amp;$D19),"")</x:f>
      </x:c>
      <x:c r="K19" s="8" t="str">
        <x:f aca="0">IF(COUNTIF(Subgroup_Overrides!$H$11:$H$100,"B|"&amp;$C19&amp;"|"&amp;$D19)&gt;0,SUMIFS(Subgroup_Overrides!$F$11:$F$100,Subgroup_Overrides!$H$11:$H$100,"B|"&amp;$C19&amp;"|"&amp;$D19),"")</x:f>
      </x:c>
      <x:c r="L19" s="8" t="str">
        <x:f aca="0">TRIM(B19)</x:f>
        <x:v>LBTY</x:v>
      </x:c>
      <x:c r="M19" s="8" t="str">
        <x:f aca="0">IF($H19="","",1*$H19)</x:f>
      </x:c>
      <x:c r="N19" s="8" t="str">
        <x:f aca="0">IF($I19="","",1*$I19)</x:f>
      </x:c>
      <x:c r="O19" s="8" t="str">
        <x:f aca="0">IF($M19="","",$B19&amp;"|"&amp;ROUND($M19*1000000000000,0))</x:f>
      </x:c>
      <x:c r="P19" s="8" t="str">
        <x:f aca="0">IF($N19="","",$B19&amp;"|"&amp;ROUND($N19*1000000000000,0))</x:f>
      </x:c>
    </x:row>
    <x:row r="20" s="1" customFormat="1" ht="14.25" hidden="0" customHeight="1">
      <x:c r="A20" s="7" t="n">
        <x:v>19</x:v>
      </x:c>
      <x:c r="B20" s="5" t="s">
        <x:v>277</x:v>
      </x:c>
      <x:c r="C20" s="5" t="s">
        <x:v>966</x:v>
      </x:c>
      <x:c r="D20" s="5" t="s">
        <x:v>971</x:v>
      </x:c>
      <x:c r="E20" s="5" t="n">
        <x:v>-0.65</x:v>
      </x:c>
      <x:c r="F20" s="71" t="n">
        <x:f aca="0">INDEX(I_prop!$B$7:$H$13, MATCH($C20, I_prop!$A$7:$A$13,0), MATCH($D20, I_prop!$B$6:$H$6,0))</x:f>
        <x:v>0</x:v>
      </x:c>
      <x:c r="G20" s="71" t="n">
        <x:f aca="0">INDEX(I_prop!$B$18:$H$24, MATCH($C20, I_prop!$A$18:$A$24,0), MATCH($D20, I_prop!$B$17:$H$17,0))</x:f>
        <x:v>0</x:v>
      </x:c>
      <x:c r="H20" s="71" t="n">
        <x:f aca="0">IF($J20&lt;&gt;"",$J20,IF($F20&lt;0,MAX(-1,Subgroup_Overrides!$B$7*$F20),$F20))</x:f>
        <x:v>0</x:v>
      </x:c>
      <x:c r="I20" s="71" t="n">
        <x:f aca="0">IF($K20&lt;&gt;"",$K20,IF($G20&lt;0,MAX(-1,Subgroup_Overrides!$B$7*$G20),$G20))</x:f>
        <x:v>0</x:v>
      </x:c>
      <x:c r="J20" s="5" t="str">
        <x:f aca="0">IF(COUNTIF(Subgroup_Overrides!$H$11:$H$100,"A|"&amp;$C20&amp;"|"&amp;$D20)&gt;0,SUMIFS(Subgroup_Overrides!$F$11:$F$100,Subgroup_Overrides!$H$11:$H$100,"A|"&amp;$C20&amp;"|"&amp;$D20),"")</x:f>
      </x:c>
      <x:c r="K20" s="5" t="str">
        <x:f aca="0">IF(COUNTIF(Subgroup_Overrides!$H$11:$H$100,"B|"&amp;$C20&amp;"|"&amp;$D20)&gt;0,SUMIFS(Subgroup_Overrides!$F$11:$F$100,Subgroup_Overrides!$H$11:$H$100,"B|"&amp;$C20&amp;"|"&amp;$D20),"")</x:f>
      </x:c>
      <x:c r="L20" s="5" t="str">
        <x:f aca="0">TRIM(B20)</x:f>
        <x:v>LBTY</x:v>
      </x:c>
      <x:c r="M20" s="5" t="str">
        <x:f aca="0">IF($H20="","",1*$H20)</x:f>
      </x:c>
      <x:c r="N20" s="5" t="str">
        <x:f aca="0">IF($I20="","",1*$I20)</x:f>
      </x:c>
      <x:c r="O20" s="5" t="str">
        <x:f aca="0">IF($M20="","",$B20&amp;"|"&amp;ROUND($M20*1000000000000,0))</x:f>
      </x:c>
      <x:c r="P20" s="5" t="str">
        <x:f aca="0">IF($N20="","",$B20&amp;"|"&amp;ROUND($N20*1000000000000,0))</x:f>
      </x:c>
    </x:row>
    <x:row r="21" s="1" customFormat="1" ht="14.25" hidden="0" customHeight="1">
      <x:c r="A21" s="7" t="n">
        <x:v>20</x:v>
      </x:c>
      <x:c r="B21" s="8" t="s">
        <x:v>277</x:v>
      </x:c>
      <x:c r="C21" s="8" t="s">
        <x:v>967</x:v>
      </x:c>
      <x:c r="D21" s="8" t="s">
        <x:v>971</x:v>
      </x:c>
      <x:c r="E21" s="8" t="n">
        <x:v>-0.65</x:v>
      </x:c>
      <x:c r="F21" s="70" t="n">
        <x:f aca="0">INDEX(I_prop!$B$7:$H$13, MATCH($C21, I_prop!$A$7:$A$13,0), MATCH($D21, I_prop!$B$6:$H$6,0))</x:f>
        <x:v>0</x:v>
      </x:c>
      <x:c r="G21" s="70" t="n">
        <x:f aca="0">INDEX(I_prop!$B$18:$H$24, MATCH($C21, I_prop!$A$18:$A$24,0), MATCH($D21, I_prop!$B$17:$H$17,0))</x:f>
        <x:v>0</x:v>
      </x:c>
      <x:c r="H21" s="70" t="n">
        <x:f aca="0">IF($J21&lt;&gt;"",$J21,IF($F21&lt;0,MAX(-1,Subgroup_Overrides!$B$7*$F21),$F21))</x:f>
        <x:v>0</x:v>
      </x:c>
      <x:c r="I21" s="70" t="n">
        <x:f aca="0">IF($K21&lt;&gt;"",$K21,IF($G21&lt;0,MAX(-1,Subgroup_Overrides!$B$7*$G21),$G21))</x:f>
        <x:v>0</x:v>
      </x:c>
      <x:c r="J21" s="8" t="str">
        <x:f aca="0">IF(COUNTIF(Subgroup_Overrides!$H$11:$H$100,"A|"&amp;$C21&amp;"|"&amp;$D21)&gt;0,SUMIFS(Subgroup_Overrides!$F$11:$F$100,Subgroup_Overrides!$H$11:$H$100,"A|"&amp;$C21&amp;"|"&amp;$D21),"")</x:f>
      </x:c>
      <x:c r="K21" s="8" t="str">
        <x:f aca="0">IF(COUNTIF(Subgroup_Overrides!$H$11:$H$100,"B|"&amp;$C21&amp;"|"&amp;$D21)&gt;0,SUMIFS(Subgroup_Overrides!$F$11:$F$100,Subgroup_Overrides!$H$11:$H$100,"B|"&amp;$C21&amp;"|"&amp;$D21),"")</x:f>
      </x:c>
      <x:c r="L21" s="8" t="str">
        <x:f aca="0">TRIM(B21)</x:f>
        <x:v>LBTY</x:v>
      </x:c>
      <x:c r="M21" s="8" t="str">
        <x:f aca="0">IF($H21="","",1*$H21)</x:f>
      </x:c>
      <x:c r="N21" s="8" t="str">
        <x:f aca="0">IF($I21="","",1*$I21)</x:f>
      </x:c>
      <x:c r="O21" s="8" t="str">
        <x:f aca="0">IF($M21="","",$B21&amp;"|"&amp;ROUND($M21*1000000000000,0))</x:f>
      </x:c>
      <x:c r="P21" s="8" t="str">
        <x:f aca="0">IF($N21="","",$B21&amp;"|"&amp;ROUND($N21*1000000000000,0))</x:f>
      </x:c>
    </x:row>
    <x:row r="22" s="1" customFormat="1" ht="14.25" hidden="0" customHeight="1">
      <x:c r="A22" s="7" t="n">
        <x:v>21</x:v>
      </x:c>
      <x:c r="B22" s="5" t="s">
        <x:v>277</x:v>
      </x:c>
      <x:c r="C22" s="5" t="s">
        <x:v>968</x:v>
      </x:c>
      <x:c r="D22" s="5" t="s">
        <x:v>971</x:v>
      </x:c>
      <x:c r="E22" s="5" t="n">
        <x:v>-0.65</x:v>
      </x:c>
      <x:c r="F22" s="71" t="n">
        <x:f aca="0">INDEX(I_prop!$B$7:$H$13, MATCH($C22, I_prop!$A$7:$A$13,0), MATCH($D22, I_prop!$B$6:$H$6,0))</x:f>
        <x:v>0</x:v>
      </x:c>
      <x:c r="G22" s="71" t="n">
        <x:f aca="0">INDEX(I_prop!$B$18:$H$24, MATCH($C22, I_prop!$A$18:$A$24,0), MATCH($D22, I_prop!$B$17:$H$17,0))</x:f>
        <x:v>0</x:v>
      </x:c>
      <x:c r="H22" s="71" t="n">
        <x:f aca="0">IF($J22&lt;&gt;"",$J22,IF($F22&lt;0,MAX(-1,Subgroup_Overrides!$B$7*$F22),$F22))</x:f>
        <x:v>0</x:v>
      </x:c>
      <x:c r="I22" s="71" t="n">
        <x:f aca="0">IF($K22&lt;&gt;"",$K22,IF($G22&lt;0,MAX(-1,Subgroup_Overrides!$B$7*$G22),$G22))</x:f>
        <x:v>0</x:v>
      </x:c>
      <x:c r="J22" s="5" t="str">
        <x:f aca="0">IF(COUNTIF(Subgroup_Overrides!$H$11:$H$100,"A|"&amp;$C22&amp;"|"&amp;$D22)&gt;0,SUMIFS(Subgroup_Overrides!$F$11:$F$100,Subgroup_Overrides!$H$11:$H$100,"A|"&amp;$C22&amp;"|"&amp;$D22),"")</x:f>
      </x:c>
      <x:c r="K22" s="5" t="str">
        <x:f aca="0">IF(COUNTIF(Subgroup_Overrides!$H$11:$H$100,"B|"&amp;$C22&amp;"|"&amp;$D22)&gt;0,SUMIFS(Subgroup_Overrides!$F$11:$F$100,Subgroup_Overrides!$H$11:$H$100,"B|"&amp;$C22&amp;"|"&amp;$D22),"")</x:f>
      </x:c>
      <x:c r="L22" s="5" t="str">
        <x:f aca="0">TRIM(B22)</x:f>
        <x:v>LBTY</x:v>
      </x:c>
      <x:c r="M22" s="5" t="str">
        <x:f aca="0">IF($H22="","",1*$H22)</x:f>
      </x:c>
      <x:c r="N22" s="5" t="str">
        <x:f aca="0">IF($I22="","",1*$I22)</x:f>
      </x:c>
      <x:c r="O22" s="5" t="str">
        <x:f aca="0">IF($M22="","",$B22&amp;"|"&amp;ROUND($M22*1000000000000,0))</x:f>
      </x:c>
      <x:c r="P22" s="5" t="str">
        <x:f aca="0">IF($N22="","",$B22&amp;"|"&amp;ROUND($N22*1000000000000,0))</x:f>
      </x:c>
    </x:row>
    <x:row r="23" s="1" customFormat="1" ht="14.25" hidden="0" customHeight="1">
      <x:c r="A23" s="7" t="n">
        <x:v>22</x:v>
      </x:c>
      <x:c r="B23" s="8" t="s">
        <x:v>277</x:v>
      </x:c>
      <x:c r="C23" s="8" t="s">
        <x:v>965</x:v>
      </x:c>
      <x:c r="D23" s="8" t="s">
        <x:v>972</x:v>
      </x:c>
      <x:c r="E23" s="8" t="n">
        <x:v>-0.65</x:v>
      </x:c>
      <x:c r="F23" s="70" t="n">
        <x:f aca="0">INDEX(I_prop!$B$7:$H$13, MATCH($C23, I_prop!$A$7:$A$13,0), MATCH($D23, I_prop!$B$6:$H$6,0))</x:f>
        <x:v>-0.08072568681553846</x:v>
      </x:c>
      <x:c r="G23" s="70" t="n">
        <x:f aca="0">INDEX(I_prop!$B$18:$H$24, MATCH($C23, I_prop!$A$18:$A$24,0), MATCH($D23, I_prop!$B$17:$H$17,0))</x:f>
        <x:v>0.06151557221350915</x:v>
      </x:c>
      <x:c r="H23" s="70" t="n">
        <x:f aca="0">IF($J23&lt;&gt;"",$J23,IF($F23&lt;0,MAX(-1,Subgroup_Overrides!$B$7*$F23),$F23))</x:f>
        <x:v>-0.15</x:v>
      </x:c>
      <x:c r="I23" s="70" t="n">
        <x:f aca="0">IF($K23&lt;&gt;"",$K23,IF($G23&lt;0,MAX(-1,Subgroup_Overrides!$B$7*$G23),$G23))</x:f>
        <x:v>0.06151557221350915</x:v>
      </x:c>
      <x:c r="J23" s="8" t="n">
        <x:f aca="0">IF(COUNTIF(Subgroup_Overrides!$H$11:$H$100,"A|"&amp;$C23&amp;"|"&amp;$D23)&gt;0,SUMIFS(Subgroup_Overrides!$F$11:$F$100,Subgroup_Overrides!$H$11:$H$100,"A|"&amp;$C23&amp;"|"&amp;$D23),"")</x:f>
        <x:v>-0.15</x:v>
      </x:c>
      <x:c r="K23" s="8" t="str">
        <x:f aca="0">IF(COUNTIF(Subgroup_Overrides!$H$11:$H$100,"B|"&amp;$C23&amp;"|"&amp;$D23)&gt;0,SUMIFS(Subgroup_Overrides!$F$11:$F$100,Subgroup_Overrides!$H$11:$H$100,"B|"&amp;$C23&amp;"|"&amp;$D23),"")</x:f>
      </x:c>
      <x:c r="L23" s="8" t="str">
        <x:f aca="0">TRIM(B23)</x:f>
        <x:v>LBTY</x:v>
      </x:c>
      <x:c r="M23" s="8" t="n">
        <x:f aca="0">IF($H23="","",1*$H23)</x:f>
        <x:v>-0.15</x:v>
      </x:c>
      <x:c r="N23" s="8" t="n">
        <x:f aca="0">IF($I23="","",1*$I23)</x:f>
        <x:v>0.06151557221350915</x:v>
      </x:c>
      <x:c r="O23" s="8" t="str">
        <x:f aca="0">IF($M23="","",$B23&amp;"|"&amp;ROUND($M23*1000000000000,0))</x:f>
        <x:v>LBTY|-150000000000</x:v>
      </x:c>
      <x:c r="P23" s="8" t="str">
        <x:f aca="0">IF($N23="","",$B23&amp;"|"&amp;ROUND($N23*1000000000000,0))</x:f>
        <x:v>LBTY|61515572214</x:v>
      </x:c>
    </x:row>
    <x:row r="24" s="1" customFormat="1" ht="14.25" hidden="0" customHeight="1">
      <x:c r="A24" s="7" t="n">
        <x:v>23</x:v>
      </x:c>
      <x:c r="B24" s="5" t="s">
        <x:v>277</x:v>
      </x:c>
      <x:c r="C24" s="5" t="s">
        <x:v>966</x:v>
      </x:c>
      <x:c r="D24" s="5" t="s">
        <x:v>972</x:v>
      </x:c>
      <x:c r="E24" s="5" t="n">
        <x:v>-0.65</x:v>
      </x:c>
      <x:c r="F24" s="71" t="n">
        <x:f aca="0">INDEX(I_prop!$B$7:$H$13, MATCH($C24, I_prop!$A$7:$A$13,0), MATCH($D24, I_prop!$B$6:$H$6,0))</x:f>
        <x:v>0</x:v>
      </x:c>
      <x:c r="G24" s="71" t="n">
        <x:f aca="0">INDEX(I_prop!$B$18:$H$24, MATCH($C24, I_prop!$A$18:$A$24,0), MATCH($D24, I_prop!$B$17:$H$17,0))</x:f>
        <x:v>0</x:v>
      </x:c>
      <x:c r="H24" s="71" t="n">
        <x:f aca="0">IF($J24&lt;&gt;"",$J24,IF($F24&lt;0,MAX(-1,Subgroup_Overrides!$B$7*$F24),$F24))</x:f>
        <x:v>0</x:v>
      </x:c>
      <x:c r="I24" s="71" t="n">
        <x:f aca="0">IF($K24&lt;&gt;"",$K24,IF($G24&lt;0,MAX(-1,Subgroup_Overrides!$B$7*$G24),$G24))</x:f>
        <x:v>0</x:v>
      </x:c>
      <x:c r="J24" s="5" t="str">
        <x:f aca="0">IF(COUNTIF(Subgroup_Overrides!$H$11:$H$100,"A|"&amp;$C24&amp;"|"&amp;$D24)&gt;0,SUMIFS(Subgroup_Overrides!$F$11:$F$100,Subgroup_Overrides!$H$11:$H$100,"A|"&amp;$C24&amp;"|"&amp;$D24),"")</x:f>
      </x:c>
      <x:c r="K24" s="5" t="str">
        <x:f aca="0">IF(COUNTIF(Subgroup_Overrides!$H$11:$H$100,"B|"&amp;$C24&amp;"|"&amp;$D24)&gt;0,SUMIFS(Subgroup_Overrides!$F$11:$F$100,Subgroup_Overrides!$H$11:$H$100,"B|"&amp;$C24&amp;"|"&amp;$D24),"")</x:f>
      </x:c>
      <x:c r="L24" s="5" t="str">
        <x:f aca="0">TRIM(B24)</x:f>
        <x:v>LBTY</x:v>
      </x:c>
      <x:c r="M24" s="5" t="str">
        <x:f aca="0">IF($H24="","",1*$H24)</x:f>
      </x:c>
      <x:c r="N24" s="5" t="str">
        <x:f aca="0">IF($I24="","",1*$I24)</x:f>
      </x:c>
      <x:c r="O24" s="5" t="str">
        <x:f aca="0">IF($M24="","",$B24&amp;"|"&amp;ROUND($M24*1000000000000,0))</x:f>
      </x:c>
      <x:c r="P24" s="5" t="str">
        <x:f aca="0">IF($N24="","",$B24&amp;"|"&amp;ROUND($N24*1000000000000,0))</x:f>
      </x:c>
    </x:row>
    <x:row r="25" s="1" customFormat="1" ht="14.25" hidden="0" customHeight="1">
      <x:c r="A25" s="7" t="n">
        <x:v>24</x:v>
      </x:c>
      <x:c r="B25" s="8" t="s">
        <x:v>277</x:v>
      </x:c>
      <x:c r="C25" s="8" t="s">
        <x:v>967</x:v>
      </x:c>
      <x:c r="D25" s="8" t="s">
        <x:v>972</x:v>
      </x:c>
      <x:c r="E25" s="8" t="n">
        <x:v>-0.65</x:v>
      </x:c>
      <x:c r="F25" s="70" t="n">
        <x:f aca="0">INDEX(I_prop!$B$7:$H$13, MATCH($C25, I_prop!$A$7:$A$13,0), MATCH($D25, I_prop!$B$6:$H$6,0))</x:f>
        <x:v>0</x:v>
      </x:c>
      <x:c r="G25" s="70" t="n">
        <x:f aca="0">INDEX(I_prop!$B$18:$H$24, MATCH($C25, I_prop!$A$18:$A$24,0), MATCH($D25, I_prop!$B$17:$H$17,0))</x:f>
        <x:v>0</x:v>
      </x:c>
      <x:c r="H25" s="70" t="n">
        <x:f aca="0">IF($J25&lt;&gt;"",$J25,IF($F25&lt;0,MAX(-1,Subgroup_Overrides!$B$7*$F25),$F25))</x:f>
        <x:v>0</x:v>
      </x:c>
      <x:c r="I25" s="70" t="n">
        <x:f aca="0">IF($K25&lt;&gt;"",$K25,IF($G25&lt;0,MAX(-1,Subgroup_Overrides!$B$7*$G25),$G25))</x:f>
        <x:v>0</x:v>
      </x:c>
      <x:c r="J25" s="8" t="str">
        <x:f aca="0">IF(COUNTIF(Subgroup_Overrides!$H$11:$H$100,"A|"&amp;$C25&amp;"|"&amp;$D25)&gt;0,SUMIFS(Subgroup_Overrides!$F$11:$F$100,Subgroup_Overrides!$H$11:$H$100,"A|"&amp;$C25&amp;"|"&amp;$D25),"")</x:f>
      </x:c>
      <x:c r="K25" s="8" t="str">
        <x:f aca="0">IF(COUNTIF(Subgroup_Overrides!$H$11:$H$100,"B|"&amp;$C25&amp;"|"&amp;$D25)&gt;0,SUMIFS(Subgroup_Overrides!$F$11:$F$100,Subgroup_Overrides!$H$11:$H$100,"B|"&amp;$C25&amp;"|"&amp;$D25),"")</x:f>
      </x:c>
      <x:c r="L25" s="8" t="str">
        <x:f aca="0">TRIM(B25)</x:f>
        <x:v>LBTY</x:v>
      </x:c>
      <x:c r="M25" s="8" t="str">
        <x:f aca="0">IF($H25="","",1*$H25)</x:f>
      </x:c>
      <x:c r="N25" s="8" t="str">
        <x:f aca="0">IF($I25="","",1*$I25)</x:f>
      </x:c>
      <x:c r="O25" s="8" t="str">
        <x:f aca="0">IF($M25="","",$B25&amp;"|"&amp;ROUND($M25*1000000000000,0))</x:f>
      </x:c>
      <x:c r="P25" s="8" t="str">
        <x:f aca="0">IF($N25="","",$B25&amp;"|"&amp;ROUND($N25*1000000000000,0))</x:f>
      </x:c>
    </x:row>
    <x:row r="26" s="1" customFormat="1" ht="14.25" hidden="0" customHeight="1">
      <x:c r="A26" s="7" t="n">
        <x:v>25</x:v>
      </x:c>
      <x:c r="B26" s="5" t="s">
        <x:v>277</x:v>
      </x:c>
      <x:c r="C26" s="5" t="s">
        <x:v>968</x:v>
      </x:c>
      <x:c r="D26" s="5" t="s">
        <x:v>972</x:v>
      </x:c>
      <x:c r="E26" s="5" t="n">
        <x:v>-0.65</x:v>
      </x:c>
      <x:c r="F26" s="71" t="n">
        <x:f aca="0">INDEX(I_prop!$B$7:$H$13, MATCH($C26, I_prop!$A$7:$A$13,0), MATCH($D26, I_prop!$B$6:$H$6,0))</x:f>
        <x:v>0</x:v>
      </x:c>
      <x:c r="G26" s="71" t="n">
        <x:f aca="0">INDEX(I_prop!$B$18:$H$24, MATCH($C26, I_prop!$A$18:$A$24,0), MATCH($D26, I_prop!$B$17:$H$17,0))</x:f>
        <x:v>0</x:v>
      </x:c>
      <x:c r="H26" s="71" t="n">
        <x:f aca="0">IF($J26&lt;&gt;"",$J26,IF($F26&lt;0,MAX(-1,Subgroup_Overrides!$B$7*$F26),$F26))</x:f>
        <x:v>0</x:v>
      </x:c>
      <x:c r="I26" s="71" t="n">
        <x:f aca="0">IF($K26&lt;&gt;"",$K26,IF($G26&lt;0,MAX(-1,Subgroup_Overrides!$B$7*$G26),$G26))</x:f>
        <x:v>0</x:v>
      </x:c>
      <x:c r="J26" s="5" t="str">
        <x:f aca="0">IF(COUNTIF(Subgroup_Overrides!$H$11:$H$100,"A|"&amp;$C26&amp;"|"&amp;$D26)&gt;0,SUMIFS(Subgroup_Overrides!$F$11:$F$100,Subgroup_Overrides!$H$11:$H$100,"A|"&amp;$C26&amp;"|"&amp;$D26),"")</x:f>
      </x:c>
      <x:c r="K26" s="5" t="str">
        <x:f aca="0">IF(COUNTIF(Subgroup_Overrides!$H$11:$H$100,"B|"&amp;$C26&amp;"|"&amp;$D26)&gt;0,SUMIFS(Subgroup_Overrides!$F$11:$F$100,Subgroup_Overrides!$H$11:$H$100,"B|"&amp;$C26&amp;"|"&amp;$D26),"")</x:f>
      </x:c>
      <x:c r="L26" s="5" t="str">
        <x:f aca="0">TRIM(B26)</x:f>
        <x:v>LBTY</x:v>
      </x:c>
      <x:c r="M26" s="5" t="str">
        <x:f aca="0">IF($H26="","",1*$H26)</x:f>
      </x:c>
      <x:c r="N26" s="5" t="str">
        <x:f aca="0">IF($I26="","",1*$I26)</x:f>
      </x:c>
      <x:c r="O26" s="5" t="str">
        <x:f aca="0">IF($M26="","",$B26&amp;"|"&amp;ROUND($M26*1000000000000,0))</x:f>
      </x:c>
      <x:c r="P26" s="5" t="str">
        <x:f aca="0">IF($N26="","",$B26&amp;"|"&amp;ROUND($N26*1000000000000,0))</x:f>
      </x:c>
    </x:row>
    <x:row r="27" s="1" customFormat="1" ht="14.25" hidden="0" customHeight="1">
      <x:c r="A27" s="7" t="n">
        <x:v>26</x:v>
      </x:c>
      <x:c r="B27" s="8" t="s">
        <x:v>278</x:v>
      </x:c>
      <x:c r="C27" s="8" t="s">
        <x:v>962</x:v>
      </x:c>
      <x:c r="D27" s="8" t="s">
        <x:v>973</x:v>
      </x:c>
      <x:c r="E27" s="8" t="n">
        <x:v>-0.5</x:v>
      </x:c>
      <x:c r="F27" s="70" t="n">
        <x:f aca="0">INDEX(I_prop!$B$7:$H$13, MATCH($C27, I_prop!$A$7:$A$13,0), MATCH($D27, I_prop!$B$6:$H$6,0))</x:f>
        <x:v>0</x:v>
      </x:c>
      <x:c r="G27" s="70" t="n">
        <x:f aca="0">INDEX(I_prop!$B$18:$H$24, MATCH($C27, I_prop!$A$18:$A$24,0), MATCH($D27, I_prop!$B$17:$H$17,0))</x:f>
        <x:v>0</x:v>
      </x:c>
      <x:c r="H27" s="70" t="n">
        <x:f aca="0">IF($J27&lt;&gt;"",$J27,IF($F27&lt;0,MAX(-1,Subgroup_Overrides!$B$7*$F27),$F27))</x:f>
        <x:v>0</x:v>
      </x:c>
      <x:c r="I27" s="70" t="n">
        <x:f aca="0">IF($K27&lt;&gt;"",$K27,IF($G27&lt;0,MAX(-1,Subgroup_Overrides!$B$7*$G27),$G27))</x:f>
        <x:v>0</x:v>
      </x:c>
      <x:c r="J27" s="8" t="str">
        <x:f aca="0">IF(COUNTIF(Subgroup_Overrides!$H$11:$H$100,"A|"&amp;$C27&amp;"|"&amp;$D27)&gt;0,SUMIFS(Subgroup_Overrides!$F$11:$F$100,Subgroup_Overrides!$H$11:$H$100,"A|"&amp;$C27&amp;"|"&amp;$D27),"")</x:f>
      </x:c>
      <x:c r="K27" s="8" t="str">
        <x:f aca="0">IF(COUNTIF(Subgroup_Overrides!$H$11:$H$100,"B|"&amp;$C27&amp;"|"&amp;$D27)&gt;0,SUMIFS(Subgroup_Overrides!$F$11:$F$100,Subgroup_Overrides!$H$11:$H$100,"B|"&amp;$C27&amp;"|"&amp;$D27),"")</x:f>
      </x:c>
      <x:c r="L27" s="8" t="str">
        <x:f aca="0">TRIM(B27)</x:f>
        <x:v>NEED</x:v>
      </x:c>
      <x:c r="M27" s="8" t="str">
        <x:f aca="0">IF($H27="","",1*$H27)</x:f>
      </x:c>
      <x:c r="N27" s="8" t="str">
        <x:f aca="0">IF($I27="","",1*$I27)</x:f>
      </x:c>
      <x:c r="O27" s="8" t="str">
        <x:f aca="0">IF($M27="","",$B27&amp;"|"&amp;ROUND($M27*1000000000000,0))</x:f>
      </x:c>
      <x:c r="P27" s="8" t="str">
        <x:f aca="0">IF($N27="","",$B27&amp;"|"&amp;ROUND($N27*1000000000000,0))</x:f>
      </x:c>
    </x:row>
    <x:row r="28" s="1" customFormat="1" ht="14.25" hidden="0" customHeight="1">
      <x:c r="A28" s="7" t="n">
        <x:v>27</x:v>
      </x:c>
      <x:c r="B28" s="5" t="s">
        <x:v>278</x:v>
      </x:c>
      <x:c r="C28" s="5" t="s">
        <x:v>962</x:v>
      </x:c>
      <x:c r="D28" s="5" t="s">
        <x:v>963</x:v>
      </x:c>
      <x:c r="E28" s="5" t="n">
        <x:v>-0.5</x:v>
      </x:c>
      <x:c r="F28" s="71" t="n">
        <x:f aca="0">INDEX(I_prop!$B$7:$H$13, MATCH($C28, I_prop!$A$7:$A$13,0), MATCH($D28, I_prop!$B$6:$H$6,0))</x:f>
        <x:v>0</x:v>
      </x:c>
      <x:c r="G28" s="71" t="n">
        <x:f aca="0">INDEX(I_prop!$B$18:$H$24, MATCH($C28, I_prop!$A$18:$A$24,0), MATCH($D28, I_prop!$B$17:$H$17,0))</x:f>
        <x:v>0</x:v>
      </x:c>
      <x:c r="H28" s="71" t="n">
        <x:f aca="0">IF($J28&lt;&gt;"",$J28,IF($F28&lt;0,MAX(-1,Subgroup_Overrides!$B$7*$F28),$F28))</x:f>
        <x:v>0</x:v>
      </x:c>
      <x:c r="I28" s="71" t="n">
        <x:f aca="0">IF($K28&lt;&gt;"",$K28,IF($G28&lt;0,MAX(-1,Subgroup_Overrides!$B$7*$G28),$G28))</x:f>
        <x:v>0</x:v>
      </x:c>
      <x:c r="J28" s="5" t="str">
        <x:f aca="0">IF(COUNTIF(Subgroup_Overrides!$H$11:$H$100,"A|"&amp;$C28&amp;"|"&amp;$D28)&gt;0,SUMIFS(Subgroup_Overrides!$F$11:$F$100,Subgroup_Overrides!$H$11:$H$100,"A|"&amp;$C28&amp;"|"&amp;$D28),"")</x:f>
      </x:c>
      <x:c r="K28" s="5" t="str">
        <x:f aca="0">IF(COUNTIF(Subgroup_Overrides!$H$11:$H$100,"B|"&amp;$C28&amp;"|"&amp;$D28)&gt;0,SUMIFS(Subgroup_Overrides!$F$11:$F$100,Subgroup_Overrides!$H$11:$H$100,"B|"&amp;$C28&amp;"|"&amp;$D28),"")</x:f>
      </x:c>
      <x:c r="L28" s="5" t="str">
        <x:f aca="0">TRIM(B28)</x:f>
        <x:v>NEED</x:v>
      </x:c>
      <x:c r="M28" s="5" t="str">
        <x:f aca="0">IF($H28="","",1*$H28)</x:f>
      </x:c>
      <x:c r="N28" s="5" t="str">
        <x:f aca="0">IF($I28="","",1*$I28)</x:f>
      </x:c>
      <x:c r="O28" s="5" t="str">
        <x:f aca="0">IF($M28="","",$B28&amp;"|"&amp;ROUND($M28*1000000000000,0))</x:f>
      </x:c>
      <x:c r="P28" s="5" t="str">
        <x:f aca="0">IF($N28="","",$B28&amp;"|"&amp;ROUND($N28*1000000000000,0))</x:f>
      </x:c>
    </x:row>
    <x:row r="29" s="1" customFormat="1" ht="14.25" hidden="0" customHeight="1">
      <x:c r="A29" s="7" t="n">
        <x:v>28</x:v>
      </x:c>
      <x:c r="B29" s="8" t="s">
        <x:v>278</x:v>
      </x:c>
      <x:c r="C29" s="8" t="s">
        <x:v>964</x:v>
      </x:c>
      <x:c r="D29" s="8" t="s">
        <x:v>973</x:v>
      </x:c>
      <x:c r="E29" s="8" t="n">
        <x:v>-0.5</x:v>
      </x:c>
      <x:c r="F29" s="70" t="n">
        <x:f aca="0">INDEX(I_prop!$B$7:$H$13, MATCH($C29, I_prop!$A$7:$A$13,0), MATCH($D29, I_prop!$B$6:$H$6,0))</x:f>
        <x:v>0.046162176234088866</x:v>
      </x:c>
      <x:c r="G29" s="70" t="n">
        <x:f aca="0">INDEX(I_prop!$B$18:$H$24, MATCH($C29, I_prop!$A$18:$A$24,0), MATCH($D29, I_prop!$B$17:$H$17,0))</x:f>
        <x:v>-0.01847590043753792</x:v>
      </x:c>
      <x:c r="H29" s="70" t="n">
        <x:f aca="0">IF($J29&lt;&gt;"",$J29,IF($F29&lt;0,MAX(-1,Subgroup_Overrides!$B$7*$F29),$F29))</x:f>
        <x:v>0.046162176234088866</x:v>
      </x:c>
      <x:c r="I29" s="70" t="n">
        <x:f aca="0">IF($K29&lt;&gt;"",$K29,IF($G29&lt;0,MAX(-1,Subgroup_Overrides!$B$7*$G29),$G29))</x:f>
        <x:v>-0.12</x:v>
      </x:c>
      <x:c r="J29" s="8" t="str">
        <x:f aca="0">IF(COUNTIF(Subgroup_Overrides!$H$11:$H$100,"A|"&amp;$C29&amp;"|"&amp;$D29)&gt;0,SUMIFS(Subgroup_Overrides!$F$11:$F$100,Subgroup_Overrides!$H$11:$H$100,"A|"&amp;$C29&amp;"|"&amp;$D29),"")</x:f>
      </x:c>
      <x:c r="K29" s="8" t="n">
        <x:f aca="0">IF(COUNTIF(Subgroup_Overrides!$H$11:$H$100,"B|"&amp;$C29&amp;"|"&amp;$D29)&gt;0,SUMIFS(Subgroup_Overrides!$F$11:$F$100,Subgroup_Overrides!$H$11:$H$100,"B|"&amp;$C29&amp;"|"&amp;$D29),"")</x:f>
        <x:v>-0.12</x:v>
      </x:c>
      <x:c r="L29" s="8" t="str">
        <x:f aca="0">TRIM(B29)</x:f>
        <x:v>NEED</x:v>
      </x:c>
      <x:c r="M29" s="8" t="n">
        <x:f aca="0">IF($H29="","",1*$H29)</x:f>
        <x:v>0.046162176234088866</x:v>
      </x:c>
      <x:c r="N29" s="8" t="n">
        <x:f aca="0">IF($I29="","",1*$I29)</x:f>
        <x:v>-0.12</x:v>
      </x:c>
      <x:c r="O29" s="8" t="str">
        <x:f aca="0">IF($M29="","",$B29&amp;"|"&amp;ROUND($M29*1000000000000,0))</x:f>
        <x:v>NEED|46162176234</x:v>
      </x:c>
      <x:c r="P29" s="8" t="str">
        <x:f aca="0">IF($N29="","",$B29&amp;"|"&amp;ROUND($N29*1000000000000,0))</x:f>
        <x:v>NEED|-120000000000</x:v>
      </x:c>
    </x:row>
    <x:row r="30" s="1" customFormat="1" ht="14.25" hidden="0" customHeight="1">
      <x:c r="A30" s="7" t="n">
        <x:v>29</x:v>
      </x:c>
      <x:c r="B30" s="5" t="s">
        <x:v>278</x:v>
      </x:c>
      <x:c r="C30" s="5" t="s">
        <x:v>964</x:v>
      </x:c>
      <x:c r="D30" s="5" t="s">
        <x:v>963</x:v>
      </x:c>
      <x:c r="E30" s="5" t="n">
        <x:v>-0.5</x:v>
      </x:c>
      <x:c r="F30" s="71" t="n">
        <x:f aca="0">INDEX(I_prop!$B$7:$H$13, MATCH($C30, I_prop!$A$7:$A$13,0), MATCH($D30, I_prop!$B$6:$H$6,0))</x:f>
        <x:v>0</x:v>
      </x:c>
      <x:c r="G30" s="71" t="n">
        <x:f aca="0">INDEX(I_prop!$B$18:$H$24, MATCH($C30, I_prop!$A$18:$A$24,0), MATCH($D30, I_prop!$B$17:$H$17,0))</x:f>
        <x:v>0</x:v>
      </x:c>
      <x:c r="H30" s="71" t="n">
        <x:f aca="0">IF($J30&lt;&gt;"",$J30,IF($F30&lt;0,MAX(-1,Subgroup_Overrides!$B$7*$F30),$F30))</x:f>
        <x:v>0</x:v>
      </x:c>
      <x:c r="I30" s="71" t="n">
        <x:f aca="0">IF($K30&lt;&gt;"",$K30,IF($G30&lt;0,MAX(-1,Subgroup_Overrides!$B$7*$G30),$G30))</x:f>
        <x:v>0</x:v>
      </x:c>
      <x:c r="J30" s="5" t="str">
        <x:f aca="0">IF(COUNTIF(Subgroup_Overrides!$H$11:$H$100,"A|"&amp;$C30&amp;"|"&amp;$D30)&gt;0,SUMIFS(Subgroup_Overrides!$F$11:$F$100,Subgroup_Overrides!$H$11:$H$100,"A|"&amp;$C30&amp;"|"&amp;$D30),"")</x:f>
      </x:c>
      <x:c r="K30" s="5" t="str">
        <x:f aca="0">IF(COUNTIF(Subgroup_Overrides!$H$11:$H$100,"B|"&amp;$C30&amp;"|"&amp;$D30)&gt;0,SUMIFS(Subgroup_Overrides!$F$11:$F$100,Subgroup_Overrides!$H$11:$H$100,"B|"&amp;$C30&amp;"|"&amp;$D30),"")</x:f>
      </x:c>
      <x:c r="L30" s="5" t="str">
        <x:f aca="0">TRIM(B30)</x:f>
        <x:v>NEED</x:v>
      </x:c>
      <x:c r="M30" s="5" t="str">
        <x:f aca="0">IF($H30="","",1*$H30)</x:f>
      </x:c>
      <x:c r="N30" s="5" t="str">
        <x:f aca="0">IF($I30="","",1*$I30)</x:f>
      </x:c>
      <x:c r="O30" s="5" t="str">
        <x:f aca="0">IF($M30="","",$B30&amp;"|"&amp;ROUND($M30*1000000000000,0))</x:f>
      </x:c>
      <x:c r="P30" s="5" t="str">
        <x:f aca="0">IF($N30="","",$B30&amp;"|"&amp;ROUND($N30*1000000000000,0))</x:f>
      </x:c>
    </x:row>
    <x:row r="31" s="1" customFormat="1" ht="14.25" hidden="0" customHeight="1">
      <x:c r="A31" s="7" t="n">
        <x:v>30</x:v>
      </x:c>
      <x:c r="B31" s="8" t="s">
        <x:v>278</x:v>
      </x:c>
      <x:c r="C31" s="8" t="s">
        <x:v>965</x:v>
      </x:c>
      <x:c r="D31" s="8" t="s">
        <x:v>973</x:v>
      </x:c>
      <x:c r="E31" s="8" t="n">
        <x:v>-0.5</x:v>
      </x:c>
      <x:c r="F31" s="70" t="n">
        <x:f aca="0">INDEX(I_prop!$B$7:$H$13, MATCH($C31, I_prop!$A$7:$A$13,0), MATCH($D31, I_prop!$B$6:$H$6,0))</x:f>
        <x:v>-0.01979527432216163</x:v>
      </x:c>
      <x:c r="G31" s="70" t="n">
        <x:f aca="0">INDEX(I_prop!$B$18:$H$24, MATCH($C31, I_prop!$A$18:$A$24,0), MATCH($D31, I_prop!$B$17:$H$17,0))</x:f>
        <x:v>0.013197807340577457</x:v>
      </x:c>
      <x:c r="H31" s="70" t="n">
        <x:f aca="0">IF($J31&lt;&gt;"",$J31,IF($F31&lt;0,MAX(-1,Subgroup_Overrides!$B$7*$F31),$F31))</x:f>
        <x:v>-0.2</x:v>
      </x:c>
      <x:c r="I31" s="70" t="n">
        <x:f aca="0">IF($K31&lt;&gt;"",$K31,IF($G31&lt;0,MAX(-1,Subgroup_Overrides!$B$7*$G31),$G31))</x:f>
        <x:v>0.013197807340577457</x:v>
      </x:c>
      <x:c r="J31" s="8" t="n">
        <x:f aca="0">IF(COUNTIF(Subgroup_Overrides!$H$11:$H$100,"A|"&amp;$C31&amp;"|"&amp;$D31)&gt;0,SUMIFS(Subgroup_Overrides!$F$11:$F$100,Subgroup_Overrides!$H$11:$H$100,"A|"&amp;$C31&amp;"|"&amp;$D31),"")</x:f>
        <x:v>-0.2</x:v>
      </x:c>
      <x:c r="K31" s="8" t="str">
        <x:f aca="0">IF(COUNTIF(Subgroup_Overrides!$H$11:$H$100,"B|"&amp;$C31&amp;"|"&amp;$D31)&gt;0,SUMIFS(Subgroup_Overrides!$F$11:$F$100,Subgroup_Overrides!$H$11:$H$100,"B|"&amp;$C31&amp;"|"&amp;$D31),"")</x:f>
      </x:c>
      <x:c r="L31" s="8" t="str">
        <x:f aca="0">TRIM(B31)</x:f>
        <x:v>NEED</x:v>
      </x:c>
      <x:c r="M31" s="8" t="n">
        <x:f aca="0">IF($H31="","",1*$H31)</x:f>
        <x:v>-0.2</x:v>
      </x:c>
      <x:c r="N31" s="8" t="n">
        <x:f aca="0">IF($I31="","",1*$I31)</x:f>
        <x:v>0.013197807340577457</x:v>
      </x:c>
      <x:c r="O31" s="8" t="str">
        <x:f aca="0">IF($M31="","",$B31&amp;"|"&amp;ROUND($M31*1000000000000,0))</x:f>
        <x:v>NEED|-200000000000</x:v>
      </x:c>
      <x:c r="P31" s="8" t="str">
        <x:f aca="0">IF($N31="","",$B31&amp;"|"&amp;ROUND($N31*1000000000000,0))</x:f>
        <x:v>NEED|13197807341</x:v>
      </x:c>
    </x:row>
    <x:row r="32" s="1" customFormat="1" ht="14.25" hidden="0" customHeight="1">
      <x:c r="A32" s="7" t="n">
        <x:v>31</x:v>
      </x:c>
      <x:c r="B32" s="5" t="s">
        <x:v>278</x:v>
      </x:c>
      <x:c r="C32" s="5" t="s">
        <x:v>965</x:v>
      </x:c>
      <x:c r="D32" s="5" t="s">
        <x:v>963</x:v>
      </x:c>
      <x:c r="E32" s="5" t="n">
        <x:v>-0.5</x:v>
      </x:c>
      <x:c r="F32" s="71" t="n">
        <x:f aca="0">INDEX(I_prop!$B$7:$H$13, MATCH($C32, I_prop!$A$7:$A$13,0), MATCH($D32, I_prop!$B$6:$H$6,0))</x:f>
        <x:v>0</x:v>
      </x:c>
      <x:c r="G32" s="71" t="n">
        <x:f aca="0">INDEX(I_prop!$B$18:$H$24, MATCH($C32, I_prop!$A$18:$A$24,0), MATCH($D32, I_prop!$B$17:$H$17,0))</x:f>
        <x:v>0</x:v>
      </x:c>
      <x:c r="H32" s="71" t="n">
        <x:f aca="0">IF($J32&lt;&gt;"",$J32,IF($F32&lt;0,MAX(-1,Subgroup_Overrides!$B$7*$F32),$F32))</x:f>
        <x:v>0</x:v>
      </x:c>
      <x:c r="I32" s="71" t="n">
        <x:f aca="0">IF($K32&lt;&gt;"",$K32,IF($G32&lt;0,MAX(-1,Subgroup_Overrides!$B$7*$G32),$G32))</x:f>
        <x:v>0</x:v>
      </x:c>
      <x:c r="J32" s="5" t="str">
        <x:f aca="0">IF(COUNTIF(Subgroup_Overrides!$H$11:$H$100,"A|"&amp;$C32&amp;"|"&amp;$D32)&gt;0,SUMIFS(Subgroup_Overrides!$F$11:$F$100,Subgroup_Overrides!$H$11:$H$100,"A|"&amp;$C32&amp;"|"&amp;$D32),"")</x:f>
      </x:c>
      <x:c r="K32" s="5" t="str">
        <x:f aca="0">IF(COUNTIF(Subgroup_Overrides!$H$11:$H$100,"B|"&amp;$C32&amp;"|"&amp;$D32)&gt;0,SUMIFS(Subgroup_Overrides!$F$11:$F$100,Subgroup_Overrides!$H$11:$H$100,"B|"&amp;$C32&amp;"|"&amp;$D32),"")</x:f>
      </x:c>
      <x:c r="L32" s="5" t="str">
        <x:f aca="0">TRIM(B32)</x:f>
        <x:v>NEED</x:v>
      </x:c>
      <x:c r="M32" s="5" t="str">
        <x:f aca="0">IF($H32="","",1*$H32)</x:f>
      </x:c>
      <x:c r="N32" s="5" t="str">
        <x:f aca="0">IF($I32="","",1*$I32)</x:f>
      </x:c>
      <x:c r="O32" s="5" t="str">
        <x:f aca="0">IF($M32="","",$B32&amp;"|"&amp;ROUND($M32*1000000000000,0))</x:f>
      </x:c>
      <x:c r="P32" s="5" t="str">
        <x:f aca="0">IF($N32="","",$B32&amp;"|"&amp;ROUND($N32*1000000000000,0))</x:f>
      </x:c>
    </x:row>
    <x:row r="33" s="1" customFormat="1" ht="14.25" hidden="0" customHeight="1">
      <x:c r="A33" s="7" t="n">
        <x:v>32</x:v>
      </x:c>
      <x:c r="B33" s="8" t="s">
        <x:v>278</x:v>
      </x:c>
      <x:c r="C33" s="8" t="s">
        <x:v>966</x:v>
      </x:c>
      <x:c r="D33" s="8" t="s">
        <x:v>973</x:v>
      </x:c>
      <x:c r="E33" s="8" t="n">
        <x:v>-0.5</x:v>
      </x:c>
      <x:c r="F33" s="70" t="n">
        <x:f aca="0">INDEX(I_prop!$B$7:$H$13, MATCH($C33, I_prop!$A$7:$A$13,0), MATCH($D33, I_prop!$B$6:$H$6,0))</x:f>
        <x:v>-0.08556943629589667</x:v>
      </x:c>
      <x:c r="G33" s="70" t="n">
        <x:f aca="0">INDEX(I_prop!$B$18:$H$24, MATCH($C33, I_prop!$A$18:$A$24,0), MATCH($D33, I_prop!$B$17:$H$17,0))</x:f>
        <x:v>0.010211455619172161</x:v>
      </x:c>
      <x:c r="H33" s="70" t="n">
        <x:f aca="0">IF($J33&lt;&gt;"",$J33,IF($F33&lt;0,MAX(-1,Subgroup_Overrides!$B$7*$F33),$F33))</x:f>
        <x:v>-0.3</x:v>
      </x:c>
      <x:c r="I33" s="70" t="n">
        <x:f aca="0">IF($K33&lt;&gt;"",$K33,IF($G33&lt;0,MAX(-1,Subgroup_Overrides!$B$7*$G33),$G33))</x:f>
        <x:v>0.010211455619172161</x:v>
      </x:c>
      <x:c r="J33" s="8" t="n">
        <x:f aca="0">IF(COUNTIF(Subgroup_Overrides!$H$11:$H$100,"A|"&amp;$C33&amp;"|"&amp;$D33)&gt;0,SUMIFS(Subgroup_Overrides!$F$11:$F$100,Subgroup_Overrides!$H$11:$H$100,"A|"&amp;$C33&amp;"|"&amp;$D33),"")</x:f>
        <x:v>-0.3</x:v>
      </x:c>
      <x:c r="K33" s="8" t="str">
        <x:f aca="0">IF(COUNTIF(Subgroup_Overrides!$H$11:$H$100,"B|"&amp;$C33&amp;"|"&amp;$D33)&gt;0,SUMIFS(Subgroup_Overrides!$F$11:$F$100,Subgroup_Overrides!$H$11:$H$100,"B|"&amp;$C33&amp;"|"&amp;$D33),"")</x:f>
      </x:c>
      <x:c r="L33" s="8" t="str">
        <x:f aca="0">TRIM(B33)</x:f>
        <x:v>NEED</x:v>
      </x:c>
      <x:c r="M33" s="8" t="n">
        <x:f aca="0">IF($H33="","",1*$H33)</x:f>
        <x:v>-0.3</x:v>
      </x:c>
      <x:c r="N33" s="8" t="n">
        <x:f aca="0">IF($I33="","",1*$I33)</x:f>
        <x:v>0.010211455619172161</x:v>
      </x:c>
      <x:c r="O33" s="8" t="str">
        <x:f aca="0">IF($M33="","",$B33&amp;"|"&amp;ROUND($M33*1000000000000,0))</x:f>
        <x:v>NEED|-300000000000</x:v>
      </x:c>
      <x:c r="P33" s="8" t="str">
        <x:f aca="0">IF($N33="","",$B33&amp;"|"&amp;ROUND($N33*1000000000000,0))</x:f>
        <x:v>NEED|10211455619</x:v>
      </x:c>
    </x:row>
    <x:row r="34" s="1" customFormat="1" ht="14.25" hidden="0" customHeight="1">
      <x:c r="A34" s="7" t="n">
        <x:v>33</x:v>
      </x:c>
      <x:c r="B34" s="5" t="s">
        <x:v>278</x:v>
      </x:c>
      <x:c r="C34" s="5" t="s">
        <x:v>966</x:v>
      </x:c>
      <x:c r="D34" s="5" t="s">
        <x:v>963</x:v>
      </x:c>
      <x:c r="E34" s="5" t="n">
        <x:v>-0.5</x:v>
      </x:c>
      <x:c r="F34" s="71" t="n">
        <x:f aca="0">INDEX(I_prop!$B$7:$H$13, MATCH($C34, I_prop!$A$7:$A$13,0), MATCH($D34, I_prop!$B$6:$H$6,0))</x:f>
        <x:v>0</x:v>
      </x:c>
      <x:c r="G34" s="71" t="n">
        <x:f aca="0">INDEX(I_prop!$B$18:$H$24, MATCH($C34, I_prop!$A$18:$A$24,0), MATCH($D34, I_prop!$B$17:$H$17,0))</x:f>
        <x:v>0</x:v>
      </x:c>
      <x:c r="H34" s="71" t="n">
        <x:f aca="0">IF($J34&lt;&gt;"",$J34,IF($F34&lt;0,MAX(-1,Subgroup_Overrides!$B$7*$F34),$F34))</x:f>
        <x:v>0</x:v>
      </x:c>
      <x:c r="I34" s="71" t="n">
        <x:f aca="0">IF($K34&lt;&gt;"",$K34,IF($G34&lt;0,MAX(-1,Subgroup_Overrides!$B$7*$G34),$G34))</x:f>
        <x:v>0</x:v>
      </x:c>
      <x:c r="J34" s="5" t="str">
        <x:f aca="0">IF(COUNTIF(Subgroup_Overrides!$H$11:$H$100,"A|"&amp;$C34&amp;"|"&amp;$D34)&gt;0,SUMIFS(Subgroup_Overrides!$F$11:$F$100,Subgroup_Overrides!$H$11:$H$100,"A|"&amp;$C34&amp;"|"&amp;$D34),"")</x:f>
      </x:c>
      <x:c r="K34" s="5" t="str">
        <x:f aca="0">IF(COUNTIF(Subgroup_Overrides!$H$11:$H$100,"B|"&amp;$C34&amp;"|"&amp;$D34)&gt;0,SUMIFS(Subgroup_Overrides!$F$11:$F$100,Subgroup_Overrides!$H$11:$H$100,"B|"&amp;$C34&amp;"|"&amp;$D34),"")</x:f>
      </x:c>
      <x:c r="L34" s="5" t="str">
        <x:f aca="0">TRIM(B34)</x:f>
        <x:v>NEED</x:v>
      </x:c>
      <x:c r="M34" s="5" t="str">
        <x:f aca="0">IF($H34="","",1*$H34)</x:f>
      </x:c>
      <x:c r="N34" s="5" t="str">
        <x:f aca="0">IF($I34="","",1*$I34)</x:f>
      </x:c>
      <x:c r="O34" s="5" t="str">
        <x:f aca="0">IF($M34="","",$B34&amp;"|"&amp;ROUND($M34*1000000000000,0))</x:f>
      </x:c>
      <x:c r="P34" s="5" t="str">
        <x:f aca="0">IF($N34="","",$B34&amp;"|"&amp;ROUND($N34*1000000000000,0))</x:f>
      </x:c>
    </x:row>
    <x:row r="35" s="1" customFormat="1" ht="14.25" hidden="0" customHeight="1">
      <x:c r="A35" s="7" t="n">
        <x:v>34</x:v>
      </x:c>
      <x:c r="B35" s="8" t="s">
        <x:v>278</x:v>
      </x:c>
      <x:c r="C35" s="8" t="s">
        <x:v>967</x:v>
      </x:c>
      <x:c r="D35" s="8" t="s">
        <x:v>973</x:v>
      </x:c>
      <x:c r="E35" s="8" t="n">
        <x:v>-0.5</x:v>
      </x:c>
      <x:c r="F35" s="70" t="n">
        <x:f aca="0">INDEX(I_prop!$B$7:$H$13, MATCH($C35, I_prop!$A$7:$A$13,0), MATCH($D35, I_prop!$B$6:$H$6,0))</x:f>
        <x:v>0</x:v>
      </x:c>
      <x:c r="G35" s="70" t="n">
        <x:f aca="0">INDEX(I_prop!$B$18:$H$24, MATCH($C35, I_prop!$A$18:$A$24,0), MATCH($D35, I_prop!$B$17:$H$17,0))</x:f>
        <x:v>0</x:v>
      </x:c>
      <x:c r="H35" s="70" t="n">
        <x:f aca="0">IF($J35&lt;&gt;"",$J35,IF($F35&lt;0,MAX(-1,Subgroup_Overrides!$B$7*$F35),$F35))</x:f>
        <x:v>0</x:v>
      </x:c>
      <x:c r="I35" s="70" t="n">
        <x:f aca="0">IF($K35&lt;&gt;"",$K35,IF($G35&lt;0,MAX(-1,Subgroup_Overrides!$B$7*$G35),$G35))</x:f>
        <x:v>0</x:v>
      </x:c>
      <x:c r="J35" s="8" t="str">
        <x:f aca="0">IF(COUNTIF(Subgroup_Overrides!$H$11:$H$100,"A|"&amp;$C35&amp;"|"&amp;$D35)&gt;0,SUMIFS(Subgroup_Overrides!$F$11:$F$100,Subgroup_Overrides!$H$11:$H$100,"A|"&amp;$C35&amp;"|"&amp;$D35),"")</x:f>
      </x:c>
      <x:c r="K35" s="8" t="str">
        <x:f aca="0">IF(COUNTIF(Subgroup_Overrides!$H$11:$H$100,"B|"&amp;$C35&amp;"|"&amp;$D35)&gt;0,SUMIFS(Subgroup_Overrides!$F$11:$F$100,Subgroup_Overrides!$H$11:$H$100,"B|"&amp;$C35&amp;"|"&amp;$D35),"")</x:f>
      </x:c>
      <x:c r="L35" s="8" t="str">
        <x:f aca="0">TRIM(B35)</x:f>
        <x:v>NEED</x:v>
      </x:c>
      <x:c r="M35" s="8" t="str">
        <x:f aca="0">IF($H35="","",1*$H35)</x:f>
      </x:c>
      <x:c r="N35" s="8" t="str">
        <x:f aca="0">IF($I35="","",1*$I35)</x:f>
      </x:c>
      <x:c r="O35" s="8" t="str">
        <x:f aca="0">IF($M35="","",$B35&amp;"|"&amp;ROUND($M35*1000000000000,0))</x:f>
      </x:c>
      <x:c r="P35" s="8" t="str">
        <x:f aca="0">IF($N35="","",$B35&amp;"|"&amp;ROUND($N35*1000000000000,0))</x:f>
      </x:c>
    </x:row>
    <x:row r="36" s="1" customFormat="1" ht="14.25" hidden="0" customHeight="1">
      <x:c r="A36" s="7" t="n">
        <x:v>35</x:v>
      </x:c>
      <x:c r="B36" s="5" t="s">
        <x:v>278</x:v>
      </x:c>
      <x:c r="C36" s="5" t="s">
        <x:v>967</x:v>
      </x:c>
      <x:c r="D36" s="5" t="s">
        <x:v>963</x:v>
      </x:c>
      <x:c r="E36" s="5" t="n">
        <x:v>-0.5</x:v>
      </x:c>
      <x:c r="F36" s="71" t="n">
        <x:f aca="0">INDEX(I_prop!$B$7:$H$13, MATCH($C36, I_prop!$A$7:$A$13,0), MATCH($D36, I_prop!$B$6:$H$6,0))</x:f>
        <x:v>0</x:v>
      </x:c>
      <x:c r="G36" s="71" t="n">
        <x:f aca="0">INDEX(I_prop!$B$18:$H$24, MATCH($C36, I_prop!$A$18:$A$24,0), MATCH($D36, I_prop!$B$17:$H$17,0))</x:f>
        <x:v>0</x:v>
      </x:c>
      <x:c r="H36" s="71" t="n">
        <x:f aca="0">IF($J36&lt;&gt;"",$J36,IF($F36&lt;0,MAX(-1,Subgroup_Overrides!$B$7*$F36),$F36))</x:f>
        <x:v>0</x:v>
      </x:c>
      <x:c r="I36" s="71" t="n">
        <x:f aca="0">IF($K36&lt;&gt;"",$K36,IF($G36&lt;0,MAX(-1,Subgroup_Overrides!$B$7*$G36),$G36))</x:f>
        <x:v>0</x:v>
      </x:c>
      <x:c r="J36" s="5" t="str">
        <x:f aca="0">IF(COUNTIF(Subgroup_Overrides!$H$11:$H$100,"A|"&amp;$C36&amp;"|"&amp;$D36)&gt;0,SUMIFS(Subgroup_Overrides!$F$11:$F$100,Subgroup_Overrides!$H$11:$H$100,"A|"&amp;$C36&amp;"|"&amp;$D36),"")</x:f>
      </x:c>
      <x:c r="K36" s="5" t="str">
        <x:f aca="0">IF(COUNTIF(Subgroup_Overrides!$H$11:$H$100,"B|"&amp;$C36&amp;"|"&amp;$D36)&gt;0,SUMIFS(Subgroup_Overrides!$F$11:$F$100,Subgroup_Overrides!$H$11:$H$100,"B|"&amp;$C36&amp;"|"&amp;$D36),"")</x:f>
      </x:c>
      <x:c r="L36" s="5" t="str">
        <x:f aca="0">TRIM(B36)</x:f>
        <x:v>NEED</x:v>
      </x:c>
      <x:c r="M36" s="5" t="str">
        <x:f aca="0">IF($H36="","",1*$H36)</x:f>
      </x:c>
      <x:c r="N36" s="5" t="str">
        <x:f aca="0">IF($I36="","",1*$I36)</x:f>
      </x:c>
      <x:c r="O36" s="5" t="str">
        <x:f aca="0">IF($M36="","",$B36&amp;"|"&amp;ROUND($M36*1000000000000,0))</x:f>
      </x:c>
      <x:c r="P36" s="5" t="str">
        <x:f aca="0">IF($N36="","",$B36&amp;"|"&amp;ROUND($N36*1000000000000,0))</x:f>
      </x:c>
    </x:row>
    <x:row r="37" s="1" customFormat="1" ht="14.25" hidden="0" customHeight="1">
      <x:c r="A37" s="7" t="n">
        <x:v>36</x:v>
      </x:c>
      <x:c r="B37" s="8" t="s">
        <x:v>278</x:v>
      </x:c>
      <x:c r="C37" s="8" t="s">
        <x:v>968</x:v>
      </x:c>
      <x:c r="D37" s="8" t="s">
        <x:v>973</x:v>
      </x:c>
      <x:c r="E37" s="8" t="n">
        <x:v>-0.5</x:v>
      </x:c>
      <x:c r="F37" s="70" t="n">
        <x:f aca="0">INDEX(I_prop!$B$7:$H$13, MATCH($C37, I_prop!$A$7:$A$13,0), MATCH($D37, I_prop!$B$6:$H$6,0))</x:f>
        <x:v>0</x:v>
      </x:c>
      <x:c r="G37" s="70" t="n">
        <x:f aca="0">INDEX(I_prop!$B$18:$H$24, MATCH($C37, I_prop!$A$18:$A$24,0), MATCH($D37, I_prop!$B$17:$H$17,0))</x:f>
        <x:v>0</x:v>
      </x:c>
      <x:c r="H37" s="70" t="n">
        <x:f aca="0">IF($J37&lt;&gt;"",$J37,IF($F37&lt;0,MAX(-1,Subgroup_Overrides!$B$7*$F37),$F37))</x:f>
        <x:v>0</x:v>
      </x:c>
      <x:c r="I37" s="70" t="n">
        <x:f aca="0">IF($K37&lt;&gt;"",$K37,IF($G37&lt;0,MAX(-1,Subgroup_Overrides!$B$7*$G37),$G37))</x:f>
        <x:v>0</x:v>
      </x:c>
      <x:c r="J37" s="8" t="str">
        <x:f aca="0">IF(COUNTIF(Subgroup_Overrides!$H$11:$H$100,"A|"&amp;$C37&amp;"|"&amp;$D37)&gt;0,SUMIFS(Subgroup_Overrides!$F$11:$F$100,Subgroup_Overrides!$H$11:$H$100,"A|"&amp;$C37&amp;"|"&amp;$D37),"")</x:f>
      </x:c>
      <x:c r="K37" s="8" t="str">
        <x:f aca="0">IF(COUNTIF(Subgroup_Overrides!$H$11:$H$100,"B|"&amp;$C37&amp;"|"&amp;$D37)&gt;0,SUMIFS(Subgroup_Overrides!$F$11:$F$100,Subgroup_Overrides!$H$11:$H$100,"B|"&amp;$C37&amp;"|"&amp;$D37),"")</x:f>
      </x:c>
      <x:c r="L37" s="8" t="str">
        <x:f aca="0">TRIM(B37)</x:f>
        <x:v>NEED</x:v>
      </x:c>
      <x:c r="M37" s="8" t="str">
        <x:f aca="0">IF($H37="","",1*$H37)</x:f>
      </x:c>
      <x:c r="N37" s="8" t="str">
        <x:f aca="0">IF($I37="","",1*$I37)</x:f>
      </x:c>
      <x:c r="O37" s="8" t="str">
        <x:f aca="0">IF($M37="","",$B37&amp;"|"&amp;ROUND($M37*1000000000000,0))</x:f>
      </x:c>
      <x:c r="P37" s="8" t="str">
        <x:f aca="0">IF($N37="","",$B37&amp;"|"&amp;ROUND($N37*1000000000000,0))</x:f>
      </x:c>
    </x:row>
    <x:row r="38" s="1" customFormat="1" ht="14.25" hidden="0" customHeight="1">
      <x:c r="A38" s="7" t="n">
        <x:v>37</x:v>
      </x:c>
      <x:c r="B38" s="5" t="s">
        <x:v>278</x:v>
      </x:c>
      <x:c r="C38" s="5" t="s">
        <x:v>968</x:v>
      </x:c>
      <x:c r="D38" s="5" t="s">
        <x:v>963</x:v>
      </x:c>
      <x:c r="E38" s="5" t="n">
        <x:v>-0.5</x:v>
      </x:c>
      <x:c r="F38" s="71" t="n">
        <x:f aca="0">INDEX(I_prop!$B$7:$H$13, MATCH($C38, I_prop!$A$7:$A$13,0), MATCH($D38, I_prop!$B$6:$H$6,0))</x:f>
        <x:v>0</x:v>
      </x:c>
      <x:c r="G38" s="71" t="n">
        <x:f aca="0">INDEX(I_prop!$B$18:$H$24, MATCH($C38, I_prop!$A$18:$A$24,0), MATCH($D38, I_prop!$B$17:$H$17,0))</x:f>
        <x:v>0</x:v>
      </x:c>
      <x:c r="H38" s="71" t="n">
        <x:f aca="0">IF($J38&lt;&gt;"",$J38,IF($F38&lt;0,MAX(-1,Subgroup_Overrides!$B$7*$F38),$F38))</x:f>
        <x:v>0</x:v>
      </x:c>
      <x:c r="I38" s="71" t="n">
        <x:f aca="0">IF($K38&lt;&gt;"",$K38,IF($G38&lt;0,MAX(-1,Subgroup_Overrides!$B$7*$G38),$G38))</x:f>
        <x:v>0</x:v>
      </x:c>
      <x:c r="J38" s="5" t="str">
        <x:f aca="0">IF(COUNTIF(Subgroup_Overrides!$H$11:$H$100,"A|"&amp;$C38&amp;"|"&amp;$D38)&gt;0,SUMIFS(Subgroup_Overrides!$F$11:$F$100,Subgroup_Overrides!$H$11:$H$100,"A|"&amp;$C38&amp;"|"&amp;$D38),"")</x:f>
      </x:c>
      <x:c r="K38" s="5" t="str">
        <x:f aca="0">IF(COUNTIF(Subgroup_Overrides!$H$11:$H$100,"B|"&amp;$C38&amp;"|"&amp;$D38)&gt;0,SUMIFS(Subgroup_Overrides!$F$11:$F$100,Subgroup_Overrides!$H$11:$H$100,"B|"&amp;$C38&amp;"|"&amp;$D38),"")</x:f>
      </x:c>
      <x:c r="L38" s="5" t="str">
        <x:f aca="0">TRIM(B38)</x:f>
        <x:v>NEED</x:v>
      </x:c>
      <x:c r="M38" s="5" t="str">
        <x:f aca="0">IF($H38="","",1*$H38)</x:f>
      </x:c>
      <x:c r="N38" s="5" t="str">
        <x:f aca="0">IF($I38="","",1*$I38)</x:f>
      </x:c>
      <x:c r="O38" s="5" t="str">
        <x:f aca="0">IF($M38="","",$B38&amp;"|"&amp;ROUND($M38*1000000000000,0))</x:f>
      </x:c>
      <x:c r="P38" s="5" t="str">
        <x:f aca="0">IF($N38="","",$B38&amp;"|"&amp;ROUND($N38*1000000000000,0))</x:f>
      </x:c>
    </x:row>
    <x:row r="39" s="1" customFormat="1" ht="14.25" hidden="0" customHeight="1">
      <x:c r="A39" s="7" t="n">
        <x:v>38</x:v>
      </x:c>
      <x:c r="B39" s="8" t="s">
        <x:v>279</x:v>
      </x:c>
      <x:c r="C39" s="8" t="s">
        <x:v>962</x:v>
      </x:c>
      <x:c r="D39" s="8" t="s">
        <x:v>972</x:v>
      </x:c>
      <x:c r="E39" s="8" t="n">
        <x:v>-0.55</x:v>
      </x:c>
      <x:c r="F39" s="70" t="n">
        <x:f aca="0">INDEX(I_prop!$B$7:$H$13, MATCH($C39, I_prop!$A$7:$A$13,0), MATCH($D39, I_prop!$B$6:$H$6,0))</x:f>
        <x:v>0</x:v>
      </x:c>
      <x:c r="G39" s="70" t="n">
        <x:f aca="0">INDEX(I_prop!$B$18:$H$24, MATCH($C39, I_prop!$A$18:$A$24,0), MATCH($D39, I_prop!$B$17:$H$17,0))</x:f>
        <x:v>0</x:v>
      </x:c>
      <x:c r="H39" s="70" t="n">
        <x:f aca="0">IF($J39&lt;&gt;"",$J39,IF($F39&lt;0,MAX(-1,Subgroup_Overrides!$B$7*$F39),$F39))</x:f>
        <x:v>0</x:v>
      </x:c>
      <x:c r="I39" s="70" t="n">
        <x:f aca="0">IF($K39&lt;&gt;"",$K39,IF($G39&lt;0,MAX(-1,Subgroup_Overrides!$B$7*$G39),$G39))</x:f>
        <x:v>0</x:v>
      </x:c>
      <x:c r="J39" s="8" t="str">
        <x:f aca="0">IF(COUNTIF(Subgroup_Overrides!$H$11:$H$100,"A|"&amp;$C39&amp;"|"&amp;$D39)&gt;0,SUMIFS(Subgroup_Overrides!$F$11:$F$100,Subgroup_Overrides!$H$11:$H$100,"A|"&amp;$C39&amp;"|"&amp;$D39),"")</x:f>
      </x:c>
      <x:c r="K39" s="8" t="str">
        <x:f aca="0">IF(COUNTIF(Subgroup_Overrides!$H$11:$H$100,"B|"&amp;$C39&amp;"|"&amp;$D39)&gt;0,SUMIFS(Subgroup_Overrides!$F$11:$F$100,Subgroup_Overrides!$H$11:$H$100,"B|"&amp;$C39&amp;"|"&amp;$D39),"")</x:f>
      </x:c>
      <x:c r="L39" s="8" t="str">
        <x:f aca="0">TRIM(B39)</x:f>
        <x:v>DIGN</x:v>
      </x:c>
      <x:c r="M39" s="8" t="str">
        <x:f aca="0">IF($H39="","",1*$H39)</x:f>
      </x:c>
      <x:c r="N39" s="8" t="str">
        <x:f aca="0">IF($I39="","",1*$I39)</x:f>
      </x:c>
      <x:c r="O39" s="8" t="str">
        <x:f aca="0">IF($M39="","",$B39&amp;"|"&amp;ROUND($M39*1000000000000,0))</x:f>
      </x:c>
      <x:c r="P39" s="8" t="str">
        <x:f aca="0">IF($N39="","",$B39&amp;"|"&amp;ROUND($N39*1000000000000,0))</x:f>
      </x:c>
    </x:row>
    <x:row r="40" s="1" customFormat="1" ht="14.25" hidden="0" customHeight="1">
      <x:c r="A40" s="7" t="n">
        <x:v>39</x:v>
      </x:c>
      <x:c r="B40" s="5" t="s">
        <x:v>279</x:v>
      </x:c>
      <x:c r="C40" s="5" t="s">
        <x:v>962</x:v>
      </x:c>
      <x:c r="D40" s="5" t="s">
        <x:v>971</x:v>
      </x:c>
      <x:c r="E40" s="5" t="n">
        <x:v>-0.55</x:v>
      </x:c>
      <x:c r="F40" s="71" t="n">
        <x:f aca="0">INDEX(I_prop!$B$7:$H$13, MATCH($C40, I_prop!$A$7:$A$13,0), MATCH($D40, I_prop!$B$6:$H$6,0))</x:f>
        <x:v>0.2490078843274226</x:v>
      </x:c>
      <x:c r="G40" s="71" t="n">
        <x:f aca="0">INDEX(I_prop!$B$18:$H$24, MATCH($C40, I_prop!$A$18:$A$24,0), MATCH($D40, I_prop!$B$17:$H$17,0))</x:f>
        <x:v>-0.046333567670633624</x:v>
      </x:c>
      <x:c r="H40" s="71" t="n">
        <x:f aca="0">IF($J40&lt;&gt;"",$J40,IF($F40&lt;0,MAX(-1,Subgroup_Overrides!$B$7*$F40),$F40))</x:f>
        <x:v>0.2490078843274226</x:v>
      </x:c>
      <x:c r="I40" s="71" t="n">
        <x:f aca="0">IF($K40&lt;&gt;"",$K40,IF($G40&lt;0,MAX(-1,Subgroup_Overrides!$B$7*$G40),$G40))</x:f>
        <x:v>-0.15</x:v>
      </x:c>
      <x:c r="J40" s="5" t="str">
        <x:f aca="0">IF(COUNTIF(Subgroup_Overrides!$H$11:$H$100,"A|"&amp;$C40&amp;"|"&amp;$D40)&gt;0,SUMIFS(Subgroup_Overrides!$F$11:$F$100,Subgroup_Overrides!$H$11:$H$100,"A|"&amp;$C40&amp;"|"&amp;$D40),"")</x:f>
      </x:c>
      <x:c r="K40" s="5" t="n">
        <x:f aca="0">IF(COUNTIF(Subgroup_Overrides!$H$11:$H$100,"B|"&amp;$C40&amp;"|"&amp;$D40)&gt;0,SUMIFS(Subgroup_Overrides!$F$11:$F$100,Subgroup_Overrides!$H$11:$H$100,"B|"&amp;$C40&amp;"|"&amp;$D40),"")</x:f>
        <x:v>-0.15</x:v>
      </x:c>
      <x:c r="L40" s="5" t="str">
        <x:f aca="0">TRIM(B40)</x:f>
        <x:v>DIGN</x:v>
      </x:c>
      <x:c r="M40" s="5" t="n">
        <x:f aca="0">IF($H40="","",1*$H40)</x:f>
        <x:v>0.2490078843274226</x:v>
      </x:c>
      <x:c r="N40" s="5" t="n">
        <x:f aca="0">IF($I40="","",1*$I40)</x:f>
        <x:v>-0.15</x:v>
      </x:c>
      <x:c r="O40" s="5" t="str">
        <x:f aca="0">IF($M40="","",$B40&amp;"|"&amp;ROUND($M40*1000000000000,0))</x:f>
        <x:v>DIGN|249007884327</x:v>
      </x:c>
      <x:c r="P40" s="5" t="str">
        <x:f aca="0">IF($N40="","",$B40&amp;"|"&amp;ROUND($N40*1000000000000,0))</x:f>
        <x:v>DIGN|-150000000000</x:v>
      </x:c>
    </x:row>
    <x:row r="41" s="1" customFormat="1" ht="14.25" hidden="0" customHeight="1">
      <x:c r="A41" s="7" t="n">
        <x:v>40</x:v>
      </x:c>
      <x:c r="B41" s="8" t="s">
        <x:v>279</x:v>
      </x:c>
      <x:c r="C41" s="8" t="s">
        <x:v>964</x:v>
      </x:c>
      <x:c r="D41" s="8" t="s">
        <x:v>972</x:v>
      </x:c>
      <x:c r="E41" s="8" t="n">
        <x:v>-0.55</x:v>
      </x:c>
      <x:c r="F41" s="70" t="n">
        <x:f aca="0">INDEX(I_prop!$B$7:$H$13, MATCH($C41, I_prop!$A$7:$A$13,0), MATCH($D41, I_prop!$B$6:$H$6,0))</x:f>
        <x:v>0</x:v>
      </x:c>
      <x:c r="G41" s="70" t="n">
        <x:f aca="0">INDEX(I_prop!$B$18:$H$24, MATCH($C41, I_prop!$A$18:$A$24,0), MATCH($D41, I_prop!$B$17:$H$17,0))</x:f>
        <x:v>0</x:v>
      </x:c>
      <x:c r="H41" s="70" t="n">
        <x:f aca="0">IF($J41&lt;&gt;"",$J41,IF($F41&lt;0,MAX(-1,Subgroup_Overrides!$B$7*$F41),$F41))</x:f>
        <x:v>0</x:v>
      </x:c>
      <x:c r="I41" s="70" t="n">
        <x:f aca="0">IF($K41&lt;&gt;"",$K41,IF($G41&lt;0,MAX(-1,Subgroup_Overrides!$B$7*$G41),$G41))</x:f>
        <x:v>0</x:v>
      </x:c>
      <x:c r="J41" s="8" t="str">
        <x:f aca="0">IF(COUNTIF(Subgroup_Overrides!$H$11:$H$100,"A|"&amp;$C41&amp;"|"&amp;$D41)&gt;0,SUMIFS(Subgroup_Overrides!$F$11:$F$100,Subgroup_Overrides!$H$11:$H$100,"A|"&amp;$C41&amp;"|"&amp;$D41),"")</x:f>
      </x:c>
      <x:c r="K41" s="8" t="str">
        <x:f aca="0">IF(COUNTIF(Subgroup_Overrides!$H$11:$H$100,"B|"&amp;$C41&amp;"|"&amp;$D41)&gt;0,SUMIFS(Subgroup_Overrides!$F$11:$F$100,Subgroup_Overrides!$H$11:$H$100,"B|"&amp;$C41&amp;"|"&amp;$D41),"")</x:f>
      </x:c>
      <x:c r="L41" s="8" t="str">
        <x:f aca="0">TRIM(B41)</x:f>
        <x:v>DIGN</x:v>
      </x:c>
      <x:c r="M41" s="8" t="str">
        <x:f aca="0">IF($H41="","",1*$H41)</x:f>
      </x:c>
      <x:c r="N41" s="8" t="str">
        <x:f aca="0">IF($I41="","",1*$I41)</x:f>
      </x:c>
      <x:c r="O41" s="8" t="str">
        <x:f aca="0">IF($M41="","",$B41&amp;"|"&amp;ROUND($M41*1000000000000,0))</x:f>
      </x:c>
      <x:c r="P41" s="8" t="str">
        <x:f aca="0">IF($N41="","",$B41&amp;"|"&amp;ROUND($N41*1000000000000,0))</x:f>
      </x:c>
    </x:row>
    <x:row r="42" s="1" customFormat="1" ht="14.25" hidden="0" customHeight="1">
      <x:c r="A42" s="7" t="n">
        <x:v>41</x:v>
      </x:c>
      <x:c r="B42" s="5" t="s">
        <x:v>279</x:v>
      </x:c>
      <x:c r="C42" s="5" t="s">
        <x:v>964</x:v>
      </x:c>
      <x:c r="D42" s="5" t="s">
        <x:v>971</x:v>
      </x:c>
      <x:c r="E42" s="5" t="n">
        <x:v>-0.55</x:v>
      </x:c>
      <x:c r="F42" s="71" t="n">
        <x:f aca="0">INDEX(I_prop!$B$7:$H$13, MATCH($C42, I_prop!$A$7:$A$13,0), MATCH($D42, I_prop!$B$6:$H$6,0))</x:f>
        <x:v>0</x:v>
      </x:c>
      <x:c r="G42" s="71" t="n">
        <x:f aca="0">INDEX(I_prop!$B$18:$H$24, MATCH($C42, I_prop!$A$18:$A$24,0), MATCH($D42, I_prop!$B$17:$H$17,0))</x:f>
        <x:v>0</x:v>
      </x:c>
      <x:c r="H42" s="71" t="n">
        <x:f aca="0">IF($J42&lt;&gt;"",$J42,IF($F42&lt;0,MAX(-1,Subgroup_Overrides!$B$7*$F42),$F42))</x:f>
        <x:v>0</x:v>
      </x:c>
      <x:c r="I42" s="71" t="n">
        <x:f aca="0">IF($K42&lt;&gt;"",$K42,IF($G42&lt;0,MAX(-1,Subgroup_Overrides!$B$7*$G42),$G42))</x:f>
        <x:v>0</x:v>
      </x:c>
      <x:c r="J42" s="5" t="str">
        <x:f aca="0">IF(COUNTIF(Subgroup_Overrides!$H$11:$H$100,"A|"&amp;$C42&amp;"|"&amp;$D42)&gt;0,SUMIFS(Subgroup_Overrides!$F$11:$F$100,Subgroup_Overrides!$H$11:$H$100,"A|"&amp;$C42&amp;"|"&amp;$D42),"")</x:f>
      </x:c>
      <x:c r="K42" s="5" t="str">
        <x:f aca="0">IF(COUNTIF(Subgroup_Overrides!$H$11:$H$100,"B|"&amp;$C42&amp;"|"&amp;$D42)&gt;0,SUMIFS(Subgroup_Overrides!$F$11:$F$100,Subgroup_Overrides!$H$11:$H$100,"B|"&amp;$C42&amp;"|"&amp;$D42),"")</x:f>
      </x:c>
      <x:c r="L42" s="5" t="str">
        <x:f aca="0">TRIM(B42)</x:f>
        <x:v>DIGN</x:v>
      </x:c>
      <x:c r="M42" s="5" t="str">
        <x:f aca="0">IF($H42="","",1*$H42)</x:f>
      </x:c>
      <x:c r="N42" s="5" t="str">
        <x:f aca="0">IF($I42="","",1*$I42)</x:f>
      </x:c>
      <x:c r="O42" s="5" t="str">
        <x:f aca="0">IF($M42="","",$B42&amp;"|"&amp;ROUND($M42*1000000000000,0))</x:f>
      </x:c>
      <x:c r="P42" s="5" t="str">
        <x:f aca="0">IF($N42="","",$B42&amp;"|"&amp;ROUND($N42*1000000000000,0))</x:f>
      </x:c>
    </x:row>
    <x:row r="43" s="1" customFormat="1" ht="14.25" hidden="0" customHeight="1">
      <x:c r="A43" s="7" t="n">
        <x:v>42</x:v>
      </x:c>
      <x:c r="B43" s="8" t="s">
        <x:v>279</x:v>
      </x:c>
      <x:c r="C43" s="8" t="s">
        <x:v>965</x:v>
      </x:c>
      <x:c r="D43" s="8" t="s">
        <x:v>972</x:v>
      </x:c>
      <x:c r="E43" s="8" t="n">
        <x:v>-0.55</x:v>
      </x:c>
      <x:c r="F43" s="70" t="n">
        <x:f aca="0">INDEX(I_prop!$B$7:$H$13, MATCH($C43, I_prop!$A$7:$A$13,0), MATCH($D43, I_prop!$B$6:$H$6,0))</x:f>
        <x:v>-0.08072568681553846</x:v>
      </x:c>
      <x:c r="G43" s="70" t="n">
        <x:f aca="0">INDEX(I_prop!$B$18:$H$24, MATCH($C43, I_prop!$A$18:$A$24,0), MATCH($D43, I_prop!$B$17:$H$17,0))</x:f>
        <x:v>0.06151557221350915</x:v>
      </x:c>
      <x:c r="H43" s="70" t="n">
        <x:f aca="0">IF($J43&lt;&gt;"",$J43,IF($F43&lt;0,MAX(-1,Subgroup_Overrides!$B$7*$F43),$F43))</x:f>
        <x:v>-0.15</x:v>
      </x:c>
      <x:c r="I43" s="70" t="n">
        <x:f aca="0">IF($K43&lt;&gt;"",$K43,IF($G43&lt;0,MAX(-1,Subgroup_Overrides!$B$7*$G43),$G43))</x:f>
        <x:v>0.06151557221350915</x:v>
      </x:c>
      <x:c r="J43" s="8" t="n">
        <x:f aca="0">IF(COUNTIF(Subgroup_Overrides!$H$11:$H$100,"A|"&amp;$C43&amp;"|"&amp;$D43)&gt;0,SUMIFS(Subgroup_Overrides!$F$11:$F$100,Subgroup_Overrides!$H$11:$H$100,"A|"&amp;$C43&amp;"|"&amp;$D43),"")</x:f>
        <x:v>-0.15</x:v>
      </x:c>
      <x:c r="K43" s="8" t="str">
        <x:f aca="0">IF(COUNTIF(Subgroup_Overrides!$H$11:$H$100,"B|"&amp;$C43&amp;"|"&amp;$D43)&gt;0,SUMIFS(Subgroup_Overrides!$F$11:$F$100,Subgroup_Overrides!$H$11:$H$100,"B|"&amp;$C43&amp;"|"&amp;$D43),"")</x:f>
      </x:c>
      <x:c r="L43" s="8" t="str">
        <x:f aca="0">TRIM(B43)</x:f>
        <x:v>DIGN</x:v>
      </x:c>
      <x:c r="M43" s="8" t="n">
        <x:f aca="0">IF($H43="","",1*$H43)</x:f>
        <x:v>-0.15</x:v>
      </x:c>
      <x:c r="N43" s="8" t="n">
        <x:f aca="0">IF($I43="","",1*$I43)</x:f>
        <x:v>0.06151557221350915</x:v>
      </x:c>
      <x:c r="O43" s="8" t="str">
        <x:f aca="0">IF($M43="","",$B43&amp;"|"&amp;ROUND($M43*1000000000000,0))</x:f>
        <x:v>DIGN|-150000000000</x:v>
      </x:c>
      <x:c r="P43" s="8" t="str">
        <x:f aca="0">IF($N43="","",$B43&amp;"|"&amp;ROUND($N43*1000000000000,0))</x:f>
        <x:v>DIGN|61515572214</x:v>
      </x:c>
    </x:row>
    <x:row r="44" s="1" customFormat="1" ht="14.25" hidden="0" customHeight="1">
      <x:c r="A44" s="7" t="n">
        <x:v>43</x:v>
      </x:c>
      <x:c r="B44" s="5" t="s">
        <x:v>279</x:v>
      </x:c>
      <x:c r="C44" s="5" t="s">
        <x:v>965</x:v>
      </x:c>
      <x:c r="D44" s="5" t="s">
        <x:v>971</x:v>
      </x:c>
      <x:c r="E44" s="5" t="n">
        <x:v>-0.55</x:v>
      </x:c>
      <x:c r="F44" s="71" t="n">
        <x:f aca="0">INDEX(I_prop!$B$7:$H$13, MATCH($C44, I_prop!$A$7:$A$13,0), MATCH($D44, I_prop!$B$6:$H$6,0))</x:f>
        <x:v>0</x:v>
      </x:c>
      <x:c r="G44" s="71" t="n">
        <x:f aca="0">INDEX(I_prop!$B$18:$H$24, MATCH($C44, I_prop!$A$18:$A$24,0), MATCH($D44, I_prop!$B$17:$H$17,0))</x:f>
        <x:v>0</x:v>
      </x:c>
      <x:c r="H44" s="71" t="n">
        <x:f aca="0">IF($J44&lt;&gt;"",$J44,IF($F44&lt;0,MAX(-1,Subgroup_Overrides!$B$7*$F44),$F44))</x:f>
        <x:v>0</x:v>
      </x:c>
      <x:c r="I44" s="71" t="n">
        <x:f aca="0">IF($K44&lt;&gt;"",$K44,IF($G44&lt;0,MAX(-1,Subgroup_Overrides!$B$7*$G44),$G44))</x:f>
        <x:v>0</x:v>
      </x:c>
      <x:c r="J44" s="5" t="str">
        <x:f aca="0">IF(COUNTIF(Subgroup_Overrides!$H$11:$H$100,"A|"&amp;$C44&amp;"|"&amp;$D44)&gt;0,SUMIFS(Subgroup_Overrides!$F$11:$F$100,Subgroup_Overrides!$H$11:$H$100,"A|"&amp;$C44&amp;"|"&amp;$D44),"")</x:f>
      </x:c>
      <x:c r="K44" s="5" t="str">
        <x:f aca="0">IF(COUNTIF(Subgroup_Overrides!$H$11:$H$100,"B|"&amp;$C44&amp;"|"&amp;$D44)&gt;0,SUMIFS(Subgroup_Overrides!$F$11:$F$100,Subgroup_Overrides!$H$11:$H$100,"B|"&amp;$C44&amp;"|"&amp;$D44),"")</x:f>
      </x:c>
      <x:c r="L44" s="5" t="str">
        <x:f aca="0">TRIM(B44)</x:f>
        <x:v>DIGN</x:v>
      </x:c>
      <x:c r="M44" s="5" t="str">
        <x:f aca="0">IF($H44="","",1*$H44)</x:f>
      </x:c>
      <x:c r="N44" s="5" t="str">
        <x:f aca="0">IF($I44="","",1*$I44)</x:f>
      </x:c>
      <x:c r="O44" s="5" t="str">
        <x:f aca="0">IF($M44="","",$B44&amp;"|"&amp;ROUND($M44*1000000000000,0))</x:f>
      </x:c>
      <x:c r="P44" s="5" t="str">
        <x:f aca="0">IF($N44="","",$B44&amp;"|"&amp;ROUND($N44*1000000000000,0))</x:f>
      </x:c>
    </x:row>
    <x:row r="45" s="1" customFormat="1" ht="14.25" hidden="0" customHeight="1">
      <x:c r="A45" s="7" t="n">
        <x:v>44</x:v>
      </x:c>
      <x:c r="B45" s="8" t="s">
        <x:v>279</x:v>
      </x:c>
      <x:c r="C45" s="8" t="s">
        <x:v>966</x:v>
      </x:c>
      <x:c r="D45" s="8" t="s">
        <x:v>972</x:v>
      </x:c>
      <x:c r="E45" s="8" t="n">
        <x:v>-0.55</x:v>
      </x:c>
      <x:c r="F45" s="70" t="n">
        <x:f aca="0">INDEX(I_prop!$B$7:$H$13, MATCH($C45, I_prop!$A$7:$A$13,0), MATCH($D45, I_prop!$B$6:$H$6,0))</x:f>
        <x:v>0</x:v>
      </x:c>
      <x:c r="G45" s="70" t="n">
        <x:f aca="0">INDEX(I_prop!$B$18:$H$24, MATCH($C45, I_prop!$A$18:$A$24,0), MATCH($D45, I_prop!$B$17:$H$17,0))</x:f>
        <x:v>0</x:v>
      </x:c>
      <x:c r="H45" s="70" t="n">
        <x:f aca="0">IF($J45&lt;&gt;"",$J45,IF($F45&lt;0,MAX(-1,Subgroup_Overrides!$B$7*$F45),$F45))</x:f>
        <x:v>0</x:v>
      </x:c>
      <x:c r="I45" s="70" t="n">
        <x:f aca="0">IF($K45&lt;&gt;"",$K45,IF($G45&lt;0,MAX(-1,Subgroup_Overrides!$B$7*$G45),$G45))</x:f>
        <x:v>0</x:v>
      </x:c>
      <x:c r="J45" s="8" t="str">
        <x:f aca="0">IF(COUNTIF(Subgroup_Overrides!$H$11:$H$100,"A|"&amp;$C45&amp;"|"&amp;$D45)&gt;0,SUMIFS(Subgroup_Overrides!$F$11:$F$100,Subgroup_Overrides!$H$11:$H$100,"A|"&amp;$C45&amp;"|"&amp;$D45),"")</x:f>
      </x:c>
      <x:c r="K45" s="8" t="str">
        <x:f aca="0">IF(COUNTIF(Subgroup_Overrides!$H$11:$H$100,"B|"&amp;$C45&amp;"|"&amp;$D45)&gt;0,SUMIFS(Subgroup_Overrides!$F$11:$F$100,Subgroup_Overrides!$H$11:$H$100,"B|"&amp;$C45&amp;"|"&amp;$D45),"")</x:f>
      </x:c>
      <x:c r="L45" s="8" t="str">
        <x:f aca="0">TRIM(B45)</x:f>
        <x:v>DIGN</x:v>
      </x:c>
      <x:c r="M45" s="8" t="str">
        <x:f aca="0">IF($H45="","",1*$H45)</x:f>
      </x:c>
      <x:c r="N45" s="8" t="str">
        <x:f aca="0">IF($I45="","",1*$I45)</x:f>
      </x:c>
      <x:c r="O45" s="8" t="str">
        <x:f aca="0">IF($M45="","",$B45&amp;"|"&amp;ROUND($M45*1000000000000,0))</x:f>
      </x:c>
      <x:c r="P45" s="8" t="str">
        <x:f aca="0">IF($N45="","",$B45&amp;"|"&amp;ROUND($N45*1000000000000,0))</x:f>
      </x:c>
    </x:row>
    <x:row r="46" s="1" customFormat="1" ht="14.25" hidden="0" customHeight="1">
      <x:c r="A46" s="7" t="n">
        <x:v>45</x:v>
      </x:c>
      <x:c r="B46" s="5" t="s">
        <x:v>279</x:v>
      </x:c>
      <x:c r="C46" s="5" t="s">
        <x:v>966</x:v>
      </x:c>
      <x:c r="D46" s="5" t="s">
        <x:v>971</x:v>
      </x:c>
      <x:c r="E46" s="5" t="n">
        <x:v>-0.55</x:v>
      </x:c>
      <x:c r="F46" s="71" t="n">
        <x:f aca="0">INDEX(I_prop!$B$7:$H$13, MATCH($C46, I_prop!$A$7:$A$13,0), MATCH($D46, I_prop!$B$6:$H$6,0))</x:f>
        <x:v>0</x:v>
      </x:c>
      <x:c r="G46" s="71" t="n">
        <x:f aca="0">INDEX(I_prop!$B$18:$H$24, MATCH($C46, I_prop!$A$18:$A$24,0), MATCH($D46, I_prop!$B$17:$H$17,0))</x:f>
        <x:v>0</x:v>
      </x:c>
      <x:c r="H46" s="71" t="n">
        <x:f aca="0">IF($J46&lt;&gt;"",$J46,IF($F46&lt;0,MAX(-1,Subgroup_Overrides!$B$7*$F46),$F46))</x:f>
        <x:v>0</x:v>
      </x:c>
      <x:c r="I46" s="71" t="n">
        <x:f aca="0">IF($K46&lt;&gt;"",$K46,IF($G46&lt;0,MAX(-1,Subgroup_Overrides!$B$7*$G46),$G46))</x:f>
        <x:v>0</x:v>
      </x:c>
      <x:c r="J46" s="5" t="str">
        <x:f aca="0">IF(COUNTIF(Subgroup_Overrides!$H$11:$H$100,"A|"&amp;$C46&amp;"|"&amp;$D46)&gt;0,SUMIFS(Subgroup_Overrides!$F$11:$F$100,Subgroup_Overrides!$H$11:$H$100,"A|"&amp;$C46&amp;"|"&amp;$D46),"")</x:f>
      </x:c>
      <x:c r="K46" s="5" t="str">
        <x:f aca="0">IF(COUNTIF(Subgroup_Overrides!$H$11:$H$100,"B|"&amp;$C46&amp;"|"&amp;$D46)&gt;0,SUMIFS(Subgroup_Overrides!$F$11:$F$100,Subgroup_Overrides!$H$11:$H$100,"B|"&amp;$C46&amp;"|"&amp;$D46),"")</x:f>
      </x:c>
      <x:c r="L46" s="5" t="str">
        <x:f aca="0">TRIM(B46)</x:f>
        <x:v>DIGN</x:v>
      </x:c>
      <x:c r="M46" s="5" t="str">
        <x:f aca="0">IF($H46="","",1*$H46)</x:f>
      </x:c>
      <x:c r="N46" s="5" t="str">
        <x:f aca="0">IF($I46="","",1*$I46)</x:f>
      </x:c>
      <x:c r="O46" s="5" t="str">
        <x:f aca="0">IF($M46="","",$B46&amp;"|"&amp;ROUND($M46*1000000000000,0))</x:f>
      </x:c>
      <x:c r="P46" s="5" t="str">
        <x:f aca="0">IF($N46="","",$B46&amp;"|"&amp;ROUND($N46*1000000000000,0))</x:f>
      </x:c>
    </x:row>
    <x:row r="47" s="1" customFormat="1" ht="14.25" hidden="0" customHeight="1">
      <x:c r="A47" s="7" t="n">
        <x:v>46</x:v>
      </x:c>
      <x:c r="B47" s="8" t="s">
        <x:v>279</x:v>
      </x:c>
      <x:c r="C47" s="8" t="s">
        <x:v>967</x:v>
      </x:c>
      <x:c r="D47" s="8" t="s">
        <x:v>972</x:v>
      </x:c>
      <x:c r="E47" s="8" t="n">
        <x:v>-0.55</x:v>
      </x:c>
      <x:c r="F47" s="70" t="n">
        <x:f aca="0">INDEX(I_prop!$B$7:$H$13, MATCH($C47, I_prop!$A$7:$A$13,0), MATCH($D47, I_prop!$B$6:$H$6,0))</x:f>
        <x:v>0</x:v>
      </x:c>
      <x:c r="G47" s="70" t="n">
        <x:f aca="0">INDEX(I_prop!$B$18:$H$24, MATCH($C47, I_prop!$A$18:$A$24,0), MATCH($D47, I_prop!$B$17:$H$17,0))</x:f>
        <x:v>0</x:v>
      </x:c>
      <x:c r="H47" s="70" t="n">
        <x:f aca="0">IF($J47&lt;&gt;"",$J47,IF($F47&lt;0,MAX(-1,Subgroup_Overrides!$B$7*$F47),$F47))</x:f>
        <x:v>0</x:v>
      </x:c>
      <x:c r="I47" s="70" t="n">
        <x:f aca="0">IF($K47&lt;&gt;"",$K47,IF($G47&lt;0,MAX(-1,Subgroup_Overrides!$B$7*$G47),$G47))</x:f>
        <x:v>0</x:v>
      </x:c>
      <x:c r="J47" s="8" t="str">
        <x:f aca="0">IF(COUNTIF(Subgroup_Overrides!$H$11:$H$100,"A|"&amp;$C47&amp;"|"&amp;$D47)&gt;0,SUMIFS(Subgroup_Overrides!$F$11:$F$100,Subgroup_Overrides!$H$11:$H$100,"A|"&amp;$C47&amp;"|"&amp;$D47),"")</x:f>
      </x:c>
      <x:c r="K47" s="8" t="str">
        <x:f aca="0">IF(COUNTIF(Subgroup_Overrides!$H$11:$H$100,"B|"&amp;$C47&amp;"|"&amp;$D47)&gt;0,SUMIFS(Subgroup_Overrides!$F$11:$F$100,Subgroup_Overrides!$H$11:$H$100,"B|"&amp;$C47&amp;"|"&amp;$D47),"")</x:f>
      </x:c>
      <x:c r="L47" s="8" t="str">
        <x:f aca="0">TRIM(B47)</x:f>
        <x:v>DIGN</x:v>
      </x:c>
      <x:c r="M47" s="8" t="str">
        <x:f aca="0">IF($H47="","",1*$H47)</x:f>
      </x:c>
      <x:c r="N47" s="8" t="str">
        <x:f aca="0">IF($I47="","",1*$I47)</x:f>
      </x:c>
      <x:c r="O47" s="8" t="str">
        <x:f aca="0">IF($M47="","",$B47&amp;"|"&amp;ROUND($M47*1000000000000,0))</x:f>
      </x:c>
      <x:c r="P47" s="8" t="str">
        <x:f aca="0">IF($N47="","",$B47&amp;"|"&amp;ROUND($N47*1000000000000,0))</x:f>
      </x:c>
    </x:row>
    <x:row r="48" s="1" customFormat="1" ht="14.25" hidden="0" customHeight="1">
      <x:c r="A48" s="7" t="n">
        <x:v>47</x:v>
      </x:c>
      <x:c r="B48" s="5" t="s">
        <x:v>279</x:v>
      </x:c>
      <x:c r="C48" s="5" t="s">
        <x:v>967</x:v>
      </x:c>
      <x:c r="D48" s="5" t="s">
        <x:v>971</x:v>
      </x:c>
      <x:c r="E48" s="5" t="n">
        <x:v>-0.55</x:v>
      </x:c>
      <x:c r="F48" s="71" t="n">
        <x:f aca="0">INDEX(I_prop!$B$7:$H$13, MATCH($C48, I_prop!$A$7:$A$13,0), MATCH($D48, I_prop!$B$6:$H$6,0))</x:f>
        <x:v>0</x:v>
      </x:c>
      <x:c r="G48" s="71" t="n">
        <x:f aca="0">INDEX(I_prop!$B$18:$H$24, MATCH($C48, I_prop!$A$18:$A$24,0), MATCH($D48, I_prop!$B$17:$H$17,0))</x:f>
        <x:v>0</x:v>
      </x:c>
      <x:c r="H48" s="71" t="n">
        <x:f aca="0">IF($J48&lt;&gt;"",$J48,IF($F48&lt;0,MAX(-1,Subgroup_Overrides!$B$7*$F48),$F48))</x:f>
        <x:v>0</x:v>
      </x:c>
      <x:c r="I48" s="71" t="n">
        <x:f aca="0">IF($K48&lt;&gt;"",$K48,IF($G48&lt;0,MAX(-1,Subgroup_Overrides!$B$7*$G48),$G48))</x:f>
        <x:v>0</x:v>
      </x:c>
      <x:c r="J48" s="5" t="str">
        <x:f aca="0">IF(COUNTIF(Subgroup_Overrides!$H$11:$H$100,"A|"&amp;$C48&amp;"|"&amp;$D48)&gt;0,SUMIFS(Subgroup_Overrides!$F$11:$F$100,Subgroup_Overrides!$H$11:$H$100,"A|"&amp;$C48&amp;"|"&amp;$D48),"")</x:f>
      </x:c>
      <x:c r="K48" s="5" t="str">
        <x:f aca="0">IF(COUNTIF(Subgroup_Overrides!$H$11:$H$100,"B|"&amp;$C48&amp;"|"&amp;$D48)&gt;0,SUMIFS(Subgroup_Overrides!$F$11:$F$100,Subgroup_Overrides!$H$11:$H$100,"B|"&amp;$C48&amp;"|"&amp;$D48),"")</x:f>
      </x:c>
      <x:c r="L48" s="5" t="str">
        <x:f aca="0">TRIM(B48)</x:f>
        <x:v>DIGN</x:v>
      </x:c>
      <x:c r="M48" s="5" t="str">
        <x:f aca="0">IF($H48="","",1*$H48)</x:f>
      </x:c>
      <x:c r="N48" s="5" t="str">
        <x:f aca="0">IF($I48="","",1*$I48)</x:f>
      </x:c>
      <x:c r="O48" s="5" t="str">
        <x:f aca="0">IF($M48="","",$B48&amp;"|"&amp;ROUND($M48*1000000000000,0))</x:f>
      </x:c>
      <x:c r="P48" s="5" t="str">
        <x:f aca="0">IF($N48="","",$B48&amp;"|"&amp;ROUND($N48*1000000000000,0))</x:f>
      </x:c>
    </x:row>
    <x:row r="49" s="1" customFormat="1" ht="14.25" hidden="0" customHeight="1">
      <x:c r="A49" s="7" t="n">
        <x:v>48</x:v>
      </x:c>
      <x:c r="B49" s="8" t="s">
        <x:v>279</x:v>
      </x:c>
      <x:c r="C49" s="8" t="s">
        <x:v>968</x:v>
      </x:c>
      <x:c r="D49" s="8" t="s">
        <x:v>972</x:v>
      </x:c>
      <x:c r="E49" s="8" t="n">
        <x:v>-0.55</x:v>
      </x:c>
      <x:c r="F49" s="70" t="n">
        <x:f aca="0">INDEX(I_prop!$B$7:$H$13, MATCH($C49, I_prop!$A$7:$A$13,0), MATCH($D49, I_prop!$B$6:$H$6,0))</x:f>
        <x:v>0</x:v>
      </x:c>
      <x:c r="G49" s="70" t="n">
        <x:f aca="0">INDEX(I_prop!$B$18:$H$24, MATCH($C49, I_prop!$A$18:$A$24,0), MATCH($D49, I_prop!$B$17:$H$17,0))</x:f>
        <x:v>0</x:v>
      </x:c>
      <x:c r="H49" s="70" t="n">
        <x:f aca="0">IF($J49&lt;&gt;"",$J49,IF($F49&lt;0,MAX(-1,Subgroup_Overrides!$B$7*$F49),$F49))</x:f>
        <x:v>0</x:v>
      </x:c>
      <x:c r="I49" s="70" t="n">
        <x:f aca="0">IF($K49&lt;&gt;"",$K49,IF($G49&lt;0,MAX(-1,Subgroup_Overrides!$B$7*$G49),$G49))</x:f>
        <x:v>0</x:v>
      </x:c>
      <x:c r="J49" s="8" t="str">
        <x:f aca="0">IF(COUNTIF(Subgroup_Overrides!$H$11:$H$100,"A|"&amp;$C49&amp;"|"&amp;$D49)&gt;0,SUMIFS(Subgroup_Overrides!$F$11:$F$100,Subgroup_Overrides!$H$11:$H$100,"A|"&amp;$C49&amp;"|"&amp;$D49),"")</x:f>
      </x:c>
      <x:c r="K49" s="8" t="str">
        <x:f aca="0">IF(COUNTIF(Subgroup_Overrides!$H$11:$H$100,"B|"&amp;$C49&amp;"|"&amp;$D49)&gt;0,SUMIFS(Subgroup_Overrides!$F$11:$F$100,Subgroup_Overrides!$H$11:$H$100,"B|"&amp;$C49&amp;"|"&amp;$D49),"")</x:f>
      </x:c>
      <x:c r="L49" s="8" t="str">
        <x:f aca="0">TRIM(B49)</x:f>
        <x:v>DIGN</x:v>
      </x:c>
      <x:c r="M49" s="8" t="str">
        <x:f aca="0">IF($H49="","",1*$H49)</x:f>
      </x:c>
      <x:c r="N49" s="8" t="str">
        <x:f aca="0">IF($I49="","",1*$I49)</x:f>
      </x:c>
      <x:c r="O49" s="8" t="str">
        <x:f aca="0">IF($M49="","",$B49&amp;"|"&amp;ROUND($M49*1000000000000,0))</x:f>
      </x:c>
      <x:c r="P49" s="8" t="str">
        <x:f aca="0">IF($N49="","",$B49&amp;"|"&amp;ROUND($N49*1000000000000,0))</x:f>
      </x:c>
    </x:row>
    <x:row r="50" s="1" customFormat="1" ht="14.25" hidden="0" customHeight="1">
      <x:c r="A50" s="7" t="n">
        <x:v>49</x:v>
      </x:c>
      <x:c r="B50" s="5" t="s">
        <x:v>279</x:v>
      </x:c>
      <x:c r="C50" s="5" t="s">
        <x:v>968</x:v>
      </x:c>
      <x:c r="D50" s="5" t="s">
        <x:v>971</x:v>
      </x:c>
      <x:c r="E50" s="5" t="n">
        <x:v>-0.55</x:v>
      </x:c>
      <x:c r="F50" s="71" t="n">
        <x:f aca="0">INDEX(I_prop!$B$7:$H$13, MATCH($C50, I_prop!$A$7:$A$13,0), MATCH($D50, I_prop!$B$6:$H$6,0))</x:f>
        <x:v>0</x:v>
      </x:c>
      <x:c r="G50" s="71" t="n">
        <x:f aca="0">INDEX(I_prop!$B$18:$H$24, MATCH($C50, I_prop!$A$18:$A$24,0), MATCH($D50, I_prop!$B$17:$H$17,0))</x:f>
        <x:v>0</x:v>
      </x:c>
      <x:c r="H50" s="71" t="n">
        <x:f aca="0">IF($J50&lt;&gt;"",$J50,IF($F50&lt;0,MAX(-1,Subgroup_Overrides!$B$7*$F50),$F50))</x:f>
        <x:v>0</x:v>
      </x:c>
      <x:c r="I50" s="71" t="n">
        <x:f aca="0">IF($K50&lt;&gt;"",$K50,IF($G50&lt;0,MAX(-1,Subgroup_Overrides!$B$7*$G50),$G50))</x:f>
        <x:v>0</x:v>
      </x:c>
      <x:c r="J50" s="5" t="str">
        <x:f aca="0">IF(COUNTIF(Subgroup_Overrides!$H$11:$H$100,"A|"&amp;$C50&amp;"|"&amp;$D50)&gt;0,SUMIFS(Subgroup_Overrides!$F$11:$F$100,Subgroup_Overrides!$H$11:$H$100,"A|"&amp;$C50&amp;"|"&amp;$D50),"")</x:f>
      </x:c>
      <x:c r="K50" s="5" t="str">
        <x:f aca="0">IF(COUNTIF(Subgroup_Overrides!$H$11:$H$100,"B|"&amp;$C50&amp;"|"&amp;$D50)&gt;0,SUMIFS(Subgroup_Overrides!$F$11:$F$100,Subgroup_Overrides!$H$11:$H$100,"B|"&amp;$C50&amp;"|"&amp;$D50),"")</x:f>
      </x:c>
      <x:c r="L50" s="5" t="str">
        <x:f aca="0">TRIM(B50)</x:f>
        <x:v>DIGN</x:v>
      </x:c>
      <x:c r="M50" s="5" t="str">
        <x:f aca="0">IF($H50="","",1*$H50)</x:f>
      </x:c>
      <x:c r="N50" s="5" t="str">
        <x:f aca="0">IF($I50="","",1*$I50)</x:f>
      </x:c>
      <x:c r="O50" s="5" t="str">
        <x:f aca="0">IF($M50="","",$B50&amp;"|"&amp;ROUND($M50*1000000000000,0))</x:f>
      </x:c>
      <x:c r="P50" s="5" t="str">
        <x:f aca="0">IF($N50="","",$B50&amp;"|"&amp;ROUND($N50*1000000000000,0))</x:f>
      </x:c>
    </x:row>
    <x:row r="51" s="1" customFormat="1" ht="14.25" hidden="0" customHeight="1">
      <x:c r="A51" s="7" t="n">
        <x:v>50</x:v>
      </x:c>
      <x:c r="B51" s="8" t="s">
        <x:v>280</x:v>
      </x:c>
      <x:c r="C51" s="8" t="s">
        <x:v>966</x:v>
      </x:c>
      <x:c r="D51" s="8" t="s">
        <x:v>972</x:v>
      </x:c>
      <x:c r="E51" s="8" t="n">
        <x:v>-0.45</x:v>
      </x:c>
      <x:c r="F51" s="70" t="n">
        <x:f aca="0">INDEX(I_prop!$B$7:$H$13, MATCH($C51, I_prop!$A$7:$A$13,0), MATCH($D51, I_prop!$B$6:$H$6,0))</x:f>
        <x:v>0</x:v>
      </x:c>
      <x:c r="G51" s="70" t="n">
        <x:f aca="0">INDEX(I_prop!$B$18:$H$24, MATCH($C51, I_prop!$A$18:$A$24,0), MATCH($D51, I_prop!$B$17:$H$17,0))</x:f>
        <x:v>0</x:v>
      </x:c>
      <x:c r="H51" s="70" t="n">
        <x:f aca="0">IF($J51&lt;&gt;"",$J51,IF($F51&lt;0,MAX(-1,Subgroup_Overrides!$B$7*$F51),$F51))</x:f>
        <x:v>0</x:v>
      </x:c>
      <x:c r="I51" s="70" t="n">
        <x:f aca="0">IF($K51&lt;&gt;"",$K51,IF($G51&lt;0,MAX(-1,Subgroup_Overrides!$B$7*$G51),$G51))</x:f>
        <x:v>0</x:v>
      </x:c>
      <x:c r="J51" s="8" t="str">
        <x:f aca="0">IF(COUNTIF(Subgroup_Overrides!$H$11:$H$100,"A|"&amp;$C51&amp;"|"&amp;$D51)&gt;0,SUMIFS(Subgroup_Overrides!$F$11:$F$100,Subgroup_Overrides!$H$11:$H$100,"A|"&amp;$C51&amp;"|"&amp;$D51),"")</x:f>
      </x:c>
      <x:c r="K51" s="8" t="str">
        <x:f aca="0">IF(COUNTIF(Subgroup_Overrides!$H$11:$H$100,"B|"&amp;$C51&amp;"|"&amp;$D51)&gt;0,SUMIFS(Subgroup_Overrides!$F$11:$F$100,Subgroup_Overrides!$H$11:$H$100,"B|"&amp;$C51&amp;"|"&amp;$D51),"")</x:f>
      </x:c>
      <x:c r="L51" s="8" t="str">
        <x:f aca="0">TRIM(B51)</x:f>
        <x:v>PROC</x:v>
      </x:c>
      <x:c r="M51" s="8" t="str">
        <x:f aca="0">IF($H51="","",1*$H51)</x:f>
      </x:c>
      <x:c r="N51" s="8" t="str">
        <x:f aca="0">IF($I51="","",1*$I51)</x:f>
      </x:c>
      <x:c r="O51" s="8" t="str">
        <x:f aca="0">IF($M51="","",$B51&amp;"|"&amp;ROUND($M51*1000000000000,0))</x:f>
      </x:c>
      <x:c r="P51" s="8" t="str">
        <x:f aca="0">IF($N51="","",$B51&amp;"|"&amp;ROUND($N51*1000000000000,0))</x:f>
      </x:c>
    </x:row>
    <x:row r="52" s="1" customFormat="1" ht="14.25" hidden="0" customHeight="1">
      <x:c r="A52" s="7" t="n">
        <x:v>51</x:v>
      </x:c>
      <x:c r="B52" s="5" t="s">
        <x:v>280</x:v>
      </x:c>
      <x:c r="C52" s="5" t="s">
        <x:v>966</x:v>
      </x:c>
      <x:c r="D52" s="5" t="s">
        <x:v>974</x:v>
      </x:c>
      <x:c r="E52" s="5" t="n">
        <x:v>-0.45</x:v>
      </x:c>
      <x:c r="F52" s="71" t="n">
        <x:f aca="0">INDEX(I_prop!$B$7:$H$13, MATCH($C52, I_prop!$A$7:$A$13,0), MATCH($D52, I_prop!$B$6:$H$6,0))</x:f>
        <x:v>0</x:v>
      </x:c>
      <x:c r="G52" s="71" t="n">
        <x:f aca="0">INDEX(I_prop!$B$18:$H$24, MATCH($C52, I_prop!$A$18:$A$24,0), MATCH($D52, I_prop!$B$17:$H$17,0))</x:f>
        <x:v>0</x:v>
      </x:c>
      <x:c r="H52" s="71" t="n">
        <x:f aca="0">IF($J52&lt;&gt;"",$J52,IF($F52&lt;0,MAX(-1,Subgroup_Overrides!$B$7*$F52),$F52))</x:f>
        <x:v>0</x:v>
      </x:c>
      <x:c r="I52" s="71" t="n">
        <x:f aca="0">IF($K52&lt;&gt;"",$K52,IF($G52&lt;0,MAX(-1,Subgroup_Overrides!$B$7*$G52),$G52))</x:f>
        <x:v>0</x:v>
      </x:c>
      <x:c r="J52" s="5" t="str">
        <x:f aca="0">IF(COUNTIF(Subgroup_Overrides!$H$11:$H$100,"A|"&amp;$C52&amp;"|"&amp;$D52)&gt;0,SUMIFS(Subgroup_Overrides!$F$11:$F$100,Subgroup_Overrides!$H$11:$H$100,"A|"&amp;$C52&amp;"|"&amp;$D52),"")</x:f>
      </x:c>
      <x:c r="K52" s="5" t="str">
        <x:f aca="0">IF(COUNTIF(Subgroup_Overrides!$H$11:$H$100,"B|"&amp;$C52&amp;"|"&amp;$D52)&gt;0,SUMIFS(Subgroup_Overrides!$F$11:$F$100,Subgroup_Overrides!$H$11:$H$100,"B|"&amp;$C52&amp;"|"&amp;$D52),"")</x:f>
      </x:c>
      <x:c r="L52" s="5" t="str">
        <x:f aca="0">TRIM(B52)</x:f>
        <x:v>PROC</x:v>
      </x:c>
      <x:c r="M52" s="5" t="str">
        <x:f aca="0">IF($H52="","",1*$H52)</x:f>
      </x:c>
      <x:c r="N52" s="5" t="str">
        <x:f aca="0">IF($I52="","",1*$I52)</x:f>
      </x:c>
      <x:c r="O52" s="5" t="str">
        <x:f aca="0">IF($M52="","",$B52&amp;"|"&amp;ROUND($M52*1000000000000,0))</x:f>
      </x:c>
      <x:c r="P52" s="5" t="str">
        <x:f aca="0">IF($N52="","",$B52&amp;"|"&amp;ROUND($N52*1000000000000,0))</x:f>
      </x:c>
    </x:row>
    <x:row r="53" s="1" customFormat="1" ht="14.25" hidden="0" customHeight="1">
      <x:c r="A53" s="7" t="n">
        <x:v>52</x:v>
      </x:c>
      <x:c r="B53" s="8" t="s">
        <x:v>280</x:v>
      </x:c>
      <x:c r="C53" s="8" t="s">
        <x:v>966</x:v>
      </x:c>
      <x:c r="D53" s="8" t="s">
        <x:v>971</x:v>
      </x:c>
      <x:c r="E53" s="8" t="n">
        <x:v>-0.45</x:v>
      </x:c>
      <x:c r="F53" s="70" t="n">
        <x:f aca="0">INDEX(I_prop!$B$7:$H$13, MATCH($C53, I_prop!$A$7:$A$13,0), MATCH($D53, I_prop!$B$6:$H$6,0))</x:f>
        <x:v>0</x:v>
      </x:c>
      <x:c r="G53" s="70" t="n">
        <x:f aca="0">INDEX(I_prop!$B$18:$H$24, MATCH($C53, I_prop!$A$18:$A$24,0), MATCH($D53, I_prop!$B$17:$H$17,0))</x:f>
        <x:v>0</x:v>
      </x:c>
      <x:c r="H53" s="70" t="n">
        <x:f aca="0">IF($J53&lt;&gt;"",$J53,IF($F53&lt;0,MAX(-1,Subgroup_Overrides!$B$7*$F53),$F53))</x:f>
        <x:v>0</x:v>
      </x:c>
      <x:c r="I53" s="70" t="n">
        <x:f aca="0">IF($K53&lt;&gt;"",$K53,IF($G53&lt;0,MAX(-1,Subgroup_Overrides!$B$7*$G53),$G53))</x:f>
        <x:v>0</x:v>
      </x:c>
      <x:c r="J53" s="8" t="str">
        <x:f aca="0">IF(COUNTIF(Subgroup_Overrides!$H$11:$H$100,"A|"&amp;$C53&amp;"|"&amp;$D53)&gt;0,SUMIFS(Subgroup_Overrides!$F$11:$F$100,Subgroup_Overrides!$H$11:$H$100,"A|"&amp;$C53&amp;"|"&amp;$D53),"")</x:f>
      </x:c>
      <x:c r="K53" s="8" t="str">
        <x:f aca="0">IF(COUNTIF(Subgroup_Overrides!$H$11:$H$100,"B|"&amp;$C53&amp;"|"&amp;$D53)&gt;0,SUMIFS(Subgroup_Overrides!$F$11:$F$100,Subgroup_Overrides!$H$11:$H$100,"B|"&amp;$C53&amp;"|"&amp;$D53),"")</x:f>
      </x:c>
      <x:c r="L53" s="8" t="str">
        <x:f aca="0">TRIM(B53)</x:f>
        <x:v>PROC</x:v>
      </x:c>
      <x:c r="M53" s="8" t="str">
        <x:f aca="0">IF($H53="","",1*$H53)</x:f>
      </x:c>
      <x:c r="N53" s="8" t="str">
        <x:f aca="0">IF($I53="","",1*$I53)</x:f>
      </x:c>
      <x:c r="O53" s="8" t="str">
        <x:f aca="0">IF($M53="","",$B53&amp;"|"&amp;ROUND($M53*1000000000000,0))</x:f>
      </x:c>
      <x:c r="P53" s="8" t="str">
        <x:f aca="0">IF($N53="","",$B53&amp;"|"&amp;ROUND($N53*1000000000000,0))</x:f>
      </x:c>
    </x:row>
    <x:row r="54" s="1" customFormat="1" ht="14.25" hidden="0" customHeight="1">
      <x:c r="A54" s="7" t="n">
        <x:v>53</x:v>
      </x:c>
      <x:c r="B54" s="5" t="s">
        <x:v>280</x:v>
      </x:c>
      <x:c r="C54" s="5" t="s">
        <x:v>967</x:v>
      </x:c>
      <x:c r="D54" s="5" t="s">
        <x:v>972</x:v>
      </x:c>
      <x:c r="E54" s="5" t="n">
        <x:v>-0.45</x:v>
      </x:c>
      <x:c r="F54" s="71" t="n">
        <x:f aca="0">INDEX(I_prop!$B$7:$H$13, MATCH($C54, I_prop!$A$7:$A$13,0), MATCH($D54, I_prop!$B$6:$H$6,0))</x:f>
        <x:v>0</x:v>
      </x:c>
      <x:c r="G54" s="71" t="n">
        <x:f aca="0">INDEX(I_prop!$B$18:$H$24, MATCH($C54, I_prop!$A$18:$A$24,0), MATCH($D54, I_prop!$B$17:$H$17,0))</x:f>
        <x:v>0</x:v>
      </x:c>
      <x:c r="H54" s="71" t="n">
        <x:f aca="0">IF($J54&lt;&gt;"",$J54,IF($F54&lt;0,MAX(-1,Subgroup_Overrides!$B$7*$F54),$F54))</x:f>
        <x:v>0</x:v>
      </x:c>
      <x:c r="I54" s="71" t="n">
        <x:f aca="0">IF($K54&lt;&gt;"",$K54,IF($G54&lt;0,MAX(-1,Subgroup_Overrides!$B$7*$G54),$G54))</x:f>
        <x:v>0</x:v>
      </x:c>
      <x:c r="J54" s="5" t="str">
        <x:f aca="0">IF(COUNTIF(Subgroup_Overrides!$H$11:$H$100,"A|"&amp;$C54&amp;"|"&amp;$D54)&gt;0,SUMIFS(Subgroup_Overrides!$F$11:$F$100,Subgroup_Overrides!$H$11:$H$100,"A|"&amp;$C54&amp;"|"&amp;$D54),"")</x:f>
      </x:c>
      <x:c r="K54" s="5" t="str">
        <x:f aca="0">IF(COUNTIF(Subgroup_Overrides!$H$11:$H$100,"B|"&amp;$C54&amp;"|"&amp;$D54)&gt;0,SUMIFS(Subgroup_Overrides!$F$11:$F$100,Subgroup_Overrides!$H$11:$H$100,"B|"&amp;$C54&amp;"|"&amp;$D54),"")</x:f>
      </x:c>
      <x:c r="L54" s="5" t="str">
        <x:f aca="0">TRIM(B54)</x:f>
        <x:v>PROC</x:v>
      </x:c>
      <x:c r="M54" s="5" t="str">
        <x:f aca="0">IF($H54="","",1*$H54)</x:f>
      </x:c>
      <x:c r="N54" s="5" t="str">
        <x:f aca="0">IF($I54="","",1*$I54)</x:f>
      </x:c>
      <x:c r="O54" s="5" t="str">
        <x:f aca="0">IF($M54="","",$B54&amp;"|"&amp;ROUND($M54*1000000000000,0))</x:f>
      </x:c>
      <x:c r="P54" s="5" t="str">
        <x:f aca="0">IF($N54="","",$B54&amp;"|"&amp;ROUND($N54*1000000000000,0))</x:f>
      </x:c>
    </x:row>
    <x:row r="55" s="1" customFormat="1" ht="14.25" hidden="0" customHeight="1">
      <x:c r="A55" s="7" t="n">
        <x:v>54</x:v>
      </x:c>
      <x:c r="B55" s="8" t="s">
        <x:v>280</x:v>
      </x:c>
      <x:c r="C55" s="8" t="s">
        <x:v>967</x:v>
      </x:c>
      <x:c r="D55" s="8" t="s">
        <x:v>974</x:v>
      </x:c>
      <x:c r="E55" s="8" t="n">
        <x:v>-0.45</x:v>
      </x:c>
      <x:c r="F55" s="70" t="n">
        <x:f aca="0">INDEX(I_prop!$B$7:$H$13, MATCH($C55, I_prop!$A$7:$A$13,0), MATCH($D55, I_prop!$B$6:$H$6,0))</x:f>
        <x:v>0</x:v>
      </x:c>
      <x:c r="G55" s="70" t="n">
        <x:f aca="0">INDEX(I_prop!$B$18:$H$24, MATCH($C55, I_prop!$A$18:$A$24,0), MATCH($D55, I_prop!$B$17:$H$17,0))</x:f>
        <x:v>0</x:v>
      </x:c>
      <x:c r="H55" s="70" t="n">
        <x:f aca="0">IF($J55&lt;&gt;"",$J55,IF($F55&lt;0,MAX(-1,Subgroup_Overrides!$B$7*$F55),$F55))</x:f>
        <x:v>0</x:v>
      </x:c>
      <x:c r="I55" s="70" t="n">
        <x:f aca="0">IF($K55&lt;&gt;"",$K55,IF($G55&lt;0,MAX(-1,Subgroup_Overrides!$B$7*$G55),$G55))</x:f>
        <x:v>0</x:v>
      </x:c>
      <x:c r="J55" s="8" t="str">
        <x:f aca="0">IF(COUNTIF(Subgroup_Overrides!$H$11:$H$100,"A|"&amp;$C55&amp;"|"&amp;$D55)&gt;0,SUMIFS(Subgroup_Overrides!$F$11:$F$100,Subgroup_Overrides!$H$11:$H$100,"A|"&amp;$C55&amp;"|"&amp;$D55),"")</x:f>
      </x:c>
      <x:c r="K55" s="8" t="str">
        <x:f aca="0">IF(COUNTIF(Subgroup_Overrides!$H$11:$H$100,"B|"&amp;$C55&amp;"|"&amp;$D55)&gt;0,SUMIFS(Subgroup_Overrides!$F$11:$F$100,Subgroup_Overrides!$H$11:$H$100,"B|"&amp;$C55&amp;"|"&amp;$D55),"")</x:f>
      </x:c>
      <x:c r="L55" s="8" t="str">
        <x:f aca="0">TRIM(B55)</x:f>
        <x:v>PROC</x:v>
      </x:c>
      <x:c r="M55" s="8" t="str">
        <x:f aca="0">IF($H55="","",1*$H55)</x:f>
      </x:c>
      <x:c r="N55" s="8" t="str">
        <x:f aca="0">IF($I55="","",1*$I55)</x:f>
      </x:c>
      <x:c r="O55" s="8" t="str">
        <x:f aca="0">IF($M55="","",$B55&amp;"|"&amp;ROUND($M55*1000000000000,0))</x:f>
      </x:c>
      <x:c r="P55" s="8" t="str">
        <x:f aca="0">IF($N55="","",$B55&amp;"|"&amp;ROUND($N55*1000000000000,0))</x:f>
      </x:c>
    </x:row>
    <x:row r="56" s="1" customFormat="1" ht="14.25" hidden="0" customHeight="1">
      <x:c r="A56" s="7" t="n">
        <x:v>55</x:v>
      </x:c>
      <x:c r="B56" s="5" t="s">
        <x:v>280</x:v>
      </x:c>
      <x:c r="C56" s="5" t="s">
        <x:v>967</x:v>
      </x:c>
      <x:c r="D56" s="5" t="s">
        <x:v>971</x:v>
      </x:c>
      <x:c r="E56" s="5" t="n">
        <x:v>-0.45</x:v>
      </x:c>
      <x:c r="F56" s="71" t="n">
        <x:f aca="0">INDEX(I_prop!$B$7:$H$13, MATCH($C56, I_prop!$A$7:$A$13,0), MATCH($D56, I_prop!$B$6:$H$6,0))</x:f>
        <x:v>0</x:v>
      </x:c>
      <x:c r="G56" s="71" t="n">
        <x:f aca="0">INDEX(I_prop!$B$18:$H$24, MATCH($C56, I_prop!$A$18:$A$24,0), MATCH($D56, I_prop!$B$17:$H$17,0))</x:f>
        <x:v>0</x:v>
      </x:c>
      <x:c r="H56" s="71" t="n">
        <x:f aca="0">IF($J56&lt;&gt;"",$J56,IF($F56&lt;0,MAX(-1,Subgroup_Overrides!$B$7*$F56),$F56))</x:f>
        <x:v>0</x:v>
      </x:c>
      <x:c r="I56" s="71" t="n">
        <x:f aca="0">IF($K56&lt;&gt;"",$K56,IF($G56&lt;0,MAX(-1,Subgroup_Overrides!$B$7*$G56),$G56))</x:f>
        <x:v>0</x:v>
      </x:c>
      <x:c r="J56" s="5" t="str">
        <x:f aca="0">IF(COUNTIF(Subgroup_Overrides!$H$11:$H$100,"A|"&amp;$C56&amp;"|"&amp;$D56)&gt;0,SUMIFS(Subgroup_Overrides!$F$11:$F$100,Subgroup_Overrides!$H$11:$H$100,"A|"&amp;$C56&amp;"|"&amp;$D56),"")</x:f>
      </x:c>
      <x:c r="K56" s="5" t="str">
        <x:f aca="0">IF(COUNTIF(Subgroup_Overrides!$H$11:$H$100,"B|"&amp;$C56&amp;"|"&amp;$D56)&gt;0,SUMIFS(Subgroup_Overrides!$F$11:$F$100,Subgroup_Overrides!$H$11:$H$100,"B|"&amp;$C56&amp;"|"&amp;$D56),"")</x:f>
      </x:c>
      <x:c r="L56" s="5" t="str">
        <x:f aca="0">TRIM(B56)</x:f>
        <x:v>PROC</x:v>
      </x:c>
      <x:c r="M56" s="5" t="str">
        <x:f aca="0">IF($H56="","",1*$H56)</x:f>
      </x:c>
      <x:c r="N56" s="5" t="str">
        <x:f aca="0">IF($I56="","",1*$I56)</x:f>
      </x:c>
      <x:c r="O56" s="5" t="str">
        <x:f aca="0">IF($M56="","",$B56&amp;"|"&amp;ROUND($M56*1000000000000,0))</x:f>
      </x:c>
      <x:c r="P56" s="5" t="str">
        <x:f aca="0">IF($N56="","",$B56&amp;"|"&amp;ROUND($N56*1000000000000,0))</x:f>
      </x:c>
    </x:row>
    <x:row r="57" s="1" customFormat="1" ht="14.25" hidden="0" customHeight="1">
      <x:c r="A57" s="7" t="n">
        <x:v>56</x:v>
      </x:c>
      <x:c r="B57" s="8" t="s">
        <x:v>280</x:v>
      </x:c>
      <x:c r="C57" s="8" t="s">
        <x:v>968</x:v>
      </x:c>
      <x:c r="D57" s="8" t="s">
        <x:v>972</x:v>
      </x:c>
      <x:c r="E57" s="8" t="n">
        <x:v>-0.45</x:v>
      </x:c>
      <x:c r="F57" s="70" t="n">
        <x:f aca="0">INDEX(I_prop!$B$7:$H$13, MATCH($C57, I_prop!$A$7:$A$13,0), MATCH($D57, I_prop!$B$6:$H$6,0))</x:f>
        <x:v>0</x:v>
      </x:c>
      <x:c r="G57" s="70" t="n">
        <x:f aca="0">INDEX(I_prop!$B$18:$H$24, MATCH($C57, I_prop!$A$18:$A$24,0), MATCH($D57, I_prop!$B$17:$H$17,0))</x:f>
        <x:v>0</x:v>
      </x:c>
      <x:c r="H57" s="70" t="n">
        <x:f aca="0">IF($J57&lt;&gt;"",$J57,IF($F57&lt;0,MAX(-1,Subgroup_Overrides!$B$7*$F57),$F57))</x:f>
        <x:v>0</x:v>
      </x:c>
      <x:c r="I57" s="70" t="n">
        <x:f aca="0">IF($K57&lt;&gt;"",$K57,IF($G57&lt;0,MAX(-1,Subgroup_Overrides!$B$7*$G57),$G57))</x:f>
        <x:v>0</x:v>
      </x:c>
      <x:c r="J57" s="8" t="str">
        <x:f aca="0">IF(COUNTIF(Subgroup_Overrides!$H$11:$H$100,"A|"&amp;$C57&amp;"|"&amp;$D57)&gt;0,SUMIFS(Subgroup_Overrides!$F$11:$F$100,Subgroup_Overrides!$H$11:$H$100,"A|"&amp;$C57&amp;"|"&amp;$D57),"")</x:f>
      </x:c>
      <x:c r="K57" s="8" t="str">
        <x:f aca="0">IF(COUNTIF(Subgroup_Overrides!$H$11:$H$100,"B|"&amp;$C57&amp;"|"&amp;$D57)&gt;0,SUMIFS(Subgroup_Overrides!$F$11:$F$100,Subgroup_Overrides!$H$11:$H$100,"B|"&amp;$C57&amp;"|"&amp;$D57),"")</x:f>
      </x:c>
      <x:c r="L57" s="8" t="str">
        <x:f aca="0">TRIM(B57)</x:f>
        <x:v>PROC</x:v>
      </x:c>
      <x:c r="M57" s="8" t="str">
        <x:f aca="0">IF($H57="","",1*$H57)</x:f>
      </x:c>
      <x:c r="N57" s="8" t="str">
        <x:f aca="0">IF($I57="","",1*$I57)</x:f>
      </x:c>
      <x:c r="O57" s="8" t="str">
        <x:f aca="0">IF($M57="","",$B57&amp;"|"&amp;ROUND($M57*1000000000000,0))</x:f>
      </x:c>
      <x:c r="P57" s="8" t="str">
        <x:f aca="0">IF($N57="","",$B57&amp;"|"&amp;ROUND($N57*1000000000000,0))</x:f>
      </x:c>
    </x:row>
    <x:row r="58" s="1" customFormat="1" ht="14.25" hidden="0" customHeight="1">
      <x:c r="A58" s="7" t="n">
        <x:v>57</x:v>
      </x:c>
      <x:c r="B58" s="5" t="s">
        <x:v>280</x:v>
      </x:c>
      <x:c r="C58" s="5" t="s">
        <x:v>968</x:v>
      </x:c>
      <x:c r="D58" s="5" t="s">
        <x:v>974</x:v>
      </x:c>
      <x:c r="E58" s="5" t="n">
        <x:v>-0.45</x:v>
      </x:c>
      <x:c r="F58" s="71" t="n">
        <x:f aca="0">INDEX(I_prop!$B$7:$H$13, MATCH($C58, I_prop!$A$7:$A$13,0), MATCH($D58, I_prop!$B$6:$H$6,0))</x:f>
        <x:v>0</x:v>
      </x:c>
      <x:c r="G58" s="71" t="n">
        <x:f aca="0">INDEX(I_prop!$B$18:$H$24, MATCH($C58, I_prop!$A$18:$A$24,0), MATCH($D58, I_prop!$B$17:$H$17,0))</x:f>
        <x:v>0</x:v>
      </x:c>
      <x:c r="H58" s="71" t="n">
        <x:f aca="0">IF($J58&lt;&gt;"",$J58,IF($F58&lt;0,MAX(-1,Subgroup_Overrides!$B$7*$F58),$F58))</x:f>
        <x:v>0</x:v>
      </x:c>
      <x:c r="I58" s="71" t="n">
        <x:f aca="0">IF($K58&lt;&gt;"",$K58,IF($G58&lt;0,MAX(-1,Subgroup_Overrides!$B$7*$G58),$G58))</x:f>
        <x:v>0</x:v>
      </x:c>
      <x:c r="J58" s="5" t="str">
        <x:f aca="0">IF(COUNTIF(Subgroup_Overrides!$H$11:$H$100,"A|"&amp;$C58&amp;"|"&amp;$D58)&gt;0,SUMIFS(Subgroup_Overrides!$F$11:$F$100,Subgroup_Overrides!$H$11:$H$100,"A|"&amp;$C58&amp;"|"&amp;$D58),"")</x:f>
      </x:c>
      <x:c r="K58" s="5" t="str">
        <x:f aca="0">IF(COUNTIF(Subgroup_Overrides!$H$11:$H$100,"B|"&amp;$C58&amp;"|"&amp;$D58)&gt;0,SUMIFS(Subgroup_Overrides!$F$11:$F$100,Subgroup_Overrides!$H$11:$H$100,"B|"&amp;$C58&amp;"|"&amp;$D58),"")</x:f>
      </x:c>
      <x:c r="L58" s="5" t="str">
        <x:f aca="0">TRIM(B58)</x:f>
        <x:v>PROC</x:v>
      </x:c>
      <x:c r="M58" s="5" t="str">
        <x:f aca="0">IF($H58="","",1*$H58)</x:f>
      </x:c>
      <x:c r="N58" s="5" t="str">
        <x:f aca="0">IF($I58="","",1*$I58)</x:f>
      </x:c>
      <x:c r="O58" s="5" t="str">
        <x:f aca="0">IF($M58="","",$B58&amp;"|"&amp;ROUND($M58*1000000000000,0))</x:f>
      </x:c>
      <x:c r="P58" s="5" t="str">
        <x:f aca="0">IF($N58="","",$B58&amp;"|"&amp;ROUND($N58*1000000000000,0))</x:f>
      </x:c>
    </x:row>
    <x:row r="59" s="1" customFormat="1" ht="14.25" hidden="0" customHeight="1">
      <x:c r="A59" s="7" t="n">
        <x:v>58</x:v>
      </x:c>
      <x:c r="B59" s="8" t="s">
        <x:v>280</x:v>
      </x:c>
      <x:c r="C59" s="8" t="s">
        <x:v>968</x:v>
      </x:c>
      <x:c r="D59" s="8" t="s">
        <x:v>971</x:v>
      </x:c>
      <x:c r="E59" s="8" t="n">
        <x:v>-0.45</x:v>
      </x:c>
      <x:c r="F59" s="70" t="n">
        <x:f aca="0">INDEX(I_prop!$B$7:$H$13, MATCH($C59, I_prop!$A$7:$A$13,0), MATCH($D59, I_prop!$B$6:$H$6,0))</x:f>
        <x:v>0</x:v>
      </x:c>
      <x:c r="G59" s="70" t="n">
        <x:f aca="0">INDEX(I_prop!$B$18:$H$24, MATCH($C59, I_prop!$A$18:$A$24,0), MATCH($D59, I_prop!$B$17:$H$17,0))</x:f>
        <x:v>0</x:v>
      </x:c>
      <x:c r="H59" s="70" t="n">
        <x:f aca="0">IF($J59&lt;&gt;"",$J59,IF($F59&lt;0,MAX(-1,Subgroup_Overrides!$B$7*$F59),$F59))</x:f>
        <x:v>0</x:v>
      </x:c>
      <x:c r="I59" s="70" t="n">
        <x:f aca="0">IF($K59&lt;&gt;"",$K59,IF($G59&lt;0,MAX(-1,Subgroup_Overrides!$B$7*$G59),$G59))</x:f>
        <x:v>0</x:v>
      </x:c>
      <x:c r="J59" s="8" t="str">
        <x:f aca="0">IF(COUNTIF(Subgroup_Overrides!$H$11:$H$100,"A|"&amp;$C59&amp;"|"&amp;$D59)&gt;0,SUMIFS(Subgroup_Overrides!$F$11:$F$100,Subgroup_Overrides!$H$11:$H$100,"A|"&amp;$C59&amp;"|"&amp;$D59),"")</x:f>
      </x:c>
      <x:c r="K59" s="8" t="str">
        <x:f aca="0">IF(COUNTIF(Subgroup_Overrides!$H$11:$H$100,"B|"&amp;$C59&amp;"|"&amp;$D59)&gt;0,SUMIFS(Subgroup_Overrides!$F$11:$F$100,Subgroup_Overrides!$H$11:$H$100,"B|"&amp;$C59&amp;"|"&amp;$D59),"")</x:f>
      </x:c>
      <x:c r="L59" s="8" t="str">
        <x:f aca="0">TRIM(B59)</x:f>
        <x:v>PROC</x:v>
      </x:c>
      <x:c r="M59" s="8" t="str">
        <x:f aca="0">IF($H59="","",1*$H59)</x:f>
      </x:c>
      <x:c r="N59" s="8" t="str">
        <x:f aca="0">IF($I59="","",1*$I59)</x:f>
      </x:c>
      <x:c r="O59" s="8" t="str">
        <x:f aca="0">IF($M59="","",$B59&amp;"|"&amp;ROUND($M59*1000000000000,0))</x:f>
      </x:c>
      <x:c r="P59" s="8" t="str">
        <x:f aca="0">IF($N59="","",$B59&amp;"|"&amp;ROUND($N59*1000000000000,0))</x:f>
      </x:c>
    </x:row>
    <x:row r="60" s="1" customFormat="1" ht="14.25" hidden="0" customHeight="1">
      <x:c r="A60" s="7" t="n">
        <x:v>59</x:v>
      </x:c>
      <x:c r="B60" s="5" t="s">
        <x:v>281</x:v>
      </x:c>
      <x:c r="C60" s="5" t="s">
        <x:v>962</x:v>
      </x:c>
      <x:c r="D60" s="5" t="s">
        <x:v>974</x:v>
      </x:c>
      <x:c r="E60" s="5" t="n">
        <x:v>-0.4</x:v>
      </x:c>
      <x:c r="F60" s="71" t="n">
        <x:f aca="0">INDEX(I_prop!$B$7:$H$13, MATCH($C60, I_prop!$A$7:$A$13,0), MATCH($D60, I_prop!$B$6:$H$6,0))</x:f>
        <x:v>0</x:v>
      </x:c>
      <x:c r="G60" s="71" t="n">
        <x:f aca="0">INDEX(I_prop!$B$18:$H$24, MATCH($C60, I_prop!$A$18:$A$24,0), MATCH($D60, I_prop!$B$17:$H$17,0))</x:f>
        <x:v>0</x:v>
      </x:c>
      <x:c r="H60" s="71" t="n">
        <x:f aca="0">IF($J60&lt;&gt;"",$J60,IF($F60&lt;0,MAX(-1,Subgroup_Overrides!$B$7*$F60),$F60))</x:f>
        <x:v>0</x:v>
      </x:c>
      <x:c r="I60" s="71" t="n">
        <x:f aca="0">IF($K60&lt;&gt;"",$K60,IF($G60&lt;0,MAX(-1,Subgroup_Overrides!$B$7*$G60),$G60))</x:f>
        <x:v>0</x:v>
      </x:c>
      <x:c r="J60" s="5" t="str">
        <x:f aca="0">IF(COUNTIF(Subgroup_Overrides!$H$11:$H$100,"A|"&amp;$C60&amp;"|"&amp;$D60)&gt;0,SUMIFS(Subgroup_Overrides!$F$11:$F$100,Subgroup_Overrides!$H$11:$H$100,"A|"&amp;$C60&amp;"|"&amp;$D60),"")</x:f>
      </x:c>
      <x:c r="K60" s="5" t="str">
        <x:f aca="0">IF(COUNTIF(Subgroup_Overrides!$H$11:$H$100,"B|"&amp;$C60&amp;"|"&amp;$D60)&gt;0,SUMIFS(Subgroup_Overrides!$F$11:$F$100,Subgroup_Overrides!$H$11:$H$100,"B|"&amp;$C60&amp;"|"&amp;$D60),"")</x:f>
      </x:c>
      <x:c r="L60" s="5" t="str">
        <x:f aca="0">TRIM(B60)</x:f>
        <x:v>INFO</x:v>
      </x:c>
      <x:c r="M60" s="5" t="str">
        <x:f aca="0">IF($H60="","",1*$H60)</x:f>
      </x:c>
      <x:c r="N60" s="5" t="str">
        <x:f aca="0">IF($I60="","",1*$I60)</x:f>
      </x:c>
      <x:c r="O60" s="5" t="str">
        <x:f aca="0">IF($M60="","",$B60&amp;"|"&amp;ROUND($M60*1000000000000,0))</x:f>
      </x:c>
      <x:c r="P60" s="5" t="str">
        <x:f aca="0">IF($N60="","",$B60&amp;"|"&amp;ROUND($N60*1000000000000,0))</x:f>
      </x:c>
    </x:row>
    <x:row r="61" s="1" customFormat="1" ht="14.25" hidden="0" customHeight="1">
      <x:c r="A61" s="7" t="n">
        <x:v>60</x:v>
      </x:c>
      <x:c r="B61" s="8" t="s">
        <x:v>281</x:v>
      </x:c>
      <x:c r="C61" s="8" t="s">
        <x:v>962</x:v>
      </x:c>
      <x:c r="D61" s="8" t="s">
        <x:v>971</x:v>
      </x:c>
      <x:c r="E61" s="8" t="n">
        <x:v>-0.4</x:v>
      </x:c>
      <x:c r="F61" s="70" t="n">
        <x:f aca="0">INDEX(I_prop!$B$7:$H$13, MATCH($C61, I_prop!$A$7:$A$13,0), MATCH($D61, I_prop!$B$6:$H$6,0))</x:f>
        <x:v>0.2490078843274226</x:v>
      </x:c>
      <x:c r="G61" s="70" t="n">
        <x:f aca="0">INDEX(I_prop!$B$18:$H$24, MATCH($C61, I_prop!$A$18:$A$24,0), MATCH($D61, I_prop!$B$17:$H$17,0))</x:f>
        <x:v>-0.046333567670633624</x:v>
      </x:c>
      <x:c r="H61" s="70" t="n">
        <x:f aca="0">IF($J61&lt;&gt;"",$J61,IF($F61&lt;0,MAX(-1,Subgroup_Overrides!$B$7*$F61),$F61))</x:f>
        <x:v>0.2490078843274226</x:v>
      </x:c>
      <x:c r="I61" s="70" t="n">
        <x:f aca="0">IF($K61&lt;&gt;"",$K61,IF($G61&lt;0,MAX(-1,Subgroup_Overrides!$B$7*$G61),$G61))</x:f>
        <x:v>-0.15</x:v>
      </x:c>
      <x:c r="J61" s="8" t="str">
        <x:f aca="0">IF(COUNTIF(Subgroup_Overrides!$H$11:$H$100,"A|"&amp;$C61&amp;"|"&amp;$D61)&gt;0,SUMIFS(Subgroup_Overrides!$F$11:$F$100,Subgroup_Overrides!$H$11:$H$100,"A|"&amp;$C61&amp;"|"&amp;$D61),"")</x:f>
      </x:c>
      <x:c r="K61" s="8" t="n">
        <x:f aca="0">IF(COUNTIF(Subgroup_Overrides!$H$11:$H$100,"B|"&amp;$C61&amp;"|"&amp;$D61)&gt;0,SUMIFS(Subgroup_Overrides!$F$11:$F$100,Subgroup_Overrides!$H$11:$H$100,"B|"&amp;$C61&amp;"|"&amp;$D61),"")</x:f>
        <x:v>-0.15</x:v>
      </x:c>
      <x:c r="L61" s="8" t="str">
        <x:f aca="0">TRIM(B61)</x:f>
        <x:v>INFO</x:v>
      </x:c>
      <x:c r="M61" s="8" t="n">
        <x:f aca="0">IF($H61="","",1*$H61)</x:f>
        <x:v>0.2490078843274226</x:v>
      </x:c>
      <x:c r="N61" s="8" t="n">
        <x:f aca="0">IF($I61="","",1*$I61)</x:f>
        <x:v>-0.15</x:v>
      </x:c>
      <x:c r="O61" s="8" t="str">
        <x:f aca="0">IF($M61="","",$B61&amp;"|"&amp;ROUND($M61*1000000000000,0))</x:f>
        <x:v>INFO|249007884327</x:v>
      </x:c>
      <x:c r="P61" s="8" t="str">
        <x:f aca="0">IF($N61="","",$B61&amp;"|"&amp;ROUND($N61*1000000000000,0))</x:f>
        <x:v>INFO|-150000000000</x:v>
      </x:c>
    </x:row>
    <x:row r="62" s="1" customFormat="1" ht="14.25" hidden="0" customHeight="1">
      <x:c r="A62" s="7" t="n">
        <x:v>61</x:v>
      </x:c>
      <x:c r="B62" s="5" t="s">
        <x:v>281</x:v>
      </x:c>
      <x:c r="C62" s="5" t="s">
        <x:v>964</x:v>
      </x:c>
      <x:c r="D62" s="5" t="s">
        <x:v>974</x:v>
      </x:c>
      <x:c r="E62" s="5" t="n">
        <x:v>-0.4</x:v>
      </x:c>
      <x:c r="F62" s="71" t="n">
        <x:f aca="0">INDEX(I_prop!$B$7:$H$13, MATCH($C62, I_prop!$A$7:$A$13,0), MATCH($D62, I_prop!$B$6:$H$6,0))</x:f>
        <x:v>0</x:v>
      </x:c>
      <x:c r="G62" s="71" t="n">
        <x:f aca="0">INDEX(I_prop!$B$18:$H$24, MATCH($C62, I_prop!$A$18:$A$24,0), MATCH($D62, I_prop!$B$17:$H$17,0))</x:f>
        <x:v>0</x:v>
      </x:c>
      <x:c r="H62" s="71" t="n">
        <x:f aca="0">IF($J62&lt;&gt;"",$J62,IF($F62&lt;0,MAX(-1,Subgroup_Overrides!$B$7*$F62),$F62))</x:f>
        <x:v>0</x:v>
      </x:c>
      <x:c r="I62" s="71" t="n">
        <x:f aca="0">IF($K62&lt;&gt;"",$K62,IF($G62&lt;0,MAX(-1,Subgroup_Overrides!$B$7*$G62),$G62))</x:f>
        <x:v>0</x:v>
      </x:c>
      <x:c r="J62" s="5" t="str">
        <x:f aca="0">IF(COUNTIF(Subgroup_Overrides!$H$11:$H$100,"A|"&amp;$C62&amp;"|"&amp;$D62)&gt;0,SUMIFS(Subgroup_Overrides!$F$11:$F$100,Subgroup_Overrides!$H$11:$H$100,"A|"&amp;$C62&amp;"|"&amp;$D62),"")</x:f>
      </x:c>
      <x:c r="K62" s="5" t="str">
        <x:f aca="0">IF(COUNTIF(Subgroup_Overrides!$H$11:$H$100,"B|"&amp;$C62&amp;"|"&amp;$D62)&gt;0,SUMIFS(Subgroup_Overrides!$F$11:$F$100,Subgroup_Overrides!$H$11:$H$100,"B|"&amp;$C62&amp;"|"&amp;$D62),"")</x:f>
      </x:c>
      <x:c r="L62" s="5" t="str">
        <x:f aca="0">TRIM(B62)</x:f>
        <x:v>INFO</x:v>
      </x:c>
      <x:c r="M62" s="5" t="str">
        <x:f aca="0">IF($H62="","",1*$H62)</x:f>
      </x:c>
      <x:c r="N62" s="5" t="str">
        <x:f aca="0">IF($I62="","",1*$I62)</x:f>
      </x:c>
      <x:c r="O62" s="5" t="str">
        <x:f aca="0">IF($M62="","",$B62&amp;"|"&amp;ROUND($M62*1000000000000,0))</x:f>
      </x:c>
      <x:c r="P62" s="5" t="str">
        <x:f aca="0">IF($N62="","",$B62&amp;"|"&amp;ROUND($N62*1000000000000,0))</x:f>
      </x:c>
    </x:row>
    <x:row r="63" s="1" customFormat="1" ht="14.25" hidden="0" customHeight="1">
      <x:c r="A63" s="7" t="n">
        <x:v>62</x:v>
      </x:c>
      <x:c r="B63" s="8" t="s">
        <x:v>281</x:v>
      </x:c>
      <x:c r="C63" s="8" t="s">
        <x:v>964</x:v>
      </x:c>
      <x:c r="D63" s="8" t="s">
        <x:v>971</x:v>
      </x:c>
      <x:c r="E63" s="8" t="n">
        <x:v>-0.4</x:v>
      </x:c>
      <x:c r="F63" s="70" t="n">
        <x:f aca="0">INDEX(I_prop!$B$7:$H$13, MATCH($C63, I_prop!$A$7:$A$13,0), MATCH($D63, I_prop!$B$6:$H$6,0))</x:f>
        <x:v>0</x:v>
      </x:c>
      <x:c r="G63" s="70" t="n">
        <x:f aca="0">INDEX(I_prop!$B$18:$H$24, MATCH($C63, I_prop!$A$18:$A$24,0), MATCH($D63, I_prop!$B$17:$H$17,0))</x:f>
        <x:v>0</x:v>
      </x:c>
      <x:c r="H63" s="70" t="n">
        <x:f aca="0">IF($J63&lt;&gt;"",$J63,IF($F63&lt;0,MAX(-1,Subgroup_Overrides!$B$7*$F63),$F63))</x:f>
        <x:v>0</x:v>
      </x:c>
      <x:c r="I63" s="70" t="n">
        <x:f aca="0">IF($K63&lt;&gt;"",$K63,IF($G63&lt;0,MAX(-1,Subgroup_Overrides!$B$7*$G63),$G63))</x:f>
        <x:v>0</x:v>
      </x:c>
      <x:c r="J63" s="8" t="str">
        <x:f aca="0">IF(COUNTIF(Subgroup_Overrides!$H$11:$H$100,"A|"&amp;$C63&amp;"|"&amp;$D63)&gt;0,SUMIFS(Subgroup_Overrides!$F$11:$F$100,Subgroup_Overrides!$H$11:$H$100,"A|"&amp;$C63&amp;"|"&amp;$D63),"")</x:f>
      </x:c>
      <x:c r="K63" s="8" t="str">
        <x:f aca="0">IF(COUNTIF(Subgroup_Overrides!$H$11:$H$100,"B|"&amp;$C63&amp;"|"&amp;$D63)&gt;0,SUMIFS(Subgroup_Overrides!$F$11:$F$100,Subgroup_Overrides!$H$11:$H$100,"B|"&amp;$C63&amp;"|"&amp;$D63),"")</x:f>
      </x:c>
      <x:c r="L63" s="8" t="str">
        <x:f aca="0">TRIM(B63)</x:f>
        <x:v>INFO</x:v>
      </x:c>
      <x:c r="M63" s="8" t="str">
        <x:f aca="0">IF($H63="","",1*$H63)</x:f>
      </x:c>
      <x:c r="N63" s="8" t="str">
        <x:f aca="0">IF($I63="","",1*$I63)</x:f>
      </x:c>
      <x:c r="O63" s="8" t="str">
        <x:f aca="0">IF($M63="","",$B63&amp;"|"&amp;ROUND($M63*1000000000000,0))</x:f>
      </x:c>
      <x:c r="P63" s="8" t="str">
        <x:f aca="0">IF($N63="","",$B63&amp;"|"&amp;ROUND($N63*1000000000000,0))</x:f>
      </x:c>
    </x:row>
    <x:row r="64" s="1" customFormat="1" ht="14.25" hidden="0" customHeight="1">
      <x:c r="A64" s="7" t="n">
        <x:v>63</x:v>
      </x:c>
      <x:c r="B64" s="5" t="s">
        <x:v>281</x:v>
      </x:c>
      <x:c r="C64" s="5" t="s">
        <x:v>965</x:v>
      </x:c>
      <x:c r="D64" s="5" t="s">
        <x:v>974</x:v>
      </x:c>
      <x:c r="E64" s="5" t="n">
        <x:v>-0.4</x:v>
      </x:c>
      <x:c r="F64" s="71" t="n">
        <x:f aca="0">INDEX(I_prop!$B$7:$H$13, MATCH($C64, I_prop!$A$7:$A$13,0), MATCH($D64, I_prop!$B$6:$H$6,0))</x:f>
        <x:v>0</x:v>
      </x:c>
      <x:c r="G64" s="71" t="n">
        <x:f aca="0">INDEX(I_prop!$B$18:$H$24, MATCH($C64, I_prop!$A$18:$A$24,0), MATCH($D64, I_prop!$B$17:$H$17,0))</x:f>
        <x:v>0</x:v>
      </x:c>
      <x:c r="H64" s="71" t="n">
        <x:f aca="0">IF($J64&lt;&gt;"",$J64,IF($F64&lt;0,MAX(-1,Subgroup_Overrides!$B$7*$F64),$F64))</x:f>
        <x:v>0</x:v>
      </x:c>
      <x:c r="I64" s="71" t="n">
        <x:f aca="0">IF($K64&lt;&gt;"",$K64,IF($G64&lt;0,MAX(-1,Subgroup_Overrides!$B$7*$G64),$G64))</x:f>
        <x:v>0</x:v>
      </x:c>
      <x:c r="J64" s="5" t="str">
        <x:f aca="0">IF(COUNTIF(Subgroup_Overrides!$H$11:$H$100,"A|"&amp;$C64&amp;"|"&amp;$D64)&gt;0,SUMIFS(Subgroup_Overrides!$F$11:$F$100,Subgroup_Overrides!$H$11:$H$100,"A|"&amp;$C64&amp;"|"&amp;$D64),"")</x:f>
      </x:c>
      <x:c r="K64" s="5" t="str">
        <x:f aca="0">IF(COUNTIF(Subgroup_Overrides!$H$11:$H$100,"B|"&amp;$C64&amp;"|"&amp;$D64)&gt;0,SUMIFS(Subgroup_Overrides!$F$11:$F$100,Subgroup_Overrides!$H$11:$H$100,"B|"&amp;$C64&amp;"|"&amp;$D64),"")</x:f>
      </x:c>
      <x:c r="L64" s="5" t="str">
        <x:f aca="0">TRIM(B64)</x:f>
        <x:v>INFO</x:v>
      </x:c>
      <x:c r="M64" s="5" t="str">
        <x:f aca="0">IF($H64="","",1*$H64)</x:f>
      </x:c>
      <x:c r="N64" s="5" t="str">
        <x:f aca="0">IF($I64="","",1*$I64)</x:f>
      </x:c>
      <x:c r="O64" s="5" t="str">
        <x:f aca="0">IF($M64="","",$B64&amp;"|"&amp;ROUND($M64*1000000000000,0))</x:f>
      </x:c>
      <x:c r="P64" s="5" t="str">
        <x:f aca="0">IF($N64="","",$B64&amp;"|"&amp;ROUND($N64*1000000000000,0))</x:f>
      </x:c>
    </x:row>
    <x:row r="65" s="1" customFormat="1" ht="14.25" hidden="0" customHeight="1">
      <x:c r="A65" s="7" t="n">
        <x:v>64</x:v>
      </x:c>
      <x:c r="B65" s="8" t="s">
        <x:v>281</x:v>
      </x:c>
      <x:c r="C65" s="8" t="s">
        <x:v>965</x:v>
      </x:c>
      <x:c r="D65" s="8" t="s">
        <x:v>971</x:v>
      </x:c>
      <x:c r="E65" s="8" t="n">
        <x:v>-0.4</x:v>
      </x:c>
      <x:c r="F65" s="70" t="n">
        <x:f aca="0">INDEX(I_prop!$B$7:$H$13, MATCH($C65, I_prop!$A$7:$A$13,0), MATCH($D65, I_prop!$B$6:$H$6,0))</x:f>
        <x:v>0</x:v>
      </x:c>
      <x:c r="G65" s="70" t="n">
        <x:f aca="0">INDEX(I_prop!$B$18:$H$24, MATCH($C65, I_prop!$A$18:$A$24,0), MATCH($D65, I_prop!$B$17:$H$17,0))</x:f>
        <x:v>0</x:v>
      </x:c>
      <x:c r="H65" s="70" t="n">
        <x:f aca="0">IF($J65&lt;&gt;"",$J65,IF($F65&lt;0,MAX(-1,Subgroup_Overrides!$B$7*$F65),$F65))</x:f>
        <x:v>0</x:v>
      </x:c>
      <x:c r="I65" s="70" t="n">
        <x:f aca="0">IF($K65&lt;&gt;"",$K65,IF($G65&lt;0,MAX(-1,Subgroup_Overrides!$B$7*$G65),$G65))</x:f>
        <x:v>0</x:v>
      </x:c>
      <x:c r="J65" s="8" t="str">
        <x:f aca="0">IF(COUNTIF(Subgroup_Overrides!$H$11:$H$100,"A|"&amp;$C65&amp;"|"&amp;$D65)&gt;0,SUMIFS(Subgroup_Overrides!$F$11:$F$100,Subgroup_Overrides!$H$11:$H$100,"A|"&amp;$C65&amp;"|"&amp;$D65),"")</x:f>
      </x:c>
      <x:c r="K65" s="8" t="str">
        <x:f aca="0">IF(COUNTIF(Subgroup_Overrides!$H$11:$H$100,"B|"&amp;$C65&amp;"|"&amp;$D65)&gt;0,SUMIFS(Subgroup_Overrides!$F$11:$F$100,Subgroup_Overrides!$H$11:$H$100,"B|"&amp;$C65&amp;"|"&amp;$D65),"")</x:f>
      </x:c>
      <x:c r="L65" s="8" t="str">
        <x:f aca="0">TRIM(B65)</x:f>
        <x:v>INFO</x:v>
      </x:c>
      <x:c r="M65" s="8" t="str">
        <x:f aca="0">IF($H65="","",1*$H65)</x:f>
      </x:c>
      <x:c r="N65" s="8" t="str">
        <x:f aca="0">IF($I65="","",1*$I65)</x:f>
      </x:c>
      <x:c r="O65" s="8" t="str">
        <x:f aca="0">IF($M65="","",$B65&amp;"|"&amp;ROUND($M65*1000000000000,0))</x:f>
      </x:c>
      <x:c r="P65" s="8" t="str">
        <x:f aca="0">IF($N65="","",$B65&amp;"|"&amp;ROUND($N65*1000000000000,0))</x:f>
      </x:c>
    </x:row>
    <x:row r="66" s="1" customFormat="1" ht="14.25" hidden="0" customHeight="1">
      <x:c r="A66" s="7" t="n">
        <x:v>65</x:v>
      </x:c>
      <x:c r="B66" s="5" t="s">
        <x:v>281</x:v>
      </x:c>
      <x:c r="C66" s="5" t="s">
        <x:v>966</x:v>
      </x:c>
      <x:c r="D66" s="5" t="s">
        <x:v>974</x:v>
      </x:c>
      <x:c r="E66" s="5" t="n">
        <x:v>-0.4</x:v>
      </x:c>
      <x:c r="F66" s="71" t="n">
        <x:f aca="0">INDEX(I_prop!$B$7:$H$13, MATCH($C66, I_prop!$A$7:$A$13,0), MATCH($D66, I_prop!$B$6:$H$6,0))</x:f>
        <x:v>0</x:v>
      </x:c>
      <x:c r="G66" s="71" t="n">
        <x:f aca="0">INDEX(I_prop!$B$18:$H$24, MATCH($C66, I_prop!$A$18:$A$24,0), MATCH($D66, I_prop!$B$17:$H$17,0))</x:f>
        <x:v>0</x:v>
      </x:c>
      <x:c r="H66" s="71" t="n">
        <x:f aca="0">IF($J66&lt;&gt;"",$J66,IF($F66&lt;0,MAX(-1,Subgroup_Overrides!$B$7*$F66),$F66))</x:f>
        <x:v>0</x:v>
      </x:c>
      <x:c r="I66" s="71" t="n">
        <x:f aca="0">IF($K66&lt;&gt;"",$K66,IF($G66&lt;0,MAX(-1,Subgroup_Overrides!$B$7*$G66),$G66))</x:f>
        <x:v>0</x:v>
      </x:c>
      <x:c r="J66" s="5" t="str">
        <x:f aca="0">IF(COUNTIF(Subgroup_Overrides!$H$11:$H$100,"A|"&amp;$C66&amp;"|"&amp;$D66)&gt;0,SUMIFS(Subgroup_Overrides!$F$11:$F$100,Subgroup_Overrides!$H$11:$H$100,"A|"&amp;$C66&amp;"|"&amp;$D66),"")</x:f>
      </x:c>
      <x:c r="K66" s="5" t="str">
        <x:f aca="0">IF(COUNTIF(Subgroup_Overrides!$H$11:$H$100,"B|"&amp;$C66&amp;"|"&amp;$D66)&gt;0,SUMIFS(Subgroup_Overrides!$F$11:$F$100,Subgroup_Overrides!$H$11:$H$100,"B|"&amp;$C66&amp;"|"&amp;$D66),"")</x:f>
      </x:c>
      <x:c r="L66" s="5" t="str">
        <x:f aca="0">TRIM(B66)</x:f>
        <x:v>INFO</x:v>
      </x:c>
      <x:c r="M66" s="5" t="str">
        <x:f aca="0">IF($H66="","",1*$H66)</x:f>
      </x:c>
      <x:c r="N66" s="5" t="str">
        <x:f aca="0">IF($I66="","",1*$I66)</x:f>
      </x:c>
      <x:c r="O66" s="5" t="str">
        <x:f aca="0">IF($M66="","",$B66&amp;"|"&amp;ROUND($M66*1000000000000,0))</x:f>
      </x:c>
      <x:c r="P66" s="5" t="str">
        <x:f aca="0">IF($N66="","",$B66&amp;"|"&amp;ROUND($N66*1000000000000,0))</x:f>
      </x:c>
    </x:row>
    <x:row r="67" s="1" customFormat="1" ht="14.25" hidden="0" customHeight="1">
      <x:c r="A67" s="7" t="n">
        <x:v>66</x:v>
      </x:c>
      <x:c r="B67" s="8" t="s">
        <x:v>281</x:v>
      </x:c>
      <x:c r="C67" s="8" t="s">
        <x:v>966</x:v>
      </x:c>
      <x:c r="D67" s="8" t="s">
        <x:v>971</x:v>
      </x:c>
      <x:c r="E67" s="8" t="n">
        <x:v>-0.4</x:v>
      </x:c>
      <x:c r="F67" s="70" t="n">
        <x:f aca="0">INDEX(I_prop!$B$7:$H$13, MATCH($C67, I_prop!$A$7:$A$13,0), MATCH($D67, I_prop!$B$6:$H$6,0))</x:f>
        <x:v>0</x:v>
      </x:c>
      <x:c r="G67" s="70" t="n">
        <x:f aca="0">INDEX(I_prop!$B$18:$H$24, MATCH($C67, I_prop!$A$18:$A$24,0), MATCH($D67, I_prop!$B$17:$H$17,0))</x:f>
        <x:v>0</x:v>
      </x:c>
      <x:c r="H67" s="70" t="n">
        <x:f aca="0">IF($J67&lt;&gt;"",$J67,IF($F67&lt;0,MAX(-1,Subgroup_Overrides!$B$7*$F67),$F67))</x:f>
        <x:v>0</x:v>
      </x:c>
      <x:c r="I67" s="70" t="n">
        <x:f aca="0">IF($K67&lt;&gt;"",$K67,IF($G67&lt;0,MAX(-1,Subgroup_Overrides!$B$7*$G67),$G67))</x:f>
        <x:v>0</x:v>
      </x:c>
      <x:c r="J67" s="8" t="str">
        <x:f aca="0">IF(COUNTIF(Subgroup_Overrides!$H$11:$H$100,"A|"&amp;$C67&amp;"|"&amp;$D67)&gt;0,SUMIFS(Subgroup_Overrides!$F$11:$F$100,Subgroup_Overrides!$H$11:$H$100,"A|"&amp;$C67&amp;"|"&amp;$D67),"")</x:f>
      </x:c>
      <x:c r="K67" s="8" t="str">
        <x:f aca="0">IF(COUNTIF(Subgroup_Overrides!$H$11:$H$100,"B|"&amp;$C67&amp;"|"&amp;$D67)&gt;0,SUMIFS(Subgroup_Overrides!$F$11:$F$100,Subgroup_Overrides!$H$11:$H$100,"B|"&amp;$C67&amp;"|"&amp;$D67),"")</x:f>
      </x:c>
      <x:c r="L67" s="8" t="str">
        <x:f aca="0">TRIM(B67)</x:f>
        <x:v>INFO</x:v>
      </x:c>
      <x:c r="M67" s="8" t="str">
        <x:f aca="0">IF($H67="","",1*$H67)</x:f>
      </x:c>
      <x:c r="N67" s="8" t="str">
        <x:f aca="0">IF($I67="","",1*$I67)</x:f>
      </x:c>
      <x:c r="O67" s="8" t="str">
        <x:f aca="0">IF($M67="","",$B67&amp;"|"&amp;ROUND($M67*1000000000000,0))</x:f>
      </x:c>
      <x:c r="P67" s="8" t="str">
        <x:f aca="0">IF($N67="","",$B67&amp;"|"&amp;ROUND($N67*1000000000000,0))</x:f>
      </x:c>
    </x:row>
    <x:row r="68" s="1" customFormat="1" ht="14.25" hidden="0" customHeight="1">
      <x:c r="A68" s="7" t="n">
        <x:v>67</x:v>
      </x:c>
      <x:c r="B68" s="5" t="s">
        <x:v>281</x:v>
      </x:c>
      <x:c r="C68" s="5" t="s">
        <x:v>967</x:v>
      </x:c>
      <x:c r="D68" s="5" t="s">
        <x:v>974</x:v>
      </x:c>
      <x:c r="E68" s="5" t="n">
        <x:v>-0.4</x:v>
      </x:c>
      <x:c r="F68" s="71" t="n">
        <x:f aca="0">INDEX(I_prop!$B$7:$H$13, MATCH($C68, I_prop!$A$7:$A$13,0), MATCH($D68, I_prop!$B$6:$H$6,0))</x:f>
        <x:v>0</x:v>
      </x:c>
      <x:c r="G68" s="71" t="n">
        <x:f aca="0">INDEX(I_prop!$B$18:$H$24, MATCH($C68, I_prop!$A$18:$A$24,0), MATCH($D68, I_prop!$B$17:$H$17,0))</x:f>
        <x:v>0</x:v>
      </x:c>
      <x:c r="H68" s="71" t="n">
        <x:f aca="0">IF($J68&lt;&gt;"",$J68,IF($F68&lt;0,MAX(-1,Subgroup_Overrides!$B$7*$F68),$F68))</x:f>
        <x:v>0</x:v>
      </x:c>
      <x:c r="I68" s="71" t="n">
        <x:f aca="0">IF($K68&lt;&gt;"",$K68,IF($G68&lt;0,MAX(-1,Subgroup_Overrides!$B$7*$G68),$G68))</x:f>
        <x:v>0</x:v>
      </x:c>
      <x:c r="J68" s="5" t="str">
        <x:f aca="0">IF(COUNTIF(Subgroup_Overrides!$H$11:$H$100,"A|"&amp;$C68&amp;"|"&amp;$D68)&gt;0,SUMIFS(Subgroup_Overrides!$F$11:$F$100,Subgroup_Overrides!$H$11:$H$100,"A|"&amp;$C68&amp;"|"&amp;$D68),"")</x:f>
      </x:c>
      <x:c r="K68" s="5" t="str">
        <x:f aca="0">IF(COUNTIF(Subgroup_Overrides!$H$11:$H$100,"B|"&amp;$C68&amp;"|"&amp;$D68)&gt;0,SUMIFS(Subgroup_Overrides!$F$11:$F$100,Subgroup_Overrides!$H$11:$H$100,"B|"&amp;$C68&amp;"|"&amp;$D68),"")</x:f>
      </x:c>
      <x:c r="L68" s="5" t="str">
        <x:f aca="0">TRIM(B68)</x:f>
        <x:v>INFO</x:v>
      </x:c>
      <x:c r="M68" s="5" t="str">
        <x:f aca="0">IF($H68="","",1*$H68)</x:f>
      </x:c>
      <x:c r="N68" s="5" t="str">
        <x:f aca="0">IF($I68="","",1*$I68)</x:f>
      </x:c>
      <x:c r="O68" s="5" t="str">
        <x:f aca="0">IF($M68="","",$B68&amp;"|"&amp;ROUND($M68*1000000000000,0))</x:f>
      </x:c>
      <x:c r="P68" s="5" t="str">
        <x:f aca="0">IF($N68="","",$B68&amp;"|"&amp;ROUND($N68*1000000000000,0))</x:f>
      </x:c>
    </x:row>
    <x:row r="69" s="1" customFormat="1" ht="14.25" hidden="0" customHeight="1">
      <x:c r="A69" s="7" t="n">
        <x:v>68</x:v>
      </x:c>
      <x:c r="B69" s="8" t="s">
        <x:v>281</x:v>
      </x:c>
      <x:c r="C69" s="8" t="s">
        <x:v>967</x:v>
      </x:c>
      <x:c r="D69" s="8" t="s">
        <x:v>971</x:v>
      </x:c>
      <x:c r="E69" s="8" t="n">
        <x:v>-0.4</x:v>
      </x:c>
      <x:c r="F69" s="70" t="n">
        <x:f aca="0">INDEX(I_prop!$B$7:$H$13, MATCH($C69, I_prop!$A$7:$A$13,0), MATCH($D69, I_prop!$B$6:$H$6,0))</x:f>
        <x:v>0</x:v>
      </x:c>
      <x:c r="G69" s="70" t="n">
        <x:f aca="0">INDEX(I_prop!$B$18:$H$24, MATCH($C69, I_prop!$A$18:$A$24,0), MATCH($D69, I_prop!$B$17:$H$17,0))</x:f>
        <x:v>0</x:v>
      </x:c>
      <x:c r="H69" s="70" t="n">
        <x:f aca="0">IF($J69&lt;&gt;"",$J69,IF($F69&lt;0,MAX(-1,Subgroup_Overrides!$B$7*$F69),$F69))</x:f>
        <x:v>0</x:v>
      </x:c>
      <x:c r="I69" s="70" t="n">
        <x:f aca="0">IF($K69&lt;&gt;"",$K69,IF($G69&lt;0,MAX(-1,Subgroup_Overrides!$B$7*$G69),$G69))</x:f>
        <x:v>0</x:v>
      </x:c>
      <x:c r="J69" s="8" t="str">
        <x:f aca="0">IF(COUNTIF(Subgroup_Overrides!$H$11:$H$100,"A|"&amp;$C69&amp;"|"&amp;$D69)&gt;0,SUMIFS(Subgroup_Overrides!$F$11:$F$100,Subgroup_Overrides!$H$11:$H$100,"A|"&amp;$C69&amp;"|"&amp;$D69),"")</x:f>
      </x:c>
      <x:c r="K69" s="8" t="str">
        <x:f aca="0">IF(COUNTIF(Subgroup_Overrides!$H$11:$H$100,"B|"&amp;$C69&amp;"|"&amp;$D69)&gt;0,SUMIFS(Subgroup_Overrides!$F$11:$F$100,Subgroup_Overrides!$H$11:$H$100,"B|"&amp;$C69&amp;"|"&amp;$D69),"")</x:f>
      </x:c>
      <x:c r="L69" s="8" t="str">
        <x:f aca="0">TRIM(B69)</x:f>
        <x:v>INFO</x:v>
      </x:c>
      <x:c r="M69" s="8" t="str">
        <x:f aca="0">IF($H69="","",1*$H69)</x:f>
      </x:c>
      <x:c r="N69" s="8" t="str">
        <x:f aca="0">IF($I69="","",1*$I69)</x:f>
      </x:c>
      <x:c r="O69" s="8" t="str">
        <x:f aca="0">IF($M69="","",$B69&amp;"|"&amp;ROUND($M69*1000000000000,0))</x:f>
      </x:c>
      <x:c r="P69" s="8" t="str">
        <x:f aca="0">IF($N69="","",$B69&amp;"|"&amp;ROUND($N69*1000000000000,0))</x:f>
      </x:c>
    </x:row>
    <x:row r="70" s="1" customFormat="1" ht="14.25" hidden="0" customHeight="1">
      <x:c r="A70" s="7" t="n">
        <x:v>69</x:v>
      </x:c>
      <x:c r="B70" s="5" t="s">
        <x:v>281</x:v>
      </x:c>
      <x:c r="C70" s="5" t="s">
        <x:v>968</x:v>
      </x:c>
      <x:c r="D70" s="5" t="s">
        <x:v>974</x:v>
      </x:c>
      <x:c r="E70" s="5" t="n">
        <x:v>-0.4</x:v>
      </x:c>
      <x:c r="F70" s="71" t="n">
        <x:f aca="0">INDEX(I_prop!$B$7:$H$13, MATCH($C70, I_prop!$A$7:$A$13,0), MATCH($D70, I_prop!$B$6:$H$6,0))</x:f>
        <x:v>0</x:v>
      </x:c>
      <x:c r="G70" s="71" t="n">
        <x:f aca="0">INDEX(I_prop!$B$18:$H$24, MATCH($C70, I_prop!$A$18:$A$24,0), MATCH($D70, I_prop!$B$17:$H$17,0))</x:f>
        <x:v>0</x:v>
      </x:c>
      <x:c r="H70" s="71" t="n">
        <x:f aca="0">IF($J70&lt;&gt;"",$J70,IF($F70&lt;0,MAX(-1,Subgroup_Overrides!$B$7*$F70),$F70))</x:f>
        <x:v>0</x:v>
      </x:c>
      <x:c r="I70" s="71" t="n">
        <x:f aca="0">IF($K70&lt;&gt;"",$K70,IF($G70&lt;0,MAX(-1,Subgroup_Overrides!$B$7*$G70),$G70))</x:f>
        <x:v>0</x:v>
      </x:c>
      <x:c r="J70" s="5" t="str">
        <x:f aca="0">IF(COUNTIF(Subgroup_Overrides!$H$11:$H$100,"A|"&amp;$C70&amp;"|"&amp;$D70)&gt;0,SUMIFS(Subgroup_Overrides!$F$11:$F$100,Subgroup_Overrides!$H$11:$H$100,"A|"&amp;$C70&amp;"|"&amp;$D70),"")</x:f>
      </x:c>
      <x:c r="K70" s="5" t="str">
        <x:f aca="0">IF(COUNTIF(Subgroup_Overrides!$H$11:$H$100,"B|"&amp;$C70&amp;"|"&amp;$D70)&gt;0,SUMIFS(Subgroup_Overrides!$F$11:$F$100,Subgroup_Overrides!$H$11:$H$100,"B|"&amp;$C70&amp;"|"&amp;$D70),"")</x:f>
      </x:c>
      <x:c r="L70" s="5" t="str">
        <x:f aca="0">TRIM(B70)</x:f>
        <x:v>INFO</x:v>
      </x:c>
      <x:c r="M70" s="5" t="str">
        <x:f aca="0">IF($H70="","",1*$H70)</x:f>
      </x:c>
      <x:c r="N70" s="5" t="str">
        <x:f aca="0">IF($I70="","",1*$I70)</x:f>
      </x:c>
      <x:c r="O70" s="5" t="str">
        <x:f aca="0">IF($M70="","",$B70&amp;"|"&amp;ROUND($M70*1000000000000,0))</x:f>
      </x:c>
      <x:c r="P70" s="5" t="str">
        <x:f aca="0">IF($N70="","",$B70&amp;"|"&amp;ROUND($N70*1000000000000,0))</x:f>
      </x:c>
    </x:row>
    <x:row r="71" s="1" customFormat="1" ht="14.25" hidden="0" customHeight="1">
      <x:c r="A71" s="7" t="n">
        <x:v>70</x:v>
      </x:c>
      <x:c r="B71" s="8" t="s">
        <x:v>281</x:v>
      </x:c>
      <x:c r="C71" s="8" t="s">
        <x:v>968</x:v>
      </x:c>
      <x:c r="D71" s="8" t="s">
        <x:v>971</x:v>
      </x:c>
      <x:c r="E71" s="8" t="n">
        <x:v>-0.4</x:v>
      </x:c>
      <x:c r="F71" s="70" t="n">
        <x:f aca="0">INDEX(I_prop!$B$7:$H$13, MATCH($C71, I_prop!$A$7:$A$13,0), MATCH($D71, I_prop!$B$6:$H$6,0))</x:f>
        <x:v>0</x:v>
      </x:c>
      <x:c r="G71" s="70" t="n">
        <x:f aca="0">INDEX(I_prop!$B$18:$H$24, MATCH($C71, I_prop!$A$18:$A$24,0), MATCH($D71, I_prop!$B$17:$H$17,0))</x:f>
        <x:v>0</x:v>
      </x:c>
      <x:c r="H71" s="70" t="n">
        <x:f aca="0">IF($J71&lt;&gt;"",$J71,IF($F71&lt;0,MAX(-1,Subgroup_Overrides!$B$7*$F71),$F71))</x:f>
        <x:v>0</x:v>
      </x:c>
      <x:c r="I71" s="70" t="n">
        <x:f aca="0">IF($K71&lt;&gt;"",$K71,IF($G71&lt;0,MAX(-1,Subgroup_Overrides!$B$7*$G71),$G71))</x:f>
        <x:v>0</x:v>
      </x:c>
      <x:c r="J71" s="8" t="str">
        <x:f aca="0">IF(COUNTIF(Subgroup_Overrides!$H$11:$H$100,"A|"&amp;$C71&amp;"|"&amp;$D71)&gt;0,SUMIFS(Subgroup_Overrides!$F$11:$F$100,Subgroup_Overrides!$H$11:$H$100,"A|"&amp;$C71&amp;"|"&amp;$D71),"")</x:f>
      </x:c>
      <x:c r="K71" s="8" t="str">
        <x:f aca="0">IF(COUNTIF(Subgroup_Overrides!$H$11:$H$100,"B|"&amp;$C71&amp;"|"&amp;$D71)&gt;0,SUMIFS(Subgroup_Overrides!$F$11:$F$100,Subgroup_Overrides!$H$11:$H$100,"B|"&amp;$C71&amp;"|"&amp;$D71),"")</x:f>
      </x:c>
      <x:c r="L71" s="8" t="str">
        <x:f aca="0">TRIM(B71)</x:f>
        <x:v>INFO</x:v>
      </x:c>
      <x:c r="M71" s="8" t="str">
        <x:f aca="0">IF($H71="","",1*$H71)</x:f>
      </x:c>
      <x:c r="N71" s="8" t="str">
        <x:f aca="0">IF($I71="","",1*$I71)</x:f>
      </x:c>
      <x:c r="O71" s="8" t="str">
        <x:f aca="0">IF($M71="","",$B71&amp;"|"&amp;ROUND($M71*1000000000000,0))</x:f>
      </x:c>
      <x:c r="P71" s="8" t="str">
        <x:f aca="0">IF($N71="","",$B71&amp;"|"&amp;ROUND($N71*1000000000000,0))</x:f>
      </x:c>
    </x:row>
  </x:sheetData>
  <x:pageMargins left="0.7" right="0.7" top="0.75" bottom="0.75" header="0.3" footer="0.3"/>
</x:worksheet>
</file>

<file path=xl/worksheets/sheet11.xml><?xml version="1.0" encoding="utf-8"?>
<x:worksheet xmlns:x="http://schemas.openxmlformats.org/spreadsheetml/2006/main">
  <x:sheetViews>
    <x:sheetView showGridLines="1" workbookViewId="0"/>
  </x:sheetViews>
  <x:sheetFormatPr defaultColWidth="8.66796875" defaultRowHeight="12.75"/>
  <x:cols>
    <x:col min="1" max="2" width="36" style="1" hidden="0" customWidth="1"/>
    <x:col min="3" max="3" width="20" style="1" hidden="0" customWidth="1"/>
    <x:col min="4" max="4" width="21" style="1" hidden="0" customWidth="1"/>
    <x:col min="5" max="5" width="36" style="1" hidden="0" customWidth="1"/>
    <x:col min="6" max="8" width="16" style="1" hidden="0" customWidth="1"/>
  </x:cols>
  <x:sheetData>
    <x:row r="1" s="1" customFormat="1" ht="14.25" hidden="0" customHeight="1">
      <x:c r="A1" s="2" t="s">
        <x:v>987</x:v>
      </x:c>
      <x:c r="B1" s="2"/>
      <x:c r="C1" s="2"/>
      <x:c r="D1" s="2"/>
      <x:c r="E1" s="2"/>
      <x:c r="F1" s="2"/>
      <x:c r="G1" s="2"/>
      <x:c r="H1" s="2"/>
    </x:row>
    <x:row r="2" s="1" customFormat="1" ht="13.5" hidden="0" customHeight="1">
      <x:c r="A2" s="6"/>
      <x:c r="B2" s="6"/>
      <x:c r="C2" s="6"/>
      <x:c r="D2" s="6"/>
      <x:c r="E2" s="6"/>
      <x:c r="F2" s="6"/>
      <x:c r="G2" s="6"/>
      <x:c r="H2" s="6"/>
    </x:row>
    <x:row r="3" s="1" customFormat="1" ht="14.25" hidden="0" customHeight="1">
      <x:c r="A3" s="7" t="s">
        <x:v>988</x:v>
      </x:c>
      <x:c r="B3" s="6"/>
      <x:c r="C3" s="6"/>
      <x:c r="D3" s="6"/>
      <x:c r="E3" s="6"/>
      <x:c r="F3" s="6"/>
      <x:c r="G3" s="6"/>
      <x:c r="H3" s="6"/>
    </x:row>
    <x:row r="4" s="1" customFormat="1" ht="14.25" hidden="0" customHeight="1">
      <x:c r="A4" s="7" t="s">
        <x:v>989</x:v>
      </x:c>
      <x:c r="B4" s="6"/>
      <x:c r="C4" s="6"/>
      <x:c r="D4" s="6"/>
      <x:c r="E4" s="6"/>
      <x:c r="F4" s="6"/>
      <x:c r="G4" s="6"/>
      <x:c r="H4" s="6"/>
    </x:row>
    <x:row r="5" s="1" customFormat="1" ht="13.5" hidden="0" customHeight="1">
      <x:c r="A5" s="6"/>
      <x:c r="B5" s="6"/>
      <x:c r="C5" s="6"/>
      <x:c r="D5" s="6"/>
      <x:c r="E5" s="6"/>
      <x:c r="F5" s="6"/>
      <x:c r="G5" s="6"/>
      <x:c r="H5" s="6"/>
    </x:row>
    <x:row r="6" s="1" customFormat="1" ht="14.25" hidden="0" customHeight="1">
      <x:c r="A6" s="7" t="s">
        <x:v>990</x:v>
      </x:c>
      <x:c r="B6" s="5" t="s">
        <x:v>853</x:v>
      </x:c>
      <x:c r="C6" s="5" t="s">
        <x:v>859</x:v>
      </x:c>
      <x:c r="D6" s="5" t="s">
        <x:v>991</x:v>
      </x:c>
      <x:c r="E6" s="5" t="s">
        <x:v>992</x:v>
      </x:c>
      <x:c r="F6" s="6"/>
      <x:c r="G6" s="6"/>
      <x:c r="H6" s="6"/>
    </x:row>
    <x:row r="7" s="1" customFormat="1" ht="14.25" hidden="0" customHeight="1">
      <x:c r="A7" s="7" t="s">
        <x:v>993</x:v>
      </x:c>
      <x:c r="B7" s="8" t="s">
        <x:v>968</x:v>
      </x:c>
      <x:c r="C7" s="8" t="s">
        <x:v>994</x:v>
      </x:c>
      <x:c r="D7" s="8" t="n">
        <x:v>0.35</x:v>
      </x:c>
      <x:c r="E7" s="8" t="s">
        <x:v>995</x:v>
      </x:c>
      <x:c r="F7" s="6"/>
      <x:c r="G7" s="6"/>
      <x:c r="H7" s="6"/>
    </x:row>
    <x:row r="8" s="1" customFormat="1" ht="14.25" hidden="0" customHeight="1">
      <x:c r="A8" s="7" t="s">
        <x:v>996</x:v>
      </x:c>
      <x:c r="B8" s="5" t="s">
        <x:v>968</x:v>
      </x:c>
      <x:c r="C8" s="5" t="s">
        <x:v>997</x:v>
      </x:c>
      <x:c r="D8" s="5" t="n">
        <x:v>0.3</x:v>
      </x:c>
      <x:c r="E8" s="5" t="s">
        <x:v>998</x:v>
      </x:c>
      <x:c r="F8" s="6"/>
      <x:c r="G8" s="6"/>
      <x:c r="H8" s="6"/>
    </x:row>
    <x:row r="9" s="1" customFormat="1" ht="14.25" hidden="0" customHeight="1">
      <x:c r="A9" s="7" t="s">
        <x:v>999</x:v>
      </x:c>
      <x:c r="B9" s="8" t="s">
        <x:v>970</x:v>
      </x:c>
      <x:c r="C9" s="8" t="s">
        <x:v>997</x:v>
      </x:c>
      <x:c r="D9" s="8" t="n">
        <x:v>0.35</x:v>
      </x:c>
      <x:c r="E9" s="8" t="s">
        <x:v>1000</x:v>
      </x:c>
      <x:c r="F9" s="6"/>
      <x:c r="G9" s="6"/>
      <x:c r="H9" s="6"/>
    </x:row>
    <x:row r="10" s="1" customFormat="1" ht="13.5" hidden="0" customHeight="1">
      <x:c r="A10" s="6"/>
      <x:c r="B10" s="6"/>
      <x:c r="C10" s="6"/>
      <x:c r="D10" s="6"/>
      <x:c r="E10" s="6"/>
      <x:c r="F10" s="6"/>
      <x:c r="G10" s="6"/>
      <x:c r="H10" s="6"/>
    </x:row>
    <x:row r="11" s="1" customFormat="1" ht="14.25" hidden="0" customHeight="1">
      <x:c r="A11" s="7" t="s">
        <x:v>1001</x:v>
      </x:c>
      <x:c r="B11" s="8" t="n">
        <x:v>1</x:v>
      </x:c>
      <x:c r="C11" s="8" t="s">
        <x:v>1002</x:v>
      </x:c>
      <x:c r="D11" s="6"/>
      <x:c r="E11" s="6"/>
      <x:c r="F11" s="6"/>
      <x:c r="G11" s="6"/>
      <x:c r="H11" s="6"/>
    </x:row>
    <x:row r="12" s="1" customFormat="1" ht="13.5" hidden="0" customHeight="1">
      <x:c r="A12" s="6"/>
      <x:c r="B12" s="6"/>
      <x:c r="C12" s="6"/>
      <x:c r="D12" s="6"/>
      <x:c r="E12" s="6"/>
      <x:c r="F12" s="6"/>
      <x:c r="G12" s="6"/>
      <x:c r="H12" s="6"/>
    </x:row>
    <x:row r="13" s="1" customFormat="1" ht="14.25" hidden="0" customHeight="1">
      <x:c r="A13" s="7" t="s">
        <x:v>1003</x:v>
      </x:c>
      <x:c r="B13" s="6"/>
      <x:c r="C13" s="6"/>
      <x:c r="D13" s="6"/>
      <x:c r="E13" s="6"/>
      <x:c r="F13" s="6"/>
      <x:c r="G13" s="6"/>
      <x:c r="H13" s="6"/>
    </x:row>
    <x:row r="14" s="1" customFormat="1" ht="33.75" hidden="0" customHeight="1">
      <x:c r="A14" s="7" t="s">
        <x:v>1004</x:v>
      </x:c>
      <x:c r="B14" s="5" t="s">
        <x:v>1005</x:v>
      </x:c>
      <x:c r="C14" s="5" t="s">
        <x:v>1006</x:v>
      </x:c>
      <x:c r="D14" s="5" t="s">
        <x:v>1007</x:v>
      </x:c>
      <x:c r="E14" s="5" t="s">
        <x:v>1008</x:v>
      </x:c>
      <x:c r="F14" s="6"/>
      <x:c r="G14" s="6"/>
      <x:c r="H14" s="6"/>
    </x:row>
    <x:row r="15" s="1" customFormat="1" ht="33.75" hidden="0" customHeight="1">
      <x:c r="A15" s="7" t="s">
        <x:v>1009</x:v>
      </x:c>
      <x:c r="B15" s="8" t="s">
        <x:v>1010</x:v>
      </x:c>
      <x:c r="C15" s="8" t="s">
        <x:v>1011</x:v>
      </x:c>
      <x:c r="D15" s="6"/>
      <x:c r="E15" s="6"/>
      <x:c r="F15" s="6"/>
      <x:c r="G15" s="6"/>
      <x:c r="H15" s="6"/>
    </x:row>
    <x:row r="16" s="1" customFormat="1" ht="14.25" hidden="0" customHeight="1">
      <x:c r="A16" s="7" t="s">
        <x:v>1012</x:v>
      </x:c>
      <x:c r="B16" s="6"/>
      <x:c r="C16" s="6"/>
      <x:c r="D16" s="6"/>
      <x:c r="E16" s="6"/>
      <x:c r="F16" s="6"/>
      <x:c r="G16" s="6"/>
      <x:c r="H16" s="6"/>
    </x:row>
    <x:row r="17" s="1" customFormat="1" ht="14.25" hidden="0" customHeight="1">
      <x:c r="A17" s="7" t="s">
        <x:v>1013</x:v>
      </x:c>
      <x:c r="B17" s="6"/>
      <x:c r="C17" s="6"/>
      <x:c r="D17" s="6"/>
      <x:c r="E17" s="6"/>
      <x:c r="F17" s="6"/>
      <x:c r="G17" s="6"/>
      <x:c r="H17" s="6"/>
    </x:row>
    <x:row r="18" s="1" customFormat="1" ht="13.5" hidden="0" customHeight="1">
      <x:c r="A18" s="6"/>
      <x:c r="B18" s="6"/>
      <x:c r="C18" s="6"/>
      <x:c r="D18" s="6"/>
      <x:c r="E18" s="6"/>
      <x:c r="F18" s="6"/>
      <x:c r="G18" s="6"/>
      <x:c r="H18" s="6"/>
    </x:row>
    <x:row r="19" s="1" customFormat="1" ht="14.25" hidden="0" customHeight="1">
      <x:c r="A19" s="7" t="s">
        <x:v>1014</x:v>
      </x:c>
      <x:c r="B19" s="45" t="s">
        <x:v>1015</x:v>
      </x:c>
      <x:c r="C19" s="6"/>
      <x:c r="D19" s="6"/>
      <x:c r="E19" s="6"/>
      <x:c r="F19" s="6"/>
      <x:c r="G19" s="6"/>
      <x:c r="H19" s="6"/>
    </x:row>
    <x:row r="20" s="1" customFormat="1" ht="57" hidden="0" customHeight="1">
      <x:c r="A20" s="7" t="s">
        <x:v>1016</x:v>
      </x:c>
      <x:c r="B20" s="5" t="s">
        <x:v>1017</x:v>
      </x:c>
      <x:c r="C20" s="52"/>
      <x:c r="D20" s="52"/>
      <x:c r="E20" s="52"/>
    </x:row>
  </x:sheetData>
  <x:mergeCells>
    <x:mergeCell ref="A1:H1"/>
  </x:mergeCells>
  <x:pageMargins left="0.7" right="0.7" top="0.75" bottom="0.75" header="0.3" footer="0.3"/>
</x:worksheet>
</file>

<file path=xl/worksheets/sheet12.xml><?xml version="1.0" encoding="utf-8"?>
<x:worksheet xmlns:x="http://schemas.openxmlformats.org/spreadsheetml/2006/main">
  <x:sheetViews>
    <x:sheetView showGridLines="1" workbookViewId="0"/>
  </x:sheetViews>
  <x:sheetFormatPr defaultColWidth="8.66796875" defaultRowHeight="12.75"/>
  <x:cols>
    <x:col min="1" max="2" width="36" style="1" hidden="0" customWidth="1"/>
    <x:col min="3" max="3" width="35" style="1" hidden="0" customWidth="1"/>
    <x:col min="4" max="4" width="36" style="1" hidden="0" customWidth="1"/>
    <x:col min="5" max="5" width="16" style="1" hidden="0" customWidth="1"/>
    <x:col min="6" max="7" width="36" style="1" hidden="0" customWidth="1"/>
    <x:col min="8" max="20" width="16" style="1" hidden="0" customWidth="1"/>
  </x:cols>
  <x:sheetData>
    <x:row r="1" s="1" customFormat="1" ht="14.25" hidden="0" customHeight="1">
      <x:c r="A1" s="2" t="s">
        <x:v>1018</x:v>
      </x:c>
      <x:c r="B1" s="2"/>
      <x:c r="C1" s="2"/>
      <x:c r="D1" s="2"/>
      <x:c r="E1" s="2"/>
      <x:c r="F1" s="2"/>
      <x:c r="G1" s="2"/>
      <x:c r="H1" s="2"/>
      <x:c r="I1" s="52"/>
      <x:c r="J1" s="52"/>
      <x:c r="K1" s="52"/>
      <x:c r="L1" s="52"/>
      <x:c r="M1" s="52"/>
      <x:c r="N1" s="52"/>
      <x:c r="O1" s="52"/>
      <x:c r="P1" s="52"/>
      <x:c r="Q1" s="52"/>
      <x:c r="R1" s="52"/>
      <x:c r="S1" s="52"/>
      <x:c r="T1" s="52"/>
    </x:row>
    <x:row r="2" s="1" customFormat="1" ht="13.5" hidden="0" customHeight="1">
      <x:c r="A2" s="6"/>
      <x:c r="B2" s="6"/>
      <x:c r="C2" s="6"/>
      <x:c r="D2" s="6"/>
      <x:c r="E2" s="6"/>
      <x:c r="F2" s="6"/>
      <x:c r="G2" s="6"/>
      <x:c r="H2" s="6"/>
      <x:c r="I2" s="52"/>
      <x:c r="J2" s="52"/>
      <x:c r="K2" s="52"/>
      <x:c r="L2" s="52"/>
      <x:c r="M2" s="52"/>
      <x:c r="N2" s="52"/>
      <x:c r="O2" s="52"/>
      <x:c r="P2" s="52"/>
      <x:c r="Q2" s="52"/>
      <x:c r="R2" s="52"/>
      <x:c r="S2" s="52"/>
      <x:c r="T2" s="52"/>
    </x:row>
    <x:row r="3" s="1" customFormat="1" ht="14.25" hidden="0" customHeight="1">
      <x:c r="A3" s="7" t="s">
        <x:v>1019</x:v>
      </x:c>
      <x:c r="B3" s="6"/>
      <x:c r="C3" s="6"/>
      <x:c r="D3" s="6"/>
      <x:c r="E3" s="6"/>
      <x:c r="F3" s="6"/>
      <x:c r="G3" s="6"/>
      <x:c r="H3" s="6"/>
      <x:c r="I3" s="52"/>
      <x:c r="J3" s="52"/>
      <x:c r="K3" s="52"/>
      <x:c r="L3" s="52"/>
      <x:c r="M3" s="52"/>
      <x:c r="N3" s="52"/>
      <x:c r="O3" s="52"/>
      <x:c r="P3" s="52"/>
      <x:c r="Q3" s="52"/>
      <x:c r="R3" s="52"/>
      <x:c r="S3" s="52"/>
      <x:c r="T3" s="52"/>
    </x:row>
    <x:row r="4" s="1" customFormat="1" ht="33.75" hidden="0" customHeight="1">
      <x:c r="A4" s="7" t="s">
        <x:v>1020</x:v>
      </x:c>
      <x:c r="B4" s="6"/>
      <x:c r="C4" s="6"/>
      <x:c r="D4" s="5" t="s">
        <x:v>1021</x:v>
      </x:c>
      <x:c r="E4" s="6"/>
      <x:c r="F4" s="6"/>
      <x:c r="G4" s="6"/>
      <x:c r="H4" s="6"/>
      <x:c r="I4" s="52"/>
      <x:c r="J4" s="52"/>
      <x:c r="K4" s="52"/>
      <x:c r="L4" s="52"/>
      <x:c r="M4" s="52"/>
      <x:c r="N4" s="52"/>
      <x:c r="O4" s="52"/>
      <x:c r="P4" s="52"/>
      <x:c r="Q4" s="52"/>
      <x:c r="R4" s="52"/>
      <x:c r="S4" s="52"/>
      <x:c r="T4" s="52"/>
    </x:row>
    <x:row r="5" s="1" customFormat="1" ht="13.5" hidden="0" customHeight="1">
      <x:c r="A5" s="6"/>
      <x:c r="B5" s="6"/>
      <x:c r="C5" s="6"/>
      <x:c r="D5" s="6"/>
      <x:c r="E5" s="6"/>
      <x:c r="F5" s="6"/>
      <x:c r="G5" s="6"/>
      <x:c r="H5" s="6"/>
      <x:c r="I5" s="52"/>
      <x:c r="J5" s="52"/>
      <x:c r="K5" s="52"/>
      <x:c r="L5" s="52"/>
      <x:c r="M5" s="52"/>
      <x:c r="N5" s="52"/>
      <x:c r="O5" s="52"/>
      <x:c r="P5" s="52"/>
      <x:c r="Q5" s="52"/>
      <x:c r="R5" s="52"/>
      <x:c r="S5" s="52"/>
      <x:c r="T5" s="52"/>
    </x:row>
    <x:row r="6" s="1" customFormat="1" ht="14.25" hidden="0" customHeight="1">
      <x:c r="A6" s="7" t="s">
        <x:v>1022</x:v>
      </x:c>
      <x:c r="B6" s="5" t="s">
        <x:v>1023</x:v>
      </x:c>
      <x:c r="C6" s="5" t="s">
        <x:v>1024</x:v>
      </x:c>
      <x:c r="D6" s="5" t="s">
        <x:v>1025</x:v>
      </x:c>
      <x:c r="E6" s="5" t="s">
        <x:v>833</x:v>
      </x:c>
      <x:c r="F6" s="5" t="s">
        <x:v>349</x:v>
      </x:c>
      <x:c r="G6" s="5" t="s">
        <x:v>290</x:v>
      </x:c>
      <x:c r="H6" s="6"/>
      <x:c r="I6" s="52"/>
      <x:c r="J6" s="52"/>
      <x:c r="K6" s="52"/>
      <x:c r="L6" s="52"/>
      <x:c r="M6" s="52"/>
      <x:c r="N6" s="52"/>
      <x:c r="O6" s="52"/>
      <x:c r="P6" s="52"/>
      <x:c r="Q6" s="52"/>
      <x:c r="R6" s="52"/>
      <x:c r="S6" s="52"/>
      <x:c r="T6" s="52"/>
    </x:row>
    <x:row r="7" s="1" customFormat="1" ht="14.25" hidden="0" customHeight="1">
      <x:c r="A7" s="7" t="s">
        <x:v>291</x:v>
      </x:c>
      <x:c r="B7" s="8" t="s">
        <x:v>1026</x:v>
      </x:c>
      <x:c r="C7" s="8" t="s">
        <x:v>1027</x:v>
      </x:c>
      <x:c r="D7" s="8" t="n">
        <x:v>0.08</x:v>
      </x:c>
      <x:c r="E7" s="8" t="n">
        <x:v>0.02</x:v>
      </x:c>
      <x:c r="F7" s="45" t="s">
        <x:v>1028</x:v>
      </x:c>
      <x:c r="G7" s="8" t="s">
        <x:v>292</x:v>
      </x:c>
      <x:c r="H7" s="6"/>
      <x:c r="I7" s="52"/>
      <x:c r="J7" s="52"/>
      <x:c r="K7" s="52"/>
      <x:c r="L7" s="52"/>
      <x:c r="M7" s="52"/>
      <x:c r="N7" s="52"/>
      <x:c r="O7" s="52"/>
      <x:c r="P7" s="52"/>
      <x:c r="Q7" s="52"/>
      <x:c r="R7" s="52"/>
      <x:c r="S7" s="52"/>
      <x:c r="T7" s="52"/>
    </x:row>
    <x:row r="8" s="1" customFormat="1" ht="14.25" hidden="0" customHeight="1">
      <x:c r="A8" s="7" t="s">
        <x:v>293</x:v>
      </x:c>
      <x:c r="B8" s="5" t="s">
        <x:v>1029</x:v>
      </x:c>
      <x:c r="C8" s="5" t="s">
        <x:v>1030</x:v>
      </x:c>
      <x:c r="D8" s="5" t="n">
        <x:v>0.07</x:v>
      </x:c>
      <x:c r="E8" s="5" t="n">
        <x:v>0.02</x:v>
      </x:c>
      <x:c r="F8" s="5" t="s">
        <x:v>1028</x:v>
      </x:c>
      <x:c r="G8" s="5" t="s">
        <x:v>292</x:v>
      </x:c>
      <x:c r="H8" s="6"/>
      <x:c r="I8" s="52"/>
      <x:c r="J8" s="52"/>
      <x:c r="K8" s="52"/>
      <x:c r="L8" s="52"/>
      <x:c r="M8" s="52"/>
      <x:c r="N8" s="52"/>
      <x:c r="O8" s="52"/>
      <x:c r="P8" s="52"/>
      <x:c r="Q8" s="52"/>
      <x:c r="R8" s="52"/>
      <x:c r="S8" s="52"/>
      <x:c r="T8" s="52"/>
    </x:row>
    <x:row r="9" s="1" customFormat="1" ht="14.25" hidden="0" customHeight="1">
      <x:c r="A9" s="7" t="s">
        <x:v>294</x:v>
      </x:c>
      <x:c r="B9" s="8" t="s">
        <x:v>1031</x:v>
      </x:c>
      <x:c r="C9" s="8" t="s">
        <x:v>1032</x:v>
      </x:c>
      <x:c r="D9" s="8" t="n">
        <x:v>0.15</x:v>
      </x:c>
      <x:c r="E9" s="8" t="n">
        <x:v>0.02</x:v>
      </x:c>
      <x:c r="F9" s="45" t="s">
        <x:v>1028</x:v>
      </x:c>
      <x:c r="G9" s="8" t="s">
        <x:v>292</x:v>
      </x:c>
      <x:c r="H9" s="6"/>
      <x:c r="I9" s="52"/>
      <x:c r="J9" s="52"/>
      <x:c r="K9" s="52"/>
      <x:c r="L9" s="52"/>
      <x:c r="M9" s="52"/>
      <x:c r="N9" s="52"/>
      <x:c r="O9" s="52"/>
      <x:c r="P9" s="52"/>
      <x:c r="Q9" s="52"/>
      <x:c r="R9" s="52"/>
      <x:c r="S9" s="52"/>
      <x:c r="T9" s="52"/>
    </x:row>
    <x:row r="10" s="1" customFormat="1" ht="14.25" hidden="0" customHeight="1">
      <x:c r="A10" s="7" t="s">
        <x:v>295</x:v>
      </x:c>
      <x:c r="B10" s="5" t="s">
        <x:v>1033</x:v>
      </x:c>
      <x:c r="C10" s="5" t="s">
        <x:v>1034</x:v>
      </x:c>
      <x:c r="D10" s="5" t="n">
        <x:v>0.03</x:v>
      </x:c>
      <x:c r="E10" s="5" t="n">
        <x:v>0.02</x:v>
      </x:c>
      <x:c r="F10" s="5" t="s">
        <x:v>1028</x:v>
      </x:c>
      <x:c r="G10" s="5" t="s">
        <x:v>292</x:v>
      </x:c>
      <x:c r="H10" s="6"/>
      <x:c r="I10" s="52"/>
      <x:c r="J10" s="52"/>
      <x:c r="K10" s="52"/>
      <x:c r="L10" s="52"/>
      <x:c r="M10" s="52"/>
      <x:c r="N10" s="52"/>
      <x:c r="O10" s="52"/>
      <x:c r="P10" s="52"/>
      <x:c r="Q10" s="52"/>
      <x:c r="R10" s="52"/>
      <x:c r="S10" s="52"/>
      <x:c r="T10" s="52"/>
    </x:row>
    <x:row r="11" s="1" customFormat="1" ht="14.25" hidden="0" customHeight="1">
      <x:c r="A11" s="7" t="s">
        <x:v>296</x:v>
      </x:c>
      <x:c r="B11" s="8" t="s">
        <x:v>1035</x:v>
      </x:c>
      <x:c r="C11" s="8" t="s">
        <x:v>1036</x:v>
      </x:c>
      <x:c r="D11" s="8" t="n">
        <x:v>0.05</x:v>
      </x:c>
      <x:c r="E11" s="8" t="n">
        <x:v>0.02</x:v>
      </x:c>
      <x:c r="F11" s="45" t="s">
        <x:v>1028</x:v>
      </x:c>
      <x:c r="G11" s="8" t="s">
        <x:v>292</x:v>
      </x:c>
      <x:c r="H11" s="6"/>
      <x:c r="I11" s="52"/>
      <x:c r="J11" s="52"/>
      <x:c r="K11" s="52"/>
      <x:c r="L11" s="52"/>
      <x:c r="M11" s="52"/>
      <x:c r="N11" s="52"/>
      <x:c r="O11" s="52"/>
      <x:c r="P11" s="52"/>
      <x:c r="Q11" s="52"/>
      <x:c r="R11" s="52"/>
      <x:c r="S11" s="52"/>
      <x:c r="T11" s="52"/>
    </x:row>
    <x:row r="12" s="1" customFormat="1" ht="14.25" hidden="0" customHeight="1">
      <x:c r="A12" s="7" t="s">
        <x:v>297</x:v>
      </x:c>
      <x:c r="B12" s="5" t="s">
        <x:v>1037</x:v>
      </x:c>
      <x:c r="C12" s="5" t="s">
        <x:v>1038</x:v>
      </x:c>
      <x:c r="D12" s="5" t="n">
        <x:v>0.02</x:v>
      </x:c>
      <x:c r="E12" s="5" t="n">
        <x:v>0.02</x:v>
      </x:c>
      <x:c r="F12" s="5" t="s">
        <x:v>1039</x:v>
      </x:c>
      <x:c r="G12" s="5" t="s">
        <x:v>1040</x:v>
      </x:c>
      <x:c r="H12" s="6"/>
      <x:c r="I12" s="52"/>
      <x:c r="J12" s="52"/>
      <x:c r="K12" s="52"/>
      <x:c r="L12" s="52"/>
      <x:c r="M12" s="52"/>
      <x:c r="N12" s="52"/>
      <x:c r="O12" s="52"/>
      <x:c r="P12" s="52"/>
      <x:c r="Q12" s="52"/>
      <x:c r="R12" s="52"/>
      <x:c r="S12" s="52"/>
      <x:c r="T12" s="52"/>
    </x:row>
    <x:row r="13" s="1" customFormat="1" ht="13.5" hidden="0" customHeight="1">
      <x:c r="A13" s="6"/>
      <x:c r="B13" s="6"/>
      <x:c r="C13" s="6"/>
      <x:c r="D13" s="6"/>
      <x:c r="E13" s="6"/>
      <x:c r="F13" s="6"/>
      <x:c r="G13" s="6"/>
      <x:c r="H13" s="6"/>
      <x:c r="I13" s="52"/>
      <x:c r="J13" s="52"/>
      <x:c r="K13" s="52"/>
      <x:c r="L13" s="52"/>
      <x:c r="M13" s="52"/>
      <x:c r="N13" s="52"/>
      <x:c r="O13" s="52"/>
      <x:c r="P13" s="52"/>
      <x:c r="Q13" s="52"/>
      <x:c r="R13" s="52"/>
      <x:c r="S13" s="52"/>
      <x:c r="T13" s="52"/>
    </x:row>
    <x:row r="14" s="1" customFormat="1" ht="13.5" hidden="0" customHeight="1">
      <x:c r="A14" s="6"/>
      <x:c r="B14" s="6"/>
      <x:c r="C14" s="6"/>
      <x:c r="D14" s="6"/>
      <x:c r="E14" s="6"/>
      <x:c r="F14" s="6"/>
      <x:c r="G14" s="6"/>
      <x:c r="H14" s="6"/>
      <x:c r="I14" s="52"/>
      <x:c r="J14" s="52"/>
      <x:c r="K14" s="52"/>
      <x:c r="L14" s="52"/>
      <x:c r="M14" s="52"/>
      <x:c r="N14" s="52"/>
      <x:c r="O14" s="52"/>
      <x:c r="P14" s="52"/>
      <x:c r="Q14" s="52"/>
      <x:c r="R14" s="52"/>
      <x:c r="S14" s="52"/>
      <x:c r="T14" s="52"/>
    </x:row>
    <x:row r="15" s="1" customFormat="1" ht="14.25" hidden="0" customHeight="1">
      <x:c r="A15" s="7" t="s">
        <x:v>1041</x:v>
      </x:c>
      <x:c r="B15" s="6"/>
      <x:c r="C15" s="6"/>
      <x:c r="D15" s="6"/>
      <x:c r="E15" s="6"/>
      <x:c r="F15" s="6"/>
      <x:c r="G15" s="6"/>
      <x:c r="H15" s="6"/>
      <x:c r="I15" s="52"/>
      <x:c r="J15" s="52"/>
      <x:c r="K15" s="52"/>
      <x:c r="L15" s="52"/>
      <x:c r="M15" s="52"/>
      <x:c r="N15" s="52"/>
      <x:c r="O15" s="52"/>
      <x:c r="P15" s="52"/>
      <x:c r="Q15" s="52"/>
      <x:c r="R15" s="52"/>
      <x:c r="S15" s="52"/>
      <x:c r="T15" s="52"/>
    </x:row>
    <x:row r="16" s="1" customFormat="1" ht="14.25" hidden="0" customHeight="1">
      <x:c r="A16" s="7" t="s">
        <x:v>1042</x:v>
      </x:c>
      <x:c r="B16" s="5" t="n">
        <x:v>5</x:v>
      </x:c>
      <x:c r="C16" s="5" t="s">
        <x:v>1043</x:v>
      </x:c>
      <x:c r="D16" s="6"/>
      <x:c r="E16" s="6"/>
      <x:c r="F16" s="6"/>
      <x:c r="G16" s="6"/>
      <x:c r="H16" s="6"/>
      <x:c r="I16" s="52"/>
      <x:c r="J16" s="52"/>
      <x:c r="K16" s="52"/>
      <x:c r="L16" s="52"/>
      <x:c r="M16" s="52"/>
      <x:c r="N16" s="52"/>
      <x:c r="O16" s="52"/>
      <x:c r="P16" s="52"/>
      <x:c r="Q16" s="52"/>
      <x:c r="R16" s="52"/>
      <x:c r="S16" s="52"/>
      <x:c r="T16" s="52"/>
    </x:row>
    <x:row r="17" s="1" customFormat="1" ht="14.25" hidden="0" customHeight="1">
      <x:c r="A17" s="7" t="s">
        <x:v>1044</x:v>
      </x:c>
      <x:c r="B17" s="45" t="n">
        <x:v>5</x:v>
      </x:c>
      <x:c r="C17" s="8" t="s">
        <x:v>1045</x:v>
      </x:c>
      <x:c r="D17" s="6"/>
      <x:c r="E17" s="6"/>
      <x:c r="F17" s="6"/>
      <x:c r="G17" s="6"/>
      <x:c r="H17" s="6"/>
      <x:c r="I17" s="52"/>
      <x:c r="J17" s="52"/>
      <x:c r="K17" s="52"/>
      <x:c r="L17" s="52"/>
      <x:c r="M17" s="52"/>
      <x:c r="N17" s="52"/>
      <x:c r="O17" s="52"/>
      <x:c r="P17" s="52"/>
      <x:c r="Q17" s="52"/>
      <x:c r="R17" s="52"/>
      <x:c r="S17" s="52"/>
      <x:c r="T17" s="52"/>
    </x:row>
    <x:row r="18" s="1" customFormat="1" ht="21.75" hidden="0" customHeight="1">
      <x:c r="A18" s="7" t="s">
        <x:v>1046</x:v>
      </x:c>
      <x:c r="B18" s="5" t="n">
        <x:v>0.38</x:v>
      </x:c>
      <x:c r="C18" s="5" t="s">
        <x:v>1047</x:v>
      </x:c>
      <x:c r="D18" s="6"/>
      <x:c r="E18" s="6"/>
      <x:c r="F18" s="6"/>
      <x:c r="G18" s="6"/>
      <x:c r="H18" s="6"/>
      <x:c r="I18" s="52"/>
      <x:c r="J18" s="52"/>
      <x:c r="K18" s="52"/>
      <x:c r="L18" s="52"/>
      <x:c r="M18" s="52"/>
      <x:c r="N18" s="52"/>
      <x:c r="O18" s="52"/>
      <x:c r="P18" s="52"/>
      <x:c r="Q18" s="52"/>
      <x:c r="R18" s="52"/>
      <x:c r="S18" s="52"/>
      <x:c r="T18" s="52"/>
    </x:row>
    <x:row r="19" s="1" customFormat="1" ht="12.75" hidden="0" customHeight="1">
      <x:c r="A19" s="7" t="s">
        <x:v>1048</x:v>
      </x:c>
      <x:c r="B19" s="52"/>
      <x:c r="C19" s="52"/>
      <x:c r="D19" s="52"/>
      <x:c r="E19" s="52"/>
      <x:c r="F19" s="52"/>
      <x:c r="G19" s="52"/>
      <x:c r="H19" s="52"/>
      <x:c r="I19" s="52"/>
      <x:c r="J19" s="52"/>
      <x:c r="K19" s="52"/>
      <x:c r="L19" s="52"/>
      <x:c r="M19" s="52"/>
      <x:c r="N19" s="52"/>
      <x:c r="O19" s="52"/>
      <x:c r="P19" s="52"/>
      <x:c r="Q19" s="52"/>
      <x:c r="R19" s="52"/>
      <x:c r="S19" s="52"/>
      <x:c r="T19" s="52"/>
    </x:row>
    <x:row r="20" s="1" customFormat="1" ht="45.75" hidden="0" customHeight="1">
      <x:c r="A20" s="7" t="s">
        <x:v>1049</x:v>
      </x:c>
      <x:c r="B20" s="5" t="s">
        <x:v>1050</x:v>
      </x:c>
      <x:c r="C20" s="52"/>
      <x:c r="D20" s="52"/>
      <x:c r="E20" s="52"/>
      <x:c r="F20" s="52"/>
      <x:c r="G20" s="52"/>
      <x:c r="H20" s="52"/>
      <x:c r="I20" s="52"/>
      <x:c r="J20" s="52"/>
      <x:c r="K20" s="52"/>
      <x:c r="L20" s="52"/>
      <x:c r="M20" s="52"/>
      <x:c r="N20" s="52"/>
      <x:c r="O20" s="52"/>
      <x:c r="P20" s="52"/>
      <x:c r="Q20" s="52"/>
      <x:c r="R20" s="52"/>
      <x:c r="S20" s="52"/>
      <x:c r="T20" s="52"/>
    </x:row>
    <x:row r="21" s="1" customFormat="1" ht="45.75" hidden="0" customHeight="1">
      <x:c r="A21" s="7" t="s">
        <x:v>1051</x:v>
      </x:c>
      <x:c r="B21" s="8" t="s">
        <x:v>1052</x:v>
      </x:c>
      <x:c r="C21" s="52" t="s">
        <x:v>1053</x:v>
      </x:c>
      <x:c r="D21" s="52"/>
      <x:c r="E21" s="52"/>
      <x:c r="F21" s="52"/>
      <x:c r="G21" s="52"/>
      <x:c r="H21" s="52"/>
      <x:c r="I21" s="52"/>
      <x:c r="J21" s="52"/>
      <x:c r="K21" s="52"/>
      <x:c r="L21" s="52"/>
      <x:c r="M21" s="52"/>
      <x:c r="N21" s="52"/>
      <x:c r="O21" s="52"/>
      <x:c r="P21" s="52"/>
      <x:c r="Q21" s="52"/>
      <x:c r="R21" s="52"/>
      <x:c r="S21" s="52"/>
      <x:c r="T21" s="52"/>
    </x:row>
    <x:row r="22" s="1" customFormat="1" ht="45.75" hidden="0" customHeight="1">
      <x:c r="A22" s="7" t="s">
        <x:v>1054</x:v>
      </x:c>
      <x:c r="B22" s="5" t="s">
        <x:v>1055</x:v>
      </x:c>
      <x:c r="C22" s="52"/>
      <x:c r="D22" s="52"/>
      <x:c r="E22" s="52"/>
      <x:c r="F22" s="52"/>
      <x:c r="G22" s="52"/>
      <x:c r="H22" s="52"/>
      <x:c r="I22" s="52"/>
      <x:c r="J22" s="52"/>
      <x:c r="K22" s="52"/>
      <x:c r="L22" s="52"/>
      <x:c r="M22" s="52"/>
      <x:c r="N22" s="52"/>
      <x:c r="O22" s="52"/>
      <x:c r="P22" s="52"/>
      <x:c r="Q22" s="52"/>
      <x:c r="R22" s="52"/>
      <x:c r="S22" s="52"/>
      <x:c r="T22" s="52"/>
    </x:row>
    <x:row r="23" s="1" customFormat="1" ht="12.75" hidden="0" customHeight="1">
      <x:c r="A23" s="52"/>
      <x:c r="B23" s="52"/>
      <x:c r="C23" s="52"/>
      <x:c r="D23" s="52"/>
      <x:c r="E23" s="52"/>
      <x:c r="F23" s="52"/>
      <x:c r="G23" s="52"/>
      <x:c r="H23" s="52"/>
      <x:c r="I23" s="52"/>
      <x:c r="J23" s="52"/>
      <x:c r="K23" s="52"/>
      <x:c r="L23" s="52"/>
      <x:c r="M23" s="52"/>
      <x:c r="N23" s="52"/>
      <x:c r="O23" s="52"/>
      <x:c r="P23" s="52"/>
      <x:c r="Q23" s="52"/>
      <x:c r="R23" s="52"/>
      <x:c r="S23" s="52"/>
      <x:c r="T23" s="52"/>
    </x:row>
    <x:row r="24" s="1" customFormat="1" ht="12.75" hidden="0" customHeight="1">
      <x:c r="A24" s="52"/>
      <x:c r="B24" s="52"/>
      <x:c r="C24" s="52"/>
      <x:c r="D24" s="52"/>
      <x:c r="E24" s="52"/>
      <x:c r="F24" s="52"/>
      <x:c r="G24" s="52"/>
      <x:c r="H24" s="52"/>
      <x:c r="I24" s="52"/>
      <x:c r="J24" s="52"/>
      <x:c r="K24" s="52"/>
      <x:c r="L24" s="52"/>
      <x:c r="M24" s="52"/>
      <x:c r="N24" s="52"/>
      <x:c r="O24" s="52"/>
      <x:c r="P24" s="52"/>
      <x:c r="Q24" s="52"/>
      <x:c r="R24" s="52"/>
      <x:c r="S24" s="52"/>
      <x:c r="T24" s="52"/>
    </x:row>
    <x:row r="25" s="1" customFormat="1" ht="12.75" hidden="0" customHeight="1">
      <x:c r="A25" s="52"/>
      <x:c r="B25" s="52"/>
      <x:c r="C25" s="52"/>
      <x:c r="D25" s="52"/>
      <x:c r="E25" s="52"/>
      <x:c r="F25" s="52"/>
      <x:c r="G25" s="52"/>
      <x:c r="H25" s="52"/>
      <x:c r="I25" s="52"/>
      <x:c r="J25" s="52"/>
      <x:c r="K25" s="52"/>
      <x:c r="L25" s="52"/>
      <x:c r="M25" s="52"/>
      <x:c r="N25" s="52"/>
      <x:c r="O25" s="52"/>
      <x:c r="P25" s="52"/>
      <x:c r="Q25" s="52"/>
      <x:c r="R25" s="52"/>
      <x:c r="S25" s="52"/>
      <x:c r="T25" s="52"/>
    </x:row>
    <x:row r="26" s="1" customFormat="1" ht="12.75" hidden="0" customHeight="1">
      <x:c r="A26" s="52"/>
      <x:c r="B26" s="52"/>
      <x:c r="C26" s="52"/>
      <x:c r="D26" s="52"/>
      <x:c r="E26" s="52"/>
      <x:c r="F26" s="52"/>
      <x:c r="G26" s="52"/>
      <x:c r="H26" s="52"/>
      <x:c r="I26" s="52"/>
      <x:c r="J26" s="52"/>
      <x:c r="K26" s="52"/>
      <x:c r="L26" s="52"/>
      <x:c r="M26" s="52"/>
      <x:c r="N26" s="52"/>
      <x:c r="O26" s="52"/>
      <x:c r="P26" s="52"/>
      <x:c r="Q26" s="52"/>
      <x:c r="R26" s="52"/>
      <x:c r="S26" s="52"/>
      <x:c r="T26" s="52"/>
    </x:row>
    <x:row r="27" s="1" customFormat="1" ht="12.75" hidden="0" customHeight="1">
      <x:c r="A27" s="52"/>
      <x:c r="B27" s="52"/>
      <x:c r="C27" s="52"/>
      <x:c r="D27" s="52"/>
      <x:c r="E27" s="52"/>
      <x:c r="F27" s="52"/>
      <x:c r="G27" s="52"/>
      <x:c r="H27" s="52"/>
      <x:c r="I27" s="52"/>
      <x:c r="J27" s="52"/>
      <x:c r="K27" s="52"/>
      <x:c r="L27" s="52"/>
      <x:c r="M27" s="52"/>
      <x:c r="N27" s="52"/>
      <x:c r="O27" s="52"/>
      <x:c r="P27" s="52"/>
      <x:c r="Q27" s="52"/>
      <x:c r="R27" s="52"/>
      <x:c r="S27" s="52"/>
      <x:c r="T27" s="52"/>
    </x:row>
    <x:row r="28" s="1" customFormat="1" ht="12.75" hidden="0" customHeight="1">
      <x:c r="A28" s="52"/>
      <x:c r="B28" s="52"/>
      <x:c r="C28" s="52"/>
      <x:c r="D28" s="52"/>
      <x:c r="E28" s="52"/>
      <x:c r="F28" s="52"/>
      <x:c r="G28" s="52"/>
      <x:c r="H28" s="52"/>
      <x:c r="I28" s="52"/>
      <x:c r="J28" s="52"/>
      <x:c r="K28" s="52"/>
      <x:c r="L28" s="52"/>
      <x:c r="M28" s="52"/>
      <x:c r="N28" s="52"/>
      <x:c r="O28" s="52"/>
      <x:c r="P28" s="52"/>
      <x:c r="Q28" s="52"/>
      <x:c r="R28" s="52"/>
      <x:c r="S28" s="52"/>
      <x:c r="T28" s="52"/>
    </x:row>
    <x:row r="29" s="1" customFormat="1" ht="12.75" hidden="0" customHeight="1">
      <x:c r="A29" s="52"/>
      <x:c r="B29" s="52"/>
      <x:c r="C29" s="52"/>
      <x:c r="D29" s="52"/>
      <x:c r="E29" s="52"/>
      <x:c r="F29" s="52"/>
      <x:c r="G29" s="52"/>
      <x:c r="H29" s="52"/>
      <x:c r="I29" s="52"/>
      <x:c r="J29" s="52"/>
      <x:c r="K29" s="52"/>
      <x:c r="L29" s="52"/>
      <x:c r="M29" s="52"/>
      <x:c r="N29" s="52"/>
      <x:c r="O29" s="52"/>
      <x:c r="P29" s="52"/>
      <x:c r="Q29" s="52"/>
      <x:c r="R29" s="52"/>
      <x:c r="S29" s="52"/>
      <x:c r="T29" s="52"/>
    </x:row>
    <x:row r="30" s="1" customFormat="1" ht="12.75" hidden="0" customHeight="1">
      <x:c r="A30" s="52"/>
      <x:c r="B30" s="52"/>
      <x:c r="C30" s="52"/>
      <x:c r="D30" s="52"/>
      <x:c r="E30" s="52"/>
      <x:c r="F30" s="52"/>
      <x:c r="G30" s="52"/>
      <x:c r="H30" s="52"/>
      <x:c r="I30" s="52"/>
      <x:c r="J30" s="52"/>
      <x:c r="K30" s="52"/>
      <x:c r="L30" s="52"/>
      <x:c r="M30" s="52"/>
      <x:c r="N30" s="52"/>
      <x:c r="O30" s="52"/>
      <x:c r="P30" s="52"/>
      <x:c r="Q30" s="52"/>
      <x:c r="R30" s="52"/>
      <x:c r="S30" s="52"/>
      <x:c r="T30" s="52"/>
    </x:row>
    <x:row r="31" s="1" customFormat="1" ht="12.75" hidden="0" customHeight="1">
      <x:c r="A31" s="52"/>
      <x:c r="B31" s="52"/>
      <x:c r="C31" s="52"/>
      <x:c r="D31" s="52"/>
      <x:c r="E31" s="52"/>
      <x:c r="F31" s="52"/>
      <x:c r="G31" s="52"/>
      <x:c r="H31" s="52"/>
      <x:c r="I31" s="52"/>
      <x:c r="J31" s="52"/>
      <x:c r="K31" s="52"/>
      <x:c r="L31" s="52"/>
      <x:c r="M31" s="52"/>
      <x:c r="N31" s="52"/>
      <x:c r="O31" s="52"/>
      <x:c r="P31" s="52"/>
      <x:c r="Q31" s="52"/>
      <x:c r="R31" s="52"/>
      <x:c r="S31" s="52"/>
      <x:c r="T31" s="52"/>
    </x:row>
    <x:row r="32" s="1" customFormat="1" ht="12.75" hidden="0" customHeight="1">
      <x:c r="A32" s="52"/>
      <x:c r="B32" s="52"/>
      <x:c r="C32" s="52"/>
      <x:c r="D32" s="52"/>
      <x:c r="E32" s="52"/>
      <x:c r="F32" s="52"/>
      <x:c r="G32" s="52"/>
      <x:c r="H32" s="52"/>
      <x:c r="I32" s="52"/>
      <x:c r="J32" s="52"/>
      <x:c r="K32" s="52"/>
      <x:c r="L32" s="52"/>
      <x:c r="M32" s="52"/>
      <x:c r="N32" s="52"/>
      <x:c r="O32" s="52"/>
      <x:c r="P32" s="52"/>
      <x:c r="Q32" s="52"/>
      <x:c r="R32" s="52"/>
      <x:c r="S32" s="52"/>
      <x:c r="T32" s="52"/>
    </x:row>
    <x:row r="33" s="1" customFormat="1" ht="12.75" hidden="0" customHeight="1">
      <x:c r="A33" s="52"/>
      <x:c r="B33" s="52"/>
      <x:c r="C33" s="52"/>
      <x:c r="D33" s="52"/>
      <x:c r="E33" s="52"/>
      <x:c r="F33" s="52"/>
      <x:c r="G33" s="52"/>
      <x:c r="H33" s="52"/>
      <x:c r="I33" s="52"/>
      <x:c r="J33" s="52"/>
      <x:c r="K33" s="52"/>
      <x:c r="L33" s="52"/>
      <x:c r="M33" s="52"/>
      <x:c r="N33" s="52"/>
      <x:c r="O33" s="52"/>
      <x:c r="P33" s="52"/>
      <x:c r="Q33" s="52"/>
      <x:c r="R33" s="52"/>
      <x:c r="S33" s="52"/>
      <x:c r="T33" s="52"/>
    </x:row>
    <x:row r="34" s="1" customFormat="1" ht="12.75" hidden="0" customHeight="1">
      <x:c r="A34" s="52"/>
      <x:c r="B34" s="52"/>
      <x:c r="C34" s="52"/>
      <x:c r="D34" s="52"/>
      <x:c r="E34" s="52"/>
      <x:c r="F34" s="52"/>
      <x:c r="G34" s="52"/>
      <x:c r="H34" s="52"/>
      <x:c r="I34" s="52"/>
      <x:c r="J34" s="52"/>
      <x:c r="K34" s="52"/>
      <x:c r="L34" s="52"/>
      <x:c r="M34" s="52"/>
      <x:c r="N34" s="52"/>
      <x:c r="O34" s="52"/>
      <x:c r="P34" s="52"/>
      <x:c r="Q34" s="52"/>
      <x:c r="R34" s="52"/>
      <x:c r="S34" s="52"/>
      <x:c r="T34" s="52"/>
    </x:row>
    <x:row r="35" s="1" customFormat="1" ht="12.75" hidden="0" customHeight="1">
      <x:c r="A35" s="52"/>
      <x:c r="B35" s="52"/>
      <x:c r="C35" s="52"/>
      <x:c r="D35" s="52"/>
      <x:c r="E35" s="52"/>
      <x:c r="F35" s="52"/>
      <x:c r="G35" s="52"/>
      <x:c r="H35" s="52"/>
      <x:c r="I35" s="52"/>
      <x:c r="J35" s="52"/>
      <x:c r="K35" s="52"/>
      <x:c r="L35" s="52"/>
      <x:c r="M35" s="52"/>
      <x:c r="N35" s="52"/>
      <x:c r="O35" s="52"/>
      <x:c r="P35" s="52"/>
      <x:c r="Q35" s="52"/>
      <x:c r="R35" s="52"/>
      <x:c r="S35" s="52"/>
      <x:c r="T35" s="52"/>
    </x:row>
    <x:row r="36" s="1" customFormat="1" ht="12.75" hidden="0" customHeight="1">
      <x:c r="A36" s="52"/>
      <x:c r="B36" s="52"/>
      <x:c r="C36" s="52"/>
      <x:c r="D36" s="52"/>
      <x:c r="E36" s="52"/>
      <x:c r="F36" s="52"/>
      <x:c r="G36" s="52"/>
      <x:c r="H36" s="52"/>
      <x:c r="I36" s="52"/>
      <x:c r="J36" s="52"/>
      <x:c r="K36" s="52"/>
      <x:c r="L36" s="52"/>
      <x:c r="M36" s="52"/>
      <x:c r="N36" s="52"/>
      <x:c r="O36" s="52"/>
      <x:c r="P36" s="52"/>
      <x:c r="Q36" s="52"/>
      <x:c r="R36" s="52"/>
      <x:c r="S36" s="52"/>
      <x:c r="T36" s="52"/>
    </x:row>
    <x:row r="37" s="1" customFormat="1" ht="12.75" hidden="0" customHeight="1">
      <x:c r="A37" s="52"/>
      <x:c r="B37" s="52"/>
      <x:c r="C37" s="52"/>
      <x:c r="D37" s="52"/>
      <x:c r="E37" s="52"/>
      <x:c r="F37" s="52"/>
      <x:c r="G37" s="52"/>
      <x:c r="H37" s="52"/>
      <x:c r="I37" s="52"/>
      <x:c r="J37" s="52"/>
      <x:c r="K37" s="52"/>
      <x:c r="L37" s="52"/>
      <x:c r="M37" s="52"/>
      <x:c r="N37" s="52"/>
      <x:c r="O37" s="52"/>
      <x:c r="P37" s="52"/>
      <x:c r="Q37" s="52"/>
      <x:c r="R37" s="52"/>
      <x:c r="S37" s="52"/>
      <x:c r="T37" s="52"/>
    </x:row>
    <x:row r="38" s="1" customFormat="1" ht="12.75" hidden="0" customHeight="1">
      <x:c r="A38" s="52"/>
      <x:c r="B38" s="52"/>
      <x:c r="C38" s="52"/>
      <x:c r="D38" s="52"/>
      <x:c r="E38" s="52"/>
      <x:c r="F38" s="52"/>
      <x:c r="G38" s="52"/>
      <x:c r="H38" s="52"/>
      <x:c r="I38" s="52"/>
      <x:c r="J38" s="52"/>
      <x:c r="K38" s="52"/>
      <x:c r="L38" s="52"/>
      <x:c r="M38" s="52"/>
      <x:c r="N38" s="52"/>
      <x:c r="O38" s="52"/>
      <x:c r="P38" s="52"/>
      <x:c r="Q38" s="52"/>
      <x:c r="R38" s="52"/>
      <x:c r="S38" s="52"/>
      <x:c r="T38" s="52"/>
    </x:row>
    <x:row r="39" s="1" customFormat="1" ht="12.75" hidden="0" customHeight="1">
      <x:c r="A39" s="52"/>
      <x:c r="B39" s="52"/>
      <x:c r="C39" s="52"/>
      <x:c r="D39" s="52"/>
      <x:c r="E39" s="52"/>
      <x:c r="F39" s="52"/>
      <x:c r="G39" s="52"/>
      <x:c r="H39" s="52"/>
      <x:c r="I39" s="52"/>
      <x:c r="J39" s="52"/>
      <x:c r="K39" s="52"/>
      <x:c r="L39" s="52"/>
      <x:c r="M39" s="52"/>
      <x:c r="N39" s="52"/>
      <x:c r="O39" s="52"/>
      <x:c r="P39" s="52"/>
      <x:c r="Q39" s="52"/>
      <x:c r="R39" s="52"/>
      <x:c r="S39" s="52"/>
      <x:c r="T39" s="52"/>
    </x:row>
    <x:row r="40" s="1" customFormat="1" ht="12.75" hidden="0" customHeight="1">
      <x:c r="A40" s="52"/>
      <x:c r="B40" s="52"/>
      <x:c r="C40" s="52"/>
      <x:c r="D40" s="52"/>
      <x:c r="E40" s="52"/>
      <x:c r="F40" s="52"/>
      <x:c r="G40" s="52"/>
      <x:c r="H40" s="52"/>
      <x:c r="I40" s="52"/>
      <x:c r="J40" s="52"/>
      <x:c r="K40" s="52"/>
      <x:c r="L40" s="52"/>
      <x:c r="M40" s="52"/>
      <x:c r="N40" s="52"/>
      <x:c r="O40" s="52"/>
      <x:c r="P40" s="52"/>
      <x:c r="Q40" s="52"/>
      <x:c r="R40" s="52"/>
      <x:c r="S40" s="52"/>
      <x:c r="T40" s="52"/>
    </x:row>
    <x:row r="41" s="1" customFormat="1" ht="12.75" hidden="0" customHeight="1">
      <x:c r="A41" s="52"/>
      <x:c r="B41" s="52"/>
      <x:c r="C41" s="52"/>
      <x:c r="D41" s="52"/>
      <x:c r="E41" s="52"/>
      <x:c r="F41" s="52"/>
      <x:c r="G41" s="52"/>
      <x:c r="H41" s="52"/>
      <x:c r="I41" s="52"/>
      <x:c r="J41" s="52"/>
      <x:c r="K41" s="52"/>
      <x:c r="L41" s="52"/>
      <x:c r="M41" s="52"/>
      <x:c r="N41" s="52"/>
      <x:c r="O41" s="52"/>
      <x:c r="P41" s="52"/>
      <x:c r="Q41" s="52"/>
      <x:c r="R41" s="52"/>
      <x:c r="S41" s="52"/>
      <x:c r="T41" s="52"/>
    </x:row>
    <x:row r="42" s="1" customFormat="1" ht="12.75" hidden="0" customHeight="1">
      <x:c r="A42" s="52"/>
      <x:c r="B42" s="52"/>
      <x:c r="C42" s="52"/>
      <x:c r="D42" s="52"/>
      <x:c r="E42" s="52"/>
      <x:c r="F42" s="52"/>
      <x:c r="G42" s="52"/>
      <x:c r="H42" s="52"/>
      <x:c r="I42" s="52"/>
      <x:c r="J42" s="52"/>
      <x:c r="K42" s="52"/>
      <x:c r="L42" s="52"/>
      <x:c r="M42" s="52"/>
      <x:c r="N42" s="52"/>
      <x:c r="O42" s="52"/>
      <x:c r="P42" s="52"/>
      <x:c r="Q42" s="52"/>
      <x:c r="R42" s="52"/>
      <x:c r="S42" s="52"/>
      <x:c r="T42" s="52"/>
    </x:row>
    <x:row r="43" s="1" customFormat="1" ht="12.75" hidden="0" customHeight="1">
      <x:c r="A43" s="52"/>
      <x:c r="B43" s="52"/>
      <x:c r="C43" s="52"/>
      <x:c r="D43" s="52"/>
      <x:c r="E43" s="52"/>
      <x:c r="F43" s="52"/>
      <x:c r="G43" s="52"/>
      <x:c r="H43" s="52"/>
      <x:c r="I43" s="52"/>
      <x:c r="J43" s="52"/>
      <x:c r="K43" s="52"/>
      <x:c r="L43" s="52"/>
      <x:c r="M43" s="52"/>
      <x:c r="N43" s="52"/>
      <x:c r="O43" s="52"/>
      <x:c r="P43" s="52"/>
      <x:c r="Q43" s="52"/>
      <x:c r="R43" s="52"/>
      <x:c r="S43" s="52"/>
      <x:c r="T43" s="52"/>
    </x:row>
    <x:row r="44" s="1" customFormat="1" ht="12.75" hidden="0" customHeight="1">
      <x:c r="A44" s="52"/>
      <x:c r="B44" s="52"/>
      <x:c r="C44" s="52"/>
      <x:c r="D44" s="52"/>
      <x:c r="E44" s="52"/>
      <x:c r="F44" s="52"/>
      <x:c r="G44" s="52"/>
      <x:c r="H44" s="52"/>
      <x:c r="I44" s="52"/>
      <x:c r="J44" s="52"/>
      <x:c r="K44" s="52"/>
      <x:c r="L44" s="52"/>
      <x:c r="M44" s="52"/>
      <x:c r="N44" s="52"/>
      <x:c r="O44" s="52"/>
      <x:c r="P44" s="52"/>
      <x:c r="Q44" s="52"/>
      <x:c r="R44" s="52"/>
      <x:c r="S44" s="52"/>
      <x:c r="T44" s="52"/>
    </x:row>
    <x:row r="45" s="1" customFormat="1" ht="12.75" hidden="0" customHeight="1">
      <x:c r="A45" s="52"/>
      <x:c r="B45" s="52"/>
      <x:c r="C45" s="52"/>
      <x:c r="D45" s="52"/>
      <x:c r="E45" s="52"/>
      <x:c r="F45" s="52"/>
      <x:c r="G45" s="52"/>
      <x:c r="H45" s="52"/>
      <x:c r="I45" s="52"/>
      <x:c r="J45" s="52"/>
      <x:c r="K45" s="52"/>
      <x:c r="L45" s="52"/>
      <x:c r="M45" s="52"/>
      <x:c r="N45" s="52"/>
      <x:c r="O45" s="52"/>
      <x:c r="P45" s="52"/>
      <x:c r="Q45" s="52"/>
      <x:c r="R45" s="52"/>
      <x:c r="S45" s="52"/>
      <x:c r="T45" s="52"/>
    </x:row>
    <x:row r="46" s="1" customFormat="1" ht="12.75" hidden="0" customHeight="1">
      <x:c r="A46" s="52"/>
      <x:c r="B46" s="52"/>
      <x:c r="C46" s="52"/>
      <x:c r="D46" s="52"/>
      <x:c r="E46" s="52"/>
      <x:c r="F46" s="52"/>
      <x:c r="G46" s="52"/>
      <x:c r="H46" s="52"/>
      <x:c r="I46" s="52"/>
      <x:c r="J46" s="52"/>
      <x:c r="K46" s="52"/>
      <x:c r="L46" s="52"/>
      <x:c r="M46" s="52"/>
      <x:c r="N46" s="52"/>
      <x:c r="O46" s="52"/>
      <x:c r="P46" s="52"/>
      <x:c r="Q46" s="52"/>
      <x:c r="R46" s="52"/>
      <x:c r="S46" s="52"/>
      <x:c r="T46" s="52"/>
    </x:row>
    <x:row r="47" s="1" customFormat="1" ht="12.75" hidden="0" customHeight="1">
      <x:c r="A47" s="52"/>
      <x:c r="B47" s="52"/>
      <x:c r="C47" s="52"/>
      <x:c r="D47" s="52"/>
      <x:c r="E47" s="52"/>
      <x:c r="F47" s="52"/>
      <x:c r="G47" s="52"/>
      <x:c r="H47" s="52"/>
      <x:c r="I47" s="52"/>
      <x:c r="J47" s="52"/>
      <x:c r="K47" s="52"/>
      <x:c r="L47" s="52"/>
      <x:c r="M47" s="52"/>
      <x:c r="N47" s="52"/>
      <x:c r="O47" s="52"/>
      <x:c r="P47" s="52"/>
      <x:c r="Q47" s="52"/>
      <x:c r="R47" s="52"/>
      <x:c r="S47" s="52"/>
      <x:c r="T47" s="52"/>
    </x:row>
    <x:row r="48" s="1" customFormat="1" ht="12.75" hidden="0" customHeight="1">
      <x:c r="A48" s="52"/>
      <x:c r="B48" s="52"/>
      <x:c r="C48" s="52"/>
      <x:c r="D48" s="52"/>
      <x:c r="E48" s="52"/>
      <x:c r="F48" s="52"/>
      <x:c r="G48" s="52"/>
      <x:c r="H48" s="52"/>
      <x:c r="I48" s="52"/>
      <x:c r="J48" s="52"/>
      <x:c r="K48" s="52"/>
      <x:c r="L48" s="52"/>
      <x:c r="M48" s="52"/>
      <x:c r="N48" s="52"/>
      <x:c r="O48" s="52"/>
      <x:c r="P48" s="52"/>
      <x:c r="Q48" s="52"/>
      <x:c r="R48" s="52"/>
      <x:c r="S48" s="52"/>
      <x:c r="T48" s="52"/>
    </x:row>
    <x:row r="49" s="1" customFormat="1" ht="12.75" hidden="0" customHeight="1">
      <x:c r="A49" s="52"/>
      <x:c r="B49" s="52"/>
      <x:c r="C49" s="52"/>
      <x:c r="D49" s="52"/>
      <x:c r="E49" s="52"/>
      <x:c r="F49" s="52"/>
      <x:c r="G49" s="52"/>
      <x:c r="H49" s="52"/>
      <x:c r="I49" s="52"/>
      <x:c r="J49" s="52"/>
      <x:c r="K49" s="52"/>
      <x:c r="L49" s="52"/>
      <x:c r="M49" s="52"/>
      <x:c r="N49" s="52"/>
      <x:c r="O49" s="52"/>
      <x:c r="P49" s="52"/>
      <x:c r="Q49" s="52"/>
      <x:c r="R49" s="52"/>
      <x:c r="S49" s="52"/>
      <x:c r="T49" s="52"/>
    </x:row>
    <x:row r="50" s="1" customFormat="1" ht="12.75" hidden="0" customHeight="1">
      <x:c r="A50" s="52"/>
      <x:c r="B50" s="52"/>
      <x:c r="C50" s="52"/>
      <x:c r="D50" s="52"/>
      <x:c r="E50" s="52"/>
      <x:c r="F50" s="52"/>
      <x:c r="G50" s="52"/>
      <x:c r="H50" s="52"/>
      <x:c r="I50" s="52"/>
      <x:c r="J50" s="52"/>
      <x:c r="K50" s="52"/>
      <x:c r="L50" s="52"/>
      <x:c r="M50" s="52"/>
      <x:c r="N50" s="52"/>
      <x:c r="O50" s="52"/>
      <x:c r="P50" s="52"/>
      <x:c r="Q50" s="52"/>
      <x:c r="R50" s="52"/>
      <x:c r="S50" s="52"/>
      <x:c r="T50" s="52"/>
    </x:row>
    <x:row r="51" s="1" customFormat="1" ht="12.75" hidden="0" customHeight="1">
      <x:c r="A51" s="52"/>
      <x:c r="B51" s="52"/>
      <x:c r="C51" s="52"/>
      <x:c r="D51" s="52"/>
      <x:c r="E51" s="52"/>
      <x:c r="F51" s="52"/>
      <x:c r="G51" s="52"/>
      <x:c r="H51" s="52"/>
      <x:c r="I51" s="52"/>
      <x:c r="J51" s="52"/>
      <x:c r="K51" s="52"/>
      <x:c r="L51" s="52"/>
      <x:c r="M51" s="52"/>
      <x:c r="N51" s="52"/>
      <x:c r="O51" s="52"/>
      <x:c r="P51" s="52"/>
      <x:c r="Q51" s="52"/>
      <x:c r="R51" s="52"/>
      <x:c r="S51" s="52"/>
      <x:c r="T51" s="52"/>
    </x:row>
    <x:row r="52" s="1" customFormat="1" ht="12.75" hidden="0" customHeight="1">
      <x:c r="A52" s="52"/>
      <x:c r="B52" s="52"/>
      <x:c r="C52" s="52"/>
      <x:c r="D52" s="52"/>
      <x:c r="E52" s="52"/>
      <x:c r="F52" s="52"/>
      <x:c r="G52" s="52"/>
      <x:c r="H52" s="52"/>
      <x:c r="I52" s="52"/>
      <x:c r="J52" s="52"/>
      <x:c r="K52" s="52"/>
      <x:c r="L52" s="52"/>
      <x:c r="M52" s="52"/>
      <x:c r="N52" s="52"/>
      <x:c r="O52" s="52"/>
      <x:c r="P52" s="52"/>
      <x:c r="Q52" s="52"/>
      <x:c r="R52" s="52"/>
      <x:c r="S52" s="52"/>
      <x:c r="T52" s="52"/>
    </x:row>
    <x:row r="53" s="1" customFormat="1" ht="12.75" hidden="0" customHeight="1">
      <x:c r="A53" s="52"/>
      <x:c r="B53" s="52"/>
      <x:c r="C53" s="52"/>
      <x:c r="D53" s="52"/>
      <x:c r="E53" s="52"/>
      <x:c r="F53" s="52"/>
      <x:c r="G53" s="52"/>
      <x:c r="H53" s="52"/>
      <x:c r="I53" s="52"/>
      <x:c r="J53" s="52"/>
      <x:c r="K53" s="52"/>
      <x:c r="L53" s="52"/>
      <x:c r="M53" s="52"/>
      <x:c r="N53" s="52"/>
      <x:c r="O53" s="52"/>
      <x:c r="P53" s="52"/>
      <x:c r="Q53" s="52"/>
      <x:c r="R53" s="52"/>
      <x:c r="S53" s="52"/>
      <x:c r="T53" s="52"/>
    </x:row>
    <x:row r="54" s="1" customFormat="1" ht="12.75" hidden="0" customHeight="1">
      <x:c r="A54" s="52"/>
      <x:c r="B54" s="52"/>
      <x:c r="C54" s="52"/>
      <x:c r="D54" s="52"/>
      <x:c r="E54" s="52"/>
      <x:c r="F54" s="52"/>
      <x:c r="G54" s="52"/>
      <x:c r="H54" s="52"/>
      <x:c r="I54" s="52"/>
      <x:c r="J54" s="52"/>
      <x:c r="K54" s="52"/>
      <x:c r="L54" s="52"/>
      <x:c r="M54" s="52"/>
      <x:c r="N54" s="52"/>
      <x:c r="O54" s="52"/>
      <x:c r="P54" s="52"/>
      <x:c r="Q54" s="52"/>
      <x:c r="R54" s="52"/>
      <x:c r="S54" s="52"/>
      <x:c r="T54" s="52"/>
    </x:row>
    <x:row r="55" s="1" customFormat="1" ht="12.75" hidden="0" customHeight="1">
      <x:c r="A55" s="52"/>
      <x:c r="B55" s="52"/>
      <x:c r="C55" s="52"/>
      <x:c r="D55" s="52"/>
      <x:c r="E55" s="52"/>
      <x:c r="F55" s="52"/>
      <x:c r="G55" s="52"/>
      <x:c r="H55" s="52"/>
      <x:c r="I55" s="52"/>
      <x:c r="J55" s="52"/>
      <x:c r="K55" s="52"/>
      <x:c r="L55" s="52"/>
      <x:c r="M55" s="52"/>
      <x:c r="N55" s="52"/>
      <x:c r="O55" s="52"/>
      <x:c r="P55" s="52"/>
      <x:c r="Q55" s="52"/>
      <x:c r="R55" s="52"/>
      <x:c r="S55" s="52"/>
      <x:c r="T55" s="52"/>
    </x:row>
    <x:row r="56" s="1" customFormat="1" ht="12.75" hidden="0" customHeight="1">
      <x:c r="A56" s="52"/>
      <x:c r="B56" s="52"/>
      <x:c r="C56" s="52"/>
      <x:c r="D56" s="52"/>
      <x:c r="E56" s="52"/>
      <x:c r="F56" s="52"/>
      <x:c r="G56" s="52"/>
      <x:c r="H56" s="52"/>
      <x:c r="I56" s="52"/>
      <x:c r="J56" s="52"/>
      <x:c r="K56" s="52"/>
      <x:c r="L56" s="52"/>
      <x:c r="M56" s="52"/>
      <x:c r="N56" s="52"/>
      <x:c r="O56" s="52"/>
      <x:c r="P56" s="52"/>
      <x:c r="Q56" s="52"/>
      <x:c r="R56" s="52"/>
      <x:c r="S56" s="52"/>
      <x:c r="T56" s="52"/>
    </x:row>
    <x:row r="57" s="1" customFormat="1" ht="12.75" hidden="0" customHeight="1">
      <x:c r="A57" s="52"/>
      <x:c r="B57" s="52"/>
      <x:c r="C57" s="52"/>
      <x:c r="D57" s="52"/>
      <x:c r="E57" s="52"/>
      <x:c r="F57" s="52"/>
      <x:c r="G57" s="52"/>
      <x:c r="H57" s="52"/>
      <x:c r="I57" s="52"/>
      <x:c r="J57" s="52"/>
      <x:c r="K57" s="52"/>
      <x:c r="L57" s="52"/>
      <x:c r="M57" s="52"/>
      <x:c r="N57" s="52"/>
      <x:c r="O57" s="52"/>
      <x:c r="P57" s="52"/>
      <x:c r="Q57" s="52"/>
      <x:c r="R57" s="52"/>
      <x:c r="S57" s="52"/>
      <x:c r="T57" s="52"/>
    </x:row>
    <x:row r="58" s="1" customFormat="1" ht="12.75" hidden="0" customHeight="1">
      <x:c r="A58" s="52"/>
      <x:c r="B58" s="52"/>
      <x:c r="C58" s="52"/>
      <x:c r="D58" s="52"/>
      <x:c r="E58" s="52"/>
      <x:c r="F58" s="52"/>
      <x:c r="G58" s="52"/>
      <x:c r="H58" s="52"/>
      <x:c r="I58" s="52"/>
      <x:c r="J58" s="52"/>
      <x:c r="K58" s="52"/>
      <x:c r="L58" s="52"/>
      <x:c r="M58" s="52"/>
      <x:c r="N58" s="52"/>
      <x:c r="O58" s="52"/>
      <x:c r="P58" s="52"/>
      <x:c r="Q58" s="52"/>
      <x:c r="R58" s="52"/>
      <x:c r="S58" s="52"/>
      <x:c r="T58" s="52"/>
    </x:row>
    <x:row r="59" s="1" customFormat="1" ht="12.75" hidden="0" customHeight="1">
      <x:c r="A59" s="52"/>
      <x:c r="B59" s="52"/>
      <x:c r="C59" s="52"/>
      <x:c r="D59" s="52"/>
      <x:c r="E59" s="52"/>
      <x:c r="F59" s="52"/>
      <x:c r="G59" s="52"/>
      <x:c r="H59" s="52"/>
      <x:c r="I59" s="52"/>
      <x:c r="J59" s="52"/>
      <x:c r="K59" s="52"/>
      <x:c r="L59" s="52"/>
      <x:c r="M59" s="52"/>
      <x:c r="N59" s="52"/>
      <x:c r="O59" s="52"/>
      <x:c r="P59" s="52"/>
      <x:c r="Q59" s="52"/>
      <x:c r="R59" s="52"/>
      <x:c r="S59" s="52"/>
      <x:c r="T59" s="52"/>
    </x:row>
    <x:row r="60" s="1" customFormat="1" ht="12.75" hidden="0" customHeight="1">
      <x:c r="A60" s="52"/>
      <x:c r="B60" s="52"/>
      <x:c r="C60" s="52"/>
      <x:c r="D60" s="52"/>
      <x:c r="E60" s="52"/>
      <x:c r="F60" s="52"/>
      <x:c r="G60" s="52"/>
      <x:c r="H60" s="52"/>
      <x:c r="I60" s="52"/>
      <x:c r="J60" s="52"/>
      <x:c r="K60" s="52"/>
      <x:c r="L60" s="52"/>
      <x:c r="M60" s="52"/>
      <x:c r="N60" s="52"/>
      <x:c r="O60" s="52"/>
      <x:c r="P60" s="52"/>
      <x:c r="Q60" s="52"/>
      <x:c r="R60" s="52"/>
      <x:c r="S60" s="52"/>
      <x:c r="T60" s="52"/>
    </x:row>
    <x:row r="61" s="1" customFormat="1" ht="12.75" hidden="0" customHeight="1">
      <x:c r="A61" s="52"/>
      <x:c r="B61" s="52"/>
      <x:c r="C61" s="52"/>
      <x:c r="D61" s="52"/>
      <x:c r="E61" s="52"/>
      <x:c r="F61" s="52"/>
      <x:c r="G61" s="52"/>
      <x:c r="H61" s="52"/>
      <x:c r="I61" s="52"/>
      <x:c r="J61" s="52"/>
      <x:c r="K61" s="52"/>
      <x:c r="L61" s="52"/>
      <x:c r="M61" s="52"/>
      <x:c r="N61" s="52"/>
      <x:c r="O61" s="52"/>
      <x:c r="P61" s="52"/>
      <x:c r="Q61" s="52"/>
      <x:c r="R61" s="52"/>
      <x:c r="S61" s="52"/>
      <x:c r="T61" s="52"/>
    </x:row>
    <x:row r="62" s="1" customFormat="1" ht="12.75" hidden="0" customHeight="1">
      <x:c r="A62" s="52"/>
      <x:c r="B62" s="52"/>
      <x:c r="C62" s="52"/>
      <x:c r="D62" s="52"/>
      <x:c r="E62" s="52"/>
      <x:c r="F62" s="52"/>
      <x:c r="G62" s="52"/>
      <x:c r="H62" s="52"/>
      <x:c r="I62" s="52"/>
      <x:c r="J62" s="52"/>
      <x:c r="K62" s="52"/>
      <x:c r="L62" s="52"/>
      <x:c r="M62" s="52"/>
      <x:c r="N62" s="52"/>
      <x:c r="O62" s="52"/>
      <x:c r="P62" s="52"/>
      <x:c r="Q62" s="52"/>
      <x:c r="R62" s="52"/>
      <x:c r="S62" s="52"/>
      <x:c r="T62" s="52"/>
    </x:row>
    <x:row r="63" s="1" customFormat="1" ht="12.75" hidden="0" customHeight="1">
      <x:c r="A63" s="52"/>
      <x:c r="B63" s="52"/>
      <x:c r="C63" s="52"/>
      <x:c r="D63" s="52"/>
      <x:c r="E63" s="52"/>
      <x:c r="F63" s="52"/>
      <x:c r="G63" s="52"/>
      <x:c r="H63" s="52"/>
      <x:c r="I63" s="52"/>
      <x:c r="J63" s="52"/>
      <x:c r="K63" s="52"/>
      <x:c r="L63" s="52"/>
      <x:c r="M63" s="52"/>
      <x:c r="N63" s="52"/>
      <x:c r="O63" s="52"/>
      <x:c r="P63" s="52"/>
      <x:c r="Q63" s="52"/>
      <x:c r="R63" s="52"/>
      <x:c r="S63" s="52"/>
      <x:c r="T63" s="52"/>
    </x:row>
    <x:row r="64" s="1" customFormat="1" ht="12.75" hidden="0" customHeight="1">
      <x:c r="A64" s="52"/>
      <x:c r="B64" s="52"/>
      <x:c r="C64" s="52"/>
      <x:c r="D64" s="52"/>
      <x:c r="E64" s="52"/>
      <x:c r="F64" s="52"/>
      <x:c r="G64" s="52"/>
      <x:c r="H64" s="52"/>
      <x:c r="I64" s="52"/>
      <x:c r="J64" s="52"/>
      <x:c r="K64" s="52"/>
      <x:c r="L64" s="52"/>
      <x:c r="M64" s="52"/>
      <x:c r="N64" s="52"/>
      <x:c r="O64" s="52"/>
      <x:c r="P64" s="52"/>
      <x:c r="Q64" s="52"/>
      <x:c r="R64" s="52"/>
      <x:c r="S64" s="52"/>
      <x:c r="T64" s="52"/>
    </x:row>
    <x:row r="65" s="1" customFormat="1" ht="12.75" hidden="0" customHeight="1">
      <x:c r="A65" s="52"/>
      <x:c r="B65" s="52"/>
      <x:c r="C65" s="52"/>
      <x:c r="D65" s="52"/>
      <x:c r="E65" s="52"/>
      <x:c r="F65" s="52"/>
      <x:c r="G65" s="52"/>
      <x:c r="H65" s="52"/>
      <x:c r="I65" s="52"/>
      <x:c r="J65" s="52"/>
      <x:c r="K65" s="52"/>
      <x:c r="L65" s="52"/>
      <x:c r="M65" s="52"/>
      <x:c r="N65" s="52"/>
      <x:c r="O65" s="52"/>
      <x:c r="P65" s="52"/>
      <x:c r="Q65" s="52"/>
      <x:c r="R65" s="52"/>
      <x:c r="S65" s="52"/>
      <x:c r="T65" s="52"/>
    </x:row>
    <x:row r="66" s="1" customFormat="1" ht="12.75" hidden="0" customHeight="1">
      <x:c r="A66" s="52"/>
      <x:c r="B66" s="52"/>
      <x:c r="C66" s="52"/>
      <x:c r="D66" s="52"/>
      <x:c r="E66" s="52"/>
      <x:c r="F66" s="52"/>
      <x:c r="G66" s="52"/>
      <x:c r="H66" s="52"/>
      <x:c r="I66" s="52"/>
      <x:c r="J66" s="52"/>
      <x:c r="K66" s="52"/>
      <x:c r="L66" s="52"/>
      <x:c r="M66" s="52"/>
      <x:c r="N66" s="52"/>
      <x:c r="O66" s="52"/>
      <x:c r="P66" s="52"/>
      <x:c r="Q66" s="52"/>
      <x:c r="R66" s="52"/>
      <x:c r="S66" s="52"/>
      <x:c r="T66" s="52"/>
    </x:row>
    <x:row r="67" s="1" customFormat="1" ht="12.75" hidden="0" customHeight="1">
      <x:c r="A67" s="52"/>
      <x:c r="B67" s="52"/>
      <x:c r="C67" s="52"/>
      <x:c r="D67" s="52"/>
      <x:c r="E67" s="52"/>
      <x:c r="F67" s="52"/>
      <x:c r="G67" s="52"/>
      <x:c r="H67" s="52"/>
      <x:c r="I67" s="52"/>
      <x:c r="J67" s="52"/>
      <x:c r="K67" s="52"/>
      <x:c r="L67" s="52"/>
      <x:c r="M67" s="52"/>
      <x:c r="N67" s="52"/>
      <x:c r="O67" s="52"/>
      <x:c r="P67" s="52"/>
      <x:c r="Q67" s="52"/>
      <x:c r="R67" s="52"/>
      <x:c r="S67" s="52"/>
      <x:c r="T67" s="52"/>
    </x:row>
    <x:row r="68" s="1" customFormat="1" ht="12.75" hidden="0" customHeight="1">
      <x:c r="A68" s="52"/>
      <x:c r="B68" s="52"/>
      <x:c r="C68" s="52"/>
      <x:c r="D68" s="52"/>
      <x:c r="E68" s="52"/>
      <x:c r="F68" s="52"/>
      <x:c r="G68" s="52"/>
      <x:c r="H68" s="52"/>
      <x:c r="I68" s="52"/>
      <x:c r="J68" s="52"/>
      <x:c r="K68" s="52"/>
      <x:c r="L68" s="52"/>
      <x:c r="M68" s="52"/>
      <x:c r="N68" s="52"/>
      <x:c r="O68" s="52"/>
      <x:c r="P68" s="52"/>
      <x:c r="Q68" s="52"/>
      <x:c r="R68" s="52"/>
      <x:c r="S68" s="52"/>
      <x:c r="T68" s="52"/>
    </x:row>
    <x:row r="69" s="1" customFormat="1" ht="12.75" hidden="0" customHeight="1">
      <x:c r="A69" s="52"/>
      <x:c r="B69" s="52"/>
      <x:c r="C69" s="52"/>
      <x:c r="D69" s="52"/>
      <x:c r="E69" s="52"/>
      <x:c r="F69" s="52"/>
      <x:c r="G69" s="52"/>
      <x:c r="H69" s="52"/>
      <x:c r="I69" s="52"/>
      <x:c r="J69" s="52"/>
      <x:c r="K69" s="52"/>
      <x:c r="L69" s="52"/>
      <x:c r="M69" s="52"/>
      <x:c r="N69" s="52"/>
      <x:c r="O69" s="52"/>
      <x:c r="P69" s="52"/>
      <x:c r="Q69" s="52"/>
      <x:c r="R69" s="52"/>
      <x:c r="S69" s="52"/>
      <x:c r="T69" s="52"/>
    </x:row>
    <x:row r="70" s="1" customFormat="1" ht="12.75" hidden="0" customHeight="1">
      <x:c r="A70" s="52"/>
      <x:c r="B70" s="52"/>
      <x:c r="C70" s="52"/>
      <x:c r="D70" s="52"/>
      <x:c r="E70" s="52"/>
      <x:c r="F70" s="52"/>
      <x:c r="G70" s="52"/>
      <x:c r="H70" s="52"/>
      <x:c r="I70" s="52"/>
      <x:c r="J70" s="52"/>
      <x:c r="K70" s="52"/>
      <x:c r="L70" s="52"/>
      <x:c r="M70" s="52"/>
      <x:c r="N70" s="52"/>
      <x:c r="O70" s="52"/>
      <x:c r="P70" s="52"/>
      <x:c r="Q70" s="52"/>
      <x:c r="R70" s="52"/>
      <x:c r="S70" s="52"/>
      <x:c r="T70" s="52"/>
    </x:row>
    <x:row r="71" s="1" customFormat="1" ht="12.75" hidden="0" customHeight="1">
      <x:c r="A71" s="52"/>
      <x:c r="B71" s="52"/>
      <x:c r="C71" s="52"/>
      <x:c r="D71" s="52"/>
      <x:c r="E71" s="52"/>
      <x:c r="F71" s="52"/>
      <x:c r="G71" s="52"/>
      <x:c r="H71" s="52"/>
      <x:c r="I71" s="52"/>
      <x:c r="J71" s="52"/>
      <x:c r="K71" s="52"/>
      <x:c r="L71" s="52"/>
      <x:c r="M71" s="52"/>
      <x:c r="N71" s="52"/>
      <x:c r="O71" s="52"/>
      <x:c r="P71" s="52"/>
      <x:c r="Q71" s="52"/>
      <x:c r="R71" s="52"/>
      <x:c r="S71" s="52"/>
      <x:c r="T71" s="52"/>
    </x:row>
    <x:row r="72" s="1" customFormat="1" ht="12.75" hidden="0" customHeight="1">
      <x:c r="A72" s="52"/>
      <x:c r="B72" s="52"/>
      <x:c r="C72" s="52"/>
      <x:c r="D72" s="52"/>
      <x:c r="E72" s="52"/>
      <x:c r="F72" s="52"/>
      <x:c r="G72" s="52"/>
      <x:c r="H72" s="52"/>
      <x:c r="I72" s="52"/>
      <x:c r="J72" s="52"/>
      <x:c r="K72" s="52"/>
      <x:c r="L72" s="52"/>
      <x:c r="M72" s="52"/>
      <x:c r="N72" s="52"/>
      <x:c r="O72" s="52"/>
      <x:c r="P72" s="52"/>
      <x:c r="Q72" s="52"/>
      <x:c r="R72" s="52"/>
      <x:c r="S72" s="52"/>
      <x:c r="T72" s="52"/>
    </x:row>
    <x:row r="73" s="1" customFormat="1" ht="12.75" hidden="0" customHeight="1">
      <x:c r="A73" s="52"/>
      <x:c r="B73" s="52"/>
      <x:c r="C73" s="52"/>
      <x:c r="D73" s="52"/>
      <x:c r="E73" s="52"/>
      <x:c r="F73" s="52"/>
      <x:c r="G73" s="52"/>
      <x:c r="H73" s="52"/>
      <x:c r="I73" s="52"/>
      <x:c r="J73" s="52"/>
      <x:c r="K73" s="52"/>
      <x:c r="L73" s="52"/>
      <x:c r="M73" s="52"/>
      <x:c r="N73" s="52"/>
      <x:c r="O73" s="52"/>
      <x:c r="P73" s="52"/>
      <x:c r="Q73" s="52"/>
      <x:c r="R73" s="52"/>
      <x:c r="S73" s="52"/>
      <x:c r="T73" s="52"/>
    </x:row>
    <x:row r="74" s="1" customFormat="1" ht="12.75" hidden="0" customHeight="1">
      <x:c r="A74" s="52"/>
      <x:c r="B74" s="52"/>
      <x:c r="C74" s="52"/>
      <x:c r="D74" s="52"/>
      <x:c r="E74" s="52"/>
      <x:c r="F74" s="52"/>
      <x:c r="G74" s="52"/>
      <x:c r="H74" s="52"/>
      <x:c r="I74" s="52"/>
      <x:c r="J74" s="52"/>
      <x:c r="K74" s="52"/>
      <x:c r="L74" s="52"/>
      <x:c r="M74" s="52"/>
      <x:c r="N74" s="52"/>
      <x:c r="O74" s="52"/>
      <x:c r="P74" s="52"/>
      <x:c r="Q74" s="52"/>
      <x:c r="R74" s="52"/>
      <x:c r="S74" s="52"/>
      <x:c r="T74" s="52"/>
    </x:row>
    <x:row r="75" s="1" customFormat="1" ht="12.75" hidden="0" customHeight="1">
      <x:c r="A75" s="52"/>
      <x:c r="B75" s="52"/>
      <x:c r="C75" s="52"/>
      <x:c r="D75" s="52"/>
      <x:c r="E75" s="52"/>
      <x:c r="F75" s="52"/>
      <x:c r="G75" s="52"/>
      <x:c r="H75" s="52"/>
      <x:c r="I75" s="52"/>
      <x:c r="J75" s="52"/>
      <x:c r="K75" s="52"/>
      <x:c r="L75" s="52"/>
      <x:c r="M75" s="52"/>
      <x:c r="N75" s="52"/>
      <x:c r="O75" s="52"/>
      <x:c r="P75" s="52"/>
      <x:c r="Q75" s="52"/>
      <x:c r="R75" s="52"/>
      <x:c r="S75" s="52"/>
      <x:c r="T75" s="52"/>
    </x:row>
    <x:row r="76" s="1" customFormat="1" ht="12.75" hidden="0" customHeight="1">
      <x:c r="A76" s="52"/>
      <x:c r="B76" s="52"/>
      <x:c r="C76" s="52"/>
      <x:c r="D76" s="52"/>
      <x:c r="E76" s="52"/>
      <x:c r="F76" s="52"/>
      <x:c r="G76" s="52"/>
      <x:c r="H76" s="52"/>
      <x:c r="I76" s="52"/>
      <x:c r="J76" s="52"/>
      <x:c r="K76" s="52"/>
      <x:c r="L76" s="52"/>
      <x:c r="M76" s="52"/>
      <x:c r="N76" s="52"/>
      <x:c r="O76" s="52"/>
      <x:c r="P76" s="52"/>
      <x:c r="Q76" s="52"/>
      <x:c r="R76" s="52"/>
      <x:c r="S76" s="52"/>
      <x:c r="T76" s="52"/>
    </x:row>
    <x:row r="77" s="1" customFormat="1" ht="12.75" hidden="0" customHeight="1">
      <x:c r="A77" s="52"/>
      <x:c r="B77" s="52"/>
      <x:c r="C77" s="52"/>
      <x:c r="D77" s="52"/>
      <x:c r="E77" s="52"/>
      <x:c r="F77" s="52"/>
      <x:c r="G77" s="52"/>
      <x:c r="H77" s="52"/>
      <x:c r="I77" s="52"/>
      <x:c r="J77" s="52"/>
      <x:c r="K77" s="52"/>
      <x:c r="L77" s="52"/>
      <x:c r="M77" s="52"/>
      <x:c r="N77" s="52"/>
      <x:c r="O77" s="52"/>
      <x:c r="P77" s="52"/>
      <x:c r="Q77" s="52"/>
      <x:c r="R77" s="52"/>
      <x:c r="S77" s="52"/>
      <x:c r="T77" s="52"/>
    </x:row>
    <x:row r="78" s="1" customFormat="1" ht="12.75" hidden="0" customHeight="1">
      <x:c r="A78" s="52"/>
      <x:c r="B78" s="52"/>
      <x:c r="C78" s="52"/>
      <x:c r="D78" s="52"/>
      <x:c r="E78" s="52"/>
      <x:c r="F78" s="52"/>
      <x:c r="G78" s="52"/>
      <x:c r="H78" s="52"/>
      <x:c r="I78" s="52"/>
      <x:c r="J78" s="52"/>
      <x:c r="K78" s="52"/>
      <x:c r="L78" s="52"/>
      <x:c r="M78" s="52"/>
      <x:c r="N78" s="52"/>
      <x:c r="O78" s="52"/>
      <x:c r="P78" s="52"/>
      <x:c r="Q78" s="52"/>
      <x:c r="R78" s="52"/>
      <x:c r="S78" s="52"/>
      <x:c r="T78" s="52"/>
    </x:row>
    <x:row r="79" s="1" customFormat="1" ht="12.75" hidden="0" customHeight="1">
      <x:c r="A79" s="52"/>
      <x:c r="B79" s="52"/>
      <x:c r="C79" s="52"/>
      <x:c r="D79" s="52"/>
      <x:c r="E79" s="52"/>
      <x:c r="F79" s="52"/>
      <x:c r="G79" s="52"/>
      <x:c r="H79" s="52"/>
      <x:c r="I79" s="52"/>
      <x:c r="J79" s="52"/>
      <x:c r="K79" s="52"/>
      <x:c r="L79" s="52"/>
      <x:c r="M79" s="52"/>
      <x:c r="N79" s="52"/>
      <x:c r="O79" s="52"/>
      <x:c r="P79" s="52"/>
      <x:c r="Q79" s="52"/>
      <x:c r="R79" s="52"/>
      <x:c r="S79" s="52"/>
      <x:c r="T79" s="52"/>
    </x:row>
    <x:row r="80" s="1" customFormat="1" ht="12.75" hidden="0" customHeight="1">
      <x:c r="A80" s="52"/>
      <x:c r="B80" s="52"/>
      <x:c r="C80" s="52"/>
      <x:c r="D80" s="52"/>
      <x:c r="E80" s="52"/>
      <x:c r="F80" s="52"/>
      <x:c r="G80" s="52"/>
      <x:c r="H80" s="52"/>
      <x:c r="I80" s="52"/>
      <x:c r="J80" s="52"/>
      <x:c r="K80" s="52"/>
      <x:c r="L80" s="52"/>
      <x:c r="M80" s="52"/>
      <x:c r="N80" s="52"/>
      <x:c r="O80" s="52"/>
      <x:c r="P80" s="52"/>
      <x:c r="Q80" s="52"/>
      <x:c r="R80" s="52"/>
      <x:c r="S80" s="52"/>
      <x:c r="T80" s="52"/>
    </x:row>
  </x:sheetData>
  <x:mergeCells>
    <x:mergeCell ref="A1:H1"/>
  </x:mergeCells>
  <x:pageMargins left="0.7" right="0.7" top="0.75" bottom="0.75" header="0.3" footer="0.3"/>
</x:worksheet>
</file>

<file path=xl/worksheets/sheet13.xml><?xml version="1.0" encoding="utf-8"?>
<x:worksheet xmlns:x="http://schemas.openxmlformats.org/spreadsheetml/2006/main">
  <x:sheetViews>
    <x:sheetView showGridLines="1" workbookViewId="0"/>
  </x:sheetViews>
  <x:sheetFormatPr defaultColWidth="8.66796875" defaultRowHeight="12.75"/>
  <x:cols>
    <x:col min="1" max="1" width="36" style="1" hidden="0" customWidth="1"/>
    <x:col min="2" max="4" width="16" style="1" hidden="0" customWidth="1"/>
    <x:col min="5" max="5" width="32" style="1" hidden="0" customWidth="1"/>
    <x:col min="6" max="14" width="16" style="1" hidden="0" customWidth="1"/>
    <x:col min="15" max="15" width="20" style="1" hidden="0" customWidth="1"/>
    <x:col min="16" max="16" width="34" style="1" hidden="0" customWidth="1"/>
    <x:col min="17" max="17" width="24" style="1" hidden="0" customWidth="1"/>
    <x:col min="18" max="18" width="18" style="1" hidden="0" customWidth="1"/>
    <x:col min="19" max="19" width="24" style="1" hidden="0" customWidth="1"/>
    <x:col min="20" max="20" width="40" style="1" hidden="0" customWidth="1"/>
    <x:col min="21" max="22" width="18" style="1" hidden="0" customWidth="1"/>
    <x:col min="23" max="23" width="42" style="1" hidden="0" customWidth="1"/>
    <x:col min="24" max="24" width="16" style="1" hidden="0" customWidth="1"/>
  </x:cols>
  <x:sheetData>
    <x:row r="1" s="1" customFormat="1" ht="14.25" hidden="0" customHeight="1">
      <x:c r="A1" s="2" t="s">
        <x:v>1056</x:v>
      </x:c>
      <x:c r="B1" s="2"/>
      <x:c r="C1" s="2"/>
      <x:c r="D1" s="2"/>
      <x:c r="E1" s="2"/>
      <x:c r="F1" s="2"/>
      <x:c r="G1" s="2"/>
      <x:c r="H1" s="2"/>
      <x:c r="I1" s="2"/>
      <x:c r="J1" s="2"/>
      <x:c r="K1" s="2"/>
      <x:c r="L1" s="2"/>
      <x:c r="M1" s="2"/>
      <x:c r="N1" s="2"/>
      <x:c r="O1" s="3"/>
      <x:c r="P1" s="3"/>
      <x:c r="Q1" s="3"/>
      <x:c r="R1" s="3"/>
      <x:c r="S1" s="3"/>
      <x:c r="T1" s="3"/>
      <x:c r="U1" s="3"/>
      <x:c r="V1" s="3"/>
      <x:c r="W1" s="3"/>
      <x:c r="X1" s="3"/>
    </x:row>
    <x:row r="2" s="1" customFormat="1" ht="13.5" hidden="0" customHeight="1">
      <x:c r="A2" s="6"/>
      <x:c r="B2" s="6"/>
      <x:c r="C2" s="6"/>
      <x:c r="D2" s="6"/>
      <x:c r="E2" s="6"/>
      <x:c r="F2" s="6"/>
      <x:c r="G2" s="6"/>
      <x:c r="H2" s="6"/>
      <x:c r="I2" s="6"/>
      <x:c r="J2" s="6"/>
      <x:c r="K2" s="6"/>
      <x:c r="L2" s="6"/>
      <x:c r="M2" s="6"/>
      <x:c r="N2" s="6"/>
      <x:c r="O2" s="6"/>
      <x:c r="P2" s="6"/>
      <x:c r="Q2" s="6"/>
      <x:c r="R2" s="6"/>
      <x:c r="S2" s="6"/>
      <x:c r="T2" s="6"/>
      <x:c r="U2" s="6"/>
      <x:c r="V2" s="6"/>
      <x:c r="W2" s="6"/>
      <x:c r="X2" s="6"/>
    </x:row>
    <x:row r="3" s="1" customFormat="1" ht="14.25" hidden="0" customHeight="1">
      <x:c r="A3" s="7" t="s">
        <x:v>1057</x:v>
      </x:c>
      <x:c r="B3" s="6"/>
      <x:c r="C3" s="6"/>
      <x:c r="D3" s="6"/>
      <x:c r="E3" s="6"/>
      <x:c r="F3" s="6"/>
      <x:c r="G3" s="6"/>
      <x:c r="H3" s="6"/>
      <x:c r="I3" s="6"/>
      <x:c r="J3" s="6"/>
      <x:c r="K3" s="6"/>
      <x:c r="L3" s="6"/>
      <x:c r="M3" s="6"/>
      <x:c r="N3" s="6"/>
      <x:c r="O3" s="8" t="s">
        <x:v>1058</x:v>
      </x:c>
      <x:c r="P3" s="6"/>
      <x:c r="Q3" s="6"/>
      <x:c r="R3" s="8" t="s">
        <x:v>1059</x:v>
      </x:c>
      <x:c r="S3" s="6"/>
      <x:c r="T3" s="6"/>
      <x:c r="U3" s="6"/>
      <x:c r="V3" s="6"/>
      <x:c r="W3" s="6"/>
      <x:c r="X3" s="6"/>
    </x:row>
    <x:row r="4" s="1" customFormat="1" ht="14.25" hidden="0" customHeight="1">
      <x:c r="A4" s="7" t="s">
        <x:v>1060</x:v>
      </x:c>
      <x:c r="B4" s="6"/>
      <x:c r="C4" s="6"/>
      <x:c r="D4" s="6"/>
      <x:c r="E4" s="6"/>
      <x:c r="F4" s="6"/>
      <x:c r="G4" s="6"/>
      <x:c r="H4" s="6"/>
      <x:c r="I4" s="6"/>
      <x:c r="J4" s="6"/>
      <x:c r="K4" s="6"/>
      <x:c r="L4" s="6"/>
      <x:c r="M4" s="6"/>
      <x:c r="N4" s="6"/>
      <x:c r="O4" s="6"/>
      <x:c r="P4" s="6"/>
      <x:c r="Q4" s="6"/>
      <x:c r="R4" s="6"/>
      <x:c r="S4" s="6"/>
      <x:c r="T4" s="6"/>
      <x:c r="U4" s="6"/>
      <x:c r="V4" s="6"/>
      <x:c r="W4" s="6"/>
      <x:c r="X4" s="6"/>
    </x:row>
    <x:row r="5" s="1" customFormat="1" ht="13.5" hidden="0" customHeight="1">
      <x:c r="A5" s="6"/>
      <x:c r="B5" s="6"/>
      <x:c r="C5" s="6"/>
      <x:c r="D5" s="6"/>
      <x:c r="E5" s="6"/>
      <x:c r="F5" s="6"/>
      <x:c r="G5" s="6"/>
      <x:c r="H5" s="6"/>
      <x:c r="I5" s="6"/>
      <x:c r="J5" s="6"/>
      <x:c r="K5" s="6"/>
      <x:c r="L5" s="6"/>
      <x:c r="M5" s="6"/>
      <x:c r="N5" s="6"/>
      <x:c r="O5" s="6"/>
      <x:c r="P5" s="6"/>
      <x:c r="Q5" s="6"/>
      <x:c r="R5" s="6"/>
      <x:c r="S5" s="6"/>
      <x:c r="T5" s="6"/>
      <x:c r="U5" s="6"/>
      <x:c r="V5" s="6"/>
      <x:c r="W5" s="6"/>
      <x:c r="X5" s="6"/>
    </x:row>
    <x:row r="6" s="1" customFormat="1" ht="14.25" hidden="0" customHeight="1">
      <x:c r="A6" s="7" t="s">
        <x:v>1061</x:v>
      </x:c>
      <x:c r="B6" s="5" t="s">
        <x:v>1062</x:v>
      </x:c>
      <x:c r="C6" s="5" t="s">
        <x:v>853</x:v>
      </x:c>
      <x:c r="D6" s="5" t="s">
        <x:v>1063</x:v>
      </x:c>
      <x:c r="E6" s="5" t="s">
        <x:v>1024</x:v>
      </x:c>
      <x:c r="F6" s="5" t="s">
        <x:v>1064</x:v>
      </x:c>
      <x:c r="G6" s="5" t="s">
        <x:v>1065</x:v>
      </x:c>
      <x:c r="H6" s="5" t="s">
        <x:v>1066</x:v>
      </x:c>
      <x:c r="I6" s="5" t="s">
        <x:v>1067</x:v>
      </x:c>
      <x:c r="J6" s="5" t="s">
        <x:v>1068</x:v>
      </x:c>
      <x:c r="K6" s="5" t="s">
        <x:v>1069</x:v>
      </x:c>
      <x:c r="L6" s="5" t="s">
        <x:v>1070</x:v>
      </x:c>
      <x:c r="M6" s="5" t="s">
        <x:v>1071</x:v>
      </x:c>
      <x:c r="N6" s="5" t="s">
        <x:v>1072</x:v>
      </x:c>
      <x:c r="O6" s="5" t="s">
        <x:v>1073</x:v>
      </x:c>
      <x:c r="P6" s="5" t="s">
        <x:v>1074</x:v>
      </x:c>
      <x:c r="Q6" s="5" t="s">
        <x:v>1075</x:v>
      </x:c>
      <x:c r="R6" s="5" t="s">
        <x:v>1076</x:v>
      </x:c>
      <x:c r="S6" s="5" t="s">
        <x:v>1077</x:v>
      </x:c>
      <x:c r="T6" s="5" t="s">
        <x:v>1078</x:v>
      </x:c>
      <x:c r="U6" s="5" t="s">
        <x:v>1079</x:v>
      </x:c>
      <x:c r="V6" s="5" t="s">
        <x:v>1080</x:v>
      </x:c>
      <x:c r="W6" s="5" t="s">
        <x:v>1081</x:v>
      </x:c>
      <x:c r="X6" s="5" t="s">
        <x:v>1082</x:v>
      </x:c>
    </x:row>
    <x:row r="7" s="1" customFormat="1" ht="14.25" hidden="0" customHeight="1">
      <x:c r="A7" s="7" t="s">
        <x:v>1083</x:v>
      </x:c>
      <x:c r="B7" s="8" t="s">
        <x:v>953</x:v>
      </x:c>
      <x:c r="C7" s="8" t="s">
        <x:v>965</x:v>
      </x:c>
      <x:c r="D7" s="8" t="s">
        <x:v>972</x:v>
      </x:c>
      <x:c r="E7" s="8" t="s">
        <x:v>1084</x:v>
      </x:c>
      <x:c r="F7" s="8" t="n">
        <x:v>-0.3</x:v>
      </x:c>
      <x:c r="G7" s="8" t="n">
        <x:v>0.8</x:v>
      </x:c>
      <x:c r="H7" s="8" t="n">
        <x:v>0.7</x:v>
      </x:c>
      <x:c r="I7" s="8" t="n">
        <x:v>0.5</x:v>
      </x:c>
      <x:c r="J7" s="8" t="n">
        <x:v>5</x:v>
      </x:c>
      <x:c r="K7" s="8" t="n">
        <x:v>1</x:v>
      </x:c>
      <x:c r="L7" s="8" t="n">
        <x:v>1</x:v>
      </x:c>
      <x:c r="M7" s="70" t="n">
        <x:f aca="0">MIN(1, LN(1+MAX(J7, CANON!$B$27)) / LN(1+CANON!$B$25))</x:f>
        <x:v>0.5499405706118586</x:v>
      </x:c>
      <x:c r="N7" s="72" t="n">
        <x:f aca="0">F7*G7*H7*I7*K7*L7*M7</x:f>
        <x:v>-0.04619500793139612</x:v>
      </x:c>
      <x:c r="O7" s="72" t="s">
        <x:v>1085</x:v>
      </x:c>
      <x:c r="P7" s="72" t="s">
        <x:v>1086</x:v>
      </x:c>
      <x:c r="Q7" s="72" t="s">
        <x:v>1087</x:v>
      </x:c>
      <x:c r="R7" s="72" t="s">
        <x:v>1088</x:v>
      </x:c>
      <x:c r="S7" s="72" t="n">
        <x:v>1</x:v>
      </x:c>
      <x:c r="T7" s="72" t="s">
        <x:v>1089</x:v>
      </x:c>
      <x:c r="U7" s="8" t="n">
        <x:f aca="0">F7*G7*H7*I7*K7*1*M7</x:f>
        <x:v>-0.04619500793139612</x:v>
      </x:c>
      <x:c r="V7" s="8" t="n">
        <x:f aca="0">F7*G7*H7*I7*K7*L7*M7</x:f>
        <x:v>-0.04619500793139612</x:v>
      </x:c>
      <x:c r="W7" s="8" t="s">
        <x:v>1090</x:v>
      </x:c>
      <x:c r="X7" s="8" t="s">
        <x:v>1091</x:v>
      </x:c>
    </x:row>
    <x:row r="8" s="1" customFormat="1" ht="14.25" hidden="0" customHeight="1">
      <x:c r="A8" s="7" t="s">
        <x:v>1092</x:v>
      </x:c>
      <x:c r="B8" s="5" t="s">
        <x:v>953</x:v>
      </x:c>
      <x:c r="C8" s="5" t="s">
        <x:v>965</x:v>
      </x:c>
      <x:c r="D8" s="5" t="s">
        <x:v>972</x:v>
      </x:c>
      <x:c r="E8" s="5" t="s">
        <x:v>1093</x:v>
      </x:c>
      <x:c r="F8" s="5" t="n">
        <x:v>0.15</x:v>
      </x:c>
      <x:c r="G8" s="5" t="n">
        <x:v>0.6</x:v>
      </x:c>
      <x:c r="H8" s="5" t="n">
        <x:v>0.5</x:v>
      </x:c>
      <x:c r="I8" s="5" t="n">
        <x:v>0.3</x:v>
      </x:c>
      <x:c r="J8" s="5" t="n">
        <x:v>3</x:v>
      </x:c>
      <x:c r="K8" s="5" t="n">
        <x:v>1</x:v>
      </x:c>
      <x:c r="L8" s="5" t="n">
        <x:v>1</x:v>
      </x:c>
      <x:c r="M8" s="71" t="n">
        <x:f aca="0">MIN(1, LN(1+MAX(J8, CANON!$B$27)) / LN(1+CANON!$B$25))</x:f>
        <x:v>0.4254921071067263</x:v>
      </x:c>
      <x:c r="N8" s="73" t="n">
        <x:f aca="0">F8*G8*H8*I8*K8*L8*M8</x:f>
        <x:v>0.005744143445940805</x:v>
      </x:c>
      <x:c r="O8" s="73" t="s">
        <x:v>1085</x:v>
      </x:c>
      <x:c r="P8" s="73" t="s">
        <x:v>1086</x:v>
      </x:c>
      <x:c r="Q8" s="73" t="s">
        <x:v>1087</x:v>
      </x:c>
      <x:c r="R8" s="73" t="s">
        <x:v>1088</x:v>
      </x:c>
      <x:c r="S8" s="73" t="n">
        <x:v>1</x:v>
      </x:c>
      <x:c r="T8" s="73" t="s">
        <x:v>1089</x:v>
      </x:c>
      <x:c r="U8" s="5" t="n">
        <x:f aca="0">F8*G8*H8*I8*K8*1*M8</x:f>
        <x:v>0.005744143445940805</x:v>
      </x:c>
      <x:c r="V8" s="5" t="n">
        <x:f aca="0">F8*G8*H8*I8*K8*L8*M8</x:f>
        <x:v>0.005744143445940805</x:v>
      </x:c>
      <x:c r="W8" s="5" t="s">
        <x:v>1090</x:v>
      </x:c>
      <x:c r="X8" s="5" t="s">
        <x:v>1091</x:v>
      </x:c>
    </x:row>
    <x:row r="9" s="1" customFormat="1" ht="14.25" hidden="0" customHeight="1">
      <x:c r="A9" s="7" t="s">
        <x:v>1094</x:v>
      </x:c>
      <x:c r="B9" s="8" t="s">
        <x:v>953</x:v>
      </x:c>
      <x:c r="C9" s="8" t="s">
        <x:v>962</x:v>
      </x:c>
      <x:c r="D9" s="8" t="s">
        <x:v>971</x:v>
      </x:c>
      <x:c r="E9" s="8" t="s">
        <x:v>1095</x:v>
      </x:c>
      <x:c r="F9" s="8" t="n">
        <x:v>0.4</x:v>
      </x:c>
      <x:c r="G9" s="8" t="n">
        <x:v>0.9</x:v>
      </x:c>
      <x:c r="H9" s="8" t="n">
        <x:v>0.8</x:v>
      </x:c>
      <x:c r="I9" s="8" t="n">
        <x:v>0.6</x:v>
      </x:c>
      <x:c r="J9" s="8" t="n">
        <x:v>10</x:v>
      </x:c>
      <x:c r="K9" s="8" t="n">
        <x:v>1</x:v>
      </x:c>
      <x:c r="L9" s="8" t="n">
        <x:v>1</x:v>
      </x:c>
      <x:c r="M9" s="70" t="n">
        <x:f aca="0">MIN(1, LN(1+MAX(J9, CANON!$B$27)) / LN(1+CANON!$B$25))</x:f>
        <x:v>0.7359804244028082</x:v>
      </x:c>
      <x:c r="N9" s="72" t="n">
        <x:f aca="0">F9*G9*H9*I9*K9*L9*M9</x:f>
        <x:v>0.12717741733680527</x:v>
      </x:c>
      <x:c r="O9" s="72" t="s">
        <x:v>1085</x:v>
      </x:c>
      <x:c r="P9" s="72" t="s">
        <x:v>1086</x:v>
      </x:c>
      <x:c r="Q9" s="72" t="s">
        <x:v>1087</x:v>
      </x:c>
      <x:c r="R9" s="72" t="s">
        <x:v>1088</x:v>
      </x:c>
      <x:c r="S9" s="72" t="n">
        <x:v>1</x:v>
      </x:c>
      <x:c r="T9" s="72" t="s">
        <x:v>1089</x:v>
      </x:c>
      <x:c r="U9" s="8" t="n">
        <x:f aca="0">F9*G9*H9*I9*K9*1*M9</x:f>
        <x:v>0.12717741733680527</x:v>
      </x:c>
      <x:c r="V9" s="8" t="n">
        <x:f aca="0">F9*G9*H9*I9*K9*L9*M9</x:f>
        <x:v>0.12717741733680527</x:v>
      </x:c>
      <x:c r="W9" s="8" t="s">
        <x:v>1090</x:v>
      </x:c>
      <x:c r="X9" s="8" t="s">
        <x:v>1091</x:v>
      </x:c>
    </x:row>
    <x:row r="10" s="1" customFormat="1" ht="14.25" hidden="0" customHeight="1">
      <x:c r="A10" s="7" t="s">
        <x:v>1096</x:v>
      </x:c>
      <x:c r="B10" s="5" t="s">
        <x:v>953</x:v>
      </x:c>
      <x:c r="C10" s="5" t="s">
        <x:v>964</x:v>
      </x:c>
      <x:c r="D10" s="5" t="s">
        <x:v>973</x:v>
      </x:c>
      <x:c r="E10" s="5" t="s">
        <x:v>1097</x:v>
      </x:c>
      <x:c r="F10" s="5" t="n">
        <x:v>0.25</x:v>
      </x:c>
      <x:c r="G10" s="5" t="n">
        <x:v>0.7</x:v>
      </x:c>
      <x:c r="H10" s="5" t="n">
        <x:v>0.6</x:v>
      </x:c>
      <x:c r="I10" s="5" t="n">
        <x:v>0.4</x:v>
      </x:c>
      <x:c r="J10" s="5" t="n">
        <x:v>5</x:v>
      </x:c>
      <x:c r="K10" s="5" t="n">
        <x:v>1</x:v>
      </x:c>
      <x:c r="L10" s="5" t="n">
        <x:v>1</x:v>
      </x:c>
      <x:c r="M10" s="71" t="n">
        <x:f aca="0">MIN(1, LN(1+MAX(J10, CANON!$B$27)) / LN(1+CANON!$B$25))</x:f>
        <x:v>0.5499405706118586</x:v>
      </x:c>
      <x:c r="N10" s="73" t="n">
        <x:f aca="0">F10*G10*H10*I10*K10*L10*M10</x:f>
        <x:v>0.023097503965698065</x:v>
      </x:c>
      <x:c r="O10" s="73" t="s">
        <x:v>1085</x:v>
      </x:c>
      <x:c r="P10" s="73" t="s">
        <x:v>1086</x:v>
      </x:c>
      <x:c r="Q10" s="73" t="s">
        <x:v>1087</x:v>
      </x:c>
      <x:c r="R10" s="73" t="s">
        <x:v>1088</x:v>
      </x:c>
      <x:c r="S10" s="73" t="n">
        <x:v>1</x:v>
      </x:c>
      <x:c r="T10" s="73" t="s">
        <x:v>1089</x:v>
      </x:c>
      <x:c r="U10" s="5" t="n">
        <x:f aca="0">F10*G10*H10*I10*K10*1*M10</x:f>
        <x:v>0.023097503965698065</x:v>
      </x:c>
      <x:c r="V10" s="5" t="n">
        <x:f aca="0">F10*G10*H10*I10*K10*L10*M10</x:f>
        <x:v>0.023097503965698065</x:v>
      </x:c>
      <x:c r="W10" s="5" t="s">
        <x:v>1090</x:v>
      </x:c>
      <x:c r="X10" s="5" t="s">
        <x:v>1091</x:v>
      </x:c>
    </x:row>
    <x:row r="11" s="1" customFormat="1" ht="14.25" hidden="0" customHeight="1">
      <x:c r="A11" s="7" t="s">
        <x:v>1098</x:v>
      </x:c>
      <x:c r="B11" s="8" t="s">
        <x:v>953</x:v>
      </x:c>
      <x:c r="C11" s="8" t="s">
        <x:v>962</x:v>
      </x:c>
      <x:c r="D11" s="8" t="s">
        <x:v>1099</x:v>
      </x:c>
      <x:c r="E11" s="8" t="s">
        <x:v>1100</x:v>
      </x:c>
      <x:c r="F11" s="8" t="n">
        <x:v>0.35</x:v>
      </x:c>
      <x:c r="G11" s="8" t="n">
        <x:v>0.8</x:v>
      </x:c>
      <x:c r="H11" s="8" t="n">
        <x:v>0.7</x:v>
      </x:c>
      <x:c r="I11" s="8" t="n">
        <x:v>0.5</x:v>
      </x:c>
      <x:c r="J11" s="8" t="n">
        <x:v>10</x:v>
      </x:c>
      <x:c r="K11" s="8" t="n">
        <x:v>1</x:v>
      </x:c>
      <x:c r="L11" s="8" t="n">
        <x:v>1</x:v>
      </x:c>
      <x:c r="M11" s="70" t="n">
        <x:f aca="0">MIN(1, LN(1+MAX(J11, CANON!$B$27)) / LN(1+CANON!$B$25))</x:f>
        <x:v>0.7359804244028082</x:v>
      </x:c>
      <x:c r="N11" s="72" t="n">
        <x:f aca="0">F11*G11*H11*I11*K11*L11*M11</x:f>
        <x:v>0.0721260815914752</x:v>
      </x:c>
      <x:c r="O11" s="72" t="s">
        <x:v>1085</x:v>
      </x:c>
      <x:c r="P11" s="72" t="s">
        <x:v>1086</x:v>
      </x:c>
      <x:c r="Q11" s="72" t="s">
        <x:v>1087</x:v>
      </x:c>
      <x:c r="R11" s="72" t="s">
        <x:v>1088</x:v>
      </x:c>
      <x:c r="S11" s="72" t="n">
        <x:v>1</x:v>
      </x:c>
      <x:c r="T11" s="72" t="s">
        <x:v>1089</x:v>
      </x:c>
      <x:c r="U11" s="8" t="n">
        <x:f aca="0">F11*G11*H11*I11*K11*1*M11</x:f>
        <x:v>0.0721260815914752</x:v>
      </x:c>
      <x:c r="V11" s="8" t="n">
        <x:f aca="0">F11*G11*H11*I11*K11*L11*M11</x:f>
        <x:v>0.0721260815914752</x:v>
      </x:c>
      <x:c r="W11" s="8" t="s">
        <x:v>1090</x:v>
      </x:c>
      <x:c r="X11" s="8" t="s">
        <x:v>1091</x:v>
      </x:c>
    </x:row>
    <x:row r="12" s="1" customFormat="1" ht="14.25" hidden="0" customHeight="1">
      <x:c r="A12" s="7" t="s">
        <x:v>1101</x:v>
      </x:c>
      <x:c r="B12" s="5" t="s">
        <x:v>953</x:v>
      </x:c>
      <x:c r="C12" s="5" t="s">
        <x:v>970</x:v>
      </x:c>
      <x:c r="D12" s="5" t="s">
        <x:v>969</x:v>
      </x:c>
      <x:c r="E12" s="5" t="s">
        <x:v>1102</x:v>
      </x:c>
      <x:c r="F12" s="5" t="n">
        <x:v>0.15</x:v>
      </x:c>
      <x:c r="G12" s="5" t="n">
        <x:v>0.5</x:v>
      </x:c>
      <x:c r="H12" s="5" t="n">
        <x:v>0.4</x:v>
      </x:c>
      <x:c r="I12" s="5" t="n">
        <x:v>0.3</x:v>
      </x:c>
      <x:c r="J12" s="5" t="n">
        <x:v>15</x:v>
      </x:c>
      <x:c r="K12" s="5" t="n">
        <x:v>1</x:v>
      </x:c>
      <x:c r="L12" s="5" t="n">
        <x:v>1</x:v>
      </x:c>
      <x:c r="M12" s="71" t="n">
        <x:f aca="0">MIN(1, LN(1+MAX(J12, CANON!$B$27)) / LN(1+CANON!$B$25))</x:f>
        <x:v>0.8509842142134526</x:v>
      </x:c>
      <x:c r="N12" s="73" t="n">
        <x:f aca="0">F12*G12*H12*I12*K12*L12*M12</x:f>
        <x:v>0.007658857927921073</x:v>
      </x:c>
      <x:c r="O12" s="73" t="s">
        <x:v>1085</x:v>
      </x:c>
      <x:c r="P12" s="73" t="s">
        <x:v>1086</x:v>
      </x:c>
      <x:c r="Q12" s="73" t="s">
        <x:v>1087</x:v>
      </x:c>
      <x:c r="R12" s="73" t="s">
        <x:v>1088</x:v>
      </x:c>
      <x:c r="S12" s="73" t="n">
        <x:v>1</x:v>
      </x:c>
      <x:c r="T12" s="73" t="s">
        <x:v>1089</x:v>
      </x:c>
      <x:c r="U12" s="5" t="n">
        <x:f aca="0">F12*G12*H12*I12*K12*1*M12</x:f>
        <x:v>0.007658857927921073</x:v>
      </x:c>
      <x:c r="V12" s="5" t="n">
        <x:f aca="0">F12*G12*H12*I12*K12*L12*M12</x:f>
        <x:v>0.007658857927921073</x:v>
      </x:c>
      <x:c r="W12" s="5" t="s">
        <x:v>1090</x:v>
      </x:c>
      <x:c r="X12" s="5" t="s">
        <x:v>1091</x:v>
      </x:c>
    </x:row>
    <x:row r="13" s="1" customFormat="1" ht="14.25" hidden="0" customHeight="1">
      <x:c r="A13" s="7" t="s">
        <x:v>1103</x:v>
      </x:c>
      <x:c r="B13" s="8" t="s">
        <x:v>953</x:v>
      </x:c>
      <x:c r="C13" s="8" t="s">
        <x:v>966</x:v>
      </x:c>
      <x:c r="D13" s="8" t="s">
        <x:v>973</x:v>
      </x:c>
      <x:c r="E13" s="8" t="s">
        <x:v>1104</x:v>
      </x:c>
      <x:c r="F13" s="8" t="n">
        <x:v>-0.2</x:v>
      </x:c>
      <x:c r="G13" s="8" t="n">
        <x:v>0.9</x:v>
      </x:c>
      <x:c r="H13" s="8" t="n">
        <x:v>0.8</x:v>
      </x:c>
      <x:c r="I13" s="8" t="n">
        <x:v>0.7</x:v>
      </x:c>
      <x:c r="J13" s="8" t="n">
        <x:v>3</x:v>
      </x:c>
      <x:c r="K13" s="8" t="n">
        <x:v>1</x:v>
      </x:c>
      <x:c r="L13" s="8" t="n">
        <x:v>1</x:v>
      </x:c>
      <x:c r="M13" s="70" t="n">
        <x:f aca="0">MIN(1, LN(1+MAX(J13, CANON!$B$27)) / LN(1+CANON!$B$25))</x:f>
        <x:v>0.4254921071067263</x:v>
      </x:c>
      <x:c r="N13" s="72" t="n">
        <x:f aca="0">F13*G13*H13*I13*K13*L13*M13</x:f>
        <x:v>-0.042889604396358014</x:v>
      </x:c>
      <x:c r="O13" s="72" t="s">
        <x:v>1085</x:v>
      </x:c>
      <x:c r="P13" s="72" t="s">
        <x:v>1086</x:v>
      </x:c>
      <x:c r="Q13" s="72" t="s">
        <x:v>1087</x:v>
      </x:c>
      <x:c r="R13" s="72" t="s">
        <x:v>1088</x:v>
      </x:c>
      <x:c r="S13" s="72" t="n">
        <x:v>1</x:v>
      </x:c>
      <x:c r="T13" s="72" t="s">
        <x:v>1089</x:v>
      </x:c>
      <x:c r="U13" s="8" t="n">
        <x:f aca="0">F13*G13*H13*I13*K13*1*M13</x:f>
        <x:v>-0.042889604396358014</x:v>
      </x:c>
      <x:c r="V13" s="8" t="n">
        <x:f aca="0">F13*G13*H13*I13*K13*L13*M13</x:f>
        <x:v>-0.042889604396358014</x:v>
      </x:c>
      <x:c r="W13" s="8" t="s">
        <x:v>1090</x:v>
      </x:c>
      <x:c r="X13" s="8" t="s">
        <x:v>1091</x:v>
      </x:c>
    </x:row>
    <x:row r="14" s="1" customFormat="1" ht="14.25" hidden="0" customHeight="1">
      <x:c r="A14" s="7" t="s">
        <x:v>1105</x:v>
      </x:c>
      <x:c r="B14" s="5" t="s">
        <x:v>953</x:v>
      </x:c>
      <x:c r="C14" s="5" t="s">
        <x:v>965</x:v>
      </x:c>
      <x:c r="D14" s="5" t="s">
        <x:v>973</x:v>
      </x:c>
      <x:c r="E14" s="5" t="s">
        <x:v>1106</x:v>
      </x:c>
      <x:c r="F14" s="5" t="n">
        <x:v>-0.15</x:v>
      </x:c>
      <x:c r="G14" s="5" t="n">
        <x:v>0.6</x:v>
      </x:c>
      <x:c r="H14" s="5" t="n">
        <x:v>0.5</x:v>
      </x:c>
      <x:c r="I14" s="5" t="n">
        <x:v>0.4</x:v>
      </x:c>
      <x:c r="J14" s="5" t="n">
        <x:v>5</x:v>
      </x:c>
      <x:c r="K14" s="5" t="n">
        <x:v>1</x:v>
      </x:c>
      <x:c r="L14" s="5" t="n">
        <x:v>1</x:v>
      </x:c>
      <x:c r="M14" s="71" t="n">
        <x:f aca="0">MIN(1, LN(1+MAX(J14, CANON!$B$27)) / LN(1+CANON!$B$25))</x:f>
        <x:v>0.5499405706118586</x:v>
      </x:c>
      <x:c r="N14" s="73" t="n">
        <x:f aca="0">F14*G14*H14*I14*K14*L14*M14</x:f>
        <x:v>-0.009898930271013455</x:v>
      </x:c>
      <x:c r="O14" s="73" t="s">
        <x:v>1085</x:v>
      </x:c>
      <x:c r="P14" s="73" t="s">
        <x:v>1086</x:v>
      </x:c>
      <x:c r="Q14" s="73" t="s">
        <x:v>1087</x:v>
      </x:c>
      <x:c r="R14" s="73" t="s">
        <x:v>1088</x:v>
      </x:c>
      <x:c r="S14" s="73" t="n">
        <x:v>1</x:v>
      </x:c>
      <x:c r="T14" s="73" t="s">
        <x:v>1089</x:v>
      </x:c>
      <x:c r="U14" s="5" t="n">
        <x:f aca="0">F14*G14*H14*I14*K14*1*M14</x:f>
        <x:v>-0.009898930271013455</x:v>
      </x:c>
      <x:c r="V14" s="5" t="n">
        <x:f aca="0">F14*G14*H14*I14*K14*L14*M14</x:f>
        <x:v>-0.009898930271013455</x:v>
      </x:c>
      <x:c r="W14" s="5" t="s">
        <x:v>1090</x:v>
      </x:c>
      <x:c r="X14" s="5" t="s">
        <x:v>1091</x:v>
      </x:c>
    </x:row>
    <x:row r="15" s="1" customFormat="1" ht="14.25" hidden="0" customHeight="1">
      <x:c r="A15" s="7" t="s">
        <x:v>1107</x:v>
      </x:c>
      <x:c r="B15" s="8" t="s">
        <x:v>1108</x:v>
      </x:c>
      <x:c r="C15" s="8" t="s">
        <x:v>965</x:v>
      </x:c>
      <x:c r="D15" s="8" t="s">
        <x:v>972</x:v>
      </x:c>
      <x:c r="E15" s="8" t="s">
        <x:v>1109</x:v>
      </x:c>
      <x:c r="F15" s="8" t="n">
        <x:v>0.2</x:v>
      </x:c>
      <x:c r="G15" s="8" t="n">
        <x:v>0.8</x:v>
      </x:c>
      <x:c r="H15" s="8" t="n">
        <x:v>0.7</x:v>
      </x:c>
      <x:c r="I15" s="8" t="n">
        <x:v>0.5</x:v>
      </x:c>
      <x:c r="J15" s="8" t="n">
        <x:v>5</x:v>
      </x:c>
      <x:c r="K15" s="8" t="n">
        <x:v>1</x:v>
      </x:c>
      <x:c r="L15" s="8" t="n">
        <x:v>1</x:v>
      </x:c>
      <x:c r="M15" s="70" t="n">
        <x:f aca="0">MIN(1, LN(1+MAX(J15, CANON!$B$27)) / LN(1+CANON!$B$25))</x:f>
        <x:v>0.5499405706118586</x:v>
      </x:c>
      <x:c r="N15" s="72" t="n">
        <x:f aca="0">F15*G15*H15*I15*K15*L15*M15</x:f>
        <x:v>0.03079667195426409</x:v>
      </x:c>
      <x:c r="O15" s="72" t="s">
        <x:v>1085</x:v>
      </x:c>
      <x:c r="P15" s="72" t="s">
        <x:v>1086</x:v>
      </x:c>
      <x:c r="Q15" s="72" t="s">
        <x:v>1087</x:v>
      </x:c>
      <x:c r="R15" s="72" t="s">
        <x:v>1088</x:v>
      </x:c>
      <x:c r="S15" s="72" t="n">
        <x:v>1</x:v>
      </x:c>
      <x:c r="T15" s="72" t="s">
        <x:v>1089</x:v>
      </x:c>
      <x:c r="U15" s="8" t="n">
        <x:f aca="0">F15*G15*H15*I15*K15*1*M15</x:f>
        <x:v>0.03079667195426409</x:v>
      </x:c>
      <x:c r="V15" s="8" t="n">
        <x:f aca="0">F15*G15*H15*I15*K15*L15*M15</x:f>
        <x:v>0.03079667195426409</x:v>
      </x:c>
      <x:c r="W15" s="8" t="s">
        <x:v>1090</x:v>
      </x:c>
      <x:c r="X15" s="8" t="s">
        <x:v>1091</x:v>
      </x:c>
    </x:row>
    <x:row r="16" s="1" customFormat="1" ht="14.25" hidden="0" customHeight="1">
      <x:c r="A16" s="7" t="s">
        <x:v>1110</x:v>
      </x:c>
      <x:c r="B16" s="5" t="s">
        <x:v>1108</x:v>
      </x:c>
      <x:c r="C16" s="5" t="s">
        <x:v>962</x:v>
      </x:c>
      <x:c r="D16" s="5" t="s">
        <x:v>971</x:v>
      </x:c>
      <x:c r="E16" s="5" t="s">
        <x:v>1111</x:v>
      </x:c>
      <x:c r="F16" s="5" t="n">
        <x:v>-0.15</x:v>
      </x:c>
      <x:c r="G16" s="5" t="n">
        <x:v>0.7</x:v>
      </x:c>
      <x:c r="H16" s="5" t="n">
        <x:v>0.6</x:v>
      </x:c>
      <x:c r="I16" s="5" t="n">
        <x:v>0.5</x:v>
      </x:c>
      <x:c r="J16" s="5" t="n">
        <x:v>10</x:v>
      </x:c>
      <x:c r="K16" s="5" t="n">
        <x:v>1</x:v>
      </x:c>
      <x:c r="L16" s="5" t="n">
        <x:v>1</x:v>
      </x:c>
      <x:c r="M16" s="71" t="n">
        <x:f aca="0">MIN(1, LN(1+MAX(J16, CANON!$B$27)) / LN(1+CANON!$B$25))</x:f>
        <x:v>0.7359804244028082</x:v>
      </x:c>
      <x:c r="N16" s="73" t="n">
        <x:f aca="0">F16*G16*H16*I16*K16*L16*M16</x:f>
        <x:v>-0.02318338336868846</x:v>
      </x:c>
      <x:c r="O16" s="73" t="s">
        <x:v>1085</x:v>
      </x:c>
      <x:c r="P16" s="73" t="s">
        <x:v>1086</x:v>
      </x:c>
      <x:c r="Q16" s="73" t="s">
        <x:v>1087</x:v>
      </x:c>
      <x:c r="R16" s="73" t="s">
        <x:v>1088</x:v>
      </x:c>
      <x:c r="S16" s="73" t="n">
        <x:v>1</x:v>
      </x:c>
      <x:c r="T16" s="73" t="s">
        <x:v>1089</x:v>
      </x:c>
      <x:c r="U16" s="5" t="n">
        <x:f aca="0">F16*G16*H16*I16*K16*1*M16</x:f>
        <x:v>-0.02318338336868846</x:v>
      </x:c>
      <x:c r="V16" s="5" t="n">
        <x:f aca="0">F16*G16*H16*I16*K16*L16*M16</x:f>
        <x:v>-0.02318338336868846</x:v>
      </x:c>
      <x:c r="W16" s="5" t="s">
        <x:v>1090</x:v>
      </x:c>
      <x:c r="X16" s="5" t="s">
        <x:v>1091</x:v>
      </x:c>
    </x:row>
    <x:row r="17" s="1" customFormat="1" ht="14.25" hidden="0" customHeight="1">
      <x:c r="A17" s="7" t="s">
        <x:v>1112</x:v>
      </x:c>
      <x:c r="B17" s="8" t="s">
        <x:v>1108</x:v>
      </x:c>
      <x:c r="C17" s="8" t="s">
        <x:v>964</x:v>
      </x:c>
      <x:c r="D17" s="8" t="s">
        <x:v>973</x:v>
      </x:c>
      <x:c r="E17" s="8" t="s">
        <x:v>1113</x:v>
      </x:c>
      <x:c r="F17" s="8" t="n">
        <x:v>-0.1</x:v>
      </x:c>
      <x:c r="G17" s="8" t="n">
        <x:v>0.7</x:v>
      </x:c>
      <x:c r="H17" s="8" t="n">
        <x:v>0.6</x:v>
      </x:c>
      <x:c r="I17" s="8" t="n">
        <x:v>0.4</x:v>
      </x:c>
      <x:c r="J17" s="8" t="n">
        <x:v>5</x:v>
      </x:c>
      <x:c r="K17" s="8" t="n">
        <x:v>1</x:v>
      </x:c>
      <x:c r="L17" s="8" t="n">
        <x:v>1</x:v>
      </x:c>
      <x:c r="M17" s="70" t="n">
        <x:f aca="0">MIN(1, LN(1+MAX(J17, CANON!$B$27)) / LN(1+CANON!$B$25))</x:f>
        <x:v>0.5499405706118586</x:v>
      </x:c>
      <x:c r="N17" s="72" t="n">
        <x:f aca="0">F17*G17*H17*I17*K17*L17*M17</x:f>
        <x:v>-0.009239001586279225</x:v>
      </x:c>
      <x:c r="O17" s="72" t="s">
        <x:v>1085</x:v>
      </x:c>
      <x:c r="P17" s="72" t="s">
        <x:v>1086</x:v>
      </x:c>
      <x:c r="Q17" s="72" t="s">
        <x:v>1087</x:v>
      </x:c>
      <x:c r="R17" s="72" t="s">
        <x:v>1088</x:v>
      </x:c>
      <x:c r="S17" s="72" t="n">
        <x:v>1</x:v>
      </x:c>
      <x:c r="T17" s="72" t="s">
        <x:v>1089</x:v>
      </x:c>
      <x:c r="U17" s="8" t="n">
        <x:f aca="0">F17*G17*H17*I17*K17*1*M17</x:f>
        <x:v>-0.009239001586279225</x:v>
      </x:c>
      <x:c r="V17" s="8" t="n">
        <x:f aca="0">F17*G17*H17*I17*K17*L17*M17</x:f>
        <x:v>-0.009239001586279225</x:v>
      </x:c>
      <x:c r="W17" s="8" t="s">
        <x:v>1090</x:v>
      </x:c>
      <x:c r="X17" s="8" t="s">
        <x:v>1091</x:v>
      </x:c>
    </x:row>
    <x:row r="18" s="1" customFormat="1" ht="14.25" hidden="0" customHeight="1">
      <x:c r="A18" s="7" t="s">
        <x:v>1114</x:v>
      </x:c>
      <x:c r="B18" s="5" t="s">
        <x:v>1108</x:v>
      </x:c>
      <x:c r="C18" s="5" t="s">
        <x:v>970</x:v>
      </x:c>
      <x:c r="D18" s="5" t="s">
        <x:v>969</x:v>
      </x:c>
      <x:c r="E18" s="5" t="s">
        <x:v>1115</x:v>
      </x:c>
      <x:c r="F18" s="5" t="n">
        <x:v>-0.1</x:v>
      </x:c>
      <x:c r="G18" s="5" t="n">
        <x:v>0.5</x:v>
      </x:c>
      <x:c r="H18" s="5" t="n">
        <x:v>0.4</x:v>
      </x:c>
      <x:c r="I18" s="5" t="n">
        <x:v>0.3</x:v>
      </x:c>
      <x:c r="J18" s="5" t="n">
        <x:v>15</x:v>
      </x:c>
      <x:c r="K18" s="5" t="n">
        <x:v>1</x:v>
      </x:c>
      <x:c r="L18" s="5" t="n">
        <x:v>1</x:v>
      </x:c>
      <x:c r="M18" s="71" t="n">
        <x:f aca="0">MIN(1, LN(1+MAX(J18, CANON!$B$27)) / LN(1+CANON!$B$25))</x:f>
        <x:v>0.8509842142134526</x:v>
      </x:c>
      <x:c r="N18" s="73" t="n">
        <x:f aca="0">F18*G18*H18*I18*K18*L18*M18</x:f>
        <x:v>-0.005105905285280717</x:v>
      </x:c>
      <x:c r="O18" s="73" t="s">
        <x:v>1085</x:v>
      </x:c>
      <x:c r="P18" s="73" t="s">
        <x:v>1086</x:v>
      </x:c>
      <x:c r="Q18" s="73" t="s">
        <x:v>1087</x:v>
      </x:c>
      <x:c r="R18" s="73" t="s">
        <x:v>1088</x:v>
      </x:c>
      <x:c r="S18" s="73" t="n">
        <x:v>1</x:v>
      </x:c>
      <x:c r="T18" s="73" t="s">
        <x:v>1089</x:v>
      </x:c>
      <x:c r="U18" s="5" t="n">
        <x:f aca="0">F18*G18*H18*I18*K18*1*M18</x:f>
        <x:v>-0.005105905285280717</x:v>
      </x:c>
      <x:c r="V18" s="5" t="n">
        <x:f aca="0">F18*G18*H18*I18*K18*L18*M18</x:f>
        <x:v>-0.005105905285280717</x:v>
      </x:c>
      <x:c r="W18" s="5" t="s">
        <x:v>1090</x:v>
      </x:c>
      <x:c r="X18" s="5" t="s">
        <x:v>1091</x:v>
      </x:c>
    </x:row>
    <x:row r="19" s="1" customFormat="1" ht="14.25" hidden="0" customHeight="1">
      <x:c r="A19" s="7" t="s">
        <x:v>1116</x:v>
      </x:c>
      <x:c r="B19" s="8" t="s">
        <x:v>1108</x:v>
      </x:c>
      <x:c r="C19" s="8" t="s">
        <x:v>966</x:v>
      </x:c>
      <x:c r="D19" s="8" t="s">
        <x:v>973</x:v>
      </x:c>
      <x:c r="E19" s="8" t="s">
        <x:v>1117</x:v>
      </x:c>
      <x:c r="F19" s="8" t="n">
        <x:v>0.1</x:v>
      </x:c>
      <x:c r="G19" s="8" t="n">
        <x:v>0.6</x:v>
      </x:c>
      <x:c r="H19" s="8" t="n">
        <x:v>0.5</x:v>
      </x:c>
      <x:c r="I19" s="8" t="n">
        <x:v>0.4</x:v>
      </x:c>
      <x:c r="J19" s="8" t="n">
        <x:v>3</x:v>
      </x:c>
      <x:c r="K19" s="8" t="n">
        <x:v>1</x:v>
      </x:c>
      <x:c r="L19" s="8" t="n">
        <x:v>1</x:v>
      </x:c>
      <x:c r="M19" s="70" t="n">
        <x:f aca="0">MIN(1, LN(1+MAX(J19, CANON!$B$27)) / LN(1+CANON!$B$25))</x:f>
        <x:v>0.4254921071067263</x:v>
      </x:c>
      <x:c r="N19" s="72" t="n">
        <x:f aca="0">F19*G19*H19*I19*K19*L19*M19</x:f>
        <x:v>0.005105905285280716</x:v>
      </x:c>
      <x:c r="O19" s="72" t="s">
        <x:v>1085</x:v>
      </x:c>
      <x:c r="P19" s="72" t="s">
        <x:v>1086</x:v>
      </x:c>
      <x:c r="Q19" s="72" t="s">
        <x:v>1087</x:v>
      </x:c>
      <x:c r="R19" s="72" t="s">
        <x:v>1088</x:v>
      </x:c>
      <x:c r="S19" s="72" t="n">
        <x:v>1</x:v>
      </x:c>
      <x:c r="T19" s="72" t="s">
        <x:v>1089</x:v>
      </x:c>
      <x:c r="U19" s="8" t="n">
        <x:f aca="0">F19*G19*H19*I19*K19*1*M19</x:f>
        <x:v>0.005105905285280716</x:v>
      </x:c>
      <x:c r="V19" s="8" t="n">
        <x:f aca="0">F19*G19*H19*I19*K19*L19*M19</x:f>
        <x:v>0.005105905285280716</x:v>
      </x:c>
      <x:c r="W19" s="8" t="s">
        <x:v>1090</x:v>
      </x:c>
      <x:c r="X19" s="8" t="s">
        <x:v>1091</x:v>
      </x:c>
    </x:row>
    <x:row r="20" s="1" customFormat="1" ht="14.25" hidden="0" customHeight="1">
      <x:c r="A20" s="7" t="s">
        <x:v>1118</x:v>
      </x:c>
      <x:c r="B20" s="5" t="s">
        <x:v>1108</x:v>
      </x:c>
      <x:c r="C20" s="5" t="s">
        <x:v>965</x:v>
      </x:c>
      <x:c r="D20" s="5" t="s">
        <x:v>973</x:v>
      </x:c>
      <x:c r="E20" s="5" t="s">
        <x:v>1119</x:v>
      </x:c>
      <x:c r="F20" s="5" t="n">
        <x:v>0.1</x:v>
      </x:c>
      <x:c r="G20" s="5" t="n">
        <x:v>0.6</x:v>
      </x:c>
      <x:c r="H20" s="5" t="n">
        <x:v>0.5</x:v>
      </x:c>
      <x:c r="I20" s="5" t="n">
        <x:v>0.4</x:v>
      </x:c>
      <x:c r="J20" s="5" t="n">
        <x:v>5</x:v>
      </x:c>
      <x:c r="K20" s="5" t="n">
        <x:v>1</x:v>
      </x:c>
      <x:c r="L20" s="5" t="n">
        <x:v>1</x:v>
      </x:c>
      <x:c r="M20" s="71" t="n">
        <x:f aca="0">MIN(1, LN(1+MAX(J20, CANON!$B$27)) / LN(1+CANON!$B$25))</x:f>
        <x:v>0.5499405706118586</x:v>
      </x:c>
      <x:c r="N20" s="73" t="n">
        <x:f aca="0">F20*G20*H20*I20*K20*L20*M20</x:f>
        <x:v>0.006599286847342304</x:v>
      </x:c>
      <x:c r="O20" s="73" t="s">
        <x:v>1085</x:v>
      </x:c>
      <x:c r="P20" s="73" t="s">
        <x:v>1086</x:v>
      </x:c>
      <x:c r="Q20" s="73" t="s">
        <x:v>1087</x:v>
      </x:c>
      <x:c r="R20" s="73" t="s">
        <x:v>1088</x:v>
      </x:c>
      <x:c r="S20" s="73" t="n">
        <x:v>1</x:v>
      </x:c>
      <x:c r="T20" s="73" t="s">
        <x:v>1089</x:v>
      </x:c>
      <x:c r="U20" s="5" t="n">
        <x:f aca="0">F20*G20*H20*I20*K20*1*M20</x:f>
        <x:v>0.006599286847342304</x:v>
      </x:c>
      <x:c r="V20" s="5" t="n">
        <x:f aca="0">F20*G20*H20*I20*K20*L20*M20</x:f>
        <x:v>0.006599286847342304</x:v>
      </x:c>
      <x:c r="W20" s="5" t="s">
        <x:v>1090</x:v>
      </x:c>
      <x:c r="X20" s="5" t="s">
        <x:v>1091</x:v>
      </x:c>
    </x:row>
  </x:sheetData>
  <x:mergeCells>
    <x:mergeCell ref="A1:N1"/>
  </x:mergeCells>
  <x:pageMargins left="0.7" right="0.7" top="0.75" bottom="0.75" header="0.3" footer="0.3"/>
</x:worksheet>
</file>

<file path=xl/worksheets/sheet14.xml><?xml version="1.0" encoding="utf-8"?>
<x:worksheet xmlns:x="http://schemas.openxmlformats.org/spreadsheetml/2006/main">
  <x:sheetViews>
    <x:sheetView showGridLines="1" workbookViewId="0"/>
  </x:sheetViews>
  <x:sheetFormatPr defaultColWidth="8.66796875" defaultRowHeight="12.75"/>
  <x:cols>
    <x:col min="1" max="2" width="36" style="1" hidden="0" customWidth="1"/>
    <x:col min="3" max="4" width="16" style="1" hidden="0" customWidth="1"/>
    <x:col min="5" max="5" width="33" style="1" hidden="0" customWidth="1"/>
    <x:col min="6" max="8" width="16" style="1" hidden="0" customWidth="1"/>
    <x:col min="9" max="11" width="36" style="1" hidden="0" customWidth="1"/>
    <x:col min="12" max="12" width="26" style="1" hidden="0" customWidth="1"/>
    <x:col min="13" max="13" width="28" style="1" hidden="0" customWidth="1"/>
    <x:col min="14" max="14" width="58" style="1" hidden="0" customWidth="1"/>
  </x:cols>
  <x:sheetData>
    <x:row r="1" s="1" customFormat="1" ht="14.25" hidden="0" customHeight="1">
      <x:c r="A1" s="2" t="s">
        <x:v>1120</x:v>
      </x:c>
      <x:c r="B1" s="2"/>
      <x:c r="C1" s="2"/>
      <x:c r="D1" s="2"/>
      <x:c r="E1" s="2"/>
      <x:c r="F1" s="2"/>
      <x:c r="G1" s="2"/>
      <x:c r="H1" s="2"/>
      <x:c r="I1" s="3"/>
      <x:c r="J1" s="3"/>
      <x:c r="K1" s="3"/>
      <x:c r="L1" s="3"/>
      <x:c r="M1" s="3"/>
      <x:c r="N1" s="3"/>
    </x:row>
    <x:row r="2" s="1" customFormat="1" ht="13.5" hidden="0" customHeight="1">
      <x:c r="A2" s="6"/>
      <x:c r="B2" s="6"/>
      <x:c r="C2" s="6"/>
      <x:c r="D2" s="6"/>
      <x:c r="E2" s="6"/>
      <x:c r="F2" s="6"/>
      <x:c r="G2" s="6"/>
      <x:c r="H2" s="6"/>
      <x:c r="I2" s="6"/>
      <x:c r="J2" s="6"/>
      <x:c r="K2" s="6"/>
      <x:c r="L2" s="6"/>
      <x:c r="M2" s="6"/>
      <x:c r="N2" s="6"/>
    </x:row>
    <x:row r="3" s="1" customFormat="1" ht="14.25" hidden="0" customHeight="1">
      <x:c r="A3" s="7" t="s">
        <x:v>1121</x:v>
      </x:c>
      <x:c r="B3" s="6"/>
      <x:c r="C3" s="6"/>
      <x:c r="D3" s="6"/>
      <x:c r="E3" s="6"/>
      <x:c r="F3" s="6"/>
      <x:c r="G3" s="6"/>
      <x:c r="H3" s="6"/>
      <x:c r="I3" s="6"/>
      <x:c r="J3" s="6"/>
      <x:c r="K3" s="6"/>
      <x:c r="L3" s="6"/>
      <x:c r="M3" s="8" t="s">
        <x:v>1122</x:v>
      </x:c>
      <x:c r="N3" s="6"/>
    </x:row>
    <x:row r="4" s="1" customFormat="1" ht="14.25" hidden="0" customHeight="1">
      <x:c r="A4" s="7" t="s">
        <x:v>1123</x:v>
      </x:c>
      <x:c r="B4" s="6"/>
      <x:c r="C4" s="6"/>
      <x:c r="D4" s="6"/>
      <x:c r="E4" s="6"/>
      <x:c r="F4" s="6"/>
      <x:c r="G4" s="6"/>
      <x:c r="H4" s="6"/>
      <x:c r="I4" s="6"/>
      <x:c r="J4" s="6"/>
      <x:c r="K4" s="6"/>
      <x:c r="L4" s="6"/>
      <x:c r="M4" s="5" t="s">
        <x:v>1124</x:v>
      </x:c>
      <x:c r="N4" s="5" t="n">
        <x:v>1</x:v>
      </x:c>
    </x:row>
    <x:row r="5" s="1" customFormat="1" ht="14.25" hidden="0" customHeight="1">
      <x:c r="A5" s="7" t="s">
        <x:v>1125</x:v>
      </x:c>
      <x:c r="B5" s="6"/>
      <x:c r="C5" s="6"/>
      <x:c r="D5" s="6"/>
      <x:c r="E5" s="6"/>
      <x:c r="F5" s="6"/>
      <x:c r="G5" s="6"/>
      <x:c r="H5" s="6"/>
      <x:c r="I5" s="6"/>
      <x:c r="J5" s="8" t="s">
        <x:v>1126</x:v>
      </x:c>
      <x:c r="K5" s="6"/>
      <x:c r="L5" s="6"/>
      <x:c r="M5" s="8" t="s">
        <x:v>1127</x:v>
      </x:c>
      <x:c r="N5" s="8" t="s">
        <x:v>351</x:v>
      </x:c>
    </x:row>
    <x:row r="6" s="1" customFormat="1" ht="14.25" hidden="0" customHeight="1">
      <x:c r="A6" s="7" t="s">
        <x:v>1128</x:v>
      </x:c>
      <x:c r="B6" s="6"/>
      <x:c r="C6" s="6"/>
      <x:c r="D6" s="6"/>
      <x:c r="E6" s="6"/>
      <x:c r="F6" s="6"/>
      <x:c r="G6" s="6"/>
      <x:c r="H6" s="6"/>
      <x:c r="I6" s="6"/>
      <x:c r="J6" s="6"/>
      <x:c r="K6" s="6"/>
      <x:c r="L6" s="6"/>
      <x:c r="M6" s="5" t="s">
        <x:v>1129</x:v>
      </x:c>
      <x:c r="N6" s="5" t="n">
        <x:v>1</x:v>
      </x:c>
    </x:row>
    <x:row r="7" s="1" customFormat="1" ht="13.5" hidden="0" customHeight="1">
      <x:c r="A7" s="6"/>
      <x:c r="B7" s="6"/>
      <x:c r="C7" s="6"/>
      <x:c r="D7" s="6"/>
      <x:c r="E7" s="6"/>
      <x:c r="F7" s="6"/>
      <x:c r="G7" s="6"/>
      <x:c r="H7" s="6"/>
      <x:c r="I7" s="6"/>
      <x:c r="J7" s="6"/>
      <x:c r="K7" s="6"/>
      <x:c r="L7" s="6"/>
      <x:c r="M7" s="8" t="s">
        <x:v>1130</x:v>
      </x:c>
      <x:c r="N7" s="8" t="s">
        <x:v>351</x:v>
      </x:c>
    </x:row>
    <x:row r="8" s="1" customFormat="1" ht="14.25" hidden="0" customHeight="1">
      <x:c r="A8" s="74" t="s">
        <x:v>1131</x:v>
      </x:c>
      <x:c r="B8" s="75"/>
      <x:c r="C8" s="75"/>
      <x:c r="D8" s="75"/>
      <x:c r="E8" s="75"/>
      <x:c r="F8" s="75"/>
      <x:c r="G8" s="75"/>
      <x:c r="H8" s="75"/>
      <x:c r="I8" s="75"/>
      <x:c r="J8" s="75"/>
      <x:c r="K8" s="75"/>
      <x:c r="L8" s="75" t="s">
        <x:v>1132</x:v>
      </x:c>
      <x:c r="M8" s="74" t="s">
        <x:v>1133</x:v>
      </x:c>
      <x:c r="N8" s="74" t="s">
        <x:v>1134</x:v>
      </x:c>
    </x:row>
    <x:row r="9" s="1" customFormat="1" ht="14.25" hidden="0" customHeight="1">
      <x:c r="A9" s="7" t="s">
        <x:v>1135</x:v>
      </x:c>
      <x:c r="B9" s="8" t="s">
        <x:v>1023</x:v>
      </x:c>
      <x:c r="C9" s="8" t="s">
        <x:v>1136</x:v>
      </x:c>
      <x:c r="D9" s="8" t="s">
        <x:v>1137</x:v>
      </x:c>
      <x:c r="E9" s="8" t="s">
        <x:v>1138</x:v>
      </x:c>
      <x:c r="F9" s="8" t="s">
        <x:v>1139</x:v>
      </x:c>
      <x:c r="G9" s="8" t="s">
        <x:v>1140</x:v>
      </x:c>
      <x:c r="H9" s="8" t="s">
        <x:v>1141</x:v>
      </x:c>
      <x:c r="I9" s="8" t="s">
        <x:v>1142</x:v>
      </x:c>
      <x:c r="J9" s="8" t="s">
        <x:v>1143</x:v>
      </x:c>
      <x:c r="K9" s="8" t="s">
        <x:v>1144</x:v>
      </x:c>
      <x:c r="L9" s="12" t="s">
        <x:v>1145</x:v>
      </x:c>
      <x:c r="M9" s="12" t="s">
        <x:v>1146</x:v>
      </x:c>
      <x:c r="N9" s="12" t="s">
        <x:v>1147</x:v>
      </x:c>
    </x:row>
    <x:row r="10" s="1" customFormat="1" ht="14.25" hidden="0" customHeight="1">
      <x:c r="A10" s="7" t="s">
        <x:v>1148</x:v>
      </x:c>
      <x:c r="B10" s="5" t="s">
        <x:v>955</x:v>
      </x:c>
      <x:c r="C10" s="5" t="n">
        <x:v>0.6</x:v>
      </x:c>
      <x:c r="D10" s="71" t="n">
        <x:v>0</x:v>
      </x:c>
      <x:c r="E10" s="5" t="s">
        <x:v>1149</x:v>
      </x:c>
      <x:c r="F10" s="71" t="n">
        <x:v>0</x:v>
      </x:c>
      <x:c r="G10" s="71" t="n">
        <x:v>0</x:v>
      </x:c>
      <x:c r="H10" s="71" t="n">
        <x:v>0.015317</x:v>
      </x:c>
      <x:c r="I10" s="71" t="n">
        <x:v>0</x:v>
      </x:c>
      <x:c r="J10" s="71" t="s">
        <x:v>1150</x:v>
      </x:c>
      <x:c r="K10" s="71" t="s">
        <x:v>1151</x:v>
      </x:c>
      <x:c r="L10" s="12" t="s">
        <x:v>1152</x:v>
      </x:c>
      <x:c r="M10" s="12" t="s">
        <x:v>1146</x:v>
      </x:c>
      <x:c r="N10" s="12" t="s">
        <x:v>1153</x:v>
      </x:c>
    </x:row>
    <x:row r="11" s="1" customFormat="1" ht="14.25" hidden="0" customHeight="1">
      <x:c r="A11" s="7" t="s">
        <x:v>1154</x:v>
      </x:c>
      <x:c r="B11" s="8" t="s">
        <x:v>294</x:v>
      </x:c>
      <x:c r="C11" s="8" t="n">
        <x:v>0.15</x:v>
      </x:c>
      <x:c r="D11" s="70" t="n">
        <x:v>0.007</x:v>
      </x:c>
      <x:c r="E11" s="8" t="s">
        <x:v>1155</x:v>
      </x:c>
      <x:c r="F11" s="8" t="n">
        <x:v>-0.02</x:v>
      </x:c>
      <x:c r="G11" s="8" t="n">
        <x:v>0</x:v>
      </x:c>
      <x:c r="H11" s="8" t="n">
        <x:v>0.01</x:v>
      </x:c>
      <x:c r="I11" s="70" t="n">
        <x:v>0.007</x:v>
      </x:c>
      <x:c r="J11" s="8" t="s">
        <x:v>1150</x:v>
      </x:c>
      <x:c r="K11" s="8" t="s">
        <x:v>1151</x:v>
      </x:c>
      <x:c r="L11" s="12" t="s">
        <x:v>1156</x:v>
      </x:c>
      <x:c r="M11" s="12" t="s">
        <x:v>1146</x:v>
      </x:c>
      <x:c r="N11" s="12" t="s">
        <x:v>1157</x:v>
      </x:c>
    </x:row>
    <x:row r="12" s="1" customFormat="1" ht="14.25" hidden="0" customHeight="1">
      <x:c r="A12" s="7" t="s">
        <x:v>1158</x:v>
      </x:c>
      <x:c r="B12" s="5" t="s">
        <x:v>291</x:v>
      </x:c>
      <x:c r="C12" s="5" t="n">
        <x:v>0.08</x:v>
      </x:c>
      <x:c r="D12" s="71" t="n">
        <x:v>0.0175</x:v>
      </x:c>
      <x:c r="E12" s="5" t="s">
        <x:v>1159</x:v>
      </x:c>
      <x:c r="F12" s="5" t="n">
        <x:v>-0.05</x:v>
      </x:c>
      <x:c r="G12" s="5" t="n">
        <x:v>0</x:v>
      </x:c>
      <x:c r="H12" s="5" t="n">
        <x:v>0.02</x:v>
      </x:c>
      <x:c r="I12" s="71" t="n">
        <x:v>0.0175</x:v>
      </x:c>
      <x:c r="J12" s="5" t="s">
        <x:v>1150</x:v>
      </x:c>
      <x:c r="K12" s="5" t="s">
        <x:v>1151</x:v>
      </x:c>
      <x:c r="L12" s="12" t="s">
        <x:v>1160</x:v>
      </x:c>
      <x:c r="M12" s="12" t="s">
        <x:v>1161</x:v>
      </x:c>
      <x:c r="N12" s="12" t="s">
        <x:v>1162</x:v>
      </x:c>
    </x:row>
    <x:row r="13" s="1" customFormat="1" ht="14.25" hidden="0" customHeight="1">
      <x:c r="A13" s="7" t="s">
        <x:v>1163</x:v>
      </x:c>
      <x:c r="B13" s="8" t="s">
        <x:v>293</x:v>
      </x:c>
      <x:c r="C13" s="8" t="n">
        <x:v>0.07</x:v>
      </x:c>
      <x:c r="D13" s="70" t="n">
        <x:v>0.0195</x:v>
      </x:c>
      <x:c r="E13" s="8" t="s">
        <x:v>1164</x:v>
      </x:c>
      <x:c r="F13" s="8" t="n">
        <x:v>-0.01</x:v>
      </x:c>
      <x:c r="G13" s="8" t="n">
        <x:v>-0.03</x:v>
      </x:c>
      <x:c r="H13" s="8" t="n">
        <x:v>-0.02</x:v>
      </x:c>
      <x:c r="I13" s="70" t="n">
        <x:v>0.0195</x:v>
      </x:c>
      <x:c r="J13" s="8" t="s">
        <x:v>1150</x:v>
      </x:c>
      <x:c r="K13" s="8" t="s">
        <x:v>1151</x:v>
      </x:c>
      <x:c r="L13" s="12" t="s">
        <x:v>1165</x:v>
      </x:c>
      <x:c r="M13" s="12" t="s">
        <x:v>1166</x:v>
      </x:c>
      <x:c r="N13" s="12" t="s">
        <x:v>1167</x:v>
      </x:c>
    </x:row>
    <x:row r="14" s="1" customFormat="1" ht="14.25" hidden="0" customHeight="1">
      <x:c r="A14" s="7" t="s">
        <x:v>1168</x:v>
      </x:c>
      <x:c r="B14" s="5" t="s">
        <x:v>296</x:v>
      </x:c>
      <x:c r="C14" s="5" t="n">
        <x:v>0.05</x:v>
      </x:c>
      <x:c r="D14" s="71" t="n">
        <x:v>0.0135</x:v>
      </x:c>
      <x:c r="E14" s="5" t="s">
        <x:v>1169</x:v>
      </x:c>
      <x:c r="F14" s="5" t="n">
        <x:v>-0.03</x:v>
      </x:c>
      <x:c r="G14" s="5" t="n">
        <x:v>-0.01</x:v>
      </x:c>
      <x:c r="H14" s="5" t="n">
        <x:v>0.01</x:v>
      </x:c>
      <x:c r="I14" s="71" t="n">
        <x:v>0.0135</x:v>
      </x:c>
      <x:c r="J14" s="5" t="s">
        <x:v>1150</x:v>
      </x:c>
      <x:c r="K14" s="5" t="s">
        <x:v>1151</x:v>
      </x:c>
      <x:c r="L14" s="12" t="s">
        <x:v>1170</x:v>
      </x:c>
      <x:c r="M14" s="12" t="s">
        <x:v>1146</x:v>
      </x:c>
      <x:c r="N14" s="12" t="s">
        <x:v>1171</x:v>
      </x:c>
    </x:row>
    <x:row r="15" s="1" customFormat="1" ht="14.25" hidden="0" customHeight="1">
      <x:c r="A15" s="7" t="s">
        <x:v>1172</x:v>
      </x:c>
      <x:c r="B15" s="8" t="s">
        <x:v>295</x:v>
      </x:c>
      <x:c r="C15" s="8" t="n">
        <x:v>0.03</x:v>
      </x:c>
      <x:c r="D15" s="70" t="n">
        <x:v>0.0235</x:v>
      </x:c>
      <x:c r="E15" s="8" t="s">
        <x:v>1173</x:v>
      </x:c>
      <x:c r="F15" s="8" t="n">
        <x:v>-0.04</x:v>
      </x:c>
      <x:c r="G15" s="8" t="n">
        <x:v>-0.02</x:v>
      </x:c>
      <x:c r="H15" s="8" t="n">
        <x:v>-0.01</x:v>
      </x:c>
      <x:c r="I15" s="70" t="n">
        <x:v>0.0235</x:v>
      </x:c>
      <x:c r="J15" s="8" t="s">
        <x:v>1150</x:v>
      </x:c>
      <x:c r="K15" s="8" t="s">
        <x:v>1151</x:v>
      </x:c>
      <x:c r="L15" s="12" t="s">
        <x:v>1174</x:v>
      </x:c>
      <x:c r="M15" s="12" t="s">
        <x:v>1166</x:v>
      </x:c>
      <x:c r="N15" s="12" t="s">
        <x:v>1175</x:v>
      </x:c>
    </x:row>
    <x:row r="16" s="1" customFormat="1" ht="14.25" hidden="0" customHeight="1">
      <x:c r="A16" s="7" t="s">
        <x:v>1176</x:v>
      </x:c>
      <x:c r="B16" s="5" t="s">
        <x:v>297</x:v>
      </x:c>
      <x:c r="C16" s="5" t="n">
        <x:v>0.02</x:v>
      </x:c>
      <x:c r="D16" s="71" t="n">
        <x:v>0.01</x:v>
      </x:c>
      <x:c r="E16" s="5" t="s">
        <x:v>1177</x:v>
      </x:c>
      <x:c r="F16" s="5" t="n">
        <x:v>-0.02</x:v>
      </x:c>
      <x:c r="G16" s="5" t="n">
        <x:v>-0.01</x:v>
      </x:c>
      <x:c r="H16" s="5" t="n">
        <x:v>0</x:v>
      </x:c>
      <x:c r="I16" s="71" t="n">
        <x:v>0.01</x:v>
      </x:c>
      <x:c r="J16" s="5" t="s">
        <x:v>1150</x:v>
      </x:c>
      <x:c r="K16" s="5" t="s">
        <x:v>1151</x:v>
      </x:c>
      <x:c r="L16" s="12" t="s">
        <x:v>1178</x:v>
      </x:c>
      <x:c r="M16" s="12" t="s">
        <x:v>1179</x:v>
      </x:c>
      <x:c r="N16" s="12" t="s">
        <x:v>1180</x:v>
      </x:c>
    </x:row>
    <x:row r="17" s="1" customFormat="1" ht="13.5" hidden="0" customHeight="1">
      <x:c r="A17" s="6"/>
      <x:c r="B17" s="6"/>
      <x:c r="C17" s="6"/>
      <x:c r="D17" s="6"/>
      <x:c r="E17" s="6"/>
      <x:c r="F17" s="6"/>
      <x:c r="G17" s="6"/>
      <x:c r="H17" s="6"/>
      <x:c r="I17" s="6"/>
      <x:c r="J17" s="6"/>
      <x:c r="K17" s="6"/>
      <x:c r="L17" s="6"/>
      <x:c r="M17" s="6"/>
      <x:c r="N17" s="6"/>
    </x:row>
    <x:row r="18" s="1" customFormat="1" ht="13.5" hidden="0" customHeight="1">
      <x:c r="A18" s="6"/>
      <x:c r="B18" s="6"/>
      <x:c r="C18" s="6"/>
      <x:c r="D18" s="6"/>
      <x:c r="E18" s="6"/>
      <x:c r="F18" s="6"/>
      <x:c r="G18" s="6"/>
      <x:c r="H18" s="6"/>
      <x:c r="I18" s="6"/>
      <x:c r="J18" s="6"/>
      <x:c r="K18" s="6"/>
      <x:c r="L18" s="6"/>
      <x:c r="M18" s="6"/>
      <x:c r="N18" s="6"/>
    </x:row>
    <x:row r="19" s="1" customFormat="1" ht="14.25" hidden="0" customHeight="1">
      <x:c r="A19" s="7" t="s">
        <x:v>1181</x:v>
      </x:c>
      <x:c r="B19" s="6"/>
      <x:c r="C19" s="6"/>
      <x:c r="D19" s="6"/>
      <x:c r="E19" s="6"/>
      <x:c r="F19" s="6"/>
      <x:c r="G19" s="6"/>
      <x:c r="H19" s="6"/>
      <x:c r="I19" s="6"/>
      <x:c r="J19" s="6"/>
      <x:c r="K19" s="6"/>
      <x:c r="L19" s="6"/>
      <x:c r="M19" s="6"/>
      <x:c r="N19" s="6"/>
    </x:row>
    <x:row r="20" s="1" customFormat="1" ht="14.25" hidden="0" customHeight="1">
      <x:c r="A20" s="7" t="s">
        <x:v>1135</x:v>
      </x:c>
      <x:c r="B20" s="5" t="s">
        <x:v>1023</x:v>
      </x:c>
      <x:c r="C20" s="5" t="s">
        <x:v>1136</x:v>
      </x:c>
      <x:c r="D20" s="5" t="s">
        <x:v>1137</x:v>
      </x:c>
      <x:c r="E20" s="5" t="s">
        <x:v>1138</x:v>
      </x:c>
      <x:c r="F20" s="5" t="s">
        <x:v>1139</x:v>
      </x:c>
      <x:c r="G20" s="5" t="s">
        <x:v>1140</x:v>
      </x:c>
      <x:c r="H20" s="5" t="s">
        <x:v>1141</x:v>
      </x:c>
      <x:c r="I20" s="5" t="s">
        <x:v>1142</x:v>
      </x:c>
      <x:c r="J20" s="5" t="s">
        <x:v>1143</x:v>
      </x:c>
      <x:c r="K20" s="5" t="s">
        <x:v>1144</x:v>
      </x:c>
      <x:c r="L20" s="6"/>
      <x:c r="M20" s="6"/>
      <x:c r="N20" s="6"/>
    </x:row>
    <x:row r="21" s="1" customFormat="1" ht="14.25" hidden="0" customHeight="1">
      <x:c r="A21" s="7" t="s">
        <x:v>1148</x:v>
      </x:c>
      <x:c r="B21" s="8" t="s">
        <x:v>955</x:v>
      </x:c>
      <x:c r="C21" s="8" t="n">
        <x:v>0.6</x:v>
      </x:c>
      <x:c r="D21" s="70" t="n">
        <x:v>0.00357385</x:v>
      </x:c>
      <x:c r="E21" s="8" t="s">
        <x:v>1182</x:v>
      </x:c>
      <x:c r="F21" s="70" t="n">
        <x:v>0</x:v>
      </x:c>
      <x:c r="G21" s="70" t="n">
        <x:v>0</x:v>
      </x:c>
      <x:c r="H21" s="70" t="n">
        <x:v>-0.010211</x:v>
      </x:c>
      <x:c r="I21" s="70" t="n">
        <x:v>0.00357385</x:v>
      </x:c>
      <x:c r="J21" s="70" t="s">
        <x:v>1150</x:v>
      </x:c>
      <x:c r="K21" s="70" t="s">
        <x:v>1151</x:v>
      </x:c>
      <x:c r="L21" s="6"/>
      <x:c r="M21" s="6"/>
      <x:c r="N21" s="6"/>
    </x:row>
    <x:row r="22" s="1" customFormat="1" ht="14.25" hidden="0" customHeight="1">
      <x:c r="A22" s="7" t="s">
        <x:v>1154</x:v>
      </x:c>
      <x:c r="B22" s="5" t="s">
        <x:v>294</x:v>
      </x:c>
      <x:c r="C22" s="5" t="n">
        <x:v>0.15</x:v>
      </x:c>
      <x:c r="D22" s="71" t="n">
        <x:v>0.0105</x:v>
      </x:c>
      <x:c r="E22" s="5" t="s">
        <x:v>1183</x:v>
      </x:c>
      <x:c r="F22" s="5" t="n">
        <x:v>-0.015</x:v>
      </x:c>
      <x:c r="G22" s="5" t="n">
        <x:v>0</x:v>
      </x:c>
      <x:c r="H22" s="5" t="n">
        <x:v>-0.015</x:v>
      </x:c>
      <x:c r="I22" s="71" t="n">
        <x:v>0.0105</x:v>
      </x:c>
      <x:c r="J22" s="5" t="s">
        <x:v>1150</x:v>
      </x:c>
      <x:c r="K22" s="5" t="s">
        <x:v>1151</x:v>
      </x:c>
      <x:c r="L22" s="6"/>
      <x:c r="M22" s="6"/>
      <x:c r="N22" s="6"/>
    </x:row>
    <x:row r="23" s="1" customFormat="1" ht="14.25" hidden="0" customHeight="1">
      <x:c r="A23" s="7" t="s">
        <x:v>1158</x:v>
      </x:c>
      <x:c r="B23" s="8" t="s">
        <x:v>291</x:v>
      </x:c>
      <x:c r="C23" s="8" t="n">
        <x:v>0.08</x:v>
      </x:c>
      <x:c r="D23" s="70" t="n">
        <x:v>0.0315</x:v>
      </x:c>
      <x:c r="E23" s="8" t="s">
        <x:v>1184</x:v>
      </x:c>
      <x:c r="F23" s="8" t="n">
        <x:v>-0.08</x:v>
      </x:c>
      <x:c r="G23" s="8" t="n">
        <x:v>0</x:v>
      </x:c>
      <x:c r="H23" s="8" t="n">
        <x:v>-0.01</x:v>
      </x:c>
      <x:c r="I23" s="70" t="n">
        <x:v>0.0315</x:v>
      </x:c>
      <x:c r="J23" s="8" t="s">
        <x:v>1150</x:v>
      </x:c>
      <x:c r="K23" s="8" t="s">
        <x:v>1151</x:v>
      </x:c>
      <x:c r="L23" s="6"/>
      <x:c r="M23" s="6"/>
      <x:c r="N23" s="6"/>
    </x:row>
    <x:row r="24" s="1" customFormat="1" ht="14.25" hidden="0" customHeight="1">
      <x:c r="A24" s="7" t="s">
        <x:v>1163</x:v>
      </x:c>
      <x:c r="B24" s="5" t="s">
        <x:v>293</x:v>
      </x:c>
      <x:c r="C24" s="5" t="n">
        <x:v>0.07</x:v>
      </x:c>
      <x:c r="D24" s="71" t="n">
        <x:v>0.0235</x:v>
      </x:c>
      <x:c r="E24" s="5" t="s">
        <x:v>1185</x:v>
      </x:c>
      <x:c r="F24" s="5" t="n">
        <x:v>-0.01</x:v>
      </x:c>
      <x:c r="G24" s="5" t="n">
        <x:v>-0.02</x:v>
      </x:c>
      <x:c r="H24" s="5" t="n">
        <x:v>-0.04</x:v>
      </x:c>
      <x:c r="I24" s="71" t="n">
        <x:v>0.0235</x:v>
      </x:c>
      <x:c r="J24" s="5" t="s">
        <x:v>1150</x:v>
      </x:c>
      <x:c r="K24" s="5" t="s">
        <x:v>1151</x:v>
      </x:c>
      <x:c r="L24" s="6"/>
      <x:c r="M24" s="6"/>
      <x:c r="N24" s="6"/>
    </x:row>
    <x:row r="25" s="1" customFormat="1" ht="14.25" hidden="0" customHeight="1">
      <x:c r="A25" s="7" t="s">
        <x:v>1168</x:v>
      </x:c>
      <x:c r="B25" s="8" t="s">
        <x:v>296</x:v>
      </x:c>
      <x:c r="C25" s="8" t="n">
        <x:v>0.05</x:v>
      </x:c>
      <x:c r="D25" s="70" t="n">
        <x:v>0.0135</x:v>
      </x:c>
      <x:c r="E25" s="8" t="s">
        <x:v>1186</x:v>
      </x:c>
      <x:c r="F25" s="8" t="n">
        <x:v>-0.02</x:v>
      </x:c>
      <x:c r="G25" s="8" t="n">
        <x:v>-0.01</x:v>
      </x:c>
      <x:c r="H25" s="8" t="n">
        <x:v>-0.01</x:v>
      </x:c>
      <x:c r="I25" s="70" t="n">
        <x:v>0.0135</x:v>
      </x:c>
      <x:c r="J25" s="8" t="s">
        <x:v>1150</x:v>
      </x:c>
      <x:c r="K25" s="8" t="s">
        <x:v>1151</x:v>
      </x:c>
      <x:c r="L25" s="6"/>
      <x:c r="M25" s="6"/>
      <x:c r="N25" s="6"/>
    </x:row>
    <x:row r="26" s="1" customFormat="1" ht="14.25" hidden="0" customHeight="1">
      <x:c r="A26" s="7" t="s">
        <x:v>1172</x:v>
      </x:c>
      <x:c r="B26" s="5" t="s">
        <x:v>295</x:v>
      </x:c>
      <x:c r="C26" s="5" t="n">
        <x:v>0.03</x:v>
      </x:c>
      <x:c r="D26" s="71" t="n">
        <x:v>0.02175</x:v>
      </x:c>
      <x:c r="E26" s="5" t="s">
        <x:v>1187</x:v>
      </x:c>
      <x:c r="F26" s="5" t="n">
        <x:v>-0.03</x:v>
      </x:c>
      <x:c r="G26" s="5" t="n">
        <x:v>-0.02</x:v>
      </x:c>
      <x:c r="H26" s="5" t="n">
        <x:v>-0.015</x:v>
      </x:c>
      <x:c r="I26" s="71" t="n">
        <x:v>0.02175</x:v>
      </x:c>
      <x:c r="J26" s="5" t="s">
        <x:v>1150</x:v>
      </x:c>
      <x:c r="K26" s="5" t="s">
        <x:v>1151</x:v>
      </x:c>
      <x:c r="L26" s="6"/>
      <x:c r="M26" s="6"/>
      <x:c r="N26" s="6"/>
    </x:row>
    <x:row r="27" s="1" customFormat="1" ht="14.25" hidden="0" customHeight="1">
      <x:c r="A27" s="7" t="s">
        <x:v>1176</x:v>
      </x:c>
      <x:c r="B27" s="8" t="s">
        <x:v>297</x:v>
      </x:c>
      <x:c r="C27" s="8" t="n">
        <x:v>0.02</x:v>
      </x:c>
      <x:c r="D27" s="70" t="n">
        <x:v>0.007</x:v>
      </x:c>
      <x:c r="E27" s="8" t="s">
        <x:v>1188</x:v>
      </x:c>
      <x:c r="F27" s="8" t="n">
        <x:v>-0.01</x:v>
      </x:c>
      <x:c r="G27" s="8" t="n">
        <x:v>0</x:v>
      </x:c>
      <x:c r="H27" s="8" t="n">
        <x:v>-0.01</x:v>
      </x:c>
      <x:c r="I27" s="70" t="n">
        <x:v>0.007</x:v>
      </x:c>
      <x:c r="J27" s="8" t="s">
        <x:v>1150</x:v>
      </x:c>
      <x:c r="K27" s="8" t="s">
        <x:v>1151</x:v>
      </x:c>
      <x:c r="L27" s="6"/>
      <x:c r="M27" s="6"/>
      <x:c r="N27" s="6"/>
    </x:row>
    <x:row r="28" s="1" customFormat="1" ht="13.5" hidden="0" customHeight="1">
      <x:c r="A28" s="6"/>
      <x:c r="B28" s="6"/>
      <x:c r="C28" s="6"/>
      <x:c r="D28" s="6"/>
      <x:c r="E28" s="6"/>
      <x:c r="F28" s="6"/>
      <x:c r="G28" s="6"/>
      <x:c r="H28" s="6"/>
      <x:c r="I28" s="6"/>
      <x:c r="J28" s="6"/>
      <x:c r="K28" s="6"/>
      <x:c r="L28" s="6"/>
      <x:c r="M28" s="6"/>
      <x:c r="N28" s="6"/>
    </x:row>
    <x:row r="29" s="1" customFormat="1" ht="14.25" hidden="0" customHeight="1">
      <x:c r="A29" s="7" t="s">
        <x:v>1189</x:v>
      </x:c>
      <x:c r="B29" s="6"/>
      <x:c r="C29" s="6"/>
      <x:c r="D29" s="6"/>
      <x:c r="E29" s="6"/>
      <x:c r="F29" s="6"/>
      <x:c r="G29" s="6"/>
      <x:c r="H29" s="6"/>
      <x:c r="I29" s="6"/>
      <x:c r="J29" s="6"/>
      <x:c r="K29" s="6"/>
      <x:c r="L29" s="6"/>
      <x:c r="M29" s="6"/>
      <x:c r="N29" s="6"/>
    </x:row>
    <x:row r="30" s="1" customFormat="1" ht="14.25" hidden="0" customHeight="1">
      <x:c r="A30" s="7" t="s">
        <x:v>1190</x:v>
      </x:c>
      <x:c r="B30" s="6"/>
      <x:c r="C30" s="6"/>
      <x:c r="D30" s="6"/>
      <x:c r="E30" s="6"/>
      <x:c r="F30" s="6"/>
      <x:c r="G30" s="6"/>
      <x:c r="H30" s="6"/>
      <x:c r="I30" s="6"/>
      <x:c r="J30" s="6"/>
      <x:c r="K30" s="6"/>
      <x:c r="L30" s="6"/>
      <x:c r="M30" s="6"/>
      <x:c r="N30" s="6"/>
    </x:row>
    <x:row r="31" s="1" customFormat="1" ht="14.25" hidden="0" customHeight="1">
      <x:c r="A31" s="7" t="s">
        <x:v>1191</x:v>
      </x:c>
      <x:c r="B31" s="8" t="s">
        <x:v>1192</x:v>
      </x:c>
      <x:c r="C31" s="6"/>
      <x:c r="D31" s="6"/>
      <x:c r="E31" s="6"/>
      <x:c r="F31" s="6"/>
      <x:c r="G31" s="6"/>
      <x:c r="H31" s="6"/>
      <x:c r="I31" s="6"/>
      <x:c r="J31" s="6"/>
      <x:c r="K31" s="6"/>
      <x:c r="L31" s="6"/>
      <x:c r="M31" s="6"/>
      <x:c r="N31" s="6"/>
    </x:row>
  </x:sheetData>
  <x:mergeCells>
    <x:mergeCell ref="A1:H1"/>
  </x:mergeCells>
  <x:pageMargins left="0.7" right="0.7" top="0.75" bottom="0.75" header="0.3" footer="0.3"/>
</x:worksheet>
</file>

<file path=xl/worksheets/sheet15.xml><?xml version="1.0" encoding="utf-8"?>
<x:worksheet xmlns:x="http://schemas.openxmlformats.org/spreadsheetml/2006/main">
  <x:sheetViews>
    <x:sheetView showGridLines="1" workbookViewId="0"/>
  </x:sheetViews>
  <x:sheetFormatPr defaultColWidth="8.66796875" defaultRowHeight="12.75"/>
  <x:cols>
    <x:col min="1" max="8" width="36" style="1" hidden="0" customWidth="1"/>
    <x:col min="9" max="9" width="16" style="1" hidden="0" customWidth="1"/>
  </x:cols>
  <x:sheetData>
    <x:row r="1" s="1" customFormat="1" ht="14.25" hidden="0" customHeight="1">
      <x:c r="A1" s="2" t="s">
        <x:v>1193</x:v>
      </x:c>
      <x:c r="B1" s="2"/>
      <x:c r="C1" s="2"/>
      <x:c r="D1" s="2"/>
      <x:c r="E1" s="2"/>
      <x:c r="F1" s="2"/>
      <x:c r="G1" s="2"/>
      <x:c r="H1" s="2"/>
      <x:c r="I1" s="2"/>
    </x:row>
    <x:row r="2" s="1" customFormat="1" ht="13.5" hidden="0" customHeight="1">
      <x:c r="A2" s="6"/>
      <x:c r="B2" s="6"/>
      <x:c r="C2" s="6"/>
      <x:c r="D2" s="6"/>
      <x:c r="E2" s="6"/>
      <x:c r="F2" s="6"/>
      <x:c r="G2" s="6"/>
      <x:c r="H2" s="6"/>
      <x:c r="I2" s="6"/>
    </x:row>
    <x:row r="3" s="1" customFormat="1" ht="14.25" hidden="0" customHeight="1">
      <x:c r="A3" s="7" t="s">
        <x:v>1194</x:v>
      </x:c>
      <x:c r="B3" s="6"/>
      <x:c r="C3" s="6"/>
      <x:c r="D3" s="6"/>
      <x:c r="E3" s="6"/>
      <x:c r="F3" s="6"/>
      <x:c r="G3" s="6"/>
      <x:c r="H3" s="6"/>
      <x:c r="I3" s="6"/>
    </x:row>
    <x:row r="4" s="1" customFormat="1" ht="13.5" hidden="0" customHeight="1">
      <x:c r="A4" s="6"/>
      <x:c r="B4" s="6"/>
      <x:c r="C4" s="6"/>
      <x:c r="D4" s="6"/>
      <x:c r="E4" s="6"/>
      <x:c r="F4" s="6"/>
      <x:c r="G4" s="6"/>
      <x:c r="H4" s="6"/>
      <x:c r="I4" s="6"/>
    </x:row>
    <x:row r="5" s="1" customFormat="1" ht="14.25" hidden="0" customHeight="1">
      <x:c r="A5" s="7" t="s">
        <x:v>1195</x:v>
      </x:c>
      <x:c r="B5" s="6"/>
      <x:c r="C5" s="6"/>
      <x:c r="D5" s="6"/>
      <x:c r="E5" s="6"/>
      <x:c r="F5" s="6"/>
      <x:c r="G5" s="6"/>
      <x:c r="H5" s="6"/>
      <x:c r="I5" s="6"/>
    </x:row>
    <x:row r="6" s="1" customFormat="1" ht="14.25" hidden="0" customHeight="1">
      <x:c r="A6" s="6"/>
      <x:c r="B6" s="5" t="s">
        <x:v>973</x:v>
      </x:c>
      <x:c r="C6" s="5" t="s">
        <x:v>963</x:v>
      </x:c>
      <x:c r="D6" s="5" t="s">
        <x:v>972</x:v>
      </x:c>
      <x:c r="E6" s="5" t="s">
        <x:v>974</x:v>
      </x:c>
      <x:c r="F6" s="5" t="s">
        <x:v>971</x:v>
      </x:c>
      <x:c r="G6" s="5" t="s">
        <x:v>1099</x:v>
      </x:c>
      <x:c r="H6" s="5" t="s">
        <x:v>969</x:v>
      </x:c>
      <x:c r="I6" s="6"/>
    </x:row>
    <x:row r="7" s="1" customFormat="1" ht="14.25" hidden="0" customHeight="1">
      <x:c r="A7" s="7" t="s">
        <x:v>962</x:v>
      </x:c>
      <x:c r="B7" s="70" t="n">
        <x:f aca="0">TANH(Parameters!$B$24*SUMIFS(Impact_Input!$N:$N,Impact_Input!$B:$B,"A",Impact_Input!$C:$C,$A7,Impact_Input!$D:$D,B$6))</x:f>
        <x:v>0</x:v>
      </x:c>
      <x:c r="C7" s="70" t="n">
        <x:f aca="0">TANH(Parameters!$B$24*SUMIFS(Impact_Input!$N:$N,Impact_Input!$B:$B,"A",Impact_Input!$C:$C,$A7,Impact_Input!$D:$D,C$6))</x:f>
        <x:v>0</x:v>
      </x:c>
      <x:c r="D7" s="70" t="n">
        <x:f aca="0">TANH(Parameters!$B$24*SUMIFS(Impact_Input!$N:$N,Impact_Input!$B:$B,"A",Impact_Input!$C:$C,$A7,Impact_Input!$D:$D,D$6))</x:f>
        <x:v>0</x:v>
      </x:c>
      <x:c r="E7" s="70" t="n">
        <x:f aca="0">TANH(Parameters!$B$24*SUMIFS(Impact_Input!$N:$N,Impact_Input!$B:$B,"A",Impact_Input!$C:$C,$A7,Impact_Input!$D:$D,E$6))</x:f>
        <x:v>0</x:v>
      </x:c>
      <x:c r="F7" s="76" t="n">
        <x:f aca="0">TANH(Parameters!$B$24*SUMIFS(Impact_Input!$N:$N,Impact_Input!$B:$B,"A",Impact_Input!$C:$C,$A7,Impact_Input!$D:$D,F$6))</x:f>
        <x:v>0.2490078843274226</x:v>
      </x:c>
      <x:c r="G7" s="76" t="n">
        <x:f aca="0">TANH(Parameters!$B$24*SUMIFS(Impact_Input!$N:$N,Impact_Input!$B:$B,"A",Impact_Input!$C:$C,$A7,Impact_Input!$D:$D,G$6))</x:f>
        <x:v>0.1432598557931445</x:v>
      </x:c>
      <x:c r="H7" s="70" t="n">
        <x:f aca="0">TANH(Parameters!$B$24*SUMIFS(Impact_Input!$N:$N,Impact_Input!$B:$B,"A",Impact_Input!$C:$C,$A7,Impact_Input!$D:$D,H$6))</x:f>
        <x:v>0</x:v>
      </x:c>
      <x:c r="I7" s="6"/>
    </x:row>
    <x:row r="8" s="1" customFormat="1" ht="14.25" hidden="0" customHeight="1">
      <x:c r="A8" s="7" t="s">
        <x:v>964</x:v>
      </x:c>
      <x:c r="B8" s="71" t="n">
        <x:f aca="0">TANH(Parameters!$B$24*SUMIFS(Impact_Input!$N:$N,Impact_Input!$B:$B,"A",Impact_Input!$C:$C,$A8,Impact_Input!$D:$D,B$6))</x:f>
        <x:v>0.046162176234088866</x:v>
      </x:c>
      <x:c r="C8" s="71" t="n">
        <x:f aca="0">TANH(Parameters!$B$24*SUMIFS(Impact_Input!$N:$N,Impact_Input!$B:$B,"A",Impact_Input!$C:$C,$A8,Impact_Input!$D:$D,C$6))</x:f>
        <x:v>0</x:v>
      </x:c>
      <x:c r="D8" s="71" t="n">
        <x:f aca="0">TANH(Parameters!$B$24*SUMIFS(Impact_Input!$N:$N,Impact_Input!$B:$B,"A",Impact_Input!$C:$C,$A8,Impact_Input!$D:$D,D$6))</x:f>
        <x:v>0</x:v>
      </x:c>
      <x:c r="E8" s="71" t="n">
        <x:f aca="0">TANH(Parameters!$B$24*SUMIFS(Impact_Input!$N:$N,Impact_Input!$B:$B,"A",Impact_Input!$C:$C,$A8,Impact_Input!$D:$D,E$6))</x:f>
        <x:v>0</x:v>
      </x:c>
      <x:c r="F8" s="71" t="n">
        <x:f aca="0">TANH(Parameters!$B$24*SUMIFS(Impact_Input!$N:$N,Impact_Input!$B:$B,"A",Impact_Input!$C:$C,$A8,Impact_Input!$D:$D,F$6))</x:f>
        <x:v>0</x:v>
      </x:c>
      <x:c r="G8" s="71" t="n">
        <x:f aca="0">TANH(Parameters!$B$24*SUMIFS(Impact_Input!$N:$N,Impact_Input!$B:$B,"A",Impact_Input!$C:$C,$A8,Impact_Input!$D:$D,G$6))</x:f>
        <x:v>0</x:v>
      </x:c>
      <x:c r="H8" s="71" t="n">
        <x:f aca="0">TANH(Parameters!$B$24*SUMIFS(Impact_Input!$N:$N,Impact_Input!$B:$B,"A",Impact_Input!$C:$C,$A8,Impact_Input!$D:$D,H$6))</x:f>
        <x:v>0</x:v>
      </x:c>
      <x:c r="I8" s="6"/>
    </x:row>
    <x:row r="9" s="1" customFormat="1" ht="14.25" hidden="0" customHeight="1">
      <x:c r="A9" s="7" t="s">
        <x:v>965</x:v>
      </x:c>
      <x:c r="B9" s="77" t="n">
        <x:f aca="0">TANH(Parameters!$B$24*SUMIFS(Impact_Input!$N:$N,Impact_Input!$B:$B,"A",Impact_Input!$C:$C,$A9,Impact_Input!$D:$D,B$6))</x:f>
        <x:v>-0.01979527432216163</x:v>
      </x:c>
      <x:c r="C9" s="70" t="n">
        <x:f aca="0">TANH(Parameters!$B$24*SUMIFS(Impact_Input!$N:$N,Impact_Input!$B:$B,"A",Impact_Input!$C:$C,$A9,Impact_Input!$D:$D,C$6))</x:f>
        <x:v>0</x:v>
      </x:c>
      <x:c r="D9" s="77" t="n">
        <x:f aca="0">TANH(Parameters!$B$24*SUMIFS(Impact_Input!$N:$N,Impact_Input!$B:$B,"A",Impact_Input!$C:$C,$A9,Impact_Input!$D:$D,D$6))</x:f>
        <x:v>-0.08072568681553846</x:v>
      </x:c>
      <x:c r="E9" s="70" t="n">
        <x:f aca="0">TANH(Parameters!$B$24*SUMIFS(Impact_Input!$N:$N,Impact_Input!$B:$B,"A",Impact_Input!$C:$C,$A9,Impact_Input!$D:$D,E$6))</x:f>
        <x:v>0</x:v>
      </x:c>
      <x:c r="F9" s="70" t="n">
        <x:f aca="0">TANH(Parameters!$B$24*SUMIFS(Impact_Input!$N:$N,Impact_Input!$B:$B,"A",Impact_Input!$C:$C,$A9,Impact_Input!$D:$D,F$6))</x:f>
        <x:v>0</x:v>
      </x:c>
      <x:c r="G9" s="70" t="n">
        <x:f aca="0">TANH(Parameters!$B$24*SUMIFS(Impact_Input!$N:$N,Impact_Input!$B:$B,"A",Impact_Input!$C:$C,$A9,Impact_Input!$D:$D,G$6))</x:f>
        <x:v>0</x:v>
      </x:c>
      <x:c r="H9" s="70" t="n">
        <x:f aca="0">TANH(Parameters!$B$24*SUMIFS(Impact_Input!$N:$N,Impact_Input!$B:$B,"A",Impact_Input!$C:$C,$A9,Impact_Input!$D:$D,H$6))</x:f>
        <x:v>0</x:v>
      </x:c>
      <x:c r="I9" s="6"/>
    </x:row>
    <x:row r="10" s="1" customFormat="1" ht="14.25" hidden="0" customHeight="1">
      <x:c r="A10" s="7" t="s">
        <x:v>966</x:v>
      </x:c>
      <x:c r="B10" s="71" t="n">
        <x:f aca="0">TANH(Parameters!$B$24*SUMIFS(Impact_Input!$N:$N,Impact_Input!$B:$B,"A",Impact_Input!$C:$C,$A10,Impact_Input!$D:$D,B$6))</x:f>
        <x:v>-0.08556943629589667</x:v>
      </x:c>
      <x:c r="C10" s="71" t="n">
        <x:f aca="0">TANH(Parameters!$B$24*SUMIFS(Impact_Input!$N:$N,Impact_Input!$B:$B,"A",Impact_Input!$C:$C,$A10,Impact_Input!$D:$D,C$6))</x:f>
        <x:v>0</x:v>
      </x:c>
      <x:c r="D10" s="71" t="n">
        <x:f aca="0">TANH(Parameters!$B$24*SUMIFS(Impact_Input!$N:$N,Impact_Input!$B:$B,"A",Impact_Input!$C:$C,$A10,Impact_Input!$D:$D,D$6))</x:f>
        <x:v>0</x:v>
      </x:c>
      <x:c r="E10" s="71" t="n">
        <x:f aca="0">TANH(Parameters!$B$24*SUMIFS(Impact_Input!$N:$N,Impact_Input!$B:$B,"A",Impact_Input!$C:$C,$A10,Impact_Input!$D:$D,E$6))</x:f>
        <x:v>0</x:v>
      </x:c>
      <x:c r="F10" s="71" t="n">
        <x:f aca="0">TANH(Parameters!$B$24*SUMIFS(Impact_Input!$N:$N,Impact_Input!$B:$B,"A",Impact_Input!$C:$C,$A10,Impact_Input!$D:$D,F$6))</x:f>
        <x:v>0</x:v>
      </x:c>
      <x:c r="G10" s="71" t="n">
        <x:f aca="0">TANH(Parameters!$B$24*SUMIFS(Impact_Input!$N:$N,Impact_Input!$B:$B,"A",Impact_Input!$C:$C,$A10,Impact_Input!$D:$D,G$6))</x:f>
        <x:v>0</x:v>
      </x:c>
      <x:c r="H10" s="71" t="n">
        <x:f aca="0">TANH(Parameters!$B$24*SUMIFS(Impact_Input!$N:$N,Impact_Input!$B:$B,"A",Impact_Input!$C:$C,$A10,Impact_Input!$D:$D,H$6))</x:f>
        <x:v>0</x:v>
      </x:c>
      <x:c r="I10" s="6"/>
    </x:row>
    <x:row r="11" s="1" customFormat="1" ht="14.25" hidden="0" customHeight="1">
      <x:c r="A11" s="7" t="s">
        <x:v>967</x:v>
      </x:c>
      <x:c r="B11" s="70" t="n">
        <x:f aca="0">TANH(Parameters!$B$24*SUMIFS(Impact_Input!$N:$N,Impact_Input!$B:$B,"A",Impact_Input!$C:$C,$A11,Impact_Input!$D:$D,B$6))</x:f>
        <x:v>0</x:v>
      </x:c>
      <x:c r="C11" s="70" t="n">
        <x:f aca="0">TANH(Parameters!$B$24*SUMIFS(Impact_Input!$N:$N,Impact_Input!$B:$B,"A",Impact_Input!$C:$C,$A11,Impact_Input!$D:$D,C$6))</x:f>
        <x:v>0</x:v>
      </x:c>
      <x:c r="D11" s="70" t="n">
        <x:f aca="0">TANH(Parameters!$B$24*SUMIFS(Impact_Input!$N:$N,Impact_Input!$B:$B,"A",Impact_Input!$C:$C,$A11,Impact_Input!$D:$D,D$6))</x:f>
        <x:v>0</x:v>
      </x:c>
      <x:c r="E11" s="70" t="n">
        <x:f aca="0">TANH(Parameters!$B$24*SUMIFS(Impact_Input!$N:$N,Impact_Input!$B:$B,"A",Impact_Input!$C:$C,$A11,Impact_Input!$D:$D,E$6))</x:f>
        <x:v>0</x:v>
      </x:c>
      <x:c r="F11" s="70" t="n">
        <x:f aca="0">TANH(Parameters!$B$24*SUMIFS(Impact_Input!$N:$N,Impact_Input!$B:$B,"A",Impact_Input!$C:$C,$A11,Impact_Input!$D:$D,F$6))</x:f>
        <x:v>0</x:v>
      </x:c>
      <x:c r="G11" s="70" t="n">
        <x:f aca="0">TANH(Parameters!$B$24*SUMIFS(Impact_Input!$N:$N,Impact_Input!$B:$B,"A",Impact_Input!$C:$C,$A11,Impact_Input!$D:$D,G$6))</x:f>
        <x:v>0</x:v>
      </x:c>
      <x:c r="H11" s="70" t="n">
        <x:f aca="0">TANH(Parameters!$B$24*SUMIFS(Impact_Input!$N:$N,Impact_Input!$B:$B,"A",Impact_Input!$C:$C,$A11,Impact_Input!$D:$D,H$6))</x:f>
        <x:v>0</x:v>
      </x:c>
      <x:c r="I11" s="6"/>
    </x:row>
    <x:row r="12" s="1" customFormat="1" ht="14.25" hidden="0" customHeight="1">
      <x:c r="A12" s="7" t="s">
        <x:v>968</x:v>
      </x:c>
      <x:c r="B12" s="71" t="n">
        <x:f aca="0">TANH(Parameters!$B$24*SUMIFS(Impact_Input!$N:$N,Impact_Input!$B:$B,"A",Impact_Input!$C:$C,$A12,Impact_Input!$D:$D,B$6))</x:f>
        <x:v>0</x:v>
      </x:c>
      <x:c r="C12" s="71" t="n">
        <x:f aca="0">TANH(Parameters!$B$24*SUMIFS(Impact_Input!$N:$N,Impact_Input!$B:$B,"A",Impact_Input!$C:$C,$A12,Impact_Input!$D:$D,C$6))</x:f>
        <x:v>0</x:v>
      </x:c>
      <x:c r="D12" s="71" t="n">
        <x:f aca="0">TANH(Parameters!$B$24*SUMIFS(Impact_Input!$N:$N,Impact_Input!$B:$B,"A",Impact_Input!$C:$C,$A12,Impact_Input!$D:$D,D$6))</x:f>
        <x:v>0</x:v>
      </x:c>
      <x:c r="E12" s="71" t="n">
        <x:f aca="0">TANH(Parameters!$B$24*SUMIFS(Impact_Input!$N:$N,Impact_Input!$B:$B,"A",Impact_Input!$C:$C,$A12,Impact_Input!$D:$D,E$6))</x:f>
        <x:v>0</x:v>
      </x:c>
      <x:c r="F12" s="71" t="n">
        <x:f aca="0">TANH(Parameters!$B$24*SUMIFS(Impact_Input!$N:$N,Impact_Input!$B:$B,"A",Impact_Input!$C:$C,$A12,Impact_Input!$D:$D,F$6))</x:f>
        <x:v>0</x:v>
      </x:c>
      <x:c r="G12" s="71" t="n">
        <x:f aca="0">TANH(Parameters!$B$24*SUMIFS(Impact_Input!$N:$N,Impact_Input!$B:$B,"A",Impact_Input!$C:$C,$A12,Impact_Input!$D:$D,G$6))</x:f>
        <x:v>0</x:v>
      </x:c>
      <x:c r="H12" s="71" t="n">
        <x:f aca="0">TANH(Parameters!$B$24*SUMIFS(Impact_Input!$N:$N,Impact_Input!$B:$B,"A",Impact_Input!$C:$C,$A12,Impact_Input!$D:$D,H$6))</x:f>
        <x:v>0</x:v>
      </x:c>
      <x:c r="I12" s="6"/>
    </x:row>
    <x:row r="13" s="1" customFormat="1" ht="14.25" hidden="0" customHeight="1">
      <x:c r="A13" s="7" t="s">
        <x:v>970</x:v>
      </x:c>
      <x:c r="B13" s="70" t="n">
        <x:f aca="0">TANH(Parameters!$B$24*SUMIFS(Impact_Input!$N:$N,Impact_Input!$B:$B,"A",Impact_Input!$C:$C,$A13,Impact_Input!$D:$D,B$6))</x:f>
        <x:v>0</x:v>
      </x:c>
      <x:c r="C13" s="70" t="n">
        <x:f aca="0">TANH(Parameters!$B$24*SUMIFS(Impact_Input!$N:$N,Impact_Input!$B:$B,"A",Impact_Input!$C:$C,$A13,Impact_Input!$D:$D,C$6))</x:f>
        <x:v>0</x:v>
      </x:c>
      <x:c r="D13" s="70" t="n">
        <x:f aca="0">TANH(Parameters!$B$24*SUMIFS(Impact_Input!$N:$N,Impact_Input!$B:$B,"A",Impact_Input!$C:$C,$A13,Impact_Input!$D:$D,D$6))</x:f>
        <x:v>0</x:v>
      </x:c>
      <x:c r="E13" s="70" t="n">
        <x:f aca="0">TANH(Parameters!$B$24*SUMIFS(Impact_Input!$N:$N,Impact_Input!$B:$B,"A",Impact_Input!$C:$C,$A13,Impact_Input!$D:$D,E$6))</x:f>
        <x:v>0</x:v>
      </x:c>
      <x:c r="F13" s="70" t="n">
        <x:f aca="0">TANH(Parameters!$B$24*SUMIFS(Impact_Input!$N:$N,Impact_Input!$B:$B,"A",Impact_Input!$C:$C,$A13,Impact_Input!$D:$D,F$6))</x:f>
        <x:v>0</x:v>
      </x:c>
      <x:c r="G13" s="70" t="n">
        <x:f aca="0">TANH(Parameters!$B$24*SUMIFS(Impact_Input!$N:$N,Impact_Input!$B:$B,"A",Impact_Input!$C:$C,$A13,Impact_Input!$D:$D,G$6))</x:f>
        <x:v>0</x:v>
      </x:c>
      <x:c r="H13" s="76" t="n">
        <x:f aca="0">TANH(Parameters!$B$24*SUMIFS(Impact_Input!$N:$N,Impact_Input!$B:$B,"A",Impact_Input!$C:$C,$A13,Impact_Input!$D:$D,H$6))</x:f>
        <x:v>0.01531651795735988</x:v>
      </x:c>
      <x:c r="I13" s="6"/>
    </x:row>
    <x:row r="14" s="1" customFormat="1" ht="13.5" hidden="0" customHeight="1">
      <x:c r="A14" s="6"/>
      <x:c r="B14" s="6"/>
      <x:c r="C14" s="6"/>
      <x:c r="D14" s="6"/>
      <x:c r="E14" s="6"/>
      <x:c r="F14" s="6"/>
      <x:c r="G14" s="6"/>
      <x:c r="H14" s="6"/>
      <x:c r="I14" s="6"/>
    </x:row>
    <x:row r="15" s="1" customFormat="1" ht="13.5" hidden="0" customHeight="1">
      <x:c r="A15" s="6"/>
      <x:c r="B15" s="6"/>
      <x:c r="C15" s="6"/>
      <x:c r="D15" s="6"/>
      <x:c r="E15" s="6"/>
      <x:c r="F15" s="6"/>
      <x:c r="G15" s="6"/>
      <x:c r="H15" s="6"/>
      <x:c r="I15" s="6"/>
    </x:row>
    <x:row r="16" s="1" customFormat="1" ht="14.25" hidden="0" customHeight="1">
      <x:c r="A16" s="7" t="s">
        <x:v>1196</x:v>
      </x:c>
      <x:c r="B16" s="6"/>
      <x:c r="C16" s="6"/>
      <x:c r="D16" s="6"/>
      <x:c r="E16" s="6"/>
      <x:c r="F16" s="6"/>
      <x:c r="G16" s="6"/>
      <x:c r="H16" s="6"/>
      <x:c r="I16" s="6"/>
    </x:row>
    <x:row r="17" s="1" customFormat="1" ht="14.25" hidden="0" customHeight="1">
      <x:c r="A17" s="6"/>
      <x:c r="B17" s="8" t="s">
        <x:v>973</x:v>
      </x:c>
      <x:c r="C17" s="8" t="s">
        <x:v>963</x:v>
      </x:c>
      <x:c r="D17" s="8" t="s">
        <x:v>972</x:v>
      </x:c>
      <x:c r="E17" s="8" t="s">
        <x:v>974</x:v>
      </x:c>
      <x:c r="F17" s="8" t="s">
        <x:v>971</x:v>
      </x:c>
      <x:c r="G17" s="8" t="s">
        <x:v>1099</x:v>
      </x:c>
      <x:c r="H17" s="8" t="s">
        <x:v>969</x:v>
      </x:c>
      <x:c r="I17" s="6"/>
    </x:row>
    <x:row r="18" s="1" customFormat="1" ht="14.25" hidden="0" customHeight="1">
      <x:c r="A18" s="7" t="s">
        <x:v>962</x:v>
      </x:c>
      <x:c r="B18" s="71" t="n">
        <x:f aca="0">TANH(Parameters!$B$24*SUMIFS(Impact_Input!$N:$N,Impact_Input!$B:$B,"B",Impact_Input!$C:$C,$A18,Impact_Input!$D:$D,B$17))</x:f>
        <x:v>0</x:v>
      </x:c>
      <x:c r="C18" s="71" t="n">
        <x:f aca="0">TANH(Parameters!$B$24*SUMIFS(Impact_Input!$N:$N,Impact_Input!$B:$B,"B",Impact_Input!$C:$C,$A18,Impact_Input!$D:$D,C$17))</x:f>
        <x:v>0</x:v>
      </x:c>
      <x:c r="D18" s="71" t="n">
        <x:f aca="0">TANH(Parameters!$B$24*SUMIFS(Impact_Input!$N:$N,Impact_Input!$B:$B,"B",Impact_Input!$C:$C,$A18,Impact_Input!$D:$D,D$17))</x:f>
        <x:v>0</x:v>
      </x:c>
      <x:c r="E18" s="71" t="n">
        <x:f aca="0">TANH(Parameters!$B$24*SUMIFS(Impact_Input!$N:$N,Impact_Input!$B:$B,"B",Impact_Input!$C:$C,$A18,Impact_Input!$D:$D,E$17))</x:f>
        <x:v>0</x:v>
      </x:c>
      <x:c r="F18" s="71" t="n">
        <x:f aca="0">TANH(Parameters!$B$24*SUMIFS(Impact_Input!$N:$N,Impact_Input!$B:$B,"B",Impact_Input!$C:$C,$A18,Impact_Input!$D:$D,F$17))</x:f>
        <x:v>-0.046333567670633624</x:v>
      </x:c>
      <x:c r="G18" s="71" t="n">
        <x:f aca="0">TANH(Parameters!$B$24*SUMIFS(Impact_Input!$N:$N,Impact_Input!$B:$B,"B",Impact_Input!$C:$C,$A18,Impact_Input!$D:$D,G$17))</x:f>
        <x:v>0</x:v>
      </x:c>
      <x:c r="H18" s="71" t="n">
        <x:f aca="0">TANH(Parameters!$B$24*SUMIFS(Impact_Input!$N:$N,Impact_Input!$B:$B,"B",Impact_Input!$C:$C,$A18,Impact_Input!$D:$D,H$17))</x:f>
        <x:v>0</x:v>
      </x:c>
      <x:c r="I18" s="6"/>
    </x:row>
    <x:row r="19" s="1" customFormat="1" ht="14.25" hidden="0" customHeight="1">
      <x:c r="A19" s="7" t="s">
        <x:v>964</x:v>
      </x:c>
      <x:c r="B19" s="77" t="n">
        <x:f aca="0">TANH(Parameters!$B$24*SUMIFS(Impact_Input!$N:$N,Impact_Input!$B:$B,"B",Impact_Input!$C:$C,$A19,Impact_Input!$D:$D,B$17))</x:f>
        <x:v>-0.01847590043753792</x:v>
      </x:c>
      <x:c r="C19" s="70" t="n">
        <x:f aca="0">TANH(Parameters!$B$24*SUMIFS(Impact_Input!$N:$N,Impact_Input!$B:$B,"B",Impact_Input!$C:$C,$A19,Impact_Input!$D:$D,C$17))</x:f>
        <x:v>0</x:v>
      </x:c>
      <x:c r="D19" s="70" t="n">
        <x:f aca="0">TANH(Parameters!$B$24*SUMIFS(Impact_Input!$N:$N,Impact_Input!$B:$B,"B",Impact_Input!$C:$C,$A19,Impact_Input!$D:$D,D$17))</x:f>
        <x:v>0</x:v>
      </x:c>
      <x:c r="E19" s="70" t="n">
        <x:f aca="0">TANH(Parameters!$B$24*SUMIFS(Impact_Input!$N:$N,Impact_Input!$B:$B,"B",Impact_Input!$C:$C,$A19,Impact_Input!$D:$D,E$17))</x:f>
        <x:v>0</x:v>
      </x:c>
      <x:c r="F19" s="70" t="n">
        <x:f aca="0">TANH(Parameters!$B$24*SUMIFS(Impact_Input!$N:$N,Impact_Input!$B:$B,"B",Impact_Input!$C:$C,$A19,Impact_Input!$D:$D,F$17))</x:f>
        <x:v>0</x:v>
      </x:c>
      <x:c r="G19" s="70" t="n">
        <x:f aca="0">TANH(Parameters!$B$24*SUMIFS(Impact_Input!$N:$N,Impact_Input!$B:$B,"B",Impact_Input!$C:$C,$A19,Impact_Input!$D:$D,G$17))</x:f>
        <x:v>0</x:v>
      </x:c>
      <x:c r="H19" s="70" t="n">
        <x:f aca="0">TANH(Parameters!$B$24*SUMIFS(Impact_Input!$N:$N,Impact_Input!$B:$B,"B",Impact_Input!$C:$C,$A19,Impact_Input!$D:$D,H$17))</x:f>
        <x:v>0</x:v>
      </x:c>
      <x:c r="I19" s="6"/>
    </x:row>
    <x:row r="20" s="1" customFormat="1" ht="14.25" hidden="0" customHeight="1">
      <x:c r="A20" s="7" t="s">
        <x:v>965</x:v>
      </x:c>
      <x:c r="B20" s="71" t="n">
        <x:f aca="0">TANH(Parameters!$B$24*SUMIFS(Impact_Input!$N:$N,Impact_Input!$B:$B,"B",Impact_Input!$C:$C,$A20,Impact_Input!$D:$D,B$17))</x:f>
        <x:v>0.013197807340577457</x:v>
      </x:c>
      <x:c r="C20" s="71" t="n">
        <x:f aca="0">TANH(Parameters!$B$24*SUMIFS(Impact_Input!$N:$N,Impact_Input!$B:$B,"B",Impact_Input!$C:$C,$A20,Impact_Input!$D:$D,C$17))</x:f>
        <x:v>0</x:v>
      </x:c>
      <x:c r="D20" s="71" t="n">
        <x:f aca="0">TANH(Parameters!$B$24*SUMIFS(Impact_Input!$N:$N,Impact_Input!$B:$B,"B",Impact_Input!$C:$C,$A20,Impact_Input!$D:$D,D$17))</x:f>
        <x:v>0.06151557221350915</x:v>
      </x:c>
      <x:c r="E20" s="71" t="n">
        <x:f aca="0">TANH(Parameters!$B$24*SUMIFS(Impact_Input!$N:$N,Impact_Input!$B:$B,"B",Impact_Input!$C:$C,$A20,Impact_Input!$D:$D,E$17))</x:f>
        <x:v>0</x:v>
      </x:c>
      <x:c r="F20" s="71" t="n">
        <x:f aca="0">TANH(Parameters!$B$24*SUMIFS(Impact_Input!$N:$N,Impact_Input!$B:$B,"B",Impact_Input!$C:$C,$A20,Impact_Input!$D:$D,F$17))</x:f>
        <x:v>0</x:v>
      </x:c>
      <x:c r="G20" s="71" t="n">
        <x:f aca="0">TANH(Parameters!$B$24*SUMIFS(Impact_Input!$N:$N,Impact_Input!$B:$B,"B",Impact_Input!$C:$C,$A20,Impact_Input!$D:$D,G$17))</x:f>
        <x:v>0</x:v>
      </x:c>
      <x:c r="H20" s="71" t="n">
        <x:f aca="0">TANH(Parameters!$B$24*SUMIFS(Impact_Input!$N:$N,Impact_Input!$B:$B,"B",Impact_Input!$C:$C,$A20,Impact_Input!$D:$D,H$17))</x:f>
        <x:v>0</x:v>
      </x:c>
      <x:c r="I20" s="6"/>
    </x:row>
    <x:row r="21" s="1" customFormat="1" ht="14.25" hidden="0" customHeight="1">
      <x:c r="A21" s="7" t="s">
        <x:v>966</x:v>
      </x:c>
      <x:c r="B21" s="76" t="n">
        <x:f aca="0">TANH(Parameters!$B$24*SUMIFS(Impact_Input!$N:$N,Impact_Input!$B:$B,"B",Impact_Input!$C:$C,$A21,Impact_Input!$D:$D,B$17))</x:f>
        <x:v>0.010211455619172161</x:v>
      </x:c>
      <x:c r="C21" s="70" t="n">
        <x:f aca="0">TANH(Parameters!$B$24*SUMIFS(Impact_Input!$N:$N,Impact_Input!$B:$B,"B",Impact_Input!$C:$C,$A21,Impact_Input!$D:$D,C$17))</x:f>
        <x:v>0</x:v>
      </x:c>
      <x:c r="D21" s="70" t="n">
        <x:f aca="0">TANH(Parameters!$B$24*SUMIFS(Impact_Input!$N:$N,Impact_Input!$B:$B,"B",Impact_Input!$C:$C,$A21,Impact_Input!$D:$D,D$17))</x:f>
        <x:v>0</x:v>
      </x:c>
      <x:c r="E21" s="70" t="n">
        <x:f aca="0">TANH(Parameters!$B$24*SUMIFS(Impact_Input!$N:$N,Impact_Input!$B:$B,"B",Impact_Input!$C:$C,$A21,Impact_Input!$D:$D,E$17))</x:f>
        <x:v>0</x:v>
      </x:c>
      <x:c r="F21" s="70" t="n">
        <x:f aca="0">TANH(Parameters!$B$24*SUMIFS(Impact_Input!$N:$N,Impact_Input!$B:$B,"B",Impact_Input!$C:$C,$A21,Impact_Input!$D:$D,F$17))</x:f>
        <x:v>0</x:v>
      </x:c>
      <x:c r="G21" s="70" t="n">
        <x:f aca="0">TANH(Parameters!$B$24*SUMIFS(Impact_Input!$N:$N,Impact_Input!$B:$B,"B",Impact_Input!$C:$C,$A21,Impact_Input!$D:$D,G$17))</x:f>
        <x:v>0</x:v>
      </x:c>
      <x:c r="H21" s="70" t="n">
        <x:f aca="0">TANH(Parameters!$B$24*SUMIFS(Impact_Input!$N:$N,Impact_Input!$B:$B,"B",Impact_Input!$C:$C,$A21,Impact_Input!$D:$D,H$17))</x:f>
        <x:v>0</x:v>
      </x:c>
      <x:c r="I21" s="6"/>
    </x:row>
    <x:row r="22" s="1" customFormat="1" ht="14.25" hidden="0" customHeight="1">
      <x:c r="A22" s="7" t="s">
        <x:v>967</x:v>
      </x:c>
      <x:c r="B22" s="71" t="n">
        <x:f aca="0">TANH(Parameters!$B$24*SUMIFS(Impact_Input!$N:$N,Impact_Input!$B:$B,"B",Impact_Input!$C:$C,$A22,Impact_Input!$D:$D,B$17))</x:f>
        <x:v>0</x:v>
      </x:c>
      <x:c r="C22" s="71" t="n">
        <x:f aca="0">TANH(Parameters!$B$24*SUMIFS(Impact_Input!$N:$N,Impact_Input!$B:$B,"B",Impact_Input!$C:$C,$A22,Impact_Input!$D:$D,C$17))</x:f>
        <x:v>0</x:v>
      </x:c>
      <x:c r="D22" s="71" t="n">
        <x:f aca="0">TANH(Parameters!$B$24*SUMIFS(Impact_Input!$N:$N,Impact_Input!$B:$B,"B",Impact_Input!$C:$C,$A22,Impact_Input!$D:$D,D$17))</x:f>
        <x:v>0</x:v>
      </x:c>
      <x:c r="E22" s="71" t="n">
        <x:f aca="0">TANH(Parameters!$B$24*SUMIFS(Impact_Input!$N:$N,Impact_Input!$B:$B,"B",Impact_Input!$C:$C,$A22,Impact_Input!$D:$D,E$17))</x:f>
        <x:v>0</x:v>
      </x:c>
      <x:c r="F22" s="71" t="n">
        <x:f aca="0">TANH(Parameters!$B$24*SUMIFS(Impact_Input!$N:$N,Impact_Input!$B:$B,"B",Impact_Input!$C:$C,$A22,Impact_Input!$D:$D,F$17))</x:f>
        <x:v>0</x:v>
      </x:c>
      <x:c r="G22" s="71" t="n">
        <x:f aca="0">TANH(Parameters!$B$24*SUMIFS(Impact_Input!$N:$N,Impact_Input!$B:$B,"B",Impact_Input!$C:$C,$A22,Impact_Input!$D:$D,G$17))</x:f>
        <x:v>0</x:v>
      </x:c>
      <x:c r="H22" s="71" t="n">
        <x:f aca="0">TANH(Parameters!$B$24*SUMIFS(Impact_Input!$N:$N,Impact_Input!$B:$B,"B",Impact_Input!$C:$C,$A22,Impact_Input!$D:$D,H$17))</x:f>
        <x:v>0</x:v>
      </x:c>
      <x:c r="I22" s="6"/>
    </x:row>
    <x:row r="23" s="1" customFormat="1" ht="14.25" hidden="0" customHeight="1">
      <x:c r="A23" s="7" t="s">
        <x:v>968</x:v>
      </x:c>
      <x:c r="B23" s="70" t="n">
        <x:f aca="0">TANH(Parameters!$B$24*SUMIFS(Impact_Input!$N:$N,Impact_Input!$B:$B,"B",Impact_Input!$C:$C,$A23,Impact_Input!$D:$D,B$17))</x:f>
        <x:v>0</x:v>
      </x:c>
      <x:c r="C23" s="70" t="n">
        <x:f aca="0">TANH(Parameters!$B$24*SUMIFS(Impact_Input!$N:$N,Impact_Input!$B:$B,"B",Impact_Input!$C:$C,$A23,Impact_Input!$D:$D,C$17))</x:f>
        <x:v>0</x:v>
      </x:c>
      <x:c r="D23" s="70" t="n">
        <x:f aca="0">TANH(Parameters!$B$24*SUMIFS(Impact_Input!$N:$N,Impact_Input!$B:$B,"B",Impact_Input!$C:$C,$A23,Impact_Input!$D:$D,D$17))</x:f>
        <x:v>0</x:v>
      </x:c>
      <x:c r="E23" s="70" t="n">
        <x:f aca="0">TANH(Parameters!$B$24*SUMIFS(Impact_Input!$N:$N,Impact_Input!$B:$B,"B",Impact_Input!$C:$C,$A23,Impact_Input!$D:$D,E$17))</x:f>
        <x:v>0</x:v>
      </x:c>
      <x:c r="F23" s="70" t="n">
        <x:f aca="0">TANH(Parameters!$B$24*SUMIFS(Impact_Input!$N:$N,Impact_Input!$B:$B,"B",Impact_Input!$C:$C,$A23,Impact_Input!$D:$D,F$17))</x:f>
        <x:v>0</x:v>
      </x:c>
      <x:c r="G23" s="70" t="n">
        <x:f aca="0">TANH(Parameters!$B$24*SUMIFS(Impact_Input!$N:$N,Impact_Input!$B:$B,"B",Impact_Input!$C:$C,$A23,Impact_Input!$D:$D,G$17))</x:f>
        <x:v>0</x:v>
      </x:c>
      <x:c r="H23" s="70" t="n">
        <x:f aca="0">TANH(Parameters!$B$24*SUMIFS(Impact_Input!$N:$N,Impact_Input!$B:$B,"B",Impact_Input!$C:$C,$A23,Impact_Input!$D:$D,H$17))</x:f>
        <x:v>0</x:v>
      </x:c>
      <x:c r="I23" s="6"/>
    </x:row>
    <x:row r="24" s="1" customFormat="1" ht="14.25" hidden="0" customHeight="1">
      <x:c r="A24" s="7" t="s">
        <x:v>970</x:v>
      </x:c>
      <x:c r="B24" s="71" t="n">
        <x:f aca="0">TANH(Parameters!$B$24*SUMIFS(Impact_Input!$N:$N,Impact_Input!$B:$B,"B",Impact_Input!$C:$C,$A24,Impact_Input!$D:$D,B$17))</x:f>
        <x:v>0</x:v>
      </x:c>
      <x:c r="C24" s="71" t="n">
        <x:f aca="0">TANH(Parameters!$B$24*SUMIFS(Impact_Input!$N:$N,Impact_Input!$B:$B,"B",Impact_Input!$C:$C,$A24,Impact_Input!$D:$D,C$17))</x:f>
        <x:v>0</x:v>
      </x:c>
      <x:c r="D24" s="71" t="n">
        <x:f aca="0">TANH(Parameters!$B$24*SUMIFS(Impact_Input!$N:$N,Impact_Input!$B:$B,"B",Impact_Input!$C:$C,$A24,Impact_Input!$D:$D,D$17))</x:f>
        <x:v>0</x:v>
      </x:c>
      <x:c r="E24" s="71" t="n">
        <x:f aca="0">TANH(Parameters!$B$24*SUMIFS(Impact_Input!$N:$N,Impact_Input!$B:$B,"B",Impact_Input!$C:$C,$A24,Impact_Input!$D:$D,E$17))</x:f>
        <x:v>0</x:v>
      </x:c>
      <x:c r="F24" s="71" t="n">
        <x:f aca="0">TANH(Parameters!$B$24*SUMIFS(Impact_Input!$N:$N,Impact_Input!$B:$B,"B",Impact_Input!$C:$C,$A24,Impact_Input!$D:$D,F$17))</x:f>
        <x:v>0</x:v>
      </x:c>
      <x:c r="G24" s="71" t="n">
        <x:f aca="0">TANH(Parameters!$B$24*SUMIFS(Impact_Input!$N:$N,Impact_Input!$B:$B,"B",Impact_Input!$C:$C,$A24,Impact_Input!$D:$D,G$17))</x:f>
        <x:v>0</x:v>
      </x:c>
      <x:c r="H24" s="71" t="n">
        <x:f aca="0">TANH(Parameters!$B$24*SUMIFS(Impact_Input!$N:$N,Impact_Input!$B:$B,"B",Impact_Input!$C:$C,$A24,Impact_Input!$D:$D,H$17))</x:f>
        <x:v>-0.010211455619172184</x:v>
      </x:c>
      <x:c r="I24" s="6"/>
    </x:row>
  </x:sheetData>
  <x:mergeCells>
    <x:mergeCell ref="A1:I1"/>
  </x:mergeCells>
  <x:pageMargins left="0.7" right="0.7" top="0.75" bottom="0.75" header="0.3" footer="0.3"/>
</x:worksheet>
</file>

<file path=xl/worksheets/sheet16.xml><?xml version="1.0" encoding="utf-8"?>
<x:worksheet xmlns:x="http://schemas.openxmlformats.org/spreadsheetml/2006/main">
  <x:sheetViews>
    <x:sheetView showGridLines="1" workbookViewId="0"/>
  </x:sheetViews>
  <x:sheetFormatPr defaultColWidth="8.6796875" defaultRowHeight="15"/>
  <x:cols>
    <x:col min="1" max="2" width="36" style="1" hidden="0" customWidth="1"/>
    <x:col min="3" max="3" width="26" style="1" hidden="0" customWidth="1"/>
    <x:col min="4" max="4" width="36" style="1" hidden="0" customWidth="1"/>
  </x:cols>
  <x:sheetData>
    <x:row r="1" s="1" customFormat="1" ht="24" hidden="0" customHeight="1">
      <x:c r="A1" s="2" t="s">
        <x:v>1197</x:v>
      </x:c>
      <x:c r="B1" s="2" t="s">
        <x:v>1198</x:v>
      </x:c>
      <x:c r="C1" s="3"/>
      <x:c r="D1" s="3"/>
    </x:row>
    <x:row r="2" s="1" customFormat="1" ht="15" hidden="0" customHeight="1">
      <x:c r="A2" s="7" t="s">
        <x:v>761</x:v>
      </x:c>
      <x:c r="B2" s="5" t="s">
        <x:v>762</x:v>
      </x:c>
      <x:c r="C2" s="6"/>
      <x:c r="D2" s="6"/>
    </x:row>
    <x:row r="3" s="1" customFormat="1" ht="15" hidden="0" customHeight="1">
      <x:c r="A3" s="7" t="s">
        <x:v>1199</x:v>
      </x:c>
      <x:c r="B3" s="8" t="s">
        <x:v>154</x:v>
      </x:c>
      <x:c r="C3" s="6"/>
      <x:c r="D3" s="6"/>
    </x:row>
    <x:row r="4" s="1" customFormat="1" ht="15" hidden="0" customHeight="1">
      <x:c r="A4" s="7" t="s">
        <x:v>1200</x:v>
      </x:c>
      <x:c r="B4" s="5" t="s">
        <x:v>1201</x:v>
      </x:c>
      <x:c r="C4" s="6"/>
      <x:c r="D4" s="6"/>
    </x:row>
    <x:row r="5" s="1" customFormat="1" ht="24" hidden="0" customHeight="1">
      <x:c r="A5" s="7" t="s">
        <x:v>1</x:v>
      </x:c>
      <x:c r="B5" s="8" t="s">
        <x:v>1202</x:v>
      </x:c>
      <x:c r="C5" s="6"/>
      <x:c r="D5" s="6"/>
    </x:row>
    <x:row r="6" s="1" customFormat="1" ht="15" hidden="0" customHeight="1">
      <x:c r="A6" s="6"/>
      <x:c r="B6" s="6"/>
      <x:c r="C6" s="6"/>
      <x:c r="D6" s="6"/>
    </x:row>
    <x:row r="7" s="1" customFormat="1" ht="15" hidden="0" customHeight="1">
      <x:c r="A7" s="7" t="s">
        <x:v>346</x:v>
      </x:c>
      <x:c r="B7" s="78" t="s">
        <x:v>347</x:v>
      </x:c>
      <x:c r="C7" s="78" t="s">
        <x:v>349</x:v>
      </x:c>
      <x:c r="D7" s="78" t="s">
        <x:v>1203</x:v>
      </x:c>
    </x:row>
    <x:row r="8" s="1" customFormat="1" ht="24" hidden="0" customHeight="1">
      <x:c r="A8" s="7" t="s">
        <x:v>1204</x:v>
      </x:c>
      <x:c r="B8" s="5" t="s">
        <x:v>1205</x:v>
      </x:c>
      <x:c r="C8" s="5" t="s">
        <x:v>1206</x:v>
      </x:c>
      <x:c r="D8" s="5" t="s">
        <x:v>1207</x:v>
      </x:c>
    </x:row>
    <x:row r="9" s="1" customFormat="1" ht="24" hidden="0" customHeight="1">
      <x:c r="A9" s="7" t="s">
        <x:v>1208</x:v>
      </x:c>
      <x:c r="B9" s="8" t="s">
        <x:v>1209</x:v>
      </x:c>
      <x:c r="C9" s="8" t="s">
        <x:v>1210</x:v>
      </x:c>
      <x:c r="D9" s="8" t="s">
        <x:v>1211</x:v>
      </x:c>
    </x:row>
    <x:row r="10" s="1" customFormat="1" ht="24" hidden="0" customHeight="1">
      <x:c r="A10" s="7" t="s">
        <x:v>1212</x:v>
      </x:c>
      <x:c r="B10" s="5" t="s">
        <x:v>1213</x:v>
      </x:c>
      <x:c r="C10" s="5" t="s">
        <x:v>1214</x:v>
      </x:c>
      <x:c r="D10" s="5" t="s">
        <x:v>1215</x:v>
      </x:c>
    </x:row>
    <x:row r="11" s="1" customFormat="1" ht="24" hidden="0" customHeight="1">
      <x:c r="A11" s="7" t="s">
        <x:v>1216</x:v>
      </x:c>
      <x:c r="B11" s="8" t="s">
        <x:v>1217</x:v>
      </x:c>
      <x:c r="C11" s="8" t="s">
        <x:v>1206</x:v>
      </x:c>
      <x:c r="D11" s="8" t="s">
        <x:v>1218</x:v>
      </x:c>
    </x:row>
    <x:row r="12" s="1" customFormat="1" ht="36" hidden="0" customHeight="1">
      <x:c r="A12" s="7" t="s">
        <x:v>1219</x:v>
      </x:c>
      <x:c r="B12" s="5" t="s">
        <x:v>1220</x:v>
      </x:c>
      <x:c r="C12" s="5" t="s">
        <x:v>1206</x:v>
      </x:c>
      <x:c r="D12" s="5" t="s">
        <x:v>1221</x:v>
      </x:c>
    </x:row>
    <x:row r="13" s="1" customFormat="1" ht="24" hidden="0" customHeight="1">
      <x:c r="A13" s="7" t="s">
        <x:v>1222</x:v>
      </x:c>
      <x:c r="B13" s="8" t="s">
        <x:v>1223</x:v>
      </x:c>
      <x:c r="C13" s="8" t="s">
        <x:v>1224</x:v>
      </x:c>
      <x:c r="D13" s="8" t="s">
        <x:v>1225</x:v>
      </x:c>
    </x:row>
    <x:row r="14" s="1" customFormat="1" ht="24" hidden="0" customHeight="1">
      <x:c r="A14" s="7" t="s">
        <x:v>1226</x:v>
      </x:c>
      <x:c r="B14" s="5" t="s">
        <x:v>1206</x:v>
      </x:c>
      <x:c r="C14" s="5" t="s">
        <x:v>1227</x:v>
      </x:c>
      <x:c r="D14" s="5" t="s">
        <x:v>1228</x:v>
      </x:c>
    </x:row>
    <x:row r="15" s="1" customFormat="1" ht="48" hidden="0" customHeight="1">
      <x:c r="A15" s="7" t="s">
        <x:v>1229</x:v>
      </x:c>
      <x:c r="B15" s="8" t="s">
        <x:v>1230</x:v>
      </x:c>
      <x:c r="C15" s="8" t="s">
        <x:v>1224</x:v>
      </x:c>
      <x:c r="D15" s="8" t="s">
        <x:v>1231</x:v>
      </x:c>
    </x:row>
    <x:row r="16" s="1" customFormat="1" ht="15" hidden="0" customHeight="1">
      <x:c r="A16" s="7" t="s">
        <x:v>1232</x:v>
      </x:c>
      <x:c r="B16" s="5" t="s">
        <x:v>1233</x:v>
      </x:c>
      <x:c r="C16" s="5" t="s">
        <x:v>1224</x:v>
      </x:c>
      <x:c r="D16" s="5" t="s">
        <x:v>1234</x:v>
      </x:c>
    </x:row>
    <x:row r="17" s="1" customFormat="1" ht="15" hidden="0" customHeight="1">
      <x:c r="A17" s="7" t="s">
        <x:v>1235</x:v>
      </x:c>
      <x:c r="B17" s="8" t="s">
        <x:v>1236</x:v>
      </x:c>
      <x:c r="C17" s="8" t="s">
        <x:v>1224</x:v>
      </x:c>
      <x:c r="D17" s="8" t="s">
        <x:v>1237</x:v>
      </x:c>
    </x:row>
    <x:row r="18" s="1" customFormat="1" ht="36" hidden="0" customHeight="1">
      <x:c r="A18" s="7" t="s">
        <x:v>1238</x:v>
      </x:c>
      <x:c r="B18" s="5" t="s">
        <x:v>1239</x:v>
      </x:c>
      <x:c r="C18" s="5" t="s">
        <x:v>1224</x:v>
      </x:c>
      <x:c r="D18" s="5" t="s">
        <x:v>1240</x:v>
      </x:c>
    </x:row>
    <x:row r="19" s="1" customFormat="1" ht="24" hidden="0" customHeight="1">
      <x:c r="A19" s="7" t="s">
        <x:v>1241</x:v>
      </x:c>
      <x:c r="B19" s="8" t="s">
        <x:v>1242</x:v>
      </x:c>
      <x:c r="C19" s="8" t="s">
        <x:v>1243</x:v>
      </x:c>
      <x:c r="D19" s="8" t="s">
        <x:v>1244</x:v>
      </x:c>
    </x:row>
    <x:row r="20" s="1" customFormat="1" ht="34.5" hidden="0" customHeight="1">
      <x:c r="A20" s="7" t="s">
        <x:v>1216</x:v>
      </x:c>
      <x:c r="B20" s="5" t="s">
        <x:v>1245</x:v>
      </x:c>
      <x:c r="C20" s="5" t="s">
        <x:v>1206</x:v>
      </x:c>
      <x:c r="D20" s="5" t="s">
        <x:v>1246</x:v>
      </x:c>
    </x:row>
    <x:row r="21" s="1" customFormat="1" ht="34.5" hidden="0" customHeight="1">
      <x:c r="A21" s="7" t="s">
        <x:v>1219</x:v>
      </x:c>
      <x:c r="B21" s="8" t="s">
        <x:v>1247</x:v>
      </x:c>
      <x:c r="C21" s="8" t="s">
        <x:v>1224</x:v>
      </x:c>
      <x:c r="D21" s="8" t="s">
        <x:v>1248</x:v>
      </x:c>
    </x:row>
    <x:row r="22" s="1" customFormat="1" ht="45.75" hidden="0" customHeight="1">
      <x:c r="A22" s="7" t="s">
        <x:v>1249</x:v>
      </x:c>
      <x:c r="B22" s="5" t="s">
        <x:v>1250</x:v>
      </x:c>
      <x:c r="C22" s="5" t="s">
        <x:v>1224</x:v>
      </x:c>
      <x:c r="D22" s="5" t="s">
        <x:v>1251</x:v>
      </x:c>
    </x:row>
    <x:row r="23" s="1" customFormat="1" ht="45.75" hidden="0" customHeight="1">
      <x:c r="A23" s="7" t="s">
        <x:v>1222</x:v>
      </x:c>
      <x:c r="B23" s="8" t="s">
        <x:v>1252</x:v>
      </x:c>
      <x:c r="C23" s="8" t="s">
        <x:v>1253</x:v>
      </x:c>
      <x:c r="D23" s="8" t="s">
        <x:v>1254</x:v>
      </x:c>
    </x:row>
    <x:row r="24" s="1" customFormat="1" ht="57" hidden="0" customHeight="1">
      <x:c r="A24" s="7" t="s">
        <x:v>1255</x:v>
      </x:c>
      <x:c r="B24" s="5" t="s">
        <x:v>1256</x:v>
      </x:c>
      <x:c r="C24" s="5" t="s">
        <x:v>1224</x:v>
      </x:c>
      <x:c r="D24" s="5" t="s">
        <x:v>1257</x:v>
      </x:c>
    </x:row>
    <x:row r="25" s="1" customFormat="1" ht="57" hidden="0" customHeight="1">
      <x:c r="A25" s="7" t="s">
        <x:v>1258</x:v>
      </x:c>
      <x:c r="B25" s="8" t="s">
        <x:v>1259</x:v>
      </x:c>
      <x:c r="C25" s="8" t="s">
        <x:v>1260</x:v>
      </x:c>
      <x:c r="D25" s="8" t="s">
        <x:v>1261</x:v>
      </x:c>
    </x:row>
    <x:row r="26" s="1" customFormat="1" ht="34.5" hidden="0" customHeight="1">
      <x:c r="A26" s="7" t="s">
        <x:v>1262</x:v>
      </x:c>
      <x:c r="B26" s="5" t="s">
        <x:v>1263</x:v>
      </x:c>
      <x:c r="C26" s="5" t="s">
        <x:v>1253</x:v>
      </x:c>
      <x:c r="D26" s="6"/>
    </x:row>
    <x:row r="27" s="1" customFormat="1" ht="90.75" hidden="0" customHeight="1">
      <x:c r="A27" s="7" t="s">
        <x:v>1264</x:v>
      </x:c>
      <x:c r="B27" s="8" t="s">
        <x:v>1265</x:v>
      </x:c>
      <x:c r="C27" s="8" t="s">
        <x:v>1224</x:v>
      </x:c>
      <x:c r="D27" s="8" t="s">
        <x:v>1266</x:v>
      </x:c>
    </x:row>
    <x:row r="28" s="1" customFormat="1" ht="15" hidden="0" customHeight="1">
      <x:c r="A28" s="6"/>
      <x:c r="B28" s="6"/>
      <x:c r="C28" s="6"/>
      <x:c r="D28" s="6"/>
    </x:row>
    <x:row r="29" s="1" customFormat="1" ht="15" hidden="0" customHeight="1">
      <x:c r="A29" s="6"/>
      <x:c r="B29" s="6"/>
      <x:c r="C29" s="6"/>
      <x:c r="D29" s="6"/>
    </x:row>
    <x:row r="30" s="1" customFormat="1" ht="15" hidden="0" customHeight="1">
      <x:c r="A30" s="6"/>
      <x:c r="B30" s="6"/>
      <x:c r="C30" s="6"/>
      <x:c r="D30" s="6"/>
    </x:row>
    <x:row r="31" s="1" customFormat="1" ht="15" hidden="0" customHeight="1">
      <x:c r="A31" s="6"/>
      <x:c r="B31" s="6"/>
      <x:c r="C31" s="6"/>
      <x:c r="D31" s="6"/>
    </x:row>
    <x:row r="32" s="1" customFormat="1" ht="15" hidden="0" customHeight="1">
      <x:c r="A32" s="6"/>
      <x:c r="B32" s="6"/>
      <x:c r="C32" s="6"/>
      <x:c r="D32" s="6"/>
    </x:row>
    <x:row r="33" s="1" customFormat="1" ht="15" hidden="0" customHeight="1">
      <x:c r="A33" s="6"/>
      <x:c r="B33" s="6"/>
      <x:c r="C33" s="6"/>
      <x:c r="D33" s="6"/>
    </x:row>
    <x:row r="34" s="1" customFormat="1" ht="15" hidden="0" customHeight="1">
      <x:c r="A34" s="6"/>
      <x:c r="B34" s="6"/>
      <x:c r="C34" s="6"/>
      <x:c r="D34" s="6"/>
    </x:row>
    <x:row r="35" s="1" customFormat="1" ht="15" hidden="0" customHeight="1">
      <x:c r="A35" s="6"/>
      <x:c r="B35" s="6"/>
      <x:c r="C35" s="6"/>
      <x:c r="D35" s="6"/>
    </x:row>
    <x:row r="36" s="1" customFormat="1" ht="15" hidden="0" customHeight="1">
      <x:c r="A36" s="6"/>
      <x:c r="B36" s="6"/>
      <x:c r="C36" s="6"/>
      <x:c r="D36" s="6"/>
    </x:row>
    <x:row r="37" s="1" customFormat="1" ht="15" hidden="0" customHeight="1">
      <x:c r="A37" s="6"/>
      <x:c r="B37" s="6"/>
      <x:c r="C37" s="6"/>
      <x:c r="D37" s="6"/>
    </x:row>
    <x:row r="38" s="1" customFormat="1" ht="15" hidden="0" customHeight="1">
      <x:c r="A38" s="6"/>
      <x:c r="B38" s="6"/>
      <x:c r="C38" s="6"/>
      <x:c r="D38" s="6"/>
    </x:row>
    <x:row r="39" s="1" customFormat="1" ht="15" hidden="0" customHeight="1">
      <x:c r="A39" s="6"/>
      <x:c r="B39" s="6"/>
      <x:c r="C39" s="6"/>
      <x:c r="D39" s="6"/>
    </x:row>
    <x:row r="40" s="1" customFormat="1" ht="15" hidden="0" customHeight="1">
      <x:c r="A40" s="6"/>
      <x:c r="B40" s="6"/>
      <x:c r="C40" s="6"/>
      <x:c r="D40" s="6"/>
    </x:row>
    <x:row r="41" s="1" customFormat="1" ht="15" hidden="0" customHeight="1">
      <x:c r="A41" s="6"/>
      <x:c r="B41" s="6"/>
      <x:c r="C41" s="6"/>
      <x:c r="D41" s="6"/>
    </x:row>
    <x:row r="42" s="1" customFormat="1" ht="15" hidden="0" customHeight="1">
      <x:c r="A42" s="6"/>
      <x:c r="B42" s="6"/>
      <x:c r="C42" s="6"/>
      <x:c r="D42" s="6"/>
    </x:row>
    <x:row r="43" s="1" customFormat="1" ht="15" hidden="0" customHeight="1">
      <x:c r="A43" s="6"/>
      <x:c r="B43" s="6"/>
      <x:c r="C43" s="6"/>
      <x:c r="D43" s="6"/>
    </x:row>
    <x:row r="44" s="1" customFormat="1" ht="15" hidden="0" customHeight="1">
      <x:c r="A44" s="6"/>
      <x:c r="B44" s="6"/>
      <x:c r="C44" s="6"/>
      <x:c r="D44" s="6"/>
    </x:row>
    <x:row r="45" s="1" customFormat="1" ht="15" hidden="0" customHeight="1">
      <x:c r="A45" s="6"/>
      <x:c r="B45" s="6"/>
      <x:c r="C45" s="6"/>
      <x:c r="D45" s="6"/>
    </x:row>
    <x:row r="46" s="1" customFormat="1" ht="15" hidden="0" customHeight="1">
      <x:c r="A46" s="6"/>
      <x:c r="B46" s="6"/>
      <x:c r="C46" s="6"/>
      <x:c r="D46" s="6"/>
    </x:row>
    <x:row r="47" s="1" customFormat="1" ht="15" hidden="0" customHeight="1">
      <x:c r="A47" s="6"/>
      <x:c r="B47" s="6"/>
      <x:c r="C47" s="6"/>
      <x:c r="D47" s="6"/>
    </x:row>
    <x:row r="48" s="1" customFormat="1" ht="15" hidden="0" customHeight="1">
      <x:c r="A48" s="6"/>
      <x:c r="B48" s="6"/>
      <x:c r="C48" s="6"/>
      <x:c r="D48" s="6"/>
    </x:row>
    <x:row r="49" s="1" customFormat="1" ht="15" hidden="0" customHeight="1">
      <x:c r="A49" s="6"/>
      <x:c r="B49" s="6"/>
      <x:c r="C49" s="6"/>
      <x:c r="D49" s="6"/>
    </x:row>
    <x:row r="50" s="1" customFormat="1" ht="15" hidden="0" customHeight="1">
      <x:c r="A50" s="6"/>
      <x:c r="B50" s="6"/>
      <x:c r="C50" s="6"/>
      <x:c r="D50" s="6"/>
    </x:row>
    <x:row r="51" s="1" customFormat="1" ht="15" hidden="0" customHeight="1">
      <x:c r="A51" s="6"/>
      <x:c r="B51" s="6"/>
      <x:c r="C51" s="6"/>
      <x:c r="D51" s="6"/>
    </x:row>
    <x:row r="52" s="1" customFormat="1" ht="15" hidden="0" customHeight="1">
      <x:c r="A52" s="6"/>
      <x:c r="B52" s="6"/>
      <x:c r="C52" s="6"/>
      <x:c r="D52" s="6"/>
    </x:row>
    <x:row r="53" s="1" customFormat="1" ht="15" hidden="0" customHeight="1">
      <x:c r="A53" s="6"/>
      <x:c r="B53" s="6"/>
      <x:c r="C53" s="6"/>
      <x:c r="D53" s="6"/>
    </x:row>
    <x:row r="54" s="1" customFormat="1" ht="15" hidden="0" customHeight="1">
      <x:c r="A54" s="6"/>
      <x:c r="B54" s="6"/>
      <x:c r="C54" s="6"/>
      <x:c r="D54" s="6"/>
    </x:row>
    <x:row r="55" s="1" customFormat="1" ht="15" hidden="0" customHeight="1">
      <x:c r="A55" s="6"/>
      <x:c r="B55" s="6"/>
      <x:c r="C55" s="6"/>
      <x:c r="D55" s="6"/>
    </x:row>
    <x:row r="56" s="1" customFormat="1" ht="15" hidden="0" customHeight="1">
      <x:c r="A56" s="6"/>
      <x:c r="B56" s="6"/>
      <x:c r="C56" s="6"/>
      <x:c r="D56" s="6"/>
    </x:row>
    <x:row r="57" s="1" customFormat="1" ht="15" hidden="0" customHeight="1">
      <x:c r="A57" s="6"/>
      <x:c r="B57" s="6"/>
      <x:c r="C57" s="6"/>
      <x:c r="D57" s="6"/>
    </x:row>
    <x:row r="58" s="1" customFormat="1" ht="15" hidden="0" customHeight="1">
      <x:c r="A58" s="6"/>
      <x:c r="B58" s="6"/>
      <x:c r="C58" s="6"/>
      <x:c r="D58" s="6"/>
    </x:row>
    <x:row r="59" s="1" customFormat="1" ht="15" hidden="0" customHeight="1">
      <x:c r="A59" s="6"/>
      <x:c r="B59" s="6"/>
      <x:c r="C59" s="6"/>
      <x:c r="D59" s="6"/>
    </x:row>
    <x:row r="60" s="1" customFormat="1" ht="15" hidden="0" customHeight="1">
      <x:c r="A60" s="6"/>
      <x:c r="B60" s="6"/>
      <x:c r="C60" s="6"/>
      <x:c r="D60" s="6"/>
    </x:row>
    <x:row r="61" s="1" customFormat="1" ht="15" hidden="0" customHeight="1">
      <x:c r="A61" s="6"/>
      <x:c r="B61" s="6"/>
      <x:c r="C61" s="6"/>
      <x:c r="D61" s="6"/>
    </x:row>
    <x:row r="62" s="1" customFormat="1" ht="15" hidden="0" customHeight="1">
      <x:c r="A62" s="6"/>
      <x:c r="B62" s="6"/>
      <x:c r="C62" s="6"/>
      <x:c r="D62" s="6"/>
    </x:row>
    <x:row r="63" s="1" customFormat="1" ht="15" hidden="0" customHeight="1">
      <x:c r="A63" s="6"/>
      <x:c r="B63" s="6"/>
      <x:c r="C63" s="6"/>
      <x:c r="D63" s="6"/>
    </x:row>
    <x:row r="64" s="1" customFormat="1" ht="15" hidden="0" customHeight="1">
      <x:c r="A64" s="6"/>
      <x:c r="B64" s="6"/>
      <x:c r="C64" s="6"/>
      <x:c r="D64" s="6"/>
    </x:row>
    <x:row r="65" s="1" customFormat="1" ht="15" hidden="0" customHeight="1">
      <x:c r="A65" s="6"/>
      <x:c r="B65" s="6"/>
      <x:c r="C65" s="6"/>
      <x:c r="D65" s="6"/>
    </x:row>
    <x:row r="66" s="1" customFormat="1" ht="15" hidden="0" customHeight="1">
      <x:c r="A66" s="6"/>
      <x:c r="B66" s="6"/>
      <x:c r="C66" s="6"/>
      <x:c r="D66" s="6"/>
    </x:row>
    <x:row r="67" s="1" customFormat="1" ht="15" hidden="0" customHeight="1">
      <x:c r="A67" s="6"/>
      <x:c r="B67" s="6"/>
      <x:c r="C67" s="6"/>
      <x:c r="D67" s="6"/>
    </x:row>
    <x:row r="68" s="1" customFormat="1" ht="15" hidden="0" customHeight="1">
      <x:c r="A68" s="6"/>
      <x:c r="B68" s="6"/>
      <x:c r="C68" s="6"/>
      <x:c r="D68" s="6"/>
    </x:row>
    <x:row r="69" s="1" customFormat="1" ht="15" hidden="0" customHeight="1">
      <x:c r="A69" s="6"/>
      <x:c r="B69" s="6"/>
      <x:c r="C69" s="6"/>
      <x:c r="D69" s="6"/>
    </x:row>
    <x:row r="70" s="1" customFormat="1" ht="15" hidden="0" customHeight="1">
      <x:c r="A70" s="6"/>
      <x:c r="B70" s="6"/>
      <x:c r="C70" s="6"/>
      <x:c r="D70" s="6"/>
    </x:row>
    <x:row r="71" s="1" customFormat="1" ht="15" hidden="0" customHeight="1">
      <x:c r="A71" s="6"/>
      <x:c r="B71" s="6"/>
      <x:c r="C71" s="6"/>
      <x:c r="D71" s="6"/>
    </x:row>
    <x:row r="72" s="1" customFormat="1" ht="15" hidden="0" customHeight="1">
      <x:c r="A72" s="6"/>
      <x:c r="B72" s="6"/>
      <x:c r="C72" s="6"/>
      <x:c r="D72" s="6"/>
    </x:row>
    <x:row r="73" s="1" customFormat="1" ht="15" hidden="0" customHeight="1">
      <x:c r="A73" s="6"/>
      <x:c r="B73" s="6"/>
      <x:c r="C73" s="6"/>
      <x:c r="D73" s="6"/>
    </x:row>
    <x:row r="74" s="1" customFormat="1" ht="15" hidden="0" customHeight="1">
      <x:c r="A74" s="6"/>
      <x:c r="B74" s="6"/>
      <x:c r="C74" s="6"/>
      <x:c r="D74" s="6"/>
    </x:row>
    <x:row r="75" s="1" customFormat="1" ht="15" hidden="0" customHeight="1">
      <x:c r="A75" s="6"/>
      <x:c r="B75" s="6"/>
      <x:c r="C75" s="6"/>
      <x:c r="D75" s="6"/>
    </x:row>
    <x:row r="76" s="1" customFormat="1" ht="15" hidden="0" customHeight="1">
      <x:c r="A76" s="6"/>
      <x:c r="B76" s="6"/>
      <x:c r="C76" s="6"/>
      <x:c r="D76" s="6"/>
    </x:row>
    <x:row r="77" s="1" customFormat="1" ht="15" hidden="0" customHeight="1">
      <x:c r="A77" s="6"/>
      <x:c r="B77" s="6"/>
      <x:c r="C77" s="6"/>
      <x:c r="D77" s="6"/>
    </x:row>
    <x:row r="78" s="1" customFormat="1" ht="15" hidden="0" customHeight="1">
      <x:c r="A78" s="6"/>
      <x:c r="B78" s="6"/>
      <x:c r="C78" s="6"/>
      <x:c r="D78" s="6"/>
    </x:row>
    <x:row r="79" s="1" customFormat="1" ht="15" hidden="0" customHeight="1">
      <x:c r="A79" s="6"/>
      <x:c r="B79" s="6"/>
      <x:c r="C79" s="6"/>
      <x:c r="D79" s="6"/>
    </x:row>
    <x:row r="80" s="1" customFormat="1" ht="15" hidden="0" customHeight="1">
      <x:c r="A80" s="6"/>
      <x:c r="B80" s="6"/>
      <x:c r="C80" s="6"/>
      <x:c r="D80" s="6"/>
    </x:row>
  </x:sheetData>
  <x:pageMargins left="0.7" right="0.7" top="0.75" bottom="0.75" header="0.3" footer="0.3"/>
</x:worksheet>
</file>

<file path=xl/worksheets/sheet17.xml><?xml version="1.0" encoding="utf-8"?>
<x:worksheet xmlns:x="http://schemas.openxmlformats.org/spreadsheetml/2006/main">
  <x:sheetViews>
    <x:sheetView showGridLines="1" workbookViewId="0"/>
  </x:sheetViews>
  <x:sheetFormatPr defaultColWidth="8.6796875" defaultRowHeight="15"/>
  <x:cols>
    <x:col min="1" max="8" width="36" style="1" hidden="0" customWidth="1"/>
    <x:col min="9" max="9" width="18" style="1" hidden="0" customWidth="1"/>
    <x:col min="10" max="10" width="16" style="1" hidden="0" customWidth="1"/>
    <x:col min="11" max="11" width="36" style="1" hidden="0" customWidth="1"/>
    <x:col min="12" max="12" width="34" style="1" hidden="0" customWidth="1"/>
    <x:col min="13" max="13" width="20.8799991607666" style="1" hidden="0" customWidth="1"/>
    <x:col min="14" max="14" width="30.8799991607666" style="1" hidden="0" customWidth="1"/>
    <x:col min="15" max="15" width="29.1299991607666" style="1" hidden="0" customWidth="1"/>
    <x:col min="16" max="16" width="72.12999725341797" style="1" hidden="0" customWidth="1"/>
    <x:col min="17" max="17" width="48.630001068115234" style="1" hidden="0" customWidth="1"/>
    <x:col min="18" max="18" width="88.37999725341797" style="1" hidden="0" customWidth="1"/>
    <x:col min="19" max="19" width="40.630001068115234" style="1" hidden="0" customWidth="1"/>
    <x:col min="20" max="20" width="33.880001068115234" style="1" hidden="0" customWidth="1"/>
  </x:cols>
  <x:sheetData>
    <x:row r="1" s="1" customFormat="1" ht="16.5" hidden="0" customHeight="1">
      <x:c r="A1" s="2" t="s">
        <x:v>1267</x:v>
      </x:c>
      <x:c r="B1" s="2"/>
      <x:c r="C1" s="2"/>
      <x:c r="D1" s="2"/>
      <x:c r="E1" s="2"/>
      <x:c r="F1" s="2"/>
      <x:c r="G1" s="2"/>
      <x:c r="H1" s="2"/>
      <x:c r="I1" s="2"/>
      <x:c r="J1" s="2"/>
      <x:c r="K1" s="2"/>
      <x:c r="L1" s="2"/>
      <x:c r="M1" s="2"/>
      <x:c r="N1" s="2"/>
      <x:c r="O1" s="2"/>
      <x:c r="P1" s="3"/>
      <x:c r="Q1" s="3"/>
      <x:c r="R1" s="3"/>
      <x:c r="S1" s="3"/>
      <x:c r="T1" s="3"/>
    </x:row>
    <x:row r="2" s="1" customFormat="1" ht="15" hidden="0" customHeight="1">
      <x:c r="A2" s="4" t="s">
        <x:v>1268</x:v>
      </x:c>
      <x:c r="B2" s="4"/>
      <x:c r="C2" s="4"/>
      <x:c r="D2" s="4"/>
      <x:c r="E2" s="4"/>
      <x:c r="F2" s="4"/>
      <x:c r="G2" s="4"/>
      <x:c r="H2" s="4"/>
      <x:c r="I2" s="4"/>
      <x:c r="J2" s="4"/>
      <x:c r="K2" s="4"/>
      <x:c r="L2" s="4"/>
      <x:c r="M2" s="4"/>
      <x:c r="N2" s="4"/>
      <x:c r="O2" s="4"/>
      <x:c r="P2" s="6"/>
      <x:c r="Q2" s="6"/>
      <x:c r="R2" s="6"/>
      <x:c r="S2" s="6"/>
      <x:c r="T2" s="6"/>
    </x:row>
    <x:row r="3" s="1" customFormat="1" ht="15" hidden="0" customHeight="1">
      <x:c r="A3" s="7" t="s">
        <x:v>1269</x:v>
      </x:c>
      <x:c r="B3" s="79"/>
      <x:c r="C3" s="79"/>
      <x:c r="D3" s="79"/>
      <x:c r="E3" s="79"/>
      <x:c r="F3" s="79"/>
      <x:c r="G3" s="79"/>
      <x:c r="H3" s="79"/>
      <x:c r="I3" s="79"/>
      <x:c r="J3" s="79"/>
      <x:c r="K3" s="79"/>
      <x:c r="L3" s="79"/>
      <x:c r="M3" s="79"/>
      <x:c r="N3" s="79"/>
      <x:c r="O3" s="79"/>
      <x:c r="P3" s="6"/>
      <x:c r="Q3" s="6"/>
      <x:c r="R3" s="6"/>
      <x:c r="S3" s="6"/>
      <x:c r="T3" s="6"/>
    </x:row>
    <x:row r="4" s="1" customFormat="1" ht="15" hidden="0" customHeight="1">
      <x:c r="A4" s="7" t="s">
        <x:v>1270</x:v>
      </x:c>
      <x:c r="B4" s="7"/>
      <x:c r="C4" s="7"/>
      <x:c r="D4" s="7"/>
      <x:c r="E4" s="7"/>
      <x:c r="F4" s="7"/>
      <x:c r="G4" s="7"/>
      <x:c r="H4" s="7"/>
      <x:c r="I4" s="7"/>
      <x:c r="J4" s="7"/>
      <x:c r="K4" s="7"/>
      <x:c r="L4" s="7"/>
      <x:c r="M4" s="7"/>
      <x:c r="N4" s="7"/>
      <x:c r="O4" s="7"/>
      <x:c r="P4" s="6"/>
      <x:c r="Q4" s="6"/>
      <x:c r="R4" s="6"/>
      <x:c r="S4" s="6"/>
      <x:c r="T4" s="6"/>
    </x:row>
    <x:row r="5" s="1" customFormat="1" ht="15" hidden="0" customHeight="1">
      <x:c r="A5" s="7" t="s">
        <x:v>1271</x:v>
      </x:c>
      <x:c r="B5" s="6"/>
      <x:c r="C5" s="6"/>
      <x:c r="D5" s="6"/>
      <x:c r="E5" s="6"/>
      <x:c r="F5" s="6"/>
      <x:c r="G5" s="6"/>
      <x:c r="H5" s="6"/>
      <x:c r="I5" s="6"/>
      <x:c r="J5" s="6"/>
      <x:c r="K5" s="6"/>
      <x:c r="L5" s="6"/>
      <x:c r="M5" s="6"/>
      <x:c r="N5" s="6"/>
      <x:c r="O5" s="6"/>
      <x:c r="P5" s="6"/>
      <x:c r="Q5" s="6"/>
      <x:c r="R5" s="6"/>
      <x:c r="S5" s="6"/>
      <x:c r="T5" s="6"/>
    </x:row>
    <x:row r="6" s="1" customFormat="1" ht="15" hidden="0" customHeight="1">
      <x:c r="A6" s="6"/>
      <x:c r="B6" s="6"/>
      <x:c r="C6" s="6"/>
      <x:c r="D6" s="6"/>
      <x:c r="E6" s="6"/>
      <x:c r="F6" s="6"/>
      <x:c r="G6" s="6"/>
      <x:c r="H6" s="6"/>
      <x:c r="I6" s="6"/>
      <x:c r="J6" s="6"/>
      <x:c r="K6" s="6"/>
      <x:c r="L6" s="6"/>
      <x:c r="M6" s="6"/>
      <x:c r="N6" s="6"/>
      <x:c r="O6" s="6"/>
      <x:c r="P6" s="6"/>
      <x:c r="Q6" s="6"/>
      <x:c r="R6" s="6"/>
      <x:c r="S6" s="6"/>
      <x:c r="T6" s="6"/>
    </x:row>
    <x:row r="7" s="1" customFormat="1" ht="15" hidden="0" customHeight="1">
      <x:c r="A7" s="7" t="s">
        <x:v>1272</x:v>
      </x:c>
      <x:c r="B7" s="80" t="s">
        <x:v>1273</x:v>
      </x:c>
      <x:c r="C7" s="80" t="s">
        <x:v>1274</x:v>
      </x:c>
      <x:c r="D7" s="80" t="s">
        <x:v>1275</x:v>
      </x:c>
      <x:c r="E7" s="80" t="s">
        <x:v>1276</x:v>
      </x:c>
      <x:c r="F7" s="80" t="s">
        <x:v>1277</x:v>
      </x:c>
      <x:c r="G7" s="80" t="s">
        <x:v>1278</x:v>
      </x:c>
      <x:c r="H7" s="80" t="s">
        <x:v>1279</x:v>
      </x:c>
      <x:c r="I7" s="80" t="s">
        <x:v>1280</x:v>
      </x:c>
      <x:c r="J7" s="80" t="s">
        <x:v>1281</x:v>
      </x:c>
      <x:c r="K7" s="80" t="s">
        <x:v>1282</x:v>
      </x:c>
      <x:c r="L7" s="80" t="s">
        <x:v>1283</x:v>
      </x:c>
      <x:c r="M7" s="80" t="s">
        <x:v>1284</x:v>
      </x:c>
      <x:c r="N7" s="80" t="s">
        <x:v>1285</x:v>
      </x:c>
      <x:c r="O7" s="80" t="s">
        <x:v>1286</x:v>
      </x:c>
      <x:c r="P7" s="80" t="s">
        <x:v>1287</x:v>
      </x:c>
      <x:c r="Q7" s="80" t="s">
        <x:v>1288</x:v>
      </x:c>
      <x:c r="R7" s="80" t="s">
        <x:v>1289</x:v>
      </x:c>
      <x:c r="S7" s="80" t="s">
        <x:v>1290</x:v>
      </x:c>
      <x:c r="T7" s="80" t="s">
        <x:v>1291</x:v>
      </x:c>
    </x:row>
    <x:row r="8" s="1" customFormat="1" ht="15" hidden="0" customHeight="1">
      <x:c r="A8" s="7" t="s">
        <x:v>1292</x:v>
      </x:c>
      <x:c r="B8" s="5" t="s">
        <x:v>1293</x:v>
      </x:c>
      <x:c r="C8" s="5" t="s">
        <x:v>1294</x:v>
      </x:c>
      <x:c r="D8" s="5" t="s">
        <x:v>1295</x:v>
      </x:c>
      <x:c r="E8" s="5" t="s">
        <x:v>1296</x:v>
      </x:c>
      <x:c r="F8" s="5" t="s">
        <x:v>1297</x:v>
      </x:c>
      <x:c r="G8" s="5" t="s">
        <x:v>1298</x:v>
      </x:c>
      <x:c r="H8" s="5" t="s">
        <x:v>1299</x:v>
      </x:c>
      <x:c r="I8" s="5" t="s">
        <x:v>1206</x:v>
      </x:c>
      <x:c r="J8" s="5" t="s">
        <x:v>1300</x:v>
      </x:c>
      <x:c r="K8" s="5" t="s">
        <x:v>1301</x:v>
      </x:c>
      <x:c r="L8" s="5" t="s">
        <x:v>1302</x:v>
      </x:c>
      <x:c r="M8" s="5" t="s">
        <x:v>1303</x:v>
      </x:c>
      <x:c r="N8" s="5" t="s">
        <x:v>1304</x:v>
      </x:c>
      <x:c r="O8" s="5" t="s">
        <x:v>1305</x:v>
      </x:c>
      <x:c r="P8" s="5" t="s">
        <x:v>1306</x:v>
      </x:c>
      <x:c r="Q8" s="5" t="s">
        <x:v>1307</x:v>
      </x:c>
      <x:c r="R8" s="5" t="s">
        <x:v>1308</x:v>
      </x:c>
      <x:c r="S8" s="5" t="s">
        <x:v>1309</x:v>
      </x:c>
      <x:c r="T8" s="5" t="s">
        <x:v>1310</x:v>
      </x:c>
    </x:row>
    <x:row r="9" s="1" customFormat="1" ht="15" hidden="0" customHeight="1">
      <x:c r="A9" s="7" t="s">
        <x:v>1311</x:v>
      </x:c>
      <x:c r="B9" s="8" t="s">
        <x:v>1312</x:v>
      </x:c>
      <x:c r="C9" s="8" t="s">
        <x:v>1313</x:v>
      </x:c>
      <x:c r="D9" s="8" t="s">
        <x:v>1314</x:v>
      </x:c>
      <x:c r="E9" s="8" t="s">
        <x:v>1315</x:v>
      </x:c>
      <x:c r="F9" s="8" t="s">
        <x:v>1316</x:v>
      </x:c>
      <x:c r="G9" s="8" t="s">
        <x:v>1317</x:v>
      </x:c>
      <x:c r="H9" s="8" t="s">
        <x:v>1318</x:v>
      </x:c>
      <x:c r="I9" s="8" t="s">
        <x:v>1206</x:v>
      </x:c>
      <x:c r="J9" s="8" t="s">
        <x:v>1300</x:v>
      </x:c>
      <x:c r="K9" s="8" t="s">
        <x:v>1319</x:v>
      </x:c>
      <x:c r="L9" s="8" t="s">
        <x:v>1302</x:v>
      </x:c>
      <x:c r="M9" s="8" t="s">
        <x:v>1303</x:v>
      </x:c>
      <x:c r="N9" s="8" t="s">
        <x:v>1320</x:v>
      </x:c>
      <x:c r="O9" s="8" t="s">
        <x:v>1321</x:v>
      </x:c>
      <x:c r="P9" s="8" t="s">
        <x:v>1322</x:v>
      </x:c>
      <x:c r="Q9" s="8" t="s">
        <x:v>1323</x:v>
      </x:c>
      <x:c r="R9" s="8" t="s">
        <x:v>1324</x:v>
      </x:c>
      <x:c r="S9" s="8" t="s">
        <x:v>1325</x:v>
      </x:c>
      <x:c r="T9" s="8" t="s">
        <x:v>1310</x:v>
      </x:c>
    </x:row>
    <x:row r="10" s="1" customFormat="1" ht="15" hidden="0" customHeight="1">
      <x:c r="A10" s="7" t="s">
        <x:v>1326</x:v>
      </x:c>
      <x:c r="B10" s="5" t="s">
        <x:v>1327</x:v>
      </x:c>
      <x:c r="C10" s="5" t="s">
        <x:v>1328</x:v>
      </x:c>
      <x:c r="D10" s="6"/>
      <x:c r="E10" s="6"/>
      <x:c r="F10" s="6"/>
      <x:c r="G10" s="6"/>
      <x:c r="H10" s="6"/>
      <x:c r="I10" s="5" t="s">
        <x:v>1206</x:v>
      </x:c>
      <x:c r="J10" s="5" t="s">
        <x:v>1300</x:v>
      </x:c>
      <x:c r="K10" s="6"/>
      <x:c r="L10" s="5" t="s">
        <x:v>1302</x:v>
      </x:c>
      <x:c r="M10" s="6"/>
      <x:c r="N10" s="6"/>
      <x:c r="O10" s="5" t="s">
        <x:v>1329</x:v>
      </x:c>
      <x:c r="P10" s="5" t="s">
        <x:v>1330</x:v>
      </x:c>
      <x:c r="Q10" s="5" t="s">
        <x:v>1331</x:v>
      </x:c>
      <x:c r="R10" s="5" t="s">
        <x:v>1332</x:v>
      </x:c>
      <x:c r="S10" s="5" t="s">
        <x:v>1333</x:v>
      </x:c>
      <x:c r="T10" s="5" t="s">
        <x:v>1334</x:v>
      </x:c>
    </x:row>
    <x:row r="11" s="1" customFormat="1" ht="15" hidden="0" customHeight="1">
      <x:c r="A11" s="7" t="s">
        <x:v>1335</x:v>
      </x:c>
      <x:c r="B11" s="8" t="s">
        <x:v>1336</x:v>
      </x:c>
      <x:c r="C11" s="8" t="s">
        <x:v>1337</x:v>
      </x:c>
      <x:c r="D11" s="8" t="s">
        <x:v>1338</x:v>
      </x:c>
      <x:c r="E11" s="8" t="s">
        <x:v>1339</x:v>
      </x:c>
      <x:c r="F11" s="8" t="s">
        <x:v>1340</x:v>
      </x:c>
      <x:c r="G11" s="8" t="s">
        <x:v>1341</x:v>
      </x:c>
      <x:c r="H11" s="8" t="s">
        <x:v>1342</x:v>
      </x:c>
      <x:c r="I11" s="8" t="s">
        <x:v>1343</x:v>
      </x:c>
      <x:c r="J11" s="8" t="s">
        <x:v>1344</x:v>
      </x:c>
      <x:c r="K11" s="8" t="s">
        <x:v>1345</x:v>
      </x:c>
      <x:c r="L11" s="8" t="s">
        <x:v>1302</x:v>
      </x:c>
      <x:c r="M11" s="8" t="s">
        <x:v>1346</x:v>
      </x:c>
      <x:c r="N11" s="8" t="s">
        <x:v>1347</x:v>
      </x:c>
      <x:c r="O11" s="8" t="s">
        <x:v>1348</x:v>
      </x:c>
      <x:c r="P11" s="8" t="s">
        <x:v>1349</x:v>
      </x:c>
      <x:c r="Q11" s="8" t="s">
        <x:v>1350</x:v>
      </x:c>
      <x:c r="R11" s="8" t="s">
        <x:v>1351</x:v>
      </x:c>
      <x:c r="S11" s="8" t="s">
        <x:v>1352</x:v>
      </x:c>
      <x:c r="T11" s="8" t="s">
        <x:v>1353</x:v>
      </x:c>
    </x:row>
    <x:row r="12" s="1" customFormat="1" ht="15" hidden="0" customHeight="1">
      <x:c r="A12" s="7" t="s">
        <x:v>1354</x:v>
      </x:c>
      <x:c r="B12" s="5" t="s">
        <x:v>1355</x:v>
      </x:c>
      <x:c r="C12" s="5" t="s">
        <x:v>1356</x:v>
      </x:c>
      <x:c r="D12" s="6"/>
      <x:c r="E12" s="6"/>
      <x:c r="F12" s="6"/>
      <x:c r="G12" s="6"/>
      <x:c r="H12" s="6"/>
      <x:c r="I12" s="5" t="s">
        <x:v>1206</x:v>
      </x:c>
      <x:c r="J12" s="5" t="s">
        <x:v>1300</x:v>
      </x:c>
      <x:c r="K12" s="6"/>
      <x:c r="L12" s="5" t="s">
        <x:v>1302</x:v>
      </x:c>
      <x:c r="M12" s="6"/>
      <x:c r="N12" s="6"/>
      <x:c r="O12" s="5" t="s">
        <x:v>1329</x:v>
      </x:c>
      <x:c r="P12" s="5" t="s">
        <x:v>1357</x:v>
      </x:c>
      <x:c r="Q12" s="5" t="s">
        <x:v>1358</x:v>
      </x:c>
      <x:c r="R12" s="5" t="s">
        <x:v>1359</x:v>
      </x:c>
      <x:c r="S12" s="5" t="s">
        <x:v>1360</x:v>
      </x:c>
      <x:c r="T12" s="5" t="s">
        <x:v>1361</x:v>
      </x:c>
    </x:row>
    <x:row r="13" s="1" customFormat="1" ht="15" hidden="0" customHeight="1">
      <x:c r="A13" s="7" t="s">
        <x:v>1362</x:v>
      </x:c>
      <x:c r="B13" s="8" t="s">
        <x:v>1363</x:v>
      </x:c>
      <x:c r="C13" s="8" t="s">
        <x:v>1364</x:v>
      </x:c>
      <x:c r="D13" s="8" t="s">
        <x:v>1365</x:v>
      </x:c>
      <x:c r="E13" s="8" t="s">
        <x:v>1366</x:v>
      </x:c>
      <x:c r="F13" s="8" t="s">
        <x:v>1367</x:v>
      </x:c>
      <x:c r="G13" s="8" t="s">
        <x:v>1368</x:v>
      </x:c>
      <x:c r="H13" s="8" t="s">
        <x:v>1369</x:v>
      </x:c>
      <x:c r="I13" s="8" t="s">
        <x:v>1206</x:v>
      </x:c>
      <x:c r="J13" s="8" t="s">
        <x:v>1300</x:v>
      </x:c>
      <x:c r="K13" s="8" t="s">
        <x:v>1370</x:v>
      </x:c>
      <x:c r="L13" s="8" t="s">
        <x:v>1302</x:v>
      </x:c>
      <x:c r="M13" s="8" t="s">
        <x:v>1346</x:v>
      </x:c>
      <x:c r="N13" s="8" t="s">
        <x:v>1371</x:v>
      </x:c>
      <x:c r="O13" s="8" t="s">
        <x:v>1372</x:v>
      </x:c>
      <x:c r="P13" s="8" t="s">
        <x:v>1373</x:v>
      </x:c>
      <x:c r="Q13" s="8" t="s">
        <x:v>1374</x:v>
      </x:c>
      <x:c r="R13" s="8" t="s">
        <x:v>1375</x:v>
      </x:c>
      <x:c r="S13" s="8" t="s">
        <x:v>1376</x:v>
      </x:c>
      <x:c r="T13" s="8" t="s">
        <x:v>1377</x:v>
      </x:c>
    </x:row>
    <x:row r="14" s="1" customFormat="1" ht="15" hidden="0" customHeight="1">
      <x:c r="A14" s="7" t="s">
        <x:v>1378</x:v>
      </x:c>
      <x:c r="B14" s="5" t="s">
        <x:v>1379</x:v>
      </x:c>
      <x:c r="C14" s="5" t="s">
        <x:v>1380</x:v>
      </x:c>
      <x:c r="D14" s="6"/>
      <x:c r="E14" s="6"/>
      <x:c r="F14" s="6"/>
      <x:c r="G14" s="6"/>
      <x:c r="H14" s="6"/>
      <x:c r="I14" s="5" t="s">
        <x:v>1206</x:v>
      </x:c>
      <x:c r="J14" s="5" t="s">
        <x:v>1300</x:v>
      </x:c>
      <x:c r="K14" s="6"/>
      <x:c r="L14" s="5" t="s">
        <x:v>1302</x:v>
      </x:c>
      <x:c r="M14" s="6"/>
      <x:c r="N14" s="6"/>
      <x:c r="O14" s="5" t="s">
        <x:v>1329</x:v>
      </x:c>
      <x:c r="P14" s="5" t="s">
        <x:v>1381</x:v>
      </x:c>
      <x:c r="Q14" s="5" t="s">
        <x:v>1382</x:v>
      </x:c>
      <x:c r="R14" s="5" t="s">
        <x:v>1383</x:v>
      </x:c>
      <x:c r="S14" s="5" t="s">
        <x:v>1384</x:v>
      </x:c>
      <x:c r="T14" s="5" t="s">
        <x:v>1385</x:v>
      </x:c>
    </x:row>
    <x:row r="15" s="1" customFormat="1" ht="15" hidden="0" customHeight="1">
      <x:c r="A15" s="7" t="s">
        <x:v>1386</x:v>
      </x:c>
      <x:c r="B15" s="8" t="s">
        <x:v>1387</x:v>
      </x:c>
      <x:c r="C15" s="8" t="s">
        <x:v>1388</x:v>
      </x:c>
      <x:c r="D15" s="6"/>
      <x:c r="E15" s="6"/>
      <x:c r="F15" s="6"/>
      <x:c r="G15" s="6"/>
      <x:c r="H15" s="6"/>
      <x:c r="I15" s="8" t="s">
        <x:v>1343</x:v>
      </x:c>
      <x:c r="J15" s="8" t="s">
        <x:v>1344</x:v>
      </x:c>
      <x:c r="K15" s="6"/>
      <x:c r="L15" s="8" t="s">
        <x:v>1302</x:v>
      </x:c>
      <x:c r="M15" s="6"/>
      <x:c r="N15" s="6"/>
      <x:c r="O15" s="8" t="s">
        <x:v>1348</x:v>
      </x:c>
      <x:c r="P15" s="8" t="s">
        <x:v>1389</x:v>
      </x:c>
      <x:c r="Q15" s="8" t="s">
        <x:v>1390</x:v>
      </x:c>
      <x:c r="R15" s="8" t="s">
        <x:v>1391</x:v>
      </x:c>
      <x:c r="S15" s="8" t="s">
        <x:v>1392</x:v>
      </x:c>
      <x:c r="T15" s="8" t="s">
        <x:v>1393</x:v>
      </x:c>
    </x:row>
    <x:row r="16" s="1" customFormat="1" ht="15" hidden="0" customHeight="1">
      <x:c r="A16" s="7" t="s">
        <x:v>1394</x:v>
      </x:c>
      <x:c r="B16" s="5" t="s">
        <x:v>1395</x:v>
      </x:c>
      <x:c r="C16" s="5" t="s">
        <x:v>1396</x:v>
      </x:c>
      <x:c r="D16" s="6"/>
      <x:c r="E16" s="6"/>
      <x:c r="F16" s="6"/>
      <x:c r="G16" s="6"/>
      <x:c r="H16" s="6"/>
      <x:c r="I16" s="5" t="s">
        <x:v>1206</x:v>
      </x:c>
      <x:c r="J16" s="5" t="s">
        <x:v>1300</x:v>
      </x:c>
      <x:c r="K16" s="6"/>
      <x:c r="L16" s="5" t="s">
        <x:v>1302</x:v>
      </x:c>
      <x:c r="M16" s="6"/>
      <x:c r="N16" s="6"/>
      <x:c r="O16" s="5" t="s">
        <x:v>1329</x:v>
      </x:c>
      <x:c r="P16" s="5" t="s">
        <x:v>1397</x:v>
      </x:c>
      <x:c r="Q16" s="5" t="s">
        <x:v>1398</x:v>
      </x:c>
      <x:c r="R16" s="5" t="s">
        <x:v>1399</x:v>
      </x:c>
      <x:c r="S16" s="5" t="s">
        <x:v>1400</x:v>
      </x:c>
      <x:c r="T16" s="5" t="s">
        <x:v>1310</x:v>
      </x:c>
    </x:row>
    <x:row r="17" s="1" customFormat="1" ht="15" hidden="0" customHeight="1">
      <x:c r="A17" s="7" t="s">
        <x:v>1401</x:v>
      </x:c>
      <x:c r="B17" s="8" t="s">
        <x:v>1402</x:v>
      </x:c>
      <x:c r="C17" s="8" t="s">
        <x:v>1403</x:v>
      </x:c>
      <x:c r="D17" s="6"/>
      <x:c r="E17" s="6"/>
      <x:c r="F17" s="6"/>
      <x:c r="G17" s="6"/>
      <x:c r="H17" s="6"/>
      <x:c r="I17" s="8" t="s">
        <x:v>1206</x:v>
      </x:c>
      <x:c r="J17" s="8" t="s">
        <x:v>1300</x:v>
      </x:c>
      <x:c r="K17" s="6"/>
      <x:c r="L17" s="8" t="s">
        <x:v>1302</x:v>
      </x:c>
      <x:c r="M17" s="6"/>
      <x:c r="N17" s="6"/>
      <x:c r="O17" s="8" t="s">
        <x:v>1329</x:v>
      </x:c>
      <x:c r="P17" s="8" t="s">
        <x:v>1404</x:v>
      </x:c>
      <x:c r="Q17" s="8" t="s">
        <x:v>1405</x:v>
      </x:c>
      <x:c r="R17" s="8" t="s">
        <x:v>1406</x:v>
      </x:c>
      <x:c r="S17" s="8" t="s">
        <x:v>1407</x:v>
      </x:c>
      <x:c r="T17" s="8" t="s">
        <x:v>1408</x:v>
      </x:c>
    </x:row>
    <x:row r="18" s="1" customFormat="1" ht="15" hidden="0" customHeight="1">
      <x:c r="A18" s="6"/>
      <x:c r="B18" s="6"/>
      <x:c r="C18" s="6"/>
      <x:c r="D18" s="6"/>
      <x:c r="E18" s="6"/>
      <x:c r="F18" s="6"/>
      <x:c r="G18" s="6"/>
      <x:c r="H18" s="6"/>
      <x:c r="I18" s="6"/>
      <x:c r="J18" s="6"/>
      <x:c r="K18" s="6"/>
      <x:c r="L18" s="6"/>
      <x:c r="M18" s="6"/>
      <x:c r="N18" s="6"/>
      <x:c r="O18" s="5" t="s">
        <x:v>1409</x:v>
      </x:c>
      <x:c r="P18" s="6"/>
      <x:c r="Q18" s="6"/>
      <x:c r="R18" s="6"/>
      <x:c r="S18" s="6"/>
      <x:c r="T18" s="6"/>
    </x:row>
    <x:row r="19" s="1" customFormat="1" ht="15" hidden="0" customHeight="1">
      <x:c r="A19" s="6"/>
      <x:c r="B19" s="6"/>
      <x:c r="C19" s="6"/>
      <x:c r="D19" s="6"/>
      <x:c r="E19" s="6"/>
      <x:c r="F19" s="6"/>
      <x:c r="G19" s="6"/>
      <x:c r="H19" s="6"/>
      <x:c r="I19" s="6"/>
      <x:c r="J19" s="6"/>
      <x:c r="K19" s="6"/>
      <x:c r="L19" s="6"/>
      <x:c r="M19" s="6"/>
      <x:c r="N19" s="6"/>
      <x:c r="O19" s="8" t="s">
        <x:v>1409</x:v>
      </x:c>
      <x:c r="P19" s="6"/>
      <x:c r="Q19" s="6"/>
      <x:c r="R19" s="6"/>
      <x:c r="S19" s="6"/>
      <x:c r="T19" s="6"/>
    </x:row>
    <x:row r="20" s="1" customFormat="1" ht="15" hidden="0" customHeight="1">
      <x:c r="A20" s="7" t="s">
        <x:v>1410</x:v>
      </x:c>
      <x:c r="B20" s="5" t="s">
        <x:v>1411</x:v>
      </x:c>
      <x:c r="C20" s="5" t="s">
        <x:v>1412</x:v>
      </x:c>
      <x:c r="D20" s="6"/>
      <x:c r="E20" s="6"/>
      <x:c r="F20" s="6"/>
      <x:c r="G20" s="6"/>
      <x:c r="H20" s="6"/>
      <x:c r="I20" s="6"/>
      <x:c r="J20" s="6"/>
      <x:c r="K20" s="6"/>
      <x:c r="L20" s="6"/>
      <x:c r="M20" s="6"/>
      <x:c r="N20" s="6"/>
      <x:c r="O20" s="5" t="s">
        <x:v>1409</x:v>
      </x:c>
      <x:c r="P20" s="6"/>
      <x:c r="Q20" s="6"/>
      <x:c r="R20" s="6"/>
      <x:c r="S20" s="6"/>
      <x:c r="T20" s="6"/>
    </x:row>
    <x:row r="21" s="1" customFormat="1" ht="15" hidden="0" customHeight="1">
      <x:c r="A21" s="7" t="s">
        <x:v>1413</x:v>
      </x:c>
      <x:c r="B21" s="8" t="s">
        <x:v>1414</x:v>
      </x:c>
      <x:c r="C21" s="8" t="s">
        <x:v>1415</x:v>
      </x:c>
      <x:c r="D21" s="6"/>
      <x:c r="E21" s="6"/>
      <x:c r="F21" s="6"/>
      <x:c r="G21" s="6"/>
      <x:c r="H21" s="6"/>
      <x:c r="I21" s="6"/>
      <x:c r="J21" s="6"/>
      <x:c r="K21" s="6"/>
      <x:c r="L21" s="6"/>
      <x:c r="M21" s="6"/>
      <x:c r="N21" s="6"/>
      <x:c r="O21" s="8" t="s">
        <x:v>1409</x:v>
      </x:c>
      <x:c r="P21" s="6"/>
      <x:c r="Q21" s="6"/>
      <x:c r="R21" s="6"/>
      <x:c r="S21" s="6"/>
      <x:c r="T21" s="6"/>
    </x:row>
    <x:row r="22" s="1" customFormat="1" ht="15" hidden="0" customHeight="1">
      <x:c r="A22" s="7" t="s">
        <x:v>1416</x:v>
      </x:c>
      <x:c r="B22" s="5" t="s">
        <x:v>1417</x:v>
      </x:c>
      <x:c r="C22" s="5" t="str">
        <x:v>Allow worked-run presentation with stated claim boundary; the bounded calculation yields REFUSE_DETERMINISTIC_SELECTION because uncertainty sensitivity changes decisiveness, while Option A is separately authority-selected and empirical validation and execution authority remain unclaimed.</x:v>
      </x:c>
      <x:c r="D22" s="6"/>
      <x:c r="E22" s="6"/>
      <x:c r="F22" s="6"/>
      <x:c r="G22" s="6"/>
      <x:c r="H22" s="6"/>
      <x:c r="I22" s="6"/>
      <x:c r="J22" s="6"/>
      <x:c r="K22" s="6"/>
      <x:c r="L22" s="6"/>
      <x:c r="M22" s="6"/>
      <x:c r="N22" s="6"/>
      <x:c r="O22" s="5" t="s">
        <x:v>1409</x:v>
      </x:c>
      <x:c r="P22" s="6"/>
      <x:c r="Q22" s="6"/>
      <x:c r="R22" s="6"/>
      <x:c r="S22" s="6"/>
      <x:c r="T22" s="6"/>
    </x:row>
    <x:row r="23" s="1" customFormat="1" ht="15" hidden="0" customHeight="1">
      <x:c r="A23" s="7" t="s">
        <x:v>1418</x:v>
      </x:c>
      <x:c r="B23" s="8" t="s">
        <x:v>1419</x:v>
      </x:c>
      <x:c r="C23" s="8" t="s">
        <x:v>1420</x:v>
      </x:c>
      <x:c r="D23" s="6"/>
      <x:c r="E23" s="6"/>
      <x:c r="F23" s="6"/>
      <x:c r="G23" s="6"/>
      <x:c r="H23" s="6"/>
      <x:c r="I23" s="6"/>
      <x:c r="J23" s="6"/>
      <x:c r="K23" s="6"/>
      <x:c r="L23" s="6"/>
      <x:c r="M23" s="6"/>
      <x:c r="N23" s="6"/>
      <x:c r="O23" s="8" t="s">
        <x:v>1409</x:v>
      </x:c>
      <x:c r="P23" s="6"/>
      <x:c r="Q23" s="6"/>
      <x:c r="R23" s="6"/>
      <x:c r="S23" s="6"/>
      <x:c r="T23" s="6"/>
    </x:row>
    <x:row r="24" s="1" customFormat="1" ht="15" hidden="0" customHeight="1">
      <x:c r="A24" s="7" t="s">
        <x:v>1421</x:v>
      </x:c>
      <x:c r="B24" s="5" t="s">
        <x:v>1422</x:v>
      </x:c>
      <x:c r="C24" s="5" t="s">
        <x:v>1423</x:v>
      </x:c>
      <x:c r="D24" s="6"/>
      <x:c r="E24" s="6"/>
      <x:c r="F24" s="6"/>
      <x:c r="G24" s="6"/>
      <x:c r="H24" s="6"/>
      <x:c r="I24" s="6"/>
      <x:c r="J24" s="6"/>
      <x:c r="K24" s="6"/>
      <x:c r="L24" s="6"/>
      <x:c r="M24" s="6"/>
      <x:c r="N24" s="6"/>
      <x:c r="O24" s="5" t="s">
        <x:v>1409</x:v>
      </x:c>
      <x:c r="P24" s="6"/>
      <x:c r="Q24" s="6"/>
      <x:c r="R24" s="6"/>
      <x:c r="S24" s="6"/>
      <x:c r="T24" s="6"/>
    </x:row>
    <x:row r="25" s="1" customFormat="1" ht="15" hidden="0" customHeight="1">
      <x:c r="A25" s="7" t="s">
        <x:v>1424</x:v>
      </x:c>
      <x:c r="B25" s="8" t="s">
        <x:v>1425</x:v>
      </x:c>
      <x:c r="C25" s="6"/>
      <x:c r="D25" s="6"/>
      <x:c r="E25" s="6"/>
      <x:c r="F25" s="6"/>
      <x:c r="G25" s="6"/>
      <x:c r="H25" s="6"/>
      <x:c r="I25" s="6"/>
      <x:c r="J25" s="6"/>
      <x:c r="K25" s="6"/>
      <x:c r="L25" s="6"/>
      <x:c r="M25" s="6"/>
      <x:c r="N25" s="6"/>
      <x:c r="O25" s="8" t="s">
        <x:v>1409</x:v>
      </x:c>
      <x:c r="P25" s="6"/>
      <x:c r="Q25" s="6"/>
      <x:c r="R25" s="6"/>
      <x:c r="S25" s="6"/>
      <x:c r="T25" s="6"/>
    </x:row>
    <x:row r="26" s="1" customFormat="1" ht="15" hidden="0" customHeight="1">
      <x:c r="A26" s="7" t="s">
        <x:v>1426</x:v>
      </x:c>
      <x:c r="B26" s="5" t="s">
        <x:v>1427</x:v>
      </x:c>
      <x:c r="C26" s="6"/>
      <x:c r="D26" s="6"/>
      <x:c r="E26" s="6"/>
      <x:c r="F26" s="6"/>
      <x:c r="G26" s="6"/>
      <x:c r="H26" s="6"/>
      <x:c r="I26" s="6"/>
      <x:c r="J26" s="6"/>
      <x:c r="K26" s="6"/>
      <x:c r="L26" s="6"/>
      <x:c r="M26" s="6"/>
      <x:c r="N26" s="6"/>
      <x:c r="O26" s="5" t="s">
        <x:v>1409</x:v>
      </x:c>
      <x:c r="P26" s="6"/>
      <x:c r="Q26" s="6"/>
      <x:c r="R26" s="6"/>
      <x:c r="S26" s="6"/>
      <x:c r="T26" s="6"/>
    </x:row>
    <x:row r="27" s="1" customFormat="1" ht="15" hidden="0" customHeight="1">
      <x:c r="A27" s="7" t="s">
        <x:v>1428</x:v>
      </x:c>
      <x:c r="B27" s="8" t="s">
        <x:v>1429</x:v>
      </x:c>
      <x:c r="C27" s="6"/>
      <x:c r="D27" s="6"/>
      <x:c r="E27" s="6"/>
      <x:c r="F27" s="6"/>
      <x:c r="G27" s="6"/>
      <x:c r="H27" s="6"/>
      <x:c r="I27" s="6"/>
      <x:c r="J27" s="6"/>
      <x:c r="K27" s="6"/>
      <x:c r="L27" s="6"/>
      <x:c r="M27" s="6"/>
      <x:c r="N27" s="6"/>
      <x:c r="O27" s="8" t="s">
        <x:v>1409</x:v>
      </x:c>
      <x:c r="P27" s="6"/>
      <x:c r="Q27" s="6"/>
      <x:c r="R27" s="6"/>
      <x:c r="S27" s="6"/>
      <x:c r="T27" s="6"/>
    </x:row>
    <x:row r="28" s="1" customFormat="1" ht="27.75" hidden="0" customHeight="1">
      <x:c r="A28" s="6"/>
      <x:c r="B28" s="6"/>
      <x:c r="C28" s="6"/>
      <x:c r="D28" s="6"/>
      <x:c r="E28" s="6"/>
      <x:c r="F28" s="6"/>
      <x:c r="G28" s="6"/>
      <x:c r="H28" s="6"/>
      <x:c r="I28" s="6"/>
      <x:c r="J28" s="6"/>
      <x:c r="K28" s="6"/>
      <x:c r="L28" s="6"/>
      <x:c r="M28" s="6"/>
      <x:c r="N28" s="6"/>
      <x:c r="O28" s="5" t="s">
        <x:v>1409</x:v>
      </x:c>
      <x:c r="P28" s="6"/>
      <x:c r="Q28" s="6"/>
      <x:c r="R28" s="6"/>
      <x:c r="S28" s="6"/>
      <x:c r="T28" s="6"/>
    </x:row>
    <x:row r="29" s="1" customFormat="1" ht="27.75" hidden="0" customHeight="1">
      <x:c r="A29" s="6"/>
      <x:c r="B29" s="6"/>
      <x:c r="C29" s="6"/>
      <x:c r="D29" s="6"/>
      <x:c r="E29" s="6"/>
      <x:c r="F29" s="6"/>
      <x:c r="G29" s="6"/>
      <x:c r="H29" s="6"/>
      <x:c r="I29" s="6"/>
      <x:c r="J29" s="6"/>
      <x:c r="K29" s="6"/>
      <x:c r="L29" s="6"/>
      <x:c r="M29" s="6"/>
      <x:c r="N29" s="6"/>
      <x:c r="O29" s="8" t="s">
        <x:v>1409</x:v>
      </x:c>
      <x:c r="P29" s="6"/>
      <x:c r="Q29" s="6"/>
      <x:c r="R29" s="6"/>
      <x:c r="S29" s="6"/>
      <x:c r="T29" s="6"/>
    </x:row>
    <x:row r="30" s="1" customFormat="1" ht="27.75" hidden="0" customHeight="1">
      <x:c r="A30" s="6"/>
      <x:c r="B30" s="6"/>
      <x:c r="C30" s="6"/>
      <x:c r="D30" s="6"/>
      <x:c r="E30" s="6"/>
      <x:c r="F30" s="6"/>
      <x:c r="G30" s="6"/>
      <x:c r="H30" s="6"/>
      <x:c r="I30" s="6"/>
      <x:c r="J30" s="6"/>
      <x:c r="K30" s="6"/>
      <x:c r="L30" s="6"/>
      <x:c r="M30" s="6"/>
      <x:c r="N30" s="6"/>
      <x:c r="O30" s="5" t="s">
        <x:v>1409</x:v>
      </x:c>
      <x:c r="P30" s="6"/>
      <x:c r="Q30" s="6"/>
      <x:c r="R30" s="6"/>
      <x:c r="S30" s="6"/>
      <x:c r="T30" s="6"/>
    </x:row>
    <x:row r="31" s="1" customFormat="1" ht="15" hidden="0" customHeight="1">
      <x:c r="A31" s="6"/>
      <x:c r="B31" s="6"/>
      <x:c r="C31" s="6"/>
      <x:c r="D31" s="6"/>
      <x:c r="E31" s="6"/>
      <x:c r="F31" s="6"/>
      <x:c r="G31" s="6"/>
      <x:c r="H31" s="6"/>
      <x:c r="I31" s="6"/>
      <x:c r="J31" s="6"/>
      <x:c r="K31" s="6"/>
      <x:c r="L31" s="6"/>
      <x:c r="M31" s="6"/>
      <x:c r="N31" s="6"/>
      <x:c r="O31" s="6"/>
      <x:c r="P31" s="6"/>
      <x:c r="Q31" s="6"/>
      <x:c r="R31" s="6"/>
      <x:c r="S31" s="6"/>
      <x:c r="T31" s="6"/>
    </x:row>
    <x:row r="32" s="1" customFormat="1" ht="15" hidden="0" customHeight="1">
      <x:c r="A32" s="6"/>
      <x:c r="B32" s="6"/>
      <x:c r="C32" s="6"/>
      <x:c r="D32" s="6"/>
      <x:c r="E32" s="6"/>
      <x:c r="F32" s="6"/>
      <x:c r="G32" s="6"/>
      <x:c r="H32" s="6"/>
      <x:c r="I32" s="6"/>
      <x:c r="J32" s="6"/>
      <x:c r="K32" s="6"/>
      <x:c r="L32" s="6"/>
      <x:c r="M32" s="6"/>
      <x:c r="N32" s="6"/>
      <x:c r="O32" s="6"/>
      <x:c r="P32" s="6"/>
      <x:c r="Q32" s="6"/>
      <x:c r="R32" s="6"/>
      <x:c r="S32" s="6"/>
      <x:c r="T32" s="6"/>
    </x:row>
    <x:row r="33" s="1" customFormat="1" ht="57" hidden="0" customHeight="1">
      <x:c r="A33" s="7" t="s">
        <x:v>1430</x:v>
      </x:c>
      <x:c r="B33" s="8" t="s">
        <x:v>1431</x:v>
      </x:c>
      <x:c r="C33" s="6"/>
      <x:c r="D33" s="6"/>
      <x:c r="E33" s="6"/>
      <x:c r="F33" s="6"/>
      <x:c r="G33" s="6"/>
      <x:c r="H33" s="6"/>
      <x:c r="I33" s="6"/>
      <x:c r="J33" s="6"/>
      <x:c r="K33" s="6"/>
      <x:c r="L33" s="6"/>
      <x:c r="M33" s="6"/>
      <x:c r="N33" s="6"/>
      <x:c r="O33" s="6"/>
      <x:c r="P33" s="6"/>
      <x:c r="Q33" s="6"/>
      <x:c r="R33" s="6"/>
      <x:c r="S33" s="6"/>
      <x:c r="T33" s="6"/>
    </x:row>
    <x:row r="34" s="1" customFormat="1" ht="15" hidden="0" customHeight="1">
      <x:c r="A34" s="7" t="s">
        <x:v>1432</x:v>
      </x:c>
      <x:c r="B34" s="5" t="s">
        <x:v>1433</x:v>
      </x:c>
      <x:c r="C34" s="6"/>
      <x:c r="D34" s="6"/>
      <x:c r="E34" s="6"/>
      <x:c r="F34" s="6"/>
      <x:c r="G34" s="6"/>
      <x:c r="H34" s="6"/>
      <x:c r="I34" s="6"/>
      <x:c r="J34" s="6"/>
      <x:c r="K34" s="6"/>
      <x:c r="L34" s="6"/>
      <x:c r="M34" s="6"/>
      <x:c r="N34" s="6"/>
      <x:c r="O34" s="6"/>
      <x:c r="P34" s="6"/>
      <x:c r="Q34" s="6"/>
      <x:c r="R34" s="6"/>
      <x:c r="S34" s="6"/>
      <x:c r="T34" s="6"/>
    </x:row>
    <x:row r="35" s="1" customFormat="1" ht="23.25" hidden="0" customHeight="1">
      <x:c r="A35" s="7" t="s">
        <x:v>1434</x:v>
      </x:c>
      <x:c r="B35" s="8" t="s">
        <x:v>1435</x:v>
      </x:c>
      <x:c r="C35" s="6"/>
      <x:c r="D35" s="6"/>
      <x:c r="E35" s="6"/>
      <x:c r="F35" s="6"/>
      <x:c r="G35" s="6"/>
      <x:c r="H35" s="6"/>
      <x:c r="I35" s="6"/>
      <x:c r="J35" s="6"/>
      <x:c r="K35" s="6"/>
      <x:c r="L35" s="6"/>
      <x:c r="M35" s="6"/>
      <x:c r="N35" s="6"/>
      <x:c r="O35" s="6"/>
      <x:c r="P35" s="6"/>
      <x:c r="Q35" s="6"/>
      <x:c r="R35" s="6"/>
      <x:c r="S35" s="6"/>
      <x:c r="T35" s="6"/>
    </x:row>
    <x:row r="36" s="1" customFormat="1" ht="68.25" hidden="0" customHeight="1">
      <x:c r="A36" s="7" t="s">
        <x:v>1436</x:v>
      </x:c>
      <x:c r="B36" s="5" t="s">
        <x:v>1437</x:v>
      </x:c>
      <x:c r="C36" s="6"/>
      <x:c r="D36" s="6"/>
      <x:c r="E36" s="6"/>
      <x:c r="F36" s="6"/>
      <x:c r="G36" s="6"/>
      <x:c r="H36" s="6"/>
      <x:c r="I36" s="6"/>
      <x:c r="J36" s="6"/>
      <x:c r="K36" s="6"/>
      <x:c r="L36" s="6"/>
      <x:c r="M36" s="6"/>
      <x:c r="N36" s="6"/>
      <x:c r="O36" s="6"/>
      <x:c r="P36" s="6"/>
      <x:c r="Q36" s="6"/>
      <x:c r="R36" s="6"/>
      <x:c r="S36" s="6"/>
      <x:c r="T36" s="6"/>
    </x:row>
    <x:row r="37" s="1" customFormat="1" ht="57" hidden="0" customHeight="1">
      <x:c r="A37" s="7" t="s">
        <x:v>435</x:v>
      </x:c>
      <x:c r="B37" s="8" t="s">
        <x:v>1438</x:v>
      </x:c>
      <x:c r="C37" s="6"/>
      <x:c r="D37" s="6"/>
      <x:c r="E37" s="6"/>
      <x:c r="F37" s="6"/>
      <x:c r="G37" s="6"/>
      <x:c r="H37" s="6"/>
      <x:c r="I37" s="6"/>
      <x:c r="J37" s="6"/>
      <x:c r="K37" s="6"/>
      <x:c r="L37" s="6"/>
      <x:c r="M37" s="6"/>
      <x:c r="N37" s="6"/>
      <x:c r="O37" s="6"/>
      <x:c r="P37" s="6"/>
      <x:c r="Q37" s="6"/>
      <x:c r="R37" s="6"/>
      <x:c r="S37" s="6"/>
      <x:c r="T37" s="6"/>
    </x:row>
    <x:row r="38" s="1" customFormat="1" ht="15" hidden="0" customHeight="1">
      <x:c r="A38" s="6"/>
      <x:c r="B38" s="6"/>
      <x:c r="C38" s="6"/>
      <x:c r="D38" s="6"/>
      <x:c r="E38" s="6"/>
      <x:c r="F38" s="6"/>
      <x:c r="G38" s="6"/>
      <x:c r="H38" s="6"/>
      <x:c r="I38" s="6"/>
      <x:c r="J38" s="6"/>
      <x:c r="K38" s="6"/>
      <x:c r="L38" s="6"/>
      <x:c r="M38" s="6"/>
      <x:c r="N38" s="6"/>
      <x:c r="O38" s="6"/>
      <x:c r="P38" s="6"/>
      <x:c r="Q38" s="6"/>
      <x:c r="R38" s="6"/>
      <x:c r="S38" s="6"/>
      <x:c r="T38" s="6"/>
    </x:row>
    <x:row r="39" s="1" customFormat="1" ht="23.25" hidden="0" customHeight="1">
      <x:c r="A39" s="7" t="s">
        <x:v>1439</x:v>
      </x:c>
      <x:c r="B39" s="6"/>
      <x:c r="C39" s="6"/>
      <x:c r="D39" s="6"/>
      <x:c r="E39" s="6"/>
      <x:c r="F39" s="6"/>
      <x:c r="G39" s="6"/>
      <x:c r="H39" s="6"/>
      <x:c r="I39" s="6"/>
      <x:c r="J39" s="6"/>
      <x:c r="K39" s="6"/>
      <x:c r="L39" s="6"/>
      <x:c r="M39" s="6"/>
      <x:c r="N39" s="6"/>
      <x:c r="O39" s="6"/>
      <x:c r="P39" s="6"/>
      <x:c r="Q39" s="6"/>
      <x:c r="R39" s="6"/>
      <x:c r="S39" s="6"/>
      <x:c r="T39" s="6"/>
    </x:row>
    <x:row r="40" s="1" customFormat="1" ht="34.5" hidden="0" customHeight="1">
      <x:c r="A40" s="7" t="s">
        <x:v>690</x:v>
      </x:c>
      <x:c r="B40" s="5" t="s">
        <x:v>1440</x:v>
      </x:c>
      <x:c r="C40" s="5" t="s">
        <x:v>1441</x:v>
      </x:c>
      <x:c r="D40" s="5" t="s">
        <x:v>1442</x:v>
      </x:c>
      <x:c r="E40" s="6"/>
      <x:c r="F40" s="6"/>
      <x:c r="G40" s="6"/>
      <x:c r="H40" s="6"/>
      <x:c r="I40" s="6"/>
      <x:c r="J40" s="6"/>
      <x:c r="K40" s="6"/>
      <x:c r="L40" s="5" t="s">
        <x:v>1443</x:v>
      </x:c>
      <x:c r="M40" s="5" t="s">
        <x:v>1444</x:v>
      </x:c>
      <x:c r="N40" s="6"/>
      <x:c r="O40" s="6"/>
      <x:c r="P40" s="6"/>
      <x:c r="Q40" s="6"/>
      <x:c r="R40" s="6"/>
      <x:c r="S40" s="6"/>
      <x:c r="T40" s="6"/>
    </x:row>
    <x:row r="41" s="1" customFormat="1" ht="34.5" hidden="0" customHeight="1">
      <x:c r="A41" s="7" t="s">
        <x:v>696</x:v>
      </x:c>
      <x:c r="B41" s="8" t="s">
        <x:v>1445</x:v>
      </x:c>
      <x:c r="C41" s="8" t="s">
        <x:v>1441</x:v>
      </x:c>
      <x:c r="D41" s="8" t="s">
        <x:v>1446</x:v>
      </x:c>
      <x:c r="E41" s="6"/>
      <x:c r="F41" s="6"/>
      <x:c r="G41" s="6"/>
      <x:c r="H41" s="6"/>
      <x:c r="I41" s="6"/>
      <x:c r="J41" s="6"/>
      <x:c r="K41" s="6"/>
      <x:c r="L41" s="8" t="s">
        <x:v>1443</x:v>
      </x:c>
      <x:c r="M41" s="8" t="s">
        <x:v>1447</x:v>
      </x:c>
      <x:c r="N41" s="6"/>
      <x:c r="O41" s="6"/>
      <x:c r="P41" s="6"/>
      <x:c r="Q41" s="6"/>
      <x:c r="R41" s="6"/>
      <x:c r="S41" s="6"/>
      <x:c r="T41" s="6"/>
    </x:row>
    <x:row r="42" s="1" customFormat="1" ht="34.5" hidden="0" customHeight="1">
      <x:c r="A42" s="7" t="s">
        <x:v>699</x:v>
      </x:c>
      <x:c r="B42" s="5" t="s">
        <x:v>1448</x:v>
      </x:c>
      <x:c r="C42" s="5" t="s">
        <x:v>1441</x:v>
      </x:c>
      <x:c r="D42" s="5" t="s">
        <x:v>1449</x:v>
      </x:c>
      <x:c r="E42" s="6"/>
      <x:c r="F42" s="6"/>
      <x:c r="G42" s="6"/>
      <x:c r="H42" s="6"/>
      <x:c r="I42" s="6"/>
      <x:c r="J42" s="6"/>
      <x:c r="K42" s="6"/>
      <x:c r="L42" s="5" t="s">
        <x:v>1443</x:v>
      </x:c>
      <x:c r="M42" s="5" t="s">
        <x:v>1450</x:v>
      </x:c>
      <x:c r="N42" s="6"/>
      <x:c r="O42" s="6"/>
      <x:c r="P42" s="6"/>
      <x:c r="Q42" s="6"/>
      <x:c r="R42" s="6"/>
      <x:c r="S42" s="6"/>
      <x:c r="T42" s="6"/>
    </x:row>
    <x:row r="43" s="1" customFormat="1" ht="34.5" hidden="0" customHeight="1">
      <x:c r="A43" s="7" t="s">
        <x:v>702</x:v>
      </x:c>
      <x:c r="B43" s="8" t="s">
        <x:v>1451</x:v>
      </x:c>
      <x:c r="C43" s="8" t="s">
        <x:v>1441</x:v>
      </x:c>
      <x:c r="D43" s="8" t="s">
        <x:v>1452</x:v>
      </x:c>
      <x:c r="E43" s="6"/>
      <x:c r="F43" s="6"/>
      <x:c r="G43" s="6"/>
      <x:c r="H43" s="6"/>
      <x:c r="I43" s="6"/>
      <x:c r="J43" s="6"/>
      <x:c r="K43" s="6"/>
      <x:c r="L43" s="8" t="s">
        <x:v>1443</x:v>
      </x:c>
      <x:c r="M43" s="8" t="s">
        <x:v>1453</x:v>
      </x:c>
      <x:c r="N43" s="6"/>
      <x:c r="O43" s="6"/>
      <x:c r="P43" s="6"/>
      <x:c r="Q43" s="6"/>
      <x:c r="R43" s="6"/>
      <x:c r="S43" s="6"/>
      <x:c r="T43" s="6"/>
    </x:row>
    <x:row r="44" s="1" customFormat="1" ht="57" hidden="0" customHeight="1">
      <x:c r="A44" s="7" t="s">
        <x:v>1454</x:v>
      </x:c>
      <x:c r="B44" s="5" t="s">
        <x:v>1455</x:v>
      </x:c>
      <x:c r="C44" s="52"/>
      <x:c r="D44" s="52"/>
      <x:c r="E44" s="52"/>
      <x:c r="F44" s="52"/>
      <x:c r="G44" s="52"/>
      <x:c r="H44" s="52"/>
      <x:c r="I44" s="52"/>
      <x:c r="J44" s="52"/>
      <x:c r="K44" s="52"/>
      <x:c r="L44" s="52"/>
      <x:c r="M44" s="52"/>
      <x:c r="N44" s="52"/>
      <x:c r="O44" s="52"/>
      <x:c r="P44" s="52"/>
      <x:c r="Q44" s="52"/>
      <x:c r="R44" s="52"/>
      <x:c r="S44" s="52"/>
      <x:c r="T44" s="52"/>
    </x:row>
    <x:row r="45" s="1" customFormat="1" ht="15" hidden="0" customHeight="1">
      <x:c r="A45" s="52"/>
      <x:c r="B45" s="52"/>
      <x:c r="C45" s="52"/>
      <x:c r="D45" s="52"/>
      <x:c r="E45" s="52"/>
      <x:c r="F45" s="52"/>
      <x:c r="G45" s="52"/>
      <x:c r="H45" s="52"/>
      <x:c r="I45" s="52"/>
      <x:c r="J45" s="52"/>
      <x:c r="K45" s="52"/>
      <x:c r="L45" s="52"/>
      <x:c r="M45" s="52"/>
      <x:c r="N45" s="52"/>
      <x:c r="O45" s="52"/>
      <x:c r="P45" s="52"/>
      <x:c r="Q45" s="52"/>
      <x:c r="R45" s="52"/>
      <x:c r="S45" s="52"/>
      <x:c r="T45" s="52"/>
    </x:row>
    <x:row r="46" s="1" customFormat="1" ht="15" hidden="0" customHeight="1">
      <x:c r="A46" s="52"/>
      <x:c r="B46" s="52"/>
      <x:c r="C46" s="52"/>
      <x:c r="D46" s="52"/>
      <x:c r="E46" s="52"/>
      <x:c r="F46" s="52"/>
      <x:c r="G46" s="52"/>
      <x:c r="H46" s="52"/>
      <x:c r="I46" s="52"/>
      <x:c r="J46" s="52"/>
      <x:c r="K46" s="52"/>
      <x:c r="L46" s="52"/>
      <x:c r="M46" s="52"/>
      <x:c r="N46" s="52"/>
      <x:c r="O46" s="52"/>
      <x:c r="P46" s="52"/>
      <x:c r="Q46" s="52"/>
      <x:c r="R46" s="52"/>
      <x:c r="S46" s="52"/>
      <x:c r="T46" s="52"/>
    </x:row>
    <x:row r="47" s="1" customFormat="1" ht="15" hidden="0" customHeight="1">
      <x:c r="A47" s="52"/>
      <x:c r="B47" s="52"/>
      <x:c r="C47" s="52"/>
      <x:c r="D47" s="52"/>
      <x:c r="E47" s="52"/>
      <x:c r="F47" s="52"/>
      <x:c r="G47" s="52"/>
      <x:c r="H47" s="52"/>
      <x:c r="I47" s="52"/>
      <x:c r="J47" s="52"/>
      <x:c r="K47" s="52"/>
      <x:c r="L47" s="52"/>
      <x:c r="M47" s="52"/>
      <x:c r="N47" s="52"/>
      <x:c r="O47" s="52"/>
      <x:c r="P47" s="52"/>
      <x:c r="Q47" s="52"/>
      <x:c r="R47" s="52"/>
      <x:c r="S47" s="52"/>
      <x:c r="T47" s="52"/>
    </x:row>
    <x:row r="48" s="1" customFormat="1" ht="15" hidden="0" customHeight="1">
      <x:c r="A48" s="52"/>
      <x:c r="B48" s="52"/>
      <x:c r="C48" s="52"/>
      <x:c r="D48" s="52"/>
      <x:c r="E48" s="52"/>
      <x:c r="F48" s="52"/>
      <x:c r="G48" s="52"/>
      <x:c r="H48" s="52"/>
      <x:c r="I48" s="52"/>
      <x:c r="J48" s="52"/>
      <x:c r="K48" s="52"/>
      <x:c r="L48" s="52"/>
      <x:c r="M48" s="52"/>
      <x:c r="N48" s="52"/>
      <x:c r="O48" s="52"/>
      <x:c r="P48" s="52"/>
      <x:c r="Q48" s="52"/>
      <x:c r="R48" s="52"/>
      <x:c r="S48" s="52"/>
      <x:c r="T48" s="52"/>
    </x:row>
    <x:row r="49" s="1" customFormat="1" ht="15" hidden="0" customHeight="1">
      <x:c r="A49" s="52"/>
      <x:c r="B49" s="52"/>
      <x:c r="C49" s="52"/>
      <x:c r="D49" s="52"/>
      <x:c r="E49" s="52"/>
      <x:c r="F49" s="52"/>
      <x:c r="G49" s="52"/>
      <x:c r="H49" s="52"/>
      <x:c r="I49" s="52"/>
      <x:c r="J49" s="52"/>
      <x:c r="K49" s="52"/>
      <x:c r="L49" s="52"/>
      <x:c r="M49" s="52"/>
      <x:c r="N49" s="52"/>
      <x:c r="O49" s="52"/>
      <x:c r="P49" s="52"/>
      <x:c r="Q49" s="52"/>
      <x:c r="R49" s="52"/>
      <x:c r="S49" s="52"/>
      <x:c r="T49" s="52"/>
    </x:row>
    <x:row r="50" s="1" customFormat="1" ht="15" hidden="0" customHeight="1">
      <x:c r="A50" s="52"/>
      <x:c r="B50" s="52"/>
      <x:c r="C50" s="52"/>
      <x:c r="D50" s="52"/>
      <x:c r="E50" s="52"/>
      <x:c r="F50" s="52"/>
      <x:c r="G50" s="52"/>
      <x:c r="H50" s="52"/>
      <x:c r="I50" s="52"/>
      <x:c r="J50" s="52"/>
      <x:c r="K50" s="52"/>
      <x:c r="L50" s="52"/>
      <x:c r="M50" s="52"/>
      <x:c r="N50" s="52"/>
      <x:c r="O50" s="52"/>
      <x:c r="P50" s="52"/>
      <x:c r="Q50" s="52"/>
      <x:c r="R50" s="52"/>
      <x:c r="S50" s="52"/>
      <x:c r="T50" s="52"/>
    </x:row>
    <x:row r="51" s="1" customFormat="1" ht="15" hidden="0" customHeight="1">
      <x:c r="A51" s="52"/>
      <x:c r="B51" s="52"/>
      <x:c r="C51" s="52"/>
      <x:c r="D51" s="52"/>
      <x:c r="E51" s="52"/>
      <x:c r="F51" s="52"/>
      <x:c r="G51" s="52"/>
      <x:c r="H51" s="52"/>
      <x:c r="I51" s="52"/>
      <x:c r="J51" s="52"/>
      <x:c r="K51" s="52"/>
      <x:c r="L51" s="52"/>
      <x:c r="M51" s="52"/>
      <x:c r="N51" s="52"/>
      <x:c r="O51" s="52"/>
      <x:c r="P51" s="52"/>
      <x:c r="Q51" s="52"/>
      <x:c r="R51" s="52"/>
      <x:c r="S51" s="52"/>
      <x:c r="T51" s="52"/>
    </x:row>
    <x:row r="52" s="1" customFormat="1" ht="15" hidden="0" customHeight="1">
      <x:c r="A52" s="52"/>
      <x:c r="B52" s="52"/>
      <x:c r="C52" s="52"/>
      <x:c r="D52" s="52"/>
      <x:c r="E52" s="52"/>
      <x:c r="F52" s="52"/>
      <x:c r="G52" s="52"/>
      <x:c r="H52" s="52"/>
      <x:c r="I52" s="52"/>
      <x:c r="J52" s="52"/>
      <x:c r="K52" s="52"/>
      <x:c r="L52" s="52"/>
      <x:c r="M52" s="52"/>
      <x:c r="N52" s="52"/>
      <x:c r="O52" s="52"/>
      <x:c r="P52" s="52"/>
      <x:c r="Q52" s="52"/>
      <x:c r="R52" s="52"/>
      <x:c r="S52" s="52"/>
      <x:c r="T52" s="52"/>
    </x:row>
    <x:row r="53" s="1" customFormat="1" ht="15" hidden="0" customHeight="1">
      <x:c r="A53" s="52"/>
      <x:c r="B53" s="52"/>
      <x:c r="C53" s="52"/>
      <x:c r="D53" s="52"/>
      <x:c r="E53" s="52"/>
      <x:c r="F53" s="52"/>
      <x:c r="G53" s="52"/>
      <x:c r="H53" s="52"/>
      <x:c r="I53" s="52"/>
      <x:c r="J53" s="52"/>
      <x:c r="K53" s="52"/>
      <x:c r="L53" s="52"/>
      <x:c r="M53" s="52"/>
      <x:c r="N53" s="52"/>
      <x:c r="O53" s="52"/>
      <x:c r="P53" s="52"/>
      <x:c r="Q53" s="52"/>
      <x:c r="R53" s="52"/>
      <x:c r="S53" s="52"/>
      <x:c r="T53" s="52"/>
    </x:row>
    <x:row r="54" s="1" customFormat="1" ht="15" hidden="0" customHeight="1">
      <x:c r="A54" s="52"/>
      <x:c r="B54" s="52"/>
      <x:c r="C54" s="52"/>
      <x:c r="D54" s="52"/>
      <x:c r="E54" s="52"/>
      <x:c r="F54" s="52"/>
      <x:c r="G54" s="52"/>
      <x:c r="H54" s="52"/>
      <x:c r="I54" s="52"/>
      <x:c r="J54" s="52"/>
      <x:c r="K54" s="52"/>
      <x:c r="L54" s="52"/>
      <x:c r="M54" s="52"/>
      <x:c r="N54" s="52"/>
      <x:c r="O54" s="52"/>
      <x:c r="P54" s="52"/>
      <x:c r="Q54" s="52"/>
      <x:c r="R54" s="52"/>
      <x:c r="S54" s="52"/>
      <x:c r="T54" s="52"/>
    </x:row>
    <x:row r="55" s="1" customFormat="1" ht="15" hidden="0" customHeight="1">
      <x:c r="A55" s="52"/>
      <x:c r="B55" s="52"/>
      <x:c r="C55" s="52"/>
      <x:c r="D55" s="52"/>
      <x:c r="E55" s="52"/>
      <x:c r="F55" s="52"/>
      <x:c r="G55" s="52"/>
      <x:c r="H55" s="52"/>
      <x:c r="I55" s="52"/>
      <x:c r="J55" s="52"/>
      <x:c r="K55" s="52"/>
      <x:c r="L55" s="52"/>
      <x:c r="M55" s="52"/>
      <x:c r="N55" s="52"/>
      <x:c r="O55" s="52"/>
      <x:c r="P55" s="52"/>
      <x:c r="Q55" s="52"/>
      <x:c r="R55" s="52"/>
      <x:c r="S55" s="52"/>
      <x:c r="T55" s="52"/>
    </x:row>
    <x:row r="56" s="1" customFormat="1" ht="15" hidden="0" customHeight="1">
      <x:c r="A56" s="52"/>
      <x:c r="B56" s="52"/>
      <x:c r="C56" s="52"/>
      <x:c r="D56" s="52"/>
      <x:c r="E56" s="52"/>
      <x:c r="F56" s="52"/>
      <x:c r="G56" s="52"/>
      <x:c r="H56" s="52"/>
      <x:c r="I56" s="52"/>
      <x:c r="J56" s="52"/>
      <x:c r="K56" s="52"/>
      <x:c r="L56" s="52"/>
      <x:c r="M56" s="52"/>
      <x:c r="N56" s="52"/>
      <x:c r="O56" s="52"/>
      <x:c r="P56" s="52"/>
      <x:c r="Q56" s="52"/>
      <x:c r="R56" s="52"/>
      <x:c r="S56" s="52"/>
      <x:c r="T56" s="52"/>
    </x:row>
    <x:row r="57" s="1" customFormat="1" ht="15" hidden="0" customHeight="1">
      <x:c r="A57" s="52"/>
      <x:c r="B57" s="52"/>
      <x:c r="C57" s="52"/>
      <x:c r="D57" s="52"/>
      <x:c r="E57" s="52"/>
      <x:c r="F57" s="52"/>
      <x:c r="G57" s="52"/>
      <x:c r="H57" s="52"/>
      <x:c r="I57" s="52"/>
      <x:c r="J57" s="52"/>
      <x:c r="K57" s="52"/>
      <x:c r="L57" s="52"/>
      <x:c r="M57" s="52"/>
      <x:c r="N57" s="52"/>
      <x:c r="O57" s="52"/>
      <x:c r="P57" s="52"/>
      <x:c r="Q57" s="52"/>
      <x:c r="R57" s="52"/>
      <x:c r="S57" s="52"/>
      <x:c r="T57" s="52"/>
    </x:row>
    <x:row r="58" s="1" customFormat="1" ht="15" hidden="0" customHeight="1">
      <x:c r="A58" s="52"/>
      <x:c r="B58" s="52"/>
      <x:c r="C58" s="52"/>
      <x:c r="D58" s="52"/>
      <x:c r="E58" s="52"/>
      <x:c r="F58" s="52"/>
      <x:c r="G58" s="52"/>
      <x:c r="H58" s="52"/>
      <x:c r="I58" s="52"/>
      <x:c r="J58" s="52"/>
      <x:c r="K58" s="52"/>
      <x:c r="L58" s="52"/>
      <x:c r="M58" s="52"/>
      <x:c r="N58" s="52"/>
      <x:c r="O58" s="52"/>
      <x:c r="P58" s="52"/>
      <x:c r="Q58" s="52"/>
      <x:c r="R58" s="52"/>
      <x:c r="S58" s="52"/>
      <x:c r="T58" s="52"/>
    </x:row>
    <x:row r="59" s="1" customFormat="1" ht="15" hidden="0" customHeight="1">
      <x:c r="A59" s="52"/>
      <x:c r="B59" s="52"/>
      <x:c r="C59" s="52"/>
      <x:c r="D59" s="52"/>
      <x:c r="E59" s="52"/>
      <x:c r="F59" s="52"/>
      <x:c r="G59" s="52"/>
      <x:c r="H59" s="52"/>
      <x:c r="I59" s="52"/>
      <x:c r="J59" s="52"/>
      <x:c r="K59" s="52"/>
      <x:c r="L59" s="52"/>
      <x:c r="M59" s="52"/>
      <x:c r="N59" s="52"/>
      <x:c r="O59" s="52"/>
      <x:c r="P59" s="52"/>
      <x:c r="Q59" s="52"/>
      <x:c r="R59" s="52"/>
      <x:c r="S59" s="52"/>
      <x:c r="T59" s="52"/>
    </x:row>
    <x:row r="60" s="1" customFormat="1" ht="15" hidden="0" customHeight="1">
      <x:c r="A60" s="52"/>
      <x:c r="B60" s="52"/>
      <x:c r="C60" s="52"/>
      <x:c r="D60" s="52"/>
      <x:c r="E60" s="52"/>
      <x:c r="F60" s="52"/>
      <x:c r="G60" s="52"/>
      <x:c r="H60" s="52"/>
      <x:c r="I60" s="52"/>
      <x:c r="J60" s="52"/>
      <x:c r="K60" s="52"/>
      <x:c r="L60" s="52"/>
      <x:c r="M60" s="52"/>
      <x:c r="N60" s="52"/>
      <x:c r="O60" s="52"/>
      <x:c r="P60" s="52"/>
      <x:c r="Q60" s="52"/>
      <x:c r="R60" s="52"/>
      <x:c r="S60" s="52"/>
      <x:c r="T60" s="52"/>
    </x:row>
    <x:row r="61" s="1" customFormat="1" ht="15" hidden="0" customHeight="1">
      <x:c r="A61" s="52"/>
      <x:c r="B61" s="52"/>
      <x:c r="C61" s="52"/>
      <x:c r="D61" s="52"/>
      <x:c r="E61" s="52"/>
      <x:c r="F61" s="52"/>
      <x:c r="G61" s="52"/>
      <x:c r="H61" s="52"/>
      <x:c r="I61" s="52"/>
      <x:c r="J61" s="52"/>
      <x:c r="K61" s="52"/>
      <x:c r="L61" s="52"/>
      <x:c r="M61" s="52"/>
      <x:c r="N61" s="52"/>
      <x:c r="O61" s="52"/>
      <x:c r="P61" s="52"/>
      <x:c r="Q61" s="52"/>
      <x:c r="R61" s="52"/>
      <x:c r="S61" s="52"/>
      <x:c r="T61" s="52"/>
    </x:row>
    <x:row r="62" s="1" customFormat="1" ht="15" hidden="0" customHeight="1">
      <x:c r="A62" s="52"/>
      <x:c r="B62" s="52"/>
      <x:c r="C62" s="52"/>
      <x:c r="D62" s="52"/>
      <x:c r="E62" s="52"/>
      <x:c r="F62" s="52"/>
      <x:c r="G62" s="52"/>
      <x:c r="H62" s="52"/>
      <x:c r="I62" s="52"/>
      <x:c r="J62" s="52"/>
      <x:c r="K62" s="52"/>
      <x:c r="L62" s="52"/>
      <x:c r="M62" s="52"/>
      <x:c r="N62" s="52"/>
      <x:c r="O62" s="52"/>
      <x:c r="P62" s="52"/>
      <x:c r="Q62" s="52"/>
      <x:c r="R62" s="52"/>
      <x:c r="S62" s="52"/>
      <x:c r="T62" s="52"/>
    </x:row>
    <x:row r="63" s="1" customFormat="1" ht="15" hidden="0" customHeight="1">
      <x:c r="A63" s="52"/>
      <x:c r="B63" s="52"/>
      <x:c r="C63" s="52"/>
      <x:c r="D63" s="52"/>
      <x:c r="E63" s="52"/>
      <x:c r="F63" s="52"/>
      <x:c r="G63" s="52"/>
      <x:c r="H63" s="52"/>
      <x:c r="I63" s="52"/>
      <x:c r="J63" s="52"/>
      <x:c r="K63" s="52"/>
      <x:c r="L63" s="52"/>
      <x:c r="M63" s="52"/>
      <x:c r="N63" s="52"/>
      <x:c r="O63" s="52"/>
      <x:c r="P63" s="52"/>
      <x:c r="Q63" s="52"/>
      <x:c r="R63" s="52"/>
      <x:c r="S63" s="52"/>
      <x:c r="T63" s="52"/>
    </x:row>
    <x:row r="64" s="1" customFormat="1" ht="15" hidden="0" customHeight="1">
      <x:c r="A64" s="52"/>
      <x:c r="B64" s="52"/>
      <x:c r="C64" s="52"/>
      <x:c r="D64" s="52"/>
      <x:c r="E64" s="52"/>
      <x:c r="F64" s="52"/>
      <x:c r="G64" s="52"/>
      <x:c r="H64" s="52"/>
      <x:c r="I64" s="52"/>
      <x:c r="J64" s="52"/>
      <x:c r="K64" s="52"/>
      <x:c r="L64" s="52"/>
      <x:c r="M64" s="52"/>
      <x:c r="N64" s="52"/>
      <x:c r="O64" s="52"/>
      <x:c r="P64" s="52"/>
      <x:c r="Q64" s="52"/>
      <x:c r="R64" s="52"/>
      <x:c r="S64" s="52"/>
      <x:c r="T64" s="52"/>
    </x:row>
    <x:row r="65" s="1" customFormat="1" ht="15" hidden="0" customHeight="1">
      <x:c r="A65" s="52"/>
      <x:c r="B65" s="52"/>
      <x:c r="C65" s="52"/>
      <x:c r="D65" s="52"/>
      <x:c r="E65" s="52"/>
      <x:c r="F65" s="52"/>
      <x:c r="G65" s="52"/>
      <x:c r="H65" s="52"/>
      <x:c r="I65" s="52"/>
      <x:c r="J65" s="52"/>
      <x:c r="K65" s="52"/>
      <x:c r="L65" s="52"/>
      <x:c r="M65" s="52"/>
      <x:c r="N65" s="52"/>
      <x:c r="O65" s="52"/>
      <x:c r="P65" s="52"/>
      <x:c r="Q65" s="52"/>
      <x:c r="R65" s="52"/>
      <x:c r="S65" s="52"/>
      <x:c r="T65" s="52"/>
    </x:row>
    <x:row r="66" s="1" customFormat="1" ht="15" hidden="0" customHeight="1">
      <x:c r="A66" s="52"/>
      <x:c r="B66" s="52"/>
      <x:c r="C66" s="52"/>
      <x:c r="D66" s="52"/>
      <x:c r="E66" s="52"/>
      <x:c r="F66" s="52"/>
      <x:c r="G66" s="52"/>
      <x:c r="H66" s="52"/>
      <x:c r="I66" s="52"/>
      <x:c r="J66" s="52"/>
      <x:c r="K66" s="52"/>
      <x:c r="L66" s="52"/>
      <x:c r="M66" s="52"/>
      <x:c r="N66" s="52"/>
      <x:c r="O66" s="52"/>
      <x:c r="P66" s="52"/>
      <x:c r="Q66" s="52"/>
      <x:c r="R66" s="52"/>
      <x:c r="S66" s="52"/>
      <x:c r="T66" s="52"/>
    </x:row>
    <x:row r="67" s="1" customFormat="1" ht="15" hidden="0" customHeight="1">
      <x:c r="A67" s="52"/>
      <x:c r="B67" s="52"/>
      <x:c r="C67" s="52"/>
      <x:c r="D67" s="52"/>
      <x:c r="E67" s="52"/>
      <x:c r="F67" s="52"/>
      <x:c r="G67" s="52"/>
      <x:c r="H67" s="52"/>
      <x:c r="I67" s="52"/>
      <x:c r="J67" s="52"/>
      <x:c r="K67" s="52"/>
      <x:c r="L67" s="52"/>
      <x:c r="M67" s="52"/>
      <x:c r="N67" s="52"/>
      <x:c r="O67" s="52"/>
      <x:c r="P67" s="52"/>
      <x:c r="Q67" s="52"/>
      <x:c r="R67" s="52"/>
      <x:c r="S67" s="52"/>
      <x:c r="T67" s="52"/>
    </x:row>
    <x:row r="68" s="1" customFormat="1" ht="15" hidden="0" customHeight="1">
      <x:c r="A68" s="52"/>
      <x:c r="B68" s="52"/>
      <x:c r="C68" s="52"/>
      <x:c r="D68" s="52"/>
      <x:c r="E68" s="52"/>
      <x:c r="F68" s="52"/>
      <x:c r="G68" s="52"/>
      <x:c r="H68" s="52"/>
      <x:c r="I68" s="52"/>
      <x:c r="J68" s="52"/>
      <x:c r="K68" s="52"/>
      <x:c r="L68" s="52"/>
      <x:c r="M68" s="52"/>
      <x:c r="N68" s="52"/>
      <x:c r="O68" s="52"/>
      <x:c r="P68" s="52"/>
      <x:c r="Q68" s="52"/>
      <x:c r="R68" s="52"/>
      <x:c r="S68" s="52"/>
      <x:c r="T68" s="52"/>
    </x:row>
    <x:row r="69" s="1" customFormat="1" ht="15" hidden="0" customHeight="1">
      <x:c r="A69" s="52"/>
      <x:c r="B69" s="52"/>
      <x:c r="C69" s="52"/>
      <x:c r="D69" s="52"/>
      <x:c r="E69" s="52"/>
      <x:c r="F69" s="52"/>
      <x:c r="G69" s="52"/>
      <x:c r="H69" s="52"/>
      <x:c r="I69" s="52"/>
      <x:c r="J69" s="52"/>
      <x:c r="K69" s="52"/>
      <x:c r="L69" s="52"/>
      <x:c r="M69" s="52"/>
      <x:c r="N69" s="52"/>
      <x:c r="O69" s="52"/>
      <x:c r="P69" s="52"/>
      <x:c r="Q69" s="52"/>
      <x:c r="R69" s="52"/>
      <x:c r="S69" s="52"/>
      <x:c r="T69" s="52"/>
    </x:row>
    <x:row r="70" s="1" customFormat="1" ht="15" hidden="0" customHeight="1">
      <x:c r="A70" s="52"/>
      <x:c r="B70" s="52"/>
      <x:c r="C70" s="52"/>
      <x:c r="D70" s="52"/>
      <x:c r="E70" s="52"/>
      <x:c r="F70" s="52"/>
      <x:c r="G70" s="52"/>
      <x:c r="H70" s="52"/>
      <x:c r="I70" s="52"/>
      <x:c r="J70" s="52"/>
      <x:c r="K70" s="52"/>
      <x:c r="L70" s="52"/>
      <x:c r="M70" s="52"/>
      <x:c r="N70" s="52"/>
      <x:c r="O70" s="52"/>
      <x:c r="P70" s="52"/>
      <x:c r="Q70" s="52"/>
      <x:c r="R70" s="52"/>
      <x:c r="S70" s="52"/>
      <x:c r="T70" s="52"/>
    </x:row>
    <x:row r="71" s="1" customFormat="1" ht="15" hidden="0" customHeight="1">
      <x:c r="A71" s="52"/>
      <x:c r="B71" s="52"/>
      <x:c r="C71" s="52"/>
      <x:c r="D71" s="52"/>
      <x:c r="E71" s="52"/>
      <x:c r="F71" s="52"/>
      <x:c r="G71" s="52"/>
      <x:c r="H71" s="52"/>
      <x:c r="I71" s="52"/>
      <x:c r="J71" s="52"/>
      <x:c r="K71" s="52"/>
      <x:c r="L71" s="52"/>
      <x:c r="M71" s="52"/>
      <x:c r="N71" s="52"/>
      <x:c r="O71" s="52"/>
      <x:c r="P71" s="52"/>
      <x:c r="Q71" s="52"/>
      <x:c r="R71" s="52"/>
      <x:c r="S71" s="52"/>
      <x:c r="T71" s="52"/>
    </x:row>
    <x:row r="72" s="1" customFormat="1" ht="15" hidden="0" customHeight="1">
      <x:c r="A72" s="52"/>
      <x:c r="B72" s="52"/>
      <x:c r="C72" s="52"/>
      <x:c r="D72" s="52"/>
      <x:c r="E72" s="52"/>
      <x:c r="F72" s="52"/>
      <x:c r="G72" s="52"/>
      <x:c r="H72" s="52"/>
      <x:c r="I72" s="52"/>
      <x:c r="J72" s="52"/>
      <x:c r="K72" s="52"/>
      <x:c r="L72" s="52"/>
      <x:c r="M72" s="52"/>
      <x:c r="N72" s="52"/>
      <x:c r="O72" s="52"/>
      <x:c r="P72" s="52"/>
      <x:c r="Q72" s="52"/>
      <x:c r="R72" s="52"/>
      <x:c r="S72" s="52"/>
      <x:c r="T72" s="52"/>
    </x:row>
    <x:row r="73" s="1" customFormat="1" ht="15" hidden="0" customHeight="1">
      <x:c r="A73" s="52"/>
      <x:c r="B73" s="52"/>
      <x:c r="C73" s="52"/>
      <x:c r="D73" s="52"/>
      <x:c r="E73" s="52"/>
      <x:c r="F73" s="52"/>
      <x:c r="G73" s="52"/>
      <x:c r="H73" s="52"/>
      <x:c r="I73" s="52"/>
      <x:c r="J73" s="52"/>
      <x:c r="K73" s="52"/>
      <x:c r="L73" s="52"/>
      <x:c r="M73" s="52"/>
      <x:c r="N73" s="52"/>
      <x:c r="O73" s="52"/>
      <x:c r="P73" s="52"/>
      <x:c r="Q73" s="52"/>
      <x:c r="R73" s="52"/>
      <x:c r="S73" s="52"/>
      <x:c r="T73" s="52"/>
    </x:row>
    <x:row r="74" s="1" customFormat="1" ht="15" hidden="0" customHeight="1">
      <x:c r="A74" s="52"/>
      <x:c r="B74" s="52"/>
      <x:c r="C74" s="52"/>
      <x:c r="D74" s="52"/>
      <x:c r="E74" s="52"/>
      <x:c r="F74" s="52"/>
      <x:c r="G74" s="52"/>
      <x:c r="H74" s="52"/>
      <x:c r="I74" s="52"/>
      <x:c r="J74" s="52"/>
      <x:c r="K74" s="52"/>
      <x:c r="L74" s="52"/>
      <x:c r="M74" s="52"/>
      <x:c r="N74" s="52"/>
      <x:c r="O74" s="52"/>
      <x:c r="P74" s="52"/>
      <x:c r="Q74" s="52"/>
      <x:c r="R74" s="52"/>
      <x:c r="S74" s="52"/>
      <x:c r="T74" s="52"/>
    </x:row>
    <x:row r="75" s="1" customFormat="1" ht="15" hidden="0" customHeight="1">
      <x:c r="A75" s="52"/>
      <x:c r="B75" s="52"/>
      <x:c r="C75" s="52"/>
      <x:c r="D75" s="52"/>
      <x:c r="E75" s="52"/>
      <x:c r="F75" s="52"/>
      <x:c r="G75" s="52"/>
      <x:c r="H75" s="52"/>
      <x:c r="I75" s="52"/>
      <x:c r="J75" s="52"/>
      <x:c r="K75" s="52"/>
      <x:c r="L75" s="52"/>
      <x:c r="M75" s="52"/>
      <x:c r="N75" s="52"/>
      <x:c r="O75" s="52"/>
      <x:c r="P75" s="52"/>
      <x:c r="Q75" s="52"/>
      <x:c r="R75" s="52"/>
      <x:c r="S75" s="52"/>
      <x:c r="T75" s="52"/>
    </x:row>
    <x:row r="76" s="1" customFormat="1" ht="15" hidden="0" customHeight="1">
      <x:c r="A76" s="52"/>
      <x:c r="B76" s="52"/>
      <x:c r="C76" s="52"/>
      <x:c r="D76" s="52"/>
      <x:c r="E76" s="52"/>
      <x:c r="F76" s="52"/>
      <x:c r="G76" s="52"/>
      <x:c r="H76" s="52"/>
      <x:c r="I76" s="52"/>
      <x:c r="J76" s="52"/>
      <x:c r="K76" s="52"/>
      <x:c r="L76" s="52"/>
      <x:c r="M76" s="52"/>
      <x:c r="N76" s="52"/>
      <x:c r="O76" s="52"/>
      <x:c r="P76" s="52"/>
      <x:c r="Q76" s="52"/>
      <x:c r="R76" s="52"/>
      <x:c r="S76" s="52"/>
      <x:c r="T76" s="52"/>
    </x:row>
    <x:row r="77" s="1" customFormat="1" ht="15" hidden="0" customHeight="1">
      <x:c r="A77" s="52"/>
      <x:c r="B77" s="52"/>
      <x:c r="C77" s="52"/>
      <x:c r="D77" s="52"/>
      <x:c r="E77" s="52"/>
      <x:c r="F77" s="52"/>
      <x:c r="G77" s="52"/>
      <x:c r="H77" s="52"/>
      <x:c r="I77" s="52"/>
      <x:c r="J77" s="52"/>
      <x:c r="K77" s="52"/>
      <x:c r="L77" s="52"/>
      <x:c r="M77" s="52"/>
      <x:c r="N77" s="52"/>
      <x:c r="O77" s="52"/>
      <x:c r="P77" s="52"/>
      <x:c r="Q77" s="52"/>
      <x:c r="R77" s="52"/>
      <x:c r="S77" s="52"/>
      <x:c r="T77" s="52"/>
    </x:row>
    <x:row r="78" s="1" customFormat="1" ht="15" hidden="0" customHeight="1">
      <x:c r="A78" s="52"/>
      <x:c r="B78" s="52"/>
      <x:c r="C78" s="52"/>
      <x:c r="D78" s="52"/>
      <x:c r="E78" s="52"/>
      <x:c r="F78" s="52"/>
      <x:c r="G78" s="52"/>
      <x:c r="H78" s="52"/>
      <x:c r="I78" s="52"/>
      <x:c r="J78" s="52"/>
      <x:c r="K78" s="52"/>
      <x:c r="L78" s="52"/>
      <x:c r="M78" s="52"/>
      <x:c r="N78" s="52"/>
      <x:c r="O78" s="52"/>
      <x:c r="P78" s="52"/>
      <x:c r="Q78" s="52"/>
      <x:c r="R78" s="52"/>
      <x:c r="S78" s="52"/>
      <x:c r="T78" s="52"/>
    </x:row>
    <x:row r="79" s="1" customFormat="1" ht="15" hidden="0" customHeight="1">
      <x:c r="A79" s="52"/>
      <x:c r="B79" s="52"/>
      <x:c r="C79" s="52"/>
      <x:c r="D79" s="52"/>
      <x:c r="E79" s="52"/>
      <x:c r="F79" s="52"/>
      <x:c r="G79" s="52"/>
      <x:c r="H79" s="52"/>
      <x:c r="I79" s="52"/>
      <x:c r="J79" s="52"/>
      <x:c r="K79" s="52"/>
      <x:c r="L79" s="52"/>
      <x:c r="M79" s="52"/>
      <x:c r="N79" s="52"/>
      <x:c r="O79" s="52"/>
      <x:c r="P79" s="52"/>
      <x:c r="Q79" s="52"/>
      <x:c r="R79" s="52"/>
      <x:c r="S79" s="52"/>
      <x:c r="T79" s="52"/>
    </x:row>
    <x:row r="80" s="1" customFormat="1" ht="15" hidden="0" customHeight="1">
      <x:c r="A80" s="52"/>
      <x:c r="B80" s="52"/>
      <x:c r="C80" s="52"/>
      <x:c r="D80" s="52"/>
      <x:c r="E80" s="52"/>
      <x:c r="F80" s="52"/>
      <x:c r="G80" s="52"/>
      <x:c r="H80" s="52"/>
      <x:c r="I80" s="52"/>
      <x:c r="J80" s="52"/>
      <x:c r="K80" s="52"/>
      <x:c r="L80" s="52"/>
      <x:c r="M80" s="52"/>
      <x:c r="N80" s="52"/>
      <x:c r="O80" s="52"/>
      <x:c r="P80" s="52"/>
      <x:c r="Q80" s="52"/>
      <x:c r="R80" s="52"/>
      <x:c r="S80" s="52"/>
      <x:c r="T80" s="52"/>
    </x:row>
  </x:sheetData>
  <x:mergeCells>
    <x:mergeCell ref="A1:O1"/>
    <x:mergeCell ref="A2:O2"/>
    <x:mergeCell ref="A4:O4"/>
  </x:mergeCells>
  <x:dataValidations count="6">
    <x:dataValidation type="list" errorStyle="stop" operator="between" allowBlank="0" showDropDown="0" showInputMessage="0" showErrorMessage="0" sqref="I8:I30">
      <x:formula1>"GROUNDED,ESTIMATED,ASSUMPTION_BOUND,CONTESTED,LEGACY_UNREVIEWED,INSUFFICIENT_GROUNDING,OUT_OF_SCOPE_WITH_RATIONALE"</x:formula1>
      <x:formula2>0</x:formula2>
    </x:dataValidation>
    <x:dataValidation type="list" errorStyle="stop" operator="between" allowBlank="0" showDropDown="0" showInputMessage="0" showErrorMessage="0" sqref="J8:J30">
      <x:formula1>"NONE,LOW,MEDIUM,HIGH,CRITICAL"</x:formula1>
      <x:formula2>0</x:formula2>
    </x:dataValidation>
    <x:dataValidation type="list" errorStyle="stop" operator="between" allowBlank="0" showDropDown="0" showInputMessage="0" showErrorMessage="0" sqref="L17:L30">
      <x:formula1>"UNREVIEWED,NEEDS_REVIEW,REVIEWED,EXPERT_REVIEWED"</x:formula1>
      <x:formula2>0</x:formula2>
    </x:dataValidation>
    <x:dataValidation type="list" errorStyle="stop" operator="between" allowBlank="0" showDropDown="0" showInputMessage="0" showErrorMessage="0" sqref="M8:M30">
      <x:formula1>"ALLOW,NARROW,ESCALATE,REFUSE,MONITOR_ONLY,SENSITIVITY_ONLY"</x:formula1>
      <x:formula2>0</x:formula2>
    </x:dataValidation>
    <x:dataValidation type="list" errorStyle="stop" operator="between" allowBlank="0" showDropDown="0" showInputMessage="0" showErrorMessage="0" sqref="N8:N30">
      <x:formula1>",CATEGORY_BOUNDARY_FAILURE,CATEGORY_REFERENCE_FAILURE,CATEGORY_SCOPE_FAILURE,CATEGORY_METRIC_MISMATCH,SEMANTIC_DRIFT_DETECTED,PRIMITIVE_CHALLENGE"</x:formula1>
      <x:formula2>0</x:formula2>
    </x:dataValidation>
    <x:dataValidation type="list" errorStyle="stop" operator="between" allowBlank="0" showDropDown="0" showInputMessage="0" showErrorMessage="0" sqref="L8:L16">
      <x:formula1>"READY,NEEDS_REVIEW,ESCALATE,APPROVED,REJECTED"</x:formula1>
      <x:formula2>0</x:formula2>
    </x:dataValidation>
  </x:dataValidations>
  <x:pageMargins left="0.7" right="0.7" top="0.75" bottom="0.75" header="0.3" footer="0.3"/>
  <x:tableParts count="1">
    <x:tablePart xmlns:r="http://schemas.openxmlformats.org/officeDocument/2006/relationships" r:id="Rbb7c861b5e124f2a"/>
  </x:tableParts>
</x:worksheet>
</file>

<file path=xl/worksheets/sheet18.xml><?xml version="1.0" encoding="utf-8"?>
<x:worksheet xmlns:x="http://schemas.openxmlformats.org/spreadsheetml/2006/main">
  <x:sheetViews>
    <x:sheetView showGridLines="1" workbookViewId="0"/>
  </x:sheetViews>
  <x:sheetFormatPr defaultColWidth="8.6796875" defaultRowHeight="15"/>
  <x:cols>
    <x:col min="1" max="4" width="36" style="1" hidden="0" customWidth="1"/>
    <x:col min="5" max="5" width="24" style="1" hidden="0" customWidth="1"/>
    <x:col min="6" max="9" width="36" style="1" hidden="0" customWidth="1"/>
    <x:col min="10" max="10" width="24" style="1" hidden="0" customWidth="1"/>
    <x:col min="11" max="11" width="34" style="1" hidden="0" customWidth="1"/>
  </x:cols>
  <x:sheetData>
    <x:row r="1" s="1" customFormat="1" ht="15" hidden="0" customHeight="1">
      <x:c r="A1" s="2" t="s">
        <x:v>1456</x:v>
      </x:c>
      <x:c r="B1" s="3"/>
      <x:c r="C1" s="3"/>
      <x:c r="D1" s="3"/>
      <x:c r="E1" s="3"/>
      <x:c r="F1" s="3"/>
      <x:c r="G1" s="3"/>
      <x:c r="H1" s="3"/>
      <x:c r="I1" s="3"/>
      <x:c r="J1" s="3"/>
      <x:c r="K1" s="3"/>
    </x:row>
    <x:row r="2" s="1" customFormat="1" ht="15" hidden="0" customHeight="1">
      <x:c r="A2" s="6"/>
      <x:c r="B2" s="6"/>
      <x:c r="C2" s="6"/>
      <x:c r="D2" s="6"/>
      <x:c r="E2" s="6"/>
      <x:c r="F2" s="6"/>
      <x:c r="G2" s="6"/>
      <x:c r="H2" s="6"/>
      <x:c r="I2" s="6"/>
      <x:c r="J2" s="6"/>
      <x:c r="K2" s="6"/>
    </x:row>
    <x:row r="3" s="1" customFormat="1" ht="15" hidden="0" customHeight="1">
      <x:c r="A3" s="7" t="s">
        <x:v>1457</x:v>
      </x:c>
      <x:c r="B3" s="80" t="s">
        <x:v>1458</x:v>
      </x:c>
      <x:c r="C3" s="80" t="s">
        <x:v>1459</x:v>
      </x:c>
      <x:c r="D3" s="80" t="s">
        <x:v>1287</x:v>
      </x:c>
      <x:c r="E3" s="80" t="s">
        <x:v>1288</x:v>
      </x:c>
      <x:c r="F3" s="80" t="s">
        <x:v>1460</x:v>
      </x:c>
      <x:c r="G3" s="80" t="s">
        <x:v>1461</x:v>
      </x:c>
      <x:c r="H3" s="80" t="s">
        <x:v>1289</x:v>
      </x:c>
      <x:c r="I3" s="80" t="s">
        <x:v>1284</x:v>
      </x:c>
      <x:c r="J3" s="80" t="s">
        <x:v>1462</x:v>
      </x:c>
      <x:c r="K3" s="80" t="s">
        <x:v>1463</x:v>
      </x:c>
    </x:row>
    <x:row r="4" s="1" customFormat="1" ht="15" hidden="0" customHeight="1">
      <x:c r="A4" s="7" t="s">
        <x:v>1464</x:v>
      </x:c>
      <x:c r="B4" s="5" t="s">
        <x:v>1465</x:v>
      </x:c>
      <x:c r="C4" s="5" t="s">
        <x:v>1466</x:v>
      </x:c>
      <x:c r="D4" s="5" t="s">
        <x:v>1467</x:v>
      </x:c>
      <x:c r="E4" s="5" t="s">
        <x:v>1468</x:v>
      </x:c>
      <x:c r="F4" s="5" t="s">
        <x:v>1469</x:v>
      </x:c>
      <x:c r="G4" s="5" t="s">
        <x:v>1470</x:v>
      </x:c>
      <x:c r="H4" s="5" t="s">
        <x:v>1471</x:v>
      </x:c>
      <x:c r="I4" s="5" t="s">
        <x:v>1472</x:v>
      </x:c>
      <x:c r="J4" s="5" t="s">
        <x:v>1473</x:v>
      </x:c>
      <x:c r="K4" s="5" t="s">
        <x:v>1474</x:v>
      </x:c>
    </x:row>
    <x:row r="5" s="1" customFormat="1" ht="15" hidden="0" customHeight="1">
      <x:c r="A5" s="7" t="s">
        <x:v>1475</x:v>
      </x:c>
      <x:c r="B5" s="8" t="s">
        <x:v>1476</x:v>
      </x:c>
      <x:c r="C5" s="8" t="s">
        <x:v>1477</x:v>
      </x:c>
      <x:c r="D5" s="8" t="s">
        <x:v>1478</x:v>
      </x:c>
      <x:c r="E5" s="8" t="s">
        <x:v>1479</x:v>
      </x:c>
      <x:c r="F5" s="8" t="s">
        <x:v>1480</x:v>
      </x:c>
      <x:c r="G5" s="8" t="s">
        <x:v>1481</x:v>
      </x:c>
      <x:c r="H5" s="8" t="s">
        <x:v>1482</x:v>
      </x:c>
      <x:c r="I5" s="8" t="s">
        <x:v>1348</x:v>
      </x:c>
      <x:c r="J5" s="8" t="s">
        <x:v>1483</x:v>
      </x:c>
      <x:c r="K5" s="8" t="s">
        <x:v>1484</x:v>
      </x:c>
    </x:row>
    <x:row r="6" s="1" customFormat="1" ht="15" hidden="0" customHeight="1">
      <x:c r="A6" s="7" t="s">
        <x:v>1023</x:v>
      </x:c>
      <x:c r="B6" s="5" t="s">
        <x:v>1485</x:v>
      </x:c>
      <x:c r="C6" s="5" t="s">
        <x:v>1486</x:v>
      </x:c>
      <x:c r="D6" s="5" t="s">
        <x:v>1487</x:v>
      </x:c>
      <x:c r="E6" s="5" t="s">
        <x:v>1307</x:v>
      </x:c>
      <x:c r="F6" s="5" t="s">
        <x:v>1488</x:v>
      </x:c>
      <x:c r="G6" s="5" t="s">
        <x:v>1489</x:v>
      </x:c>
      <x:c r="H6" s="5" t="s">
        <x:v>1490</x:v>
      </x:c>
      <x:c r="I6" s="5" t="s">
        <x:v>1491</x:v>
      </x:c>
      <x:c r="J6" s="5" t="s">
        <x:v>1492</x:v>
      </x:c>
      <x:c r="K6" s="5" t="s">
        <x:v>1493</x:v>
      </x:c>
    </x:row>
    <x:row r="7" s="1" customFormat="1" ht="15" hidden="0" customHeight="1">
      <x:c r="A7" s="7" t="s">
        <x:v>1494</x:v>
      </x:c>
      <x:c r="B7" s="8" t="s">
        <x:v>1495</x:v>
      </x:c>
      <x:c r="C7" s="8" t="s">
        <x:v>1496</x:v>
      </x:c>
      <x:c r="D7" s="8" t="s">
        <x:v>1497</x:v>
      </x:c>
      <x:c r="E7" s="8" t="s">
        <x:v>1398</x:v>
      </x:c>
      <x:c r="F7" s="8" t="s">
        <x:v>1498</x:v>
      </x:c>
      <x:c r="G7" s="8" t="s">
        <x:v>1499</x:v>
      </x:c>
      <x:c r="H7" s="8" t="s">
        <x:v>1500</x:v>
      </x:c>
      <x:c r="I7" s="8" t="s">
        <x:v>1501</x:v>
      </x:c>
      <x:c r="J7" s="8" t="s">
        <x:v>1502</x:v>
      </x:c>
      <x:c r="K7" s="8" t="s">
        <x:v>1503</x:v>
      </x:c>
    </x:row>
    <x:row r="8" s="1" customFormat="1" ht="15" hidden="0" customHeight="1">
      <x:c r="A8" s="7" t="s">
        <x:v>1504</x:v>
      </x:c>
      <x:c r="B8" s="5" t="s">
        <x:v>1505</x:v>
      </x:c>
      <x:c r="C8" s="5" t="s">
        <x:v>1506</x:v>
      </x:c>
      <x:c r="D8" s="5" t="s">
        <x:v>1507</x:v>
      </x:c>
      <x:c r="E8" s="5" t="s">
        <x:v>1508</x:v>
      </x:c>
      <x:c r="F8" s="5" t="s">
        <x:v>1509</x:v>
      </x:c>
      <x:c r="G8" s="5" t="s">
        <x:v>1510</x:v>
      </x:c>
      <x:c r="H8" s="5" t="s">
        <x:v>1511</x:v>
      </x:c>
      <x:c r="I8" s="5" t="s">
        <x:v>1491</x:v>
      </x:c>
      <x:c r="J8" s="5" t="s">
        <x:v>408</x:v>
      </x:c>
      <x:c r="K8" s="5" t="s">
        <x:v>1512</x:v>
      </x:c>
    </x:row>
    <x:row r="9" s="1" customFormat="1" ht="15" hidden="0" customHeight="1">
      <x:c r="A9" s="7" t="s">
        <x:v>1513</x:v>
      </x:c>
      <x:c r="B9" s="8" t="s">
        <x:v>1514</x:v>
      </x:c>
      <x:c r="C9" s="8" t="s">
        <x:v>1515</x:v>
      </x:c>
      <x:c r="D9" s="8" t="s">
        <x:v>1516</x:v>
      </x:c>
      <x:c r="E9" s="8" t="s">
        <x:v>1517</x:v>
      </x:c>
      <x:c r="F9" s="8" t="s">
        <x:v>1518</x:v>
      </x:c>
      <x:c r="G9" s="8" t="s">
        <x:v>1519</x:v>
      </x:c>
      <x:c r="H9" s="8" t="s">
        <x:v>1520</x:v>
      </x:c>
      <x:c r="I9" s="8" t="s">
        <x:v>1521</x:v>
      </x:c>
      <x:c r="J9" s="8" t="str">
        <x:v>Canon v12.6 / Agent System v12.5</x:v>
      </x:c>
      <x:c r="K9" s="8" t="s">
        <x:v>1522</x:v>
      </x:c>
    </x:row>
    <x:row r="10" s="1" customFormat="1" ht="15" hidden="0" customHeight="1">
      <x:c r="A10" s="7" t="s">
        <x:v>1523</x:v>
      </x:c>
      <x:c r="B10" s="5" t="s">
        <x:v>1524</x:v>
      </x:c>
      <x:c r="C10" s="5" t="s">
        <x:v>1525</x:v>
      </x:c>
      <x:c r="D10" s="5" t="s">
        <x:v>1526</x:v>
      </x:c>
      <x:c r="E10" s="5" t="s">
        <x:v>1527</x:v>
      </x:c>
      <x:c r="F10" s="5" t="s">
        <x:v>1528</x:v>
      </x:c>
      <x:c r="G10" s="5" t="s">
        <x:v>1529</x:v>
      </x:c>
      <x:c r="H10" s="5" t="s">
        <x:v>1530</x:v>
      </x:c>
      <x:c r="I10" s="5" t="s">
        <x:v>1531</x:v>
      </x:c>
      <x:c r="J10" s="5" t="s">
        <x:v>1532</x:v>
      </x:c>
      <x:c r="K10" s="5" t="s">
        <x:v>1238</x:v>
      </x:c>
    </x:row>
    <x:row r="11" s="1" customFormat="1" ht="15" hidden="0" customHeight="1">
      <x:c r="A11" s="7" t="s">
        <x:v>1533</x:v>
      </x:c>
      <x:c r="B11" s="8" t="s">
        <x:v>1534</x:v>
      </x:c>
      <x:c r="C11" s="8" t="s">
        <x:v>1535</x:v>
      </x:c>
      <x:c r="D11" s="8" t="s">
        <x:v>1536</x:v>
      </x:c>
      <x:c r="E11" s="8" t="s">
        <x:v>1537</x:v>
      </x:c>
      <x:c r="F11" s="8" t="s">
        <x:v>1538</x:v>
      </x:c>
      <x:c r="G11" s="8" t="s">
        <x:v>1539</x:v>
      </x:c>
      <x:c r="H11" s="8" t="s">
        <x:v>1540</x:v>
      </x:c>
      <x:c r="I11" s="8" t="s">
        <x:v>1491</x:v>
      </x:c>
      <x:c r="J11" s="8" t="str">
        <x:v>Agent System v12.5</x:v>
      </x:c>
      <x:c r="K11" s="8" t="s">
        <x:v>1541</x:v>
      </x:c>
    </x:row>
    <x:row r="12" s="1" customFormat="1" ht="15" hidden="0" customHeight="1">
      <x:c r="A12" s="7" t="s">
        <x:v>1542</x:v>
      </x:c>
      <x:c r="B12" s="5" t="s">
        <x:v>1543</x:v>
      </x:c>
      <x:c r="C12" s="5" t="s">
        <x:v>1544</x:v>
      </x:c>
      <x:c r="D12" s="5" t="s">
        <x:v>1545</x:v>
      </x:c>
      <x:c r="E12" s="5" t="s">
        <x:v>1350</x:v>
      </x:c>
      <x:c r="F12" s="5" t="s">
        <x:v>1546</x:v>
      </x:c>
      <x:c r="G12" s="5" t="s">
        <x:v>1547</x:v>
      </x:c>
      <x:c r="H12" s="5" t="s">
        <x:v>1548</x:v>
      </x:c>
      <x:c r="I12" s="5" t="s">
        <x:v>1549</x:v>
      </x:c>
      <x:c r="J12" s="5" t="s">
        <x:v>210</x:v>
      </x:c>
      <x:c r="K12" s="5" t="s">
        <x:v>1550</x:v>
      </x:c>
    </x:row>
    <x:row r="13" s="1" customFormat="1" ht="15" hidden="0" customHeight="1">
      <x:c r="A13" s="7" t="s">
        <x:v>1551</x:v>
      </x:c>
      <x:c r="B13" s="8" t="s">
        <x:v>1552</x:v>
      </x:c>
      <x:c r="C13" s="8" t="s">
        <x:v>1553</x:v>
      </x:c>
      <x:c r="D13" s="8" t="s">
        <x:v>1554</x:v>
      </x:c>
      <x:c r="E13" s="8" t="s">
        <x:v>1537</x:v>
      </x:c>
      <x:c r="F13" s="8" t="s">
        <x:v>1555</x:v>
      </x:c>
      <x:c r="G13" s="8" t="s">
        <x:v>1556</x:v>
      </x:c>
      <x:c r="H13" s="8" t="s">
        <x:v>1557</x:v>
      </x:c>
      <x:c r="I13" s="8" t="s">
        <x:v>1558</x:v>
      </x:c>
      <x:c r="J13" s="8" t="str">
        <x:v>Agent System v12.5</x:v>
      </x:c>
      <x:c r="K13" s="8" t="s">
        <x:v>1541</x:v>
      </x:c>
    </x:row>
    <x:row r="14" s="1" customFormat="1" ht="42" hidden="0" customHeight="1">
      <x:c r="A14" s="7" t="s">
        <x:v>1559</x:v>
      </x:c>
      <x:c r="B14" s="5" t="s">
        <x:v>1560</x:v>
      </x:c>
      <x:c r="C14" s="5" t="s">
        <x:v>1561</x:v>
      </x:c>
      <x:c r="D14" s="5" t="s">
        <x:v>1562</x:v>
      </x:c>
      <x:c r="E14" s="5" t="s">
        <x:v>1350</x:v>
      </x:c>
      <x:c r="F14" s="5" t="s">
        <x:v>1563</x:v>
      </x:c>
      <x:c r="G14" s="5" t="s">
        <x:v>1564</x:v>
      </x:c>
      <x:c r="H14" s="5" t="s">
        <x:v>1565</x:v>
      </x:c>
      <x:c r="I14" s="5" t="s">
        <x:v>1566</x:v>
      </x:c>
      <x:c r="J14" s="5" t="s">
        <x:v>1567</x:v>
      </x:c>
      <x:c r="K14" s="5" t="s">
        <x:v>1568</x:v>
      </x:c>
    </x:row>
  </x:sheetData>
  <x:pageMargins left="0.7" right="0.7" top="0.75" bottom="0.75" header="0.3" footer="0.3"/>
</x:worksheet>
</file>

<file path=xl/worksheets/sheet19.xml><?xml version="1.0" encoding="utf-8"?>
<x:worksheet xmlns:x="http://schemas.openxmlformats.org/spreadsheetml/2006/main">
  <x:sheetViews>
    <x:sheetView showGridLines="1" workbookViewId="0"/>
  </x:sheetViews>
  <x:sheetFormatPr defaultColWidth="8.6796875" defaultRowHeight="15"/>
  <x:cols>
    <x:col min="1" max="1" width="28" style="1" hidden="0" customWidth="1"/>
    <x:col min="2" max="2" width="60" style="1" hidden="0" customWidth="1"/>
    <x:col min="3" max="3" width="22" style="1" hidden="0" customWidth="1"/>
    <x:col min="4" max="4" width="60" style="1" hidden="0" customWidth="1"/>
  </x:cols>
  <x:sheetData>
    <x:row r="1" s="1" customFormat="1" ht="24" hidden="0" customHeight="1">
      <x:c r="A1" s="2" t="s">
        <x:v>1569</x:v>
      </x:c>
      <x:c r="B1" s="2" t="s">
        <x:v>1570</x:v>
      </x:c>
      <x:c r="C1" s="81"/>
      <x:c r="D1" s="81"/>
    </x:row>
    <x:row r="2" s="1" customFormat="1" ht="24" hidden="0" customHeight="1">
      <x:c r="A2" s="7" t="s">
        <x:v>151</x:v>
      </x:c>
      <x:c r="B2" s="5" t="s">
        <x:v>1571</x:v>
      </x:c>
      <x:c r="C2" s="82"/>
      <x:c r="D2" s="82"/>
    </x:row>
    <x:row r="3" s="1" customFormat="1" ht="24" hidden="0" customHeight="1">
      <x:c r="A3" s="7" t="s">
        <x:v>1</x:v>
      </x:c>
      <x:c r="B3" s="8" t="s">
        <x:v>1572</x:v>
      </x:c>
      <x:c r="C3" s="82"/>
      <x:c r="D3" s="82"/>
    </x:row>
    <x:row r="4" s="1" customFormat="1" ht="24" hidden="0" customHeight="1">
      <x:c r="A4" s="82"/>
      <x:c r="B4" s="82"/>
      <x:c r="C4" s="82"/>
      <x:c r="D4" s="82"/>
    </x:row>
    <x:row r="5" s="1" customFormat="1" ht="36" hidden="0" customHeight="1">
      <x:c r="A5" s="7" t="s">
        <x:v>346</x:v>
      </x:c>
      <x:c r="B5" s="83" t="s">
        <x:v>347</x:v>
      </x:c>
      <x:c r="C5" s="83" t="s">
        <x:v>349</x:v>
      </x:c>
      <x:c r="D5" s="83" t="s">
        <x:v>1203</x:v>
      </x:c>
    </x:row>
    <x:row r="6" s="1" customFormat="1" ht="36" hidden="0" customHeight="1">
      <x:c r="A6" s="7" t="s">
        <x:v>1573</x:v>
      </x:c>
      <x:c r="B6" s="5" t="s">
        <x:v>1574</x:v>
      </x:c>
      <x:c r="C6" s="5" t="s">
        <x:v>1575</x:v>
      </x:c>
      <x:c r="D6" s="5" t="s">
        <x:v>1576</x:v>
      </x:c>
    </x:row>
    <x:row r="7" s="1" customFormat="1" ht="36" hidden="0" customHeight="1">
      <x:c r="A7" s="7" t="s">
        <x:v>1577</x:v>
      </x:c>
      <x:c r="B7" s="8" t="s">
        <x:v>1578</x:v>
      </x:c>
      <x:c r="C7" s="8" t="s">
        <x:v>1206</x:v>
      </x:c>
      <x:c r="D7" s="8" t="s">
        <x:v>1579</x:v>
      </x:c>
    </x:row>
    <x:row r="8" s="1" customFormat="1" ht="36" hidden="0" customHeight="1">
      <x:c r="A8" s="7" t="s">
        <x:v>1580</x:v>
      </x:c>
      <x:c r="B8" s="5" t="s">
        <x:v>1581</x:v>
      </x:c>
      <x:c r="C8" s="5" t="s">
        <x:v>1210</x:v>
      </x:c>
      <x:c r="D8" s="5" t="s">
        <x:v>1582</x:v>
      </x:c>
    </x:row>
    <x:row r="9" s="1" customFormat="1" ht="36" hidden="0" customHeight="1">
      <x:c r="A9" s="7" t="s">
        <x:v>1583</x:v>
      </x:c>
      <x:c r="B9" s="8" t="s">
        <x:v>1584</x:v>
      </x:c>
      <x:c r="C9" s="8" t="s">
        <x:v>1210</x:v>
      </x:c>
      <x:c r="D9" s="8" t="s">
        <x:v>1585</x:v>
      </x:c>
    </x:row>
    <x:row r="10" s="1" customFormat="1" ht="36" hidden="0" customHeight="1">
      <x:c r="A10" s="7" t="s">
        <x:v>1586</x:v>
      </x:c>
      <x:c r="B10" s="5" t="s">
        <x:v>1587</x:v>
      </x:c>
      <x:c r="C10" s="5" t="s">
        <x:v>1210</x:v>
      </x:c>
      <x:c r="D10" s="5" t="s">
        <x:v>1588</x:v>
      </x:c>
    </x:row>
    <x:row r="11" s="1" customFormat="1" ht="36" hidden="0" customHeight="1">
      <x:c r="A11" s="7" t="s">
        <x:v>1589</x:v>
      </x:c>
      <x:c r="B11" s="8" t="s">
        <x:v>1590</x:v>
      </x:c>
      <x:c r="C11" s="8" t="s">
        <x:v>1206</x:v>
      </x:c>
      <x:c r="D11" s="8" t="s">
        <x:v>1591</x:v>
      </x:c>
    </x:row>
    <x:row r="12" s="1" customFormat="1" ht="36" hidden="0" customHeight="1">
      <x:c r="A12" s="7" t="s">
        <x:v>1592</x:v>
      </x:c>
      <x:c r="B12" s="5" t="s">
        <x:v>1593</x:v>
      </x:c>
      <x:c r="C12" s="5" t="s">
        <x:v>1594</x:v>
      </x:c>
      <x:c r="D12" s="5" t="s">
        <x:v>1595</x:v>
      </x:c>
    </x:row>
    <x:row r="13" s="1" customFormat="1" ht="36" hidden="0" customHeight="1">
      <x:c r="A13" s="7" t="s">
        <x:v>1596</x:v>
      </x:c>
      <x:c r="B13" s="8" t="s">
        <x:v>1575</x:v>
      </x:c>
      <x:c r="C13" s="82"/>
      <x:c r="D13" s="8" t="s">
        <x:v>1597</x:v>
      </x:c>
    </x:row>
    <x:row r="14" s="1" customFormat="1" ht="36" hidden="0" customHeight="1">
      <x:c r="A14" s="7" t="s">
        <x:v>1598</x:v>
      </x:c>
      <x:c r="B14" s="5" t="s">
        <x:v>1599</x:v>
      </x:c>
      <x:c r="C14" s="82"/>
      <x:c r="D14" s="5" t="s">
        <x:v>1600</x:v>
      </x:c>
    </x:row>
    <x:row r="15" s="1" customFormat="1" ht="36" hidden="0" customHeight="1">
      <x:c r="A15" s="7" t="s">
        <x:v>1601</x:v>
      </x:c>
      <x:c r="B15" s="8" t="s">
        <x:v>1602</x:v>
      </x:c>
      <x:c r="C15" s="82"/>
      <x:c r="D15" s="8" t="s">
        <x:v>1603</x:v>
      </x:c>
    </x:row>
    <x:row r="16" s="1" customFormat="1" ht="36" hidden="0" customHeight="1">
      <x:c r="A16" s="7" t="s">
        <x:v>1604</x:v>
      </x:c>
      <x:c r="B16" s="5" t="s">
        <x:v>1605</x:v>
      </x:c>
      <x:c r="C16" s="82"/>
      <x:c r="D16" s="5" t="s">
        <x:v>1606</x:v>
      </x:c>
    </x:row>
  </x:sheetData>
  <x:pageMargins left="0.7" right="0.7" top="0.75" bottom="0.75" header="0.3" footer="0.3"/>
</x:worksheet>
</file>

<file path=xl/worksheets/sheet20.xml><?xml version="1.0" encoding="utf-8"?>
<x:worksheet xmlns:x="http://schemas.openxmlformats.org/spreadsheetml/2006/main">
  <x:sheetViews>
    <x:sheetView showGridLines="1" workbookViewId="0"/>
  </x:sheetViews>
  <x:sheetFormatPr defaultColWidth="8.6796875" defaultRowHeight="15"/>
  <x:cols>
    <x:col min="1" max="1" width="31" style="1" hidden="0" customWidth="1"/>
    <x:col min="2" max="3" width="36" style="1" hidden="0" customWidth="1"/>
    <x:col min="4" max="4" width="25" style="1" hidden="0" customWidth="1"/>
  </x:cols>
  <x:sheetData>
    <x:row r="1" s="1" customFormat="1" ht="15" hidden="0" customHeight="1">
      <x:c r="A1" s="2" t="s">
        <x:v>1607</x:v>
      </x:c>
      <x:c r="B1" s="3"/>
      <x:c r="C1" s="3"/>
      <x:c r="D1" s="3"/>
    </x:row>
    <x:row r="2" s="1" customFormat="1" ht="15" hidden="0" customHeight="1">
      <x:c r="A2" s="6"/>
      <x:c r="B2" s="6"/>
      <x:c r="C2" s="6"/>
      <x:c r="D2" s="6"/>
    </x:row>
    <x:row r="3" s="1" customFormat="1" ht="15" hidden="0" customHeight="1">
      <x:c r="A3" s="7" t="s">
        <x:v>1608</x:v>
      </x:c>
      <x:c r="B3" s="80" t="s">
        <x:v>1609</x:v>
      </x:c>
      <x:c r="C3" s="80" t="s">
        <x:v>1610</x:v>
      </x:c>
      <x:c r="D3" s="80" t="s">
        <x:v>1611</x:v>
      </x:c>
    </x:row>
    <x:row r="4" s="1" customFormat="1" ht="15" hidden="0" customHeight="1">
      <x:c r="A4" s="7" t="s">
        <x:v>1612</x:v>
      </x:c>
      <x:c r="B4" s="5" t="s">
        <x:v>1613</x:v>
      </x:c>
      <x:c r="C4" s="5" t="s">
        <x:v>1614</x:v>
      </x:c>
      <x:c r="D4" s="5" t="s">
        <x:v>1615</x:v>
      </x:c>
    </x:row>
    <x:row r="5" s="1" customFormat="1" ht="15" hidden="0" customHeight="1">
      <x:c r="A5" s="7" t="s">
        <x:v>1616</x:v>
      </x:c>
      <x:c r="B5" s="8" t="s">
        <x:v>1617</x:v>
      </x:c>
      <x:c r="C5" s="8" t="s">
        <x:v>1618</x:v>
      </x:c>
      <x:c r="D5" s="8" t="s">
        <x:v>1619</x:v>
      </x:c>
    </x:row>
    <x:row r="6" s="1" customFormat="1" ht="15" hidden="0" customHeight="1">
      <x:c r="A6" s="7" t="s">
        <x:v>1620</x:v>
      </x:c>
      <x:c r="B6" s="5" t="s">
        <x:v>1621</x:v>
      </x:c>
      <x:c r="C6" s="5" t="s">
        <x:v>1622</x:v>
      </x:c>
      <x:c r="D6" s="5" t="s">
        <x:v>1623</x:v>
      </x:c>
    </x:row>
    <x:row r="7" s="1" customFormat="1" ht="15" hidden="0" customHeight="1">
      <x:c r="A7" s="7" t="s">
        <x:v>1624</x:v>
      </x:c>
      <x:c r="B7" s="8" t="s">
        <x:v>1625</x:v>
      </x:c>
      <x:c r="C7" s="8" t="s">
        <x:v>1626</x:v>
      </x:c>
      <x:c r="D7" s="8" t="s">
        <x:v>1627</x:v>
      </x:c>
    </x:row>
    <x:row r="8" s="1" customFormat="1" ht="15" hidden="0" customHeight="1">
      <x:c r="A8" s="7" t="s">
        <x:v>1628</x:v>
      </x:c>
      <x:c r="B8" s="5" t="s">
        <x:v>1629</x:v>
      </x:c>
      <x:c r="C8" s="5" t="s">
        <x:v>1630</x:v>
      </x:c>
      <x:c r="D8" s="5" t="s">
        <x:v>1631</x:v>
      </x:c>
    </x:row>
    <x:row r="9" s="1" customFormat="1" ht="15" hidden="0" customHeight="1">
      <x:c r="A9" s="7" t="s">
        <x:v>1632</x:v>
      </x:c>
      <x:c r="B9" s="8" t="s">
        <x:v>1633</x:v>
      </x:c>
      <x:c r="C9" s="8" t="s">
        <x:v>1634</x:v>
      </x:c>
      <x:c r="D9" s="8" t="s">
        <x:v>1635</x:v>
      </x:c>
    </x:row>
    <x:row r="10" s="1" customFormat="1" ht="15" hidden="0" customHeight="1">
      <x:c r="A10" s="7" t="s">
        <x:v>1636</x:v>
      </x:c>
      <x:c r="B10" s="5" t="s">
        <x:v>1637</x:v>
      </x:c>
      <x:c r="C10" s="5" t="s">
        <x:v>1638</x:v>
      </x:c>
      <x:c r="D10" s="5" t="s">
        <x:v>1639</x:v>
      </x:c>
    </x:row>
    <x:row r="11" s="1" customFormat="1" ht="15" hidden="0" customHeight="1">
      <x:c r="A11" s="7" t="s">
        <x:v>1640</x:v>
      </x:c>
      <x:c r="B11" s="8" t="s">
        <x:v>1641</x:v>
      </x:c>
      <x:c r="C11" s="8" t="s">
        <x:v>1642</x:v>
      </x:c>
      <x:c r="D11" s="8" t="s">
        <x:v>1643</x:v>
      </x:c>
    </x:row>
    <x:row r="12" s="1" customFormat="1" ht="15" hidden="0" customHeight="1">
      <x:c r="A12" s="7" t="s">
        <x:v>1644</x:v>
      </x:c>
      <x:c r="B12" s="5" t="s">
        <x:v>1645</x:v>
      </x:c>
      <x:c r="C12" s="5" t="s">
        <x:v>1646</x:v>
      </x:c>
      <x:c r="D12" s="5" t="s">
        <x:v>1647</x:v>
      </x:c>
    </x:row>
    <x:row r="13" s="1" customFormat="1" ht="15" hidden="0" customHeight="1">
      <x:c r="A13" s="7" t="s">
        <x:v>1648</x:v>
      </x:c>
      <x:c r="B13" s="8" t="s">
        <x:v>1649</x:v>
      </x:c>
      <x:c r="C13" s="8" t="s">
        <x:v>1650</x:v>
      </x:c>
      <x:c r="D13" s="8" t="s">
        <x:v>1651</x:v>
      </x:c>
    </x:row>
    <x:row r="14" s="1" customFormat="1" ht="15" hidden="0" customHeight="1">
      <x:c r="A14" s="7" t="s">
        <x:v>1652</x:v>
      </x:c>
      <x:c r="B14" s="5" t="s">
        <x:v>1653</x:v>
      </x:c>
      <x:c r="C14" s="5" t="s">
        <x:v>1654</x:v>
      </x:c>
      <x:c r="D14" s="5" t="s">
        <x:v>1655</x:v>
      </x:c>
    </x:row>
    <x:row r="15" s="1" customFormat="1" ht="15" hidden="0" customHeight="1">
      <x:c r="A15" s="7" t="s">
        <x:v>1656</x:v>
      </x:c>
      <x:c r="B15" s="8" t="s">
        <x:v>1657</x:v>
      </x:c>
      <x:c r="C15" s="8" t="s">
        <x:v>1658</x:v>
      </x:c>
      <x:c r="D15" s="8" t="s">
        <x:v>1659</x:v>
      </x:c>
    </x:row>
    <x:row r="16" s="1" customFormat="1" ht="15" hidden="0" customHeight="1">
      <x:c r="A16" s="7" t="s">
        <x:v>1660</x:v>
      </x:c>
      <x:c r="B16" s="5" t="s">
        <x:v>1661</x:v>
      </x:c>
      <x:c r="C16" s="5" t="s">
        <x:v>1662</x:v>
      </x:c>
      <x:c r="D16" s="5" t="s">
        <x:v>1663</x:v>
      </x:c>
    </x:row>
    <x:row r="17" s="1" customFormat="1" ht="15" hidden="0" customHeight="1">
      <x:c r="A17" s="7" t="s">
        <x:v>1664</x:v>
      </x:c>
      <x:c r="B17" s="8" t="s">
        <x:v>1665</x:v>
      </x:c>
      <x:c r="C17" s="8" t="s">
        <x:v>1666</x:v>
      </x:c>
      <x:c r="D17" s="8" t="s">
        <x:v>1667</x:v>
      </x:c>
    </x:row>
    <x:row r="18" s="1" customFormat="1" ht="36" hidden="0" customHeight="1">
      <x:c r="A18" s="7" t="s">
        <x:v>1668</x:v>
      </x:c>
      <x:c r="B18" s="5" t="s">
        <x:v>1669</x:v>
      </x:c>
      <x:c r="C18" s="5" t="s">
        <x:v>1670</x:v>
      </x:c>
      <x:c r="D18" s="5" t="s">
        <x:v>1671</x:v>
      </x:c>
    </x:row>
  </x:sheetData>
  <x:pageMargins left="0.7" right="0.7" top="0.75" bottom="0.75" header="0.3" footer="0.3"/>
</x:worksheet>
</file>

<file path=xl/worksheets/sheet21.xml><?xml version="1.0" encoding="utf-8"?>
<x:worksheet xmlns:x="http://schemas.openxmlformats.org/spreadsheetml/2006/main">
  <x:sheetViews>
    <x:sheetView showGridLines="1" workbookViewId="0"/>
  </x:sheetViews>
  <x:sheetFormatPr defaultColWidth="8.6796875" defaultRowHeight="15"/>
  <x:cols>
    <x:col min="1" max="2" width="36" style="1" hidden="0" customWidth="1"/>
    <x:col min="3" max="3" width="18" style="1" hidden="0" customWidth="1"/>
    <x:col min="4" max="4" width="36" style="1" hidden="0" customWidth="1"/>
  </x:cols>
  <x:sheetData>
    <x:row r="1" s="1" customFormat="1" ht="33.75" hidden="0" customHeight="1">
      <x:c r="A1" s="2" t="s">
        <x:v>1672</x:v>
      </x:c>
      <x:c r="B1" s="2"/>
      <x:c r="C1" s="2"/>
      <x:c r="D1" s="2"/>
    </x:row>
    <x:row r="2" s="1" customFormat="1" ht="33.75" hidden="0" customHeight="1">
      <x:c r="A2" s="7" t="s">
        <x:v>1673</x:v>
      </x:c>
      <x:c r="B2" s="5" t="s">
        <x:v>196</x:v>
      </x:c>
      <x:c r="C2" s="5" t="s">
        <x:v>201</x:v>
      </x:c>
      <x:c r="D2" s="5" t="s">
        <x:v>202</x:v>
      </x:c>
    </x:row>
    <x:row r="3" s="1" customFormat="1" ht="33.75" hidden="0" customHeight="1">
      <x:c r="A3" s="7" t="s">
        <x:v>1458</x:v>
      </x:c>
      <x:c r="B3" s="8" t="s">
        <x:v>1674</x:v>
      </x:c>
      <x:c r="C3" s="84"/>
      <x:c r="D3" s="84"/>
    </x:row>
    <x:row r="4" s="1" customFormat="1" ht="33.75" hidden="0" customHeight="1">
      <x:c r="A4" s="7" t="s">
        <x:v>435</x:v>
      </x:c>
      <x:c r="B4" s="5" t="s">
        <x:v>1675</x:v>
      </x:c>
      <x:c r="C4" s="84"/>
      <x:c r="D4" s="84"/>
    </x:row>
    <x:row r="5" s="1" customFormat="1" ht="33.75" hidden="0" customHeight="1">
      <x:c r="A5" s="7" t="s">
        <x:v>1676</x:v>
      </x:c>
      <x:c r="B5" s="8" t="s">
        <x:v>1677</x:v>
      </x:c>
      <x:c r="C5" s="84"/>
      <x:c r="D5" s="84"/>
    </x:row>
    <x:row r="6" s="1" customFormat="1" ht="33.75" hidden="0" customHeight="1">
      <x:c r="A6" s="7" t="s">
        <x:v>1678</x:v>
      </x:c>
      <x:c r="B6" s="5" t="s">
        <x:v>1679</x:v>
      </x:c>
      <x:c r="C6" s="84"/>
      <x:c r="D6" s="84"/>
    </x:row>
  </x:sheetData>
  <x:mergeCells>
    <x:mergeCell ref="A1:D1"/>
  </x:mergeCells>
  <x:pageMargins left="0.7" right="0.7" top="0.75" bottom="0.75" header="0.3" footer="0.3"/>
</x:worksheet>
</file>

<file path=xl/worksheets/sheet22.xml><?xml version="1.0" encoding="utf-8"?>
<x:worksheet xmlns:x="http://schemas.openxmlformats.org/spreadsheetml/2006/main">
  <x:sheetViews>
    <x:sheetView showGridLines="1" workbookViewId="0"/>
  </x:sheetViews>
  <x:sheetFormatPr defaultColWidth="8.66796875" defaultRowHeight="12.75"/>
  <x:cols>
    <x:col min="1" max="1" width="36" style="1" hidden="0" customWidth="1"/>
    <x:col min="2" max="2" width="29" style="1" hidden="0" customWidth="1"/>
    <x:col min="3" max="3" width="16" style="1" hidden="0" customWidth="1"/>
    <x:col min="4" max="5" width="36" style="1" hidden="0" customWidth="1"/>
    <x:col min="6" max="7" width="30" style="1" hidden="0" customWidth="1"/>
    <x:col min="8" max="9" width="36" style="1" hidden="0" customWidth="1"/>
    <x:col min="10" max="20" width="16" style="1" hidden="0" customWidth="1"/>
  </x:cols>
  <x:sheetData>
    <x:row r="1" s="1" customFormat="1" ht="24" hidden="0" customHeight="1">
      <x:c r="A1" s="2" t="s">
        <x:v>1680</x:v>
      </x:c>
      <x:c r="B1" s="2"/>
      <x:c r="C1" s="2"/>
      <x:c r="D1" s="2"/>
      <x:c r="E1" s="2"/>
      <x:c r="F1" s="2"/>
      <x:c r="G1" s="2"/>
      <x:c r="H1" s="2"/>
      <x:c r="I1" s="2"/>
      <x:c r="J1" s="2"/>
      <x:c r="K1" s="52"/>
      <x:c r="L1" s="52"/>
      <x:c r="M1" s="52"/>
      <x:c r="N1" s="52"/>
      <x:c r="O1" s="52"/>
      <x:c r="P1" s="52"/>
      <x:c r="Q1" s="52"/>
      <x:c r="R1" s="52"/>
      <x:c r="S1" s="52"/>
      <x:c r="T1" s="52"/>
    </x:row>
    <x:row r="2" s="1" customFormat="1" ht="12.75" hidden="0" customHeight="1">
      <x:c r="A2" s="12"/>
      <x:c r="B2" s="12"/>
      <x:c r="C2" s="12"/>
      <x:c r="D2" s="12"/>
      <x:c r="E2" s="12"/>
      <x:c r="F2" s="12"/>
      <x:c r="G2" s="12"/>
      <x:c r="H2" s="12"/>
      <x:c r="I2" s="12"/>
      <x:c r="J2" s="6"/>
      <x:c r="K2" s="52"/>
      <x:c r="L2" s="52"/>
      <x:c r="M2" s="52"/>
      <x:c r="N2" s="52"/>
      <x:c r="O2" s="52"/>
      <x:c r="P2" s="52"/>
      <x:c r="Q2" s="52"/>
      <x:c r="R2" s="52"/>
      <x:c r="S2" s="52"/>
      <x:c r="T2" s="52"/>
    </x:row>
    <x:row r="3" s="1" customFormat="1" ht="12.75" hidden="0" customHeight="1">
      <x:c r="A3" s="7" t="s">
        <x:v>1681</x:v>
      </x:c>
      <x:c r="B3" s="12"/>
      <x:c r="C3" s="12"/>
      <x:c r="D3" s="12"/>
      <x:c r="E3" s="12"/>
      <x:c r="F3" s="12"/>
      <x:c r="G3" s="12"/>
      <x:c r="H3" s="12"/>
      <x:c r="I3" s="12"/>
      <x:c r="J3" s="6"/>
      <x:c r="K3" s="52"/>
      <x:c r="L3" s="52"/>
      <x:c r="M3" s="52"/>
      <x:c r="N3" s="52"/>
      <x:c r="O3" s="52"/>
      <x:c r="P3" s="52"/>
      <x:c r="Q3" s="52"/>
      <x:c r="R3" s="52"/>
      <x:c r="S3" s="52"/>
      <x:c r="T3" s="52"/>
    </x:row>
    <x:row r="4" s="1" customFormat="1" ht="36" hidden="0" customHeight="1">
      <x:c r="A4" s="7" t="s">
        <x:v>1682</x:v>
      </x:c>
      <x:c r="B4" s="12"/>
      <x:c r="C4" s="12"/>
      <x:c r="D4" s="12"/>
      <x:c r="E4" s="12"/>
      <x:c r="F4" s="12"/>
      <x:c r="G4" s="12"/>
      <x:c r="H4" s="12"/>
      <x:c r="I4" s="12"/>
      <x:c r="J4" s="6"/>
      <x:c r="K4" s="52"/>
      <x:c r="L4" s="52"/>
      <x:c r="M4" s="52"/>
      <x:c r="N4" s="52"/>
      <x:c r="O4" s="52"/>
      <x:c r="P4" s="52"/>
      <x:c r="Q4" s="52"/>
      <x:c r="R4" s="52"/>
      <x:c r="S4" s="52"/>
      <x:c r="T4" s="52"/>
    </x:row>
    <x:row r="5" s="1" customFormat="1" ht="48" hidden="0" customHeight="1">
      <x:c r="A5" s="7" t="s">
        <x:v>1683</x:v>
      </x:c>
      <x:c r="B5" s="12"/>
      <x:c r="C5" s="12"/>
      <x:c r="D5" s="12"/>
      <x:c r="E5" s="12"/>
      <x:c r="F5" s="12"/>
      <x:c r="G5" s="12"/>
      <x:c r="H5" s="12"/>
      <x:c r="I5" s="12"/>
      <x:c r="J5" s="6"/>
      <x:c r="K5" s="52"/>
      <x:c r="L5" s="52"/>
      <x:c r="M5" s="52"/>
      <x:c r="N5" s="52"/>
      <x:c r="O5" s="52"/>
      <x:c r="P5" s="52"/>
      <x:c r="Q5" s="52"/>
      <x:c r="R5" s="52"/>
      <x:c r="S5" s="52"/>
      <x:c r="T5" s="52"/>
    </x:row>
    <x:row r="6" s="1" customFormat="1" ht="12.75" hidden="0" customHeight="1">
      <x:c r="A6" s="7" t="s">
        <x:v>1684</x:v>
      </x:c>
      <x:c r="B6" s="12"/>
      <x:c r="C6" s="12"/>
      <x:c r="D6" s="12"/>
      <x:c r="E6" s="12"/>
      <x:c r="F6" s="12"/>
      <x:c r="G6" s="12"/>
      <x:c r="H6" s="5" t="s">
        <x:v>1685</x:v>
      </x:c>
      <x:c r="I6" s="5"/>
      <x:c r="J6" s="6"/>
      <x:c r="K6" s="52"/>
      <x:c r="L6" s="52"/>
      <x:c r="M6" s="52"/>
      <x:c r="N6" s="52"/>
      <x:c r="O6" s="52"/>
      <x:c r="P6" s="52"/>
      <x:c r="Q6" s="52"/>
      <x:c r="R6" s="52"/>
      <x:c r="S6" s="52"/>
      <x:c r="T6" s="52"/>
    </x:row>
    <x:row r="7" s="1" customFormat="1" ht="12.75" hidden="0" customHeight="1">
      <x:c r="A7" s="7" t="s">
        <x:v>271</x:v>
      </x:c>
      <x:c r="B7" s="8" t="s">
        <x:v>1686</x:v>
      </x:c>
      <x:c r="C7" s="8" t="s">
        <x:v>273</x:v>
      </x:c>
      <x:c r="D7" s="8" t="s">
        <x:v>1687</x:v>
      </x:c>
      <x:c r="E7" s="8" t="s">
        <x:v>1688</x:v>
      </x:c>
      <x:c r="F7" s="8" t="s">
        <x:v>1689</x:v>
      </x:c>
      <x:c r="G7" s="8" t="s">
        <x:v>1690</x:v>
      </x:c>
      <x:c r="H7" s="85" t="s">
        <x:v>1691</x:v>
      </x:c>
      <x:c r="I7" s="85" t="s">
        <x:v>1692</x:v>
      </x:c>
      <x:c r="J7" s="6"/>
      <x:c r="K7" s="52"/>
      <x:c r="L7" s="52"/>
      <x:c r="M7" s="52"/>
      <x:c r="N7" s="52"/>
      <x:c r="O7" s="52"/>
      <x:c r="P7" s="52"/>
      <x:c r="Q7" s="52"/>
      <x:c r="R7" s="52"/>
      <x:c r="S7" s="52"/>
      <x:c r="T7" s="52"/>
    </x:row>
    <x:row r="8" s="1" customFormat="1" ht="12.75" hidden="0" customHeight="1">
      <x:c r="A8" s="7" t="s">
        <x:v>275</x:v>
      </x:c>
      <x:c r="B8" s="5" t="n">
        <x:v>1</x:v>
      </x:c>
      <x:c r="C8" s="5" t="n">
        <x:v>-0.9</x:v>
      </x:c>
      <x:c r="D8" s="71" t="n">
        <x:v>0</x:v>
      </x:c>
      <x:c r="E8" s="71" t="n">
        <x:v>0</x:v>
      </x:c>
      <x:c r="F8" s="5" t="s">
        <x:v>351</x:v>
      </x:c>
      <x:c r="G8" s="5" t="s">
        <x:v>351</x:v>
      </x:c>
      <x:c r="H8" s="86"/>
      <x:c r="I8" s="86"/>
      <x:c r="J8" s="6"/>
      <x:c r="K8" s="52"/>
      <x:c r="L8" s="52"/>
      <x:c r="M8" s="52"/>
      <x:c r="N8" s="52"/>
      <x:c r="O8" s="52"/>
      <x:c r="P8" s="52"/>
      <x:c r="Q8" s="52"/>
      <x:c r="R8" s="52"/>
      <x:c r="S8" s="52"/>
      <x:c r="T8" s="52"/>
    </x:row>
    <x:row r="9" s="1" customFormat="1" ht="12.75" hidden="0" customHeight="1">
      <x:c r="A9" s="7" t="s">
        <x:v>276</x:v>
      </x:c>
      <x:c r="B9" s="8" t="n">
        <x:v>2</x:v>
      </x:c>
      <x:c r="C9" s="8" t="n">
        <x:v>-0.7</x:v>
      </x:c>
      <x:c r="D9" s="70" t="n">
        <x:v>0</x:v>
      </x:c>
      <x:c r="E9" s="70" t="n">
        <x:v>0</x:v>
      </x:c>
      <x:c r="F9" s="45" t="s">
        <x:v>351</x:v>
      </x:c>
      <x:c r="G9" s="45" t="s">
        <x:v>351</x:v>
      </x:c>
      <x:c r="H9" s="85"/>
      <x:c r="I9" s="85"/>
      <x:c r="J9" s="6"/>
      <x:c r="K9" s="52"/>
      <x:c r="L9" s="52"/>
      <x:c r="M9" s="52"/>
      <x:c r="N9" s="52"/>
      <x:c r="O9" s="52"/>
      <x:c r="P9" s="52"/>
      <x:c r="Q9" s="52"/>
      <x:c r="R9" s="52"/>
      <x:c r="S9" s="52"/>
      <x:c r="T9" s="52"/>
    </x:row>
    <x:row r="10" s="1" customFormat="1" ht="24" hidden="0" customHeight="1">
      <x:c r="A10" s="7" t="s">
        <x:v>277</x:v>
      </x:c>
      <x:c r="B10" s="5" t="n">
        <x:v>3</x:v>
      </x:c>
      <x:c r="C10" s="5" t="n">
        <x:v>-0.65</x:v>
      </x:c>
      <x:c r="D10" s="71" t="n">
        <x:v>-0.15</x:v>
      </x:c>
      <x:c r="E10" s="71" t="n">
        <x:v>-0.15</x:v>
      </x:c>
      <x:c r="F10" s="5" t="s">
        <x:v>351</x:v>
      </x:c>
      <x:c r="G10" s="5" t="s">
        <x:v>351</x:v>
      </x:c>
      <x:c r="H10" s="86" t="s">
        <x:v>1693</x:v>
      </x:c>
      <x:c r="I10" s="86" t="s">
        <x:v>1694</x:v>
      </x:c>
      <x:c r="J10" s="6"/>
      <x:c r="K10" s="52"/>
      <x:c r="L10" s="52"/>
      <x:c r="M10" s="52"/>
      <x:c r="N10" s="52"/>
      <x:c r="O10" s="52"/>
      <x:c r="P10" s="52"/>
      <x:c r="Q10" s="52"/>
      <x:c r="R10" s="52"/>
      <x:c r="S10" s="52"/>
      <x:c r="T10" s="52"/>
    </x:row>
    <x:row r="11" s="1" customFormat="1" ht="24" hidden="0" customHeight="1">
      <x:c r="A11" s="7" t="s">
        <x:v>278</x:v>
      </x:c>
      <x:c r="B11" s="8" t="n">
        <x:v>4</x:v>
      </x:c>
      <x:c r="C11" s="8" t="n">
        <x:v>-0.5</x:v>
      </x:c>
      <x:c r="D11" s="70" t="n">
        <x:v>-0.3</x:v>
      </x:c>
      <x:c r="E11" s="70" t="n">
        <x:v>-0.12</x:v>
      </x:c>
      <x:c r="F11" s="45" t="s">
        <x:v>351</x:v>
      </x:c>
      <x:c r="G11" s="45" t="s">
        <x:v>351</x:v>
      </x:c>
      <x:c r="H11" s="85" t="s">
        <x:v>1695</x:v>
      </x:c>
      <x:c r="I11" s="85" t="s">
        <x:v>1696</x:v>
      </x:c>
      <x:c r="J11" s="6"/>
      <x:c r="K11" s="52"/>
      <x:c r="L11" s="52"/>
      <x:c r="M11" s="52"/>
      <x:c r="N11" s="52"/>
      <x:c r="O11" s="52"/>
      <x:c r="P11" s="52"/>
      <x:c r="Q11" s="52"/>
      <x:c r="R11" s="52"/>
      <x:c r="S11" s="52"/>
      <x:c r="T11" s="52"/>
    </x:row>
    <x:row r="12" s="1" customFormat="1" ht="24" hidden="0" customHeight="1">
      <x:c r="A12" s="7" t="s">
        <x:v>279</x:v>
      </x:c>
      <x:c r="B12" s="5" t="n">
        <x:v>5</x:v>
      </x:c>
      <x:c r="C12" s="5" t="n">
        <x:v>-0.55</x:v>
      </x:c>
      <x:c r="D12" s="71" t="n">
        <x:v>-0.15</x:v>
      </x:c>
      <x:c r="E12" s="71" t="n">
        <x:v>-0.15</x:v>
      </x:c>
      <x:c r="F12" s="5" t="s">
        <x:v>351</x:v>
      </x:c>
      <x:c r="G12" s="5" t="s">
        <x:v>351</x:v>
      </x:c>
      <x:c r="H12" s="86" t="s">
        <x:v>1697</x:v>
      </x:c>
      <x:c r="I12" s="86" t="s">
        <x:v>1698</x:v>
      </x:c>
      <x:c r="J12" s="6"/>
      <x:c r="K12" s="52"/>
      <x:c r="L12" s="52"/>
      <x:c r="M12" s="52"/>
      <x:c r="N12" s="52"/>
      <x:c r="O12" s="52"/>
      <x:c r="P12" s="52"/>
      <x:c r="Q12" s="52"/>
      <x:c r="R12" s="52"/>
      <x:c r="S12" s="52"/>
      <x:c r="T12" s="52"/>
    </x:row>
    <x:row r="13" s="1" customFormat="1" ht="12.75" hidden="0" customHeight="1">
      <x:c r="A13" s="7" t="s">
        <x:v>280</x:v>
      </x:c>
      <x:c r="B13" s="8" t="n">
        <x:v>6</x:v>
      </x:c>
      <x:c r="C13" s="8" t="n">
        <x:v>-0.45</x:v>
      </x:c>
      <x:c r="D13" s="70" t="n">
        <x:v>0</x:v>
      </x:c>
      <x:c r="E13" s="70" t="n">
        <x:v>0</x:v>
      </x:c>
      <x:c r="F13" s="45" t="s">
        <x:v>351</x:v>
      </x:c>
      <x:c r="G13" s="45" t="s">
        <x:v>351</x:v>
      </x:c>
      <x:c r="H13" s="85"/>
      <x:c r="I13" s="85"/>
      <x:c r="J13" s="6"/>
      <x:c r="K13" s="52"/>
      <x:c r="L13" s="52"/>
      <x:c r="M13" s="52"/>
      <x:c r="N13" s="52"/>
      <x:c r="O13" s="52"/>
      <x:c r="P13" s="52"/>
      <x:c r="Q13" s="52"/>
      <x:c r="R13" s="52"/>
      <x:c r="S13" s="52"/>
      <x:c r="T13" s="52"/>
    </x:row>
    <x:row r="14" s="1" customFormat="1" ht="24" hidden="0" customHeight="1">
      <x:c r="A14" s="7" t="s">
        <x:v>281</x:v>
      </x:c>
      <x:c r="B14" s="5" t="n">
        <x:v>7</x:v>
      </x:c>
      <x:c r="C14" s="5" t="n">
        <x:v>-0.4</x:v>
      </x:c>
      <x:c r="D14" s="5" t="n">
        <x:v>0</x:v>
      </x:c>
      <x:c r="E14" s="5" t="n">
        <x:v>-0.15</x:v>
      </x:c>
      <x:c r="F14" s="5" t="s">
        <x:v>351</x:v>
      </x:c>
      <x:c r="G14" s="5" t="s">
        <x:v>351</x:v>
      </x:c>
      <x:c r="H14" s="86"/>
      <x:c r="I14" s="86" t="s">
        <x:v>1699</x:v>
      </x:c>
      <x:c r="J14" s="6"/>
      <x:c r="K14" s="52"/>
      <x:c r="L14" s="52"/>
      <x:c r="M14" s="52"/>
      <x:c r="N14" s="52"/>
      <x:c r="O14" s="52"/>
      <x:c r="P14" s="52"/>
      <x:c r="Q14" s="52"/>
      <x:c r="R14" s="52"/>
      <x:c r="S14" s="52"/>
      <x:c r="T14" s="52"/>
    </x:row>
    <x:row r="15" s="1" customFormat="1" ht="24" hidden="0" customHeight="1">
      <x:c r="A15" s="7" t="s">
        <x:v>282</x:v>
      </x:c>
      <x:c r="B15" s="8" t="n">
        <x:v>8</x:v>
      </x:c>
      <x:c r="C15" s="8" t="n">
        <x:v>-0.65</x:v>
      </x:c>
      <x:c r="D15" s="70" t="n">
        <x:v>0</x:v>
      </x:c>
      <x:c r="E15" s="70" t="n">
        <x:v>-0.08</x:v>
      </x:c>
      <x:c r="F15" s="45" t="s">
        <x:v>351</x:v>
      </x:c>
      <x:c r="G15" s="45" t="s">
        <x:v>351</x:v>
      </x:c>
      <x:c r="H15" s="85"/>
      <x:c r="I15" s="85" t="s">
        <x:v>1700</x:v>
      </x:c>
      <x:c r="J15" s="6"/>
      <x:c r="K15" s="52"/>
      <x:c r="L15" s="52"/>
      <x:c r="M15" s="52"/>
      <x:c r="N15" s="52"/>
      <x:c r="O15" s="52"/>
      <x:c r="P15" s="52"/>
      <x:c r="Q15" s="52"/>
      <x:c r="R15" s="52"/>
      <x:c r="S15" s="52"/>
      <x:c r="T15" s="52"/>
    </x:row>
    <x:row r="16" s="1" customFormat="1" ht="13.199999809265137" hidden="0" customHeight="1">
      <x:c r="A16" s="12"/>
      <x:c r="B16" s="12"/>
      <x:c r="C16" s="12"/>
      <x:c r="D16" s="71" t="n">
        <x:v>-0.3</x:v>
      </x:c>
      <x:c r="E16" s="71" t="n">
        <x:v>-0.15</x:v>
      </x:c>
      <x:c r="F16" s="57"/>
      <x:c r="G16" s="12"/>
      <x:c r="H16" s="12"/>
      <x:c r="I16" s="12"/>
      <x:c r="J16" s="6"/>
      <x:c r="K16" s="52"/>
      <x:c r="L16" s="52"/>
      <x:c r="M16" s="52"/>
      <x:c r="N16" s="52"/>
      <x:c r="O16" s="52"/>
      <x:c r="P16" s="52"/>
      <x:c r="Q16" s="52"/>
      <x:c r="R16" s="52"/>
      <x:c r="S16" s="52"/>
      <x:c r="T16" s="52"/>
    </x:row>
    <x:row r="17" s="1" customFormat="1" ht="12.75" hidden="0" customHeight="1">
      <x:c r="A17" s="7" t="s">
        <x:v>1701</x:v>
      </x:c>
      <x:c r="B17" s="12"/>
      <x:c r="C17" s="12"/>
      <x:c r="D17" s="12"/>
      <x:c r="E17" s="12"/>
      <x:c r="F17" s="12"/>
      <x:c r="G17" s="12"/>
      <x:c r="H17" s="12"/>
      <x:c r="I17" s="12"/>
      <x:c r="J17" s="6"/>
      <x:c r="K17" s="52"/>
      <x:c r="L17" s="52"/>
      <x:c r="M17" s="52"/>
      <x:c r="N17" s="52"/>
      <x:c r="O17" s="52"/>
      <x:c r="P17" s="52"/>
      <x:c r="Q17" s="52"/>
      <x:c r="R17" s="52"/>
      <x:c r="S17" s="52"/>
      <x:c r="T17" s="52"/>
    </x:row>
    <x:row r="18" s="1" customFormat="1" ht="12.75" hidden="0" customHeight="1">
      <x:c r="A18" s="7" t="s">
        <x:v>1702</x:v>
      </x:c>
      <x:c r="B18" s="5" t="s">
        <x:v>1703</x:v>
      </x:c>
      <x:c r="C18" s="5" t="s">
        <x:v>1704</x:v>
      </x:c>
      <x:c r="D18" s="5" t="s">
        <x:v>351</x:v>
      </x:c>
      <x:c r="E18" s="5" t="s">
        <x:v>1705</x:v>
      </x:c>
      <x:c r="F18" s="12"/>
      <x:c r="G18" s="12"/>
      <x:c r="H18" s="12"/>
      <x:c r="I18" s="12"/>
      <x:c r="J18" s="6"/>
      <x:c r="K18" s="52"/>
      <x:c r="L18" s="52"/>
      <x:c r="M18" s="52"/>
      <x:c r="N18" s="52"/>
      <x:c r="O18" s="52"/>
      <x:c r="P18" s="52"/>
      <x:c r="Q18" s="52"/>
      <x:c r="R18" s="52"/>
      <x:c r="S18" s="52"/>
      <x:c r="T18" s="52"/>
    </x:row>
    <x:row r="19" s="1" customFormat="1" ht="12.75" hidden="0" customHeight="1">
      <x:c r="A19" s="7" t="s">
        <x:v>1706</x:v>
      </x:c>
      <x:c r="B19" s="45" t="s">
        <x:v>1703</x:v>
      </x:c>
      <x:c r="C19" s="8" t="s">
        <x:v>1707</x:v>
      </x:c>
      <x:c r="D19" s="8" t="s">
        <x:v>351</x:v>
      </x:c>
      <x:c r="E19" s="12"/>
      <x:c r="F19" s="12"/>
      <x:c r="G19" s="12"/>
      <x:c r="H19" s="12"/>
      <x:c r="I19" s="12"/>
      <x:c r="J19" s="6"/>
      <x:c r="K19" s="52"/>
      <x:c r="L19" s="52"/>
      <x:c r="M19" s="52"/>
      <x:c r="N19" s="52"/>
      <x:c r="O19" s="52"/>
      <x:c r="P19" s="52"/>
      <x:c r="Q19" s="52"/>
      <x:c r="R19" s="52"/>
      <x:c r="S19" s="52"/>
      <x:c r="T19" s="52"/>
    </x:row>
    <x:row r="20" s="1" customFormat="1" ht="60" hidden="0" customHeight="1">
      <x:c r="A20" s="7" t="s">
        <x:v>1708</x:v>
      </x:c>
      <x:c r="B20" s="7"/>
      <x:c r="C20" s="7"/>
      <x:c r="D20" s="7"/>
      <x:c r="E20" s="7"/>
      <x:c r="F20" s="7"/>
      <x:c r="G20" s="7"/>
      <x:c r="H20" s="7"/>
      <x:c r="I20" s="7"/>
      <x:c r="J20" s="6"/>
      <x:c r="K20" s="52"/>
      <x:c r="L20" s="52"/>
      <x:c r="M20" s="52"/>
      <x:c r="N20" s="52"/>
      <x:c r="O20" s="52"/>
      <x:c r="P20" s="52"/>
      <x:c r="Q20" s="52"/>
      <x:c r="R20" s="52"/>
      <x:c r="S20" s="52"/>
      <x:c r="T20" s="52"/>
    </x:row>
    <x:row r="21" s="1" customFormat="1" ht="60" hidden="1" customHeight="1">
      <x:c r="A21" s="7" t="s">
        <x:v>1709</x:v>
      </x:c>
      <x:c r="B21" s="7"/>
      <x:c r="C21" s="7"/>
      <x:c r="D21" s="7"/>
      <x:c r="E21" s="7"/>
      <x:c r="F21" s="7"/>
      <x:c r="G21" s="7"/>
      <x:c r="H21" s="7"/>
      <x:c r="I21" s="7"/>
      <x:c r="J21" s="6"/>
      <x:c r="K21" s="52"/>
      <x:c r="L21" s="52"/>
      <x:c r="M21" s="52"/>
      <x:c r="N21" s="52"/>
      <x:c r="O21" s="52"/>
      <x:c r="P21" s="52"/>
      <x:c r="Q21" s="52"/>
      <x:c r="R21" s="52"/>
      <x:c r="S21" s="52"/>
      <x:c r="T21" s="52"/>
    </x:row>
    <x:row r="22" s="1" customFormat="1" ht="72" hidden="1" customHeight="1">
      <x:c r="A22" s="7" t="s">
        <x:v>1710</x:v>
      </x:c>
      <x:c r="B22" s="5" t="s">
        <x:v>1711</x:v>
      </x:c>
      <x:c r="C22" s="87"/>
      <x:c r="D22" s="87"/>
      <x:c r="E22" s="87"/>
      <x:c r="F22" s="87"/>
      <x:c r="G22" s="12"/>
      <x:c r="H22" s="12"/>
      <x:c r="I22" s="12"/>
      <x:c r="J22" s="6"/>
      <x:c r="K22" s="52"/>
      <x:c r="L22" s="52"/>
      <x:c r="M22" s="52"/>
      <x:c r="N22" s="52"/>
      <x:c r="O22" s="52"/>
      <x:c r="P22" s="52"/>
      <x:c r="Q22" s="52"/>
      <x:c r="R22" s="52"/>
      <x:c r="S22" s="52"/>
      <x:c r="T22" s="52"/>
    </x:row>
    <x:row r="23" s="1" customFormat="1" ht="92.4000015258789" hidden="1" customHeight="1">
      <x:c r="A23" s="18" t="s">
        <x:v>1712</x:v>
      </x:c>
      <x:c r="B23" s="18" t="s">
        <x:v>1713</x:v>
      </x:c>
      <x:c r="C23" s="18"/>
      <x:c r="D23" s="88"/>
      <x:c r="E23" s="88"/>
      <x:c r="F23" s="57"/>
      <x:c r="G23" s="12"/>
      <x:c r="H23" s="12"/>
      <x:c r="I23" s="12"/>
      <x:c r="J23" s="6"/>
      <x:c r="K23" s="52"/>
      <x:c r="L23" s="52"/>
      <x:c r="M23" s="52"/>
      <x:c r="N23" s="52"/>
      <x:c r="O23" s="52"/>
      <x:c r="P23" s="52"/>
      <x:c r="Q23" s="52"/>
      <x:c r="R23" s="52"/>
      <x:c r="S23" s="52"/>
      <x:c r="T23" s="52"/>
    </x:row>
    <x:row r="24" s="1" customFormat="1" ht="14.25" hidden="1" customHeight="1">
      <x:c r="A24" s="51"/>
      <x:c r="B24" s="51"/>
      <x:c r="C24" s="51"/>
      <x:c r="D24" s="89"/>
      <x:c r="E24" s="89"/>
      <x:c r="F24" s="44"/>
      <x:c r="G24" s="6"/>
      <x:c r="H24" s="6"/>
      <x:c r="I24" s="6"/>
      <x:c r="J24" s="6"/>
      <x:c r="K24" s="52"/>
      <x:c r="L24" s="52"/>
      <x:c r="M24" s="52"/>
      <x:c r="N24" s="52"/>
      <x:c r="O24" s="52"/>
      <x:c r="P24" s="52"/>
      <x:c r="Q24" s="52"/>
      <x:c r="R24" s="52"/>
      <x:c r="S24" s="52"/>
      <x:c r="T24" s="52"/>
    </x:row>
    <x:row r="25" s="1" customFormat="1" ht="14.25" hidden="1" customHeight="1">
      <x:c r="A25" s="51"/>
      <x:c r="B25" s="51"/>
      <x:c r="C25" s="51"/>
      <x:c r="D25" s="89"/>
      <x:c r="E25" s="89"/>
      <x:c r="F25" s="44"/>
      <x:c r="G25" s="6"/>
      <x:c r="H25" s="6"/>
      <x:c r="I25" s="6"/>
      <x:c r="J25" s="6"/>
      <x:c r="K25" s="52"/>
      <x:c r="L25" s="52"/>
      <x:c r="M25" s="52"/>
      <x:c r="N25" s="52"/>
      <x:c r="O25" s="52"/>
      <x:c r="P25" s="52"/>
      <x:c r="Q25" s="52"/>
      <x:c r="R25" s="52"/>
      <x:c r="S25" s="52"/>
      <x:c r="T25" s="52"/>
    </x:row>
    <x:row r="26" s="1" customFormat="1" ht="14.25" hidden="1" customHeight="1">
      <x:c r="A26" s="51"/>
      <x:c r="B26" s="51"/>
      <x:c r="C26" s="51"/>
      <x:c r="D26" s="89"/>
      <x:c r="E26" s="89"/>
      <x:c r="F26" s="44"/>
      <x:c r="G26" s="6"/>
      <x:c r="H26" s="6"/>
      <x:c r="I26" s="6"/>
      <x:c r="J26" s="6"/>
      <x:c r="K26" s="52"/>
      <x:c r="L26" s="52"/>
      <x:c r="M26" s="52"/>
      <x:c r="N26" s="52"/>
      <x:c r="O26" s="52"/>
      <x:c r="P26" s="52"/>
      <x:c r="Q26" s="52"/>
      <x:c r="R26" s="52"/>
      <x:c r="S26" s="52"/>
      <x:c r="T26" s="52"/>
    </x:row>
    <x:row r="27" s="1" customFormat="1" ht="14.25" hidden="1" customHeight="1">
      <x:c r="A27" s="51"/>
      <x:c r="B27" s="51"/>
      <x:c r="C27" s="51"/>
      <x:c r="D27" s="89"/>
      <x:c r="E27" s="89"/>
      <x:c r="F27" s="44"/>
      <x:c r="G27" s="6"/>
      <x:c r="H27" s="6"/>
      <x:c r="I27" s="6"/>
      <x:c r="J27" s="6"/>
      <x:c r="K27" s="52"/>
      <x:c r="L27" s="52"/>
      <x:c r="M27" s="52"/>
      <x:c r="N27" s="52"/>
      <x:c r="O27" s="52"/>
      <x:c r="P27" s="52"/>
      <x:c r="Q27" s="52"/>
      <x:c r="R27" s="52"/>
      <x:c r="S27" s="52"/>
      <x:c r="T27" s="52"/>
    </x:row>
    <x:row r="28" s="1" customFormat="1" ht="14.25" hidden="1" customHeight="1">
      <x:c r="A28" s="51"/>
      <x:c r="B28" s="51"/>
      <x:c r="C28" s="51"/>
      <x:c r="D28" s="89"/>
      <x:c r="E28" s="89"/>
      <x:c r="F28" s="44"/>
      <x:c r="G28" s="6"/>
      <x:c r="H28" s="6"/>
      <x:c r="I28" s="6"/>
      <x:c r="J28" s="6"/>
      <x:c r="K28" s="52"/>
      <x:c r="L28" s="52"/>
      <x:c r="M28" s="52"/>
      <x:c r="N28" s="52"/>
      <x:c r="O28" s="52"/>
      <x:c r="P28" s="52"/>
      <x:c r="Q28" s="52"/>
      <x:c r="R28" s="52"/>
      <x:c r="S28" s="52"/>
      <x:c r="T28" s="52"/>
    </x:row>
    <x:row r="29" s="1" customFormat="1" ht="14.25" hidden="1" customHeight="1">
      <x:c r="A29" s="51"/>
      <x:c r="B29" s="51"/>
      <x:c r="C29" s="51"/>
      <x:c r="D29" s="51"/>
      <x:c r="E29" s="51"/>
      <x:c r="F29" s="51"/>
      <x:c r="G29" s="6"/>
      <x:c r="H29" s="6"/>
      <x:c r="I29" s="6"/>
      <x:c r="J29" s="6"/>
      <x:c r="K29" s="52"/>
      <x:c r="L29" s="52"/>
      <x:c r="M29" s="52"/>
      <x:c r="N29" s="52"/>
      <x:c r="O29" s="52"/>
      <x:c r="P29" s="52"/>
      <x:c r="Q29" s="52"/>
      <x:c r="R29" s="52"/>
      <x:c r="S29" s="52"/>
      <x:c r="T29" s="52"/>
    </x:row>
    <x:row r="30" s="1" customFormat="1" ht="14.25" hidden="1" customHeight="1">
      <x:c r="A30" s="51"/>
      <x:c r="B30" s="51"/>
      <x:c r="C30" s="51"/>
      <x:c r="D30" s="89"/>
      <x:c r="E30" s="89"/>
      <x:c r="F30" s="44"/>
      <x:c r="G30" s="6"/>
      <x:c r="H30" s="6"/>
      <x:c r="I30" s="6"/>
      <x:c r="J30" s="6"/>
      <x:c r="K30" s="52"/>
      <x:c r="L30" s="52"/>
      <x:c r="M30" s="52"/>
      <x:c r="N30" s="52"/>
      <x:c r="O30" s="52"/>
      <x:c r="P30" s="52"/>
      <x:c r="Q30" s="52"/>
      <x:c r="R30" s="52"/>
      <x:c r="S30" s="52"/>
      <x:c r="T30" s="52"/>
    </x:row>
    <x:row r="31" s="1" customFormat="1" ht="14.25" hidden="1" customHeight="1">
      <x:c r="A31" s="6"/>
      <x:c r="B31" s="6"/>
      <x:c r="C31" s="6"/>
      <x:c r="D31" s="89"/>
      <x:c r="E31" s="89"/>
      <x:c r="F31" s="44"/>
      <x:c r="G31" s="6"/>
      <x:c r="H31" s="6"/>
      <x:c r="I31" s="6"/>
      <x:c r="J31" s="6"/>
      <x:c r="K31" s="52"/>
      <x:c r="L31" s="52"/>
      <x:c r="M31" s="52"/>
      <x:c r="N31" s="52"/>
      <x:c r="O31" s="52"/>
      <x:c r="P31" s="52"/>
      <x:c r="Q31" s="52"/>
      <x:c r="R31" s="52"/>
      <x:c r="S31" s="52"/>
      <x:c r="T31" s="52"/>
    </x:row>
    <x:row r="32" s="1" customFormat="1" ht="14.25" hidden="1" customHeight="1">
      <x:c r="A32" s="6"/>
      <x:c r="B32" s="6"/>
      <x:c r="C32" s="6"/>
      <x:c r="D32" s="6"/>
      <x:c r="E32" s="6"/>
      <x:c r="F32" s="6"/>
      <x:c r="G32" s="6"/>
      <x:c r="H32" s="6"/>
      <x:c r="I32" s="6"/>
      <x:c r="J32" s="6"/>
      <x:c r="K32" s="52"/>
      <x:c r="L32" s="52"/>
      <x:c r="M32" s="52"/>
      <x:c r="N32" s="52"/>
      <x:c r="O32" s="52"/>
      <x:c r="P32" s="52"/>
      <x:c r="Q32" s="52"/>
      <x:c r="R32" s="52"/>
      <x:c r="S32" s="52"/>
      <x:c r="T32" s="52"/>
    </x:row>
    <x:row r="33" s="1" customFormat="1" ht="14.25" hidden="1" customHeight="1">
      <x:c r="A33" s="51"/>
      <x:c r="B33" s="6"/>
      <x:c r="C33" s="6"/>
      <x:c r="D33" s="51"/>
      <x:c r="E33" s="51"/>
      <x:c r="F33" s="6"/>
      <x:c r="G33" s="6"/>
      <x:c r="H33" s="6"/>
      <x:c r="I33" s="6"/>
      <x:c r="J33" s="6"/>
      <x:c r="K33" s="52"/>
      <x:c r="L33" s="52"/>
      <x:c r="M33" s="52"/>
      <x:c r="N33" s="52"/>
      <x:c r="O33" s="52"/>
      <x:c r="P33" s="52"/>
      <x:c r="Q33" s="52"/>
      <x:c r="R33" s="52"/>
      <x:c r="S33" s="52"/>
      <x:c r="T33" s="52"/>
    </x:row>
    <x:row r="34" s="1" customFormat="1" ht="14.25" hidden="1" customHeight="1">
      <x:c r="A34" s="51"/>
      <x:c r="B34" s="44"/>
      <x:c r="C34" s="6"/>
      <x:c r="D34" s="6"/>
      <x:c r="E34" s="6"/>
      <x:c r="F34" s="6"/>
      <x:c r="G34" s="6"/>
      <x:c r="H34" s="6"/>
      <x:c r="I34" s="6"/>
      <x:c r="J34" s="6"/>
      <x:c r="K34" s="52"/>
      <x:c r="L34" s="52"/>
      <x:c r="M34" s="52"/>
      <x:c r="N34" s="52"/>
      <x:c r="O34" s="52"/>
      <x:c r="P34" s="52"/>
      <x:c r="Q34" s="52"/>
      <x:c r="R34" s="52"/>
      <x:c r="S34" s="52"/>
      <x:c r="T34" s="52"/>
    </x:row>
    <x:row r="35" s="1" customFormat="1" ht="14.25" hidden="1" customHeight="1">
      <x:c r="A35" s="51"/>
      <x:c r="B35" s="6"/>
      <x:c r="C35" s="6"/>
      <x:c r="D35" s="6"/>
      <x:c r="E35" s="6"/>
      <x:c r="F35" s="6"/>
      <x:c r="G35" s="6"/>
      <x:c r="H35" s="6"/>
      <x:c r="I35" s="6"/>
      <x:c r="J35" s="6"/>
      <x:c r="K35" s="52"/>
      <x:c r="L35" s="52"/>
      <x:c r="M35" s="52"/>
      <x:c r="N35" s="52"/>
      <x:c r="O35" s="52"/>
      <x:c r="P35" s="52"/>
      <x:c r="Q35" s="52"/>
      <x:c r="R35" s="52"/>
      <x:c r="S35" s="52"/>
      <x:c r="T35" s="52"/>
    </x:row>
    <x:row r="36" s="1" customFormat="1" ht="14.25" hidden="1" customHeight="1">
      <x:c r="A36" s="90"/>
      <x:c r="B36" s="51"/>
      <x:c r="C36" s="6"/>
      <x:c r="D36" s="6"/>
      <x:c r="E36" s="6"/>
      <x:c r="F36" s="6"/>
      <x:c r="G36" s="6"/>
      <x:c r="H36" s="6"/>
      <x:c r="I36" s="6"/>
      <x:c r="J36" s="6"/>
      <x:c r="K36" s="52"/>
      <x:c r="L36" s="52"/>
      <x:c r="M36" s="52"/>
      <x:c r="N36" s="52"/>
      <x:c r="O36" s="52"/>
      <x:c r="P36" s="52"/>
      <x:c r="Q36" s="52"/>
      <x:c r="R36" s="52"/>
      <x:c r="S36" s="52"/>
      <x:c r="T36" s="52"/>
    </x:row>
    <x:row r="37" s="1" customFormat="1" ht="14.25" hidden="1" customHeight="1">
      <x:c r="A37" s="51"/>
      <x:c r="B37" s="51"/>
      <x:c r="C37" s="6"/>
      <x:c r="D37" s="6"/>
      <x:c r="E37" s="6"/>
      <x:c r="F37" s="6"/>
      <x:c r="G37" s="6"/>
      <x:c r="H37" s="6"/>
      <x:c r="I37" s="6"/>
      <x:c r="J37" s="6"/>
      <x:c r="K37" s="52"/>
      <x:c r="L37" s="52"/>
      <x:c r="M37" s="52"/>
      <x:c r="N37" s="52"/>
      <x:c r="O37" s="52"/>
      <x:c r="P37" s="52"/>
      <x:c r="Q37" s="52"/>
      <x:c r="R37" s="52"/>
      <x:c r="S37" s="52"/>
      <x:c r="T37" s="52"/>
    </x:row>
    <x:row r="38" s="1" customFormat="1" ht="14.25" hidden="1" customHeight="1">
      <x:c r="A38" s="51"/>
      <x:c r="B38" s="6"/>
      <x:c r="C38" s="6"/>
      <x:c r="D38" s="6"/>
      <x:c r="E38" s="6"/>
      <x:c r="F38" s="6"/>
      <x:c r="G38" s="6"/>
      <x:c r="H38" s="6"/>
      <x:c r="I38" s="6"/>
      <x:c r="J38" s="6"/>
      <x:c r="K38" s="52"/>
      <x:c r="L38" s="52"/>
      <x:c r="M38" s="52"/>
      <x:c r="N38" s="52"/>
      <x:c r="O38" s="52"/>
      <x:c r="P38" s="52"/>
      <x:c r="Q38" s="52"/>
      <x:c r="R38" s="52"/>
      <x:c r="S38" s="52"/>
      <x:c r="T38" s="52"/>
    </x:row>
    <x:row r="39" s="1" customFormat="1" ht="14.25" hidden="1" customHeight="1">
      <x:c r="A39" s="51"/>
      <x:c r="B39" s="6"/>
      <x:c r="C39" s="6"/>
      <x:c r="D39" s="6"/>
      <x:c r="E39" s="6"/>
      <x:c r="F39" s="6"/>
      <x:c r="G39" s="6"/>
      <x:c r="H39" s="6"/>
      <x:c r="I39" s="6"/>
      <x:c r="J39" s="6"/>
      <x:c r="K39" s="52"/>
      <x:c r="L39" s="52"/>
      <x:c r="M39" s="52"/>
      <x:c r="N39" s="52"/>
      <x:c r="O39" s="52"/>
      <x:c r="P39" s="52"/>
      <x:c r="Q39" s="52"/>
      <x:c r="R39" s="52"/>
      <x:c r="S39" s="52"/>
      <x:c r="T39" s="52"/>
    </x:row>
    <x:row r="40" s="1" customFormat="1" ht="13.5" hidden="1" customHeight="1">
      <x:c r="A40" s="52"/>
      <x:c r="B40" s="52"/>
      <x:c r="C40" s="52"/>
      <x:c r="D40" s="52"/>
      <x:c r="E40" s="52"/>
      <x:c r="F40" s="52"/>
      <x:c r="G40" s="52"/>
      <x:c r="H40" s="52"/>
      <x:c r="I40" s="52"/>
      <x:c r="J40" s="52"/>
      <x:c r="K40" s="52"/>
      <x:c r="L40" s="52"/>
      <x:c r="M40" s="52"/>
      <x:c r="N40" s="52"/>
      <x:c r="O40" s="52"/>
      <x:c r="P40" s="52"/>
      <x:c r="Q40" s="52"/>
      <x:c r="R40" s="52"/>
      <x:c r="S40" s="52"/>
      <x:c r="T40" s="52"/>
    </x:row>
    <x:row r="41" s="1" customFormat="1" ht="13.5" hidden="1" customHeight="1">
      <x:c r="A41" s="52"/>
      <x:c r="B41" s="52"/>
      <x:c r="C41" s="52"/>
      <x:c r="D41" s="52"/>
      <x:c r="E41" s="52"/>
      <x:c r="F41" s="52"/>
      <x:c r="G41" s="52"/>
      <x:c r="H41" s="52"/>
      <x:c r="I41" s="52"/>
      <x:c r="J41" s="52"/>
      <x:c r="K41" s="52"/>
      <x:c r="L41" s="52"/>
      <x:c r="M41" s="52"/>
      <x:c r="N41" s="52"/>
      <x:c r="O41" s="52"/>
      <x:c r="P41" s="52"/>
      <x:c r="Q41" s="52"/>
      <x:c r="R41" s="52"/>
      <x:c r="S41" s="52"/>
      <x:c r="T41" s="52"/>
    </x:row>
    <x:row r="42" s="1" customFormat="1" ht="13.5" hidden="1" customHeight="1">
      <x:c r="A42" s="52"/>
      <x:c r="B42" s="52"/>
      <x:c r="C42" s="52"/>
      <x:c r="D42" s="52"/>
      <x:c r="E42" s="52"/>
      <x:c r="F42" s="52"/>
      <x:c r="G42" s="52"/>
      <x:c r="H42" s="52"/>
      <x:c r="I42" s="52"/>
      <x:c r="J42" s="52"/>
      <x:c r="K42" s="52"/>
      <x:c r="L42" s="52"/>
      <x:c r="M42" s="52"/>
      <x:c r="N42" s="52"/>
      <x:c r="O42" s="52"/>
      <x:c r="P42" s="52"/>
      <x:c r="Q42" s="52"/>
      <x:c r="R42" s="52"/>
      <x:c r="S42" s="52"/>
      <x:c r="T42" s="52"/>
    </x:row>
    <x:row r="43" s="1" customFormat="1" ht="13.5" hidden="1" customHeight="1">
      <x:c r="A43" s="52"/>
      <x:c r="B43" s="52"/>
      <x:c r="C43" s="52"/>
      <x:c r="D43" s="52"/>
      <x:c r="E43" s="52"/>
      <x:c r="F43" s="52"/>
      <x:c r="G43" s="52"/>
      <x:c r="H43" s="52"/>
      <x:c r="I43" s="52"/>
      <x:c r="J43" s="52"/>
      <x:c r="K43" s="52"/>
      <x:c r="L43" s="52"/>
      <x:c r="M43" s="52"/>
      <x:c r="N43" s="52"/>
      <x:c r="O43" s="52"/>
      <x:c r="P43" s="52"/>
      <x:c r="Q43" s="52"/>
      <x:c r="R43" s="52"/>
      <x:c r="S43" s="52"/>
      <x:c r="T43" s="52"/>
    </x:row>
    <x:row r="44" s="1" customFormat="1" ht="13.5" hidden="1" customHeight="1">
      <x:c r="A44" s="52"/>
      <x:c r="B44" s="52"/>
      <x:c r="C44" s="52"/>
      <x:c r="D44" s="52"/>
      <x:c r="E44" s="52"/>
      <x:c r="F44" s="52"/>
      <x:c r="G44" s="52"/>
      <x:c r="H44" s="52"/>
      <x:c r="I44" s="52"/>
      <x:c r="J44" s="52"/>
      <x:c r="K44" s="52"/>
      <x:c r="L44" s="52"/>
      <x:c r="M44" s="52"/>
      <x:c r="N44" s="52"/>
      <x:c r="O44" s="52"/>
      <x:c r="P44" s="52"/>
      <x:c r="Q44" s="52"/>
      <x:c r="R44" s="52"/>
      <x:c r="S44" s="52"/>
      <x:c r="T44" s="52"/>
    </x:row>
    <x:row r="45" s="1" customFormat="1" ht="13.5" hidden="1" customHeight="1">
      <x:c r="A45" s="52"/>
      <x:c r="B45" s="52"/>
      <x:c r="C45" s="52"/>
      <x:c r="D45" s="52"/>
      <x:c r="E45" s="52"/>
      <x:c r="F45" s="52"/>
      <x:c r="G45" s="52"/>
      <x:c r="H45" s="52"/>
      <x:c r="I45" s="52"/>
      <x:c r="J45" s="52"/>
      <x:c r="K45" s="52"/>
      <x:c r="L45" s="52"/>
      <x:c r="M45" s="52"/>
      <x:c r="N45" s="52"/>
      <x:c r="O45" s="52"/>
      <x:c r="P45" s="52"/>
      <x:c r="Q45" s="52"/>
      <x:c r="R45" s="52"/>
      <x:c r="S45" s="52"/>
      <x:c r="T45" s="52"/>
    </x:row>
    <x:row r="46" s="1" customFormat="1" ht="13.5" hidden="1" customHeight="1">
      <x:c r="A46" s="52"/>
      <x:c r="B46" s="52"/>
      <x:c r="C46" s="52"/>
      <x:c r="D46" s="52"/>
      <x:c r="E46" s="52"/>
      <x:c r="F46" s="52"/>
      <x:c r="G46" s="52"/>
      <x:c r="H46" s="52"/>
      <x:c r="I46" s="52"/>
      <x:c r="J46" s="52"/>
      <x:c r="K46" s="52"/>
      <x:c r="L46" s="52"/>
      <x:c r="M46" s="52"/>
      <x:c r="N46" s="52"/>
      <x:c r="O46" s="52"/>
      <x:c r="P46" s="52"/>
      <x:c r="Q46" s="52"/>
      <x:c r="R46" s="52"/>
      <x:c r="S46" s="52"/>
      <x:c r="T46" s="52"/>
    </x:row>
    <x:row r="47" s="1" customFormat="1" ht="13.5" hidden="1" customHeight="1">
      <x:c r="A47" s="52"/>
      <x:c r="B47" s="52"/>
      <x:c r="C47" s="52"/>
      <x:c r="D47" s="52"/>
      <x:c r="E47" s="52"/>
      <x:c r="F47" s="52"/>
      <x:c r="G47" s="52"/>
      <x:c r="H47" s="52"/>
      <x:c r="I47" s="52"/>
      <x:c r="J47" s="52"/>
      <x:c r="K47" s="52"/>
      <x:c r="L47" s="52"/>
      <x:c r="M47" s="52"/>
      <x:c r="N47" s="52"/>
      <x:c r="O47" s="52"/>
      <x:c r="P47" s="52"/>
      <x:c r="Q47" s="52"/>
      <x:c r="R47" s="52"/>
      <x:c r="S47" s="52"/>
      <x:c r="T47" s="52"/>
    </x:row>
    <x:row r="48" s="1" customFormat="1" ht="13.5" hidden="1" customHeight="1">
      <x:c r="A48" s="52"/>
      <x:c r="B48" s="52"/>
      <x:c r="C48" s="52"/>
      <x:c r="D48" s="52"/>
      <x:c r="E48" s="52"/>
      <x:c r="F48" s="52"/>
      <x:c r="G48" s="52"/>
      <x:c r="H48" s="52"/>
      <x:c r="I48" s="52"/>
      <x:c r="J48" s="52"/>
      <x:c r="K48" s="52"/>
      <x:c r="L48" s="52"/>
      <x:c r="M48" s="52"/>
      <x:c r="N48" s="52"/>
      <x:c r="O48" s="52"/>
      <x:c r="P48" s="52"/>
      <x:c r="Q48" s="52"/>
      <x:c r="R48" s="52"/>
      <x:c r="S48" s="52"/>
      <x:c r="T48" s="52"/>
    </x:row>
    <x:row r="49" s="1" customFormat="1" ht="13.5" hidden="1" customHeight="1">
      <x:c r="A49" s="52"/>
      <x:c r="B49" s="52"/>
      <x:c r="C49" s="52"/>
      <x:c r="D49" s="52"/>
      <x:c r="E49" s="52"/>
      <x:c r="F49" s="52"/>
      <x:c r="G49" s="52"/>
      <x:c r="H49" s="52"/>
      <x:c r="I49" s="52"/>
      <x:c r="J49" s="52"/>
      <x:c r="K49" s="52"/>
      <x:c r="L49" s="52"/>
      <x:c r="M49" s="52"/>
      <x:c r="N49" s="52"/>
      <x:c r="O49" s="52"/>
      <x:c r="P49" s="52"/>
      <x:c r="Q49" s="52"/>
      <x:c r="R49" s="52"/>
      <x:c r="S49" s="52"/>
      <x:c r="T49" s="52"/>
    </x:row>
    <x:row r="50" s="1" customFormat="1" ht="13.5" hidden="1" customHeight="1">
      <x:c r="A50" s="52"/>
      <x:c r="B50" s="52"/>
      <x:c r="C50" s="52"/>
      <x:c r="D50" s="52"/>
      <x:c r="E50" s="52"/>
      <x:c r="F50" s="52"/>
      <x:c r="G50" s="52"/>
      <x:c r="H50" s="52"/>
      <x:c r="I50" s="52"/>
      <x:c r="J50" s="52"/>
      <x:c r="K50" s="52"/>
      <x:c r="L50" s="52"/>
      <x:c r="M50" s="52"/>
      <x:c r="N50" s="52"/>
      <x:c r="O50" s="52"/>
      <x:c r="P50" s="52"/>
      <x:c r="Q50" s="52"/>
      <x:c r="R50" s="52"/>
      <x:c r="S50" s="52"/>
      <x:c r="T50" s="52"/>
    </x:row>
    <x:row r="51" s="1" customFormat="1" ht="13.5" hidden="1" customHeight="1">
      <x:c r="A51" s="52"/>
      <x:c r="B51" s="52"/>
      <x:c r="C51" s="52"/>
      <x:c r="D51" s="52"/>
      <x:c r="E51" s="52"/>
      <x:c r="F51" s="52"/>
      <x:c r="G51" s="52"/>
      <x:c r="H51" s="52"/>
      <x:c r="I51" s="52"/>
      <x:c r="J51" s="52"/>
      <x:c r="K51" s="52"/>
      <x:c r="L51" s="52"/>
      <x:c r="M51" s="52"/>
      <x:c r="N51" s="52"/>
      <x:c r="O51" s="52"/>
      <x:c r="P51" s="52"/>
      <x:c r="Q51" s="52"/>
      <x:c r="R51" s="52"/>
      <x:c r="S51" s="52"/>
      <x:c r="T51" s="52"/>
    </x:row>
    <x:row r="52" s="1" customFormat="1" ht="13.5" hidden="1" customHeight="1">
      <x:c r="A52" s="52"/>
      <x:c r="B52" s="52"/>
      <x:c r="C52" s="52"/>
      <x:c r="D52" s="52"/>
      <x:c r="E52" s="52"/>
      <x:c r="F52" s="52"/>
      <x:c r="G52" s="52"/>
      <x:c r="H52" s="52"/>
      <x:c r="I52" s="52"/>
      <x:c r="J52" s="52"/>
      <x:c r="K52" s="52"/>
      <x:c r="L52" s="52"/>
      <x:c r="M52" s="52"/>
      <x:c r="N52" s="52"/>
      <x:c r="O52" s="52"/>
      <x:c r="P52" s="52"/>
      <x:c r="Q52" s="52"/>
      <x:c r="R52" s="52"/>
      <x:c r="S52" s="52"/>
      <x:c r="T52" s="52"/>
    </x:row>
    <x:row r="53" s="1" customFormat="1" ht="13.5" hidden="1" customHeight="1">
      <x:c r="A53" s="52"/>
      <x:c r="B53" s="52"/>
      <x:c r="C53" s="52"/>
      <x:c r="D53" s="52"/>
      <x:c r="E53" s="52"/>
      <x:c r="F53" s="52"/>
      <x:c r="G53" s="52"/>
      <x:c r="H53" s="52"/>
      <x:c r="I53" s="52"/>
      <x:c r="J53" s="52"/>
      <x:c r="K53" s="52"/>
      <x:c r="L53" s="52"/>
      <x:c r="M53" s="52"/>
      <x:c r="N53" s="52"/>
      <x:c r="O53" s="52"/>
      <x:c r="P53" s="52"/>
      <x:c r="Q53" s="52"/>
      <x:c r="R53" s="52"/>
      <x:c r="S53" s="52"/>
      <x:c r="T53" s="52"/>
    </x:row>
    <x:row r="54" s="1" customFormat="1" ht="13.5" hidden="1" customHeight="1">
      <x:c r="A54" s="52"/>
      <x:c r="B54" s="52"/>
      <x:c r="C54" s="52"/>
      <x:c r="D54" s="52"/>
      <x:c r="E54" s="52"/>
      <x:c r="F54" s="52"/>
      <x:c r="G54" s="52"/>
      <x:c r="H54" s="52"/>
      <x:c r="I54" s="52"/>
      <x:c r="J54" s="52"/>
      <x:c r="K54" s="52"/>
      <x:c r="L54" s="52"/>
      <x:c r="M54" s="52"/>
      <x:c r="N54" s="52"/>
      <x:c r="O54" s="52"/>
      <x:c r="P54" s="52"/>
      <x:c r="Q54" s="52"/>
      <x:c r="R54" s="52"/>
      <x:c r="S54" s="52"/>
      <x:c r="T54" s="52"/>
    </x:row>
    <x:row r="55" s="1" customFormat="1" ht="13.5" hidden="1" customHeight="1">
      <x:c r="A55" s="52"/>
      <x:c r="B55" s="52"/>
      <x:c r="C55" s="52"/>
      <x:c r="D55" s="52"/>
      <x:c r="E55" s="52"/>
      <x:c r="F55" s="52"/>
      <x:c r="G55" s="52"/>
      <x:c r="H55" s="52"/>
      <x:c r="I55" s="52"/>
      <x:c r="J55" s="52"/>
      <x:c r="K55" s="52"/>
      <x:c r="L55" s="52"/>
      <x:c r="M55" s="52"/>
      <x:c r="N55" s="52"/>
      <x:c r="O55" s="52"/>
      <x:c r="P55" s="52"/>
      <x:c r="Q55" s="52"/>
      <x:c r="R55" s="52"/>
      <x:c r="S55" s="52"/>
      <x:c r="T55" s="52"/>
    </x:row>
    <x:row r="56" s="1" customFormat="1" ht="13.5" hidden="1" customHeight="1">
      <x:c r="A56" s="52"/>
      <x:c r="B56" s="52"/>
      <x:c r="C56" s="52"/>
      <x:c r="D56" s="52"/>
      <x:c r="E56" s="52"/>
      <x:c r="F56" s="52"/>
      <x:c r="G56" s="52"/>
      <x:c r="H56" s="52"/>
      <x:c r="I56" s="52"/>
      <x:c r="J56" s="52"/>
      <x:c r="K56" s="52"/>
      <x:c r="L56" s="52"/>
      <x:c r="M56" s="52"/>
      <x:c r="N56" s="52"/>
      <x:c r="O56" s="52"/>
      <x:c r="P56" s="52"/>
      <x:c r="Q56" s="52"/>
      <x:c r="R56" s="52"/>
      <x:c r="S56" s="52"/>
      <x:c r="T56" s="52"/>
    </x:row>
    <x:row r="57" s="1" customFormat="1" ht="13.5" hidden="1" customHeight="1">
      <x:c r="A57" s="52"/>
      <x:c r="B57" s="52"/>
      <x:c r="C57" s="52"/>
      <x:c r="D57" s="52"/>
      <x:c r="E57" s="52"/>
      <x:c r="F57" s="52"/>
      <x:c r="G57" s="52"/>
      <x:c r="H57" s="52"/>
      <x:c r="I57" s="52"/>
      <x:c r="J57" s="52"/>
      <x:c r="K57" s="52"/>
      <x:c r="L57" s="52"/>
      <x:c r="M57" s="52"/>
      <x:c r="N57" s="52"/>
      <x:c r="O57" s="52"/>
      <x:c r="P57" s="52"/>
      <x:c r="Q57" s="52"/>
      <x:c r="R57" s="52"/>
      <x:c r="S57" s="52"/>
      <x:c r="T57" s="52"/>
    </x:row>
    <x:row r="58" s="1" customFormat="1" ht="13.5" hidden="1" customHeight="1">
      <x:c r="A58" s="52"/>
      <x:c r="B58" s="52"/>
      <x:c r="C58" s="52"/>
      <x:c r="D58" s="52"/>
      <x:c r="E58" s="52"/>
      <x:c r="F58" s="52"/>
      <x:c r="G58" s="52"/>
      <x:c r="H58" s="52"/>
      <x:c r="I58" s="52"/>
      <x:c r="J58" s="52"/>
      <x:c r="K58" s="52"/>
      <x:c r="L58" s="52"/>
      <x:c r="M58" s="52"/>
      <x:c r="N58" s="52"/>
      <x:c r="O58" s="52"/>
      <x:c r="P58" s="52"/>
      <x:c r="Q58" s="52"/>
      <x:c r="R58" s="52"/>
      <x:c r="S58" s="52"/>
      <x:c r="T58" s="52"/>
    </x:row>
    <x:row r="59" s="1" customFormat="1" ht="13.5" hidden="1" customHeight="1">
      <x:c r="A59" s="52"/>
      <x:c r="B59" s="52"/>
      <x:c r="C59" s="52"/>
      <x:c r="D59" s="52"/>
      <x:c r="E59" s="52"/>
      <x:c r="F59" s="52"/>
      <x:c r="G59" s="52"/>
      <x:c r="H59" s="52"/>
      <x:c r="I59" s="52"/>
      <x:c r="J59" s="52"/>
      <x:c r="K59" s="52"/>
      <x:c r="L59" s="52"/>
      <x:c r="M59" s="52"/>
      <x:c r="N59" s="52"/>
      <x:c r="O59" s="52"/>
      <x:c r="P59" s="52"/>
      <x:c r="Q59" s="52"/>
      <x:c r="R59" s="52"/>
      <x:c r="S59" s="52"/>
      <x:c r="T59" s="52"/>
    </x:row>
    <x:row r="60" s="1" customFormat="1" ht="13.5" hidden="1" customHeight="1">
      <x:c r="A60" s="52"/>
      <x:c r="B60" s="52"/>
      <x:c r="C60" s="52"/>
      <x:c r="D60" s="52"/>
      <x:c r="E60" s="52"/>
      <x:c r="F60" s="52"/>
      <x:c r="G60" s="52"/>
      <x:c r="H60" s="52"/>
      <x:c r="I60" s="52"/>
      <x:c r="J60" s="52"/>
      <x:c r="K60" s="52"/>
      <x:c r="L60" s="52"/>
      <x:c r="M60" s="52"/>
      <x:c r="N60" s="52"/>
      <x:c r="O60" s="52"/>
      <x:c r="P60" s="52"/>
      <x:c r="Q60" s="52"/>
      <x:c r="R60" s="52"/>
      <x:c r="S60" s="52"/>
      <x:c r="T60" s="52"/>
    </x:row>
    <x:row r="61" s="1" customFormat="1" ht="12.75" hidden="0" customHeight="1">
      <x:c r="A61" s="52"/>
      <x:c r="B61" s="52"/>
      <x:c r="C61" s="52"/>
      <x:c r="D61" s="52"/>
      <x:c r="E61" s="52"/>
      <x:c r="F61" s="52"/>
      <x:c r="G61" s="52"/>
      <x:c r="H61" s="52"/>
      <x:c r="I61" s="52"/>
      <x:c r="J61" s="52"/>
      <x:c r="K61" s="52"/>
      <x:c r="L61" s="52"/>
      <x:c r="M61" s="52"/>
      <x:c r="N61" s="52"/>
      <x:c r="O61" s="52"/>
      <x:c r="P61" s="52"/>
      <x:c r="Q61" s="52"/>
      <x:c r="R61" s="52"/>
      <x:c r="S61" s="52"/>
      <x:c r="T61" s="52"/>
    </x:row>
    <x:row r="62" s="1" customFormat="1" ht="12.75" hidden="0" customHeight="1">
      <x:c r="A62" s="52"/>
      <x:c r="B62" s="52"/>
      <x:c r="C62" s="52"/>
      <x:c r="D62" s="52"/>
      <x:c r="E62" s="52"/>
      <x:c r="F62" s="52"/>
      <x:c r="G62" s="52"/>
      <x:c r="H62" s="52"/>
      <x:c r="I62" s="52"/>
      <x:c r="J62" s="52"/>
      <x:c r="K62" s="52"/>
      <x:c r="L62" s="52"/>
      <x:c r="M62" s="52"/>
      <x:c r="N62" s="52"/>
      <x:c r="O62" s="52"/>
      <x:c r="P62" s="52"/>
      <x:c r="Q62" s="52"/>
      <x:c r="R62" s="52"/>
      <x:c r="S62" s="52"/>
      <x:c r="T62" s="52"/>
    </x:row>
    <x:row r="63" s="1" customFormat="1" ht="12.75" hidden="0" customHeight="1">
      <x:c r="A63" s="52"/>
      <x:c r="B63" s="52"/>
      <x:c r="C63" s="52"/>
      <x:c r="D63" s="52"/>
      <x:c r="E63" s="52"/>
      <x:c r="F63" s="52"/>
      <x:c r="G63" s="52"/>
      <x:c r="H63" s="52"/>
      <x:c r="I63" s="52"/>
      <x:c r="J63" s="52"/>
      <x:c r="K63" s="52"/>
      <x:c r="L63" s="52"/>
      <x:c r="M63" s="52"/>
      <x:c r="N63" s="52"/>
      <x:c r="O63" s="52"/>
      <x:c r="P63" s="52"/>
      <x:c r="Q63" s="52"/>
      <x:c r="R63" s="52"/>
      <x:c r="S63" s="52"/>
      <x:c r="T63" s="52"/>
    </x:row>
    <x:row r="64" s="1" customFormat="1" ht="12.75" hidden="0" customHeight="1">
      <x:c r="A64" s="52"/>
      <x:c r="B64" s="52"/>
      <x:c r="C64" s="52"/>
      <x:c r="D64" s="52"/>
      <x:c r="E64" s="52"/>
      <x:c r="F64" s="52"/>
      <x:c r="G64" s="52"/>
      <x:c r="H64" s="52"/>
      <x:c r="I64" s="52"/>
      <x:c r="J64" s="52"/>
      <x:c r="K64" s="52"/>
      <x:c r="L64" s="52"/>
      <x:c r="M64" s="52"/>
      <x:c r="N64" s="52"/>
      <x:c r="O64" s="52"/>
      <x:c r="P64" s="52"/>
      <x:c r="Q64" s="52"/>
      <x:c r="R64" s="52"/>
      <x:c r="S64" s="52"/>
      <x:c r="T64" s="52"/>
    </x:row>
    <x:row r="65" s="1" customFormat="1" ht="12.75" hidden="0" customHeight="1">
      <x:c r="A65" s="52"/>
      <x:c r="B65" s="52"/>
      <x:c r="C65" s="52"/>
      <x:c r="D65" s="52"/>
      <x:c r="E65" s="52"/>
      <x:c r="F65" s="52"/>
      <x:c r="G65" s="52"/>
      <x:c r="H65" s="52"/>
      <x:c r="I65" s="52"/>
      <x:c r="J65" s="52"/>
      <x:c r="K65" s="52"/>
      <x:c r="L65" s="52"/>
      <x:c r="M65" s="52"/>
      <x:c r="N65" s="52"/>
      <x:c r="O65" s="52"/>
      <x:c r="P65" s="52"/>
      <x:c r="Q65" s="52"/>
      <x:c r="R65" s="52"/>
      <x:c r="S65" s="52"/>
      <x:c r="T65" s="52"/>
    </x:row>
    <x:row r="66" s="1" customFormat="1" ht="12.75" hidden="0" customHeight="1">
      <x:c r="A66" s="52"/>
      <x:c r="B66" s="52"/>
      <x:c r="C66" s="52"/>
      <x:c r="D66" s="52"/>
      <x:c r="E66" s="52"/>
      <x:c r="F66" s="52"/>
      <x:c r="G66" s="52"/>
      <x:c r="H66" s="52"/>
      <x:c r="I66" s="52"/>
      <x:c r="J66" s="52"/>
      <x:c r="K66" s="52"/>
      <x:c r="L66" s="52"/>
      <x:c r="M66" s="52"/>
      <x:c r="N66" s="52"/>
      <x:c r="O66" s="52"/>
      <x:c r="P66" s="52"/>
      <x:c r="Q66" s="52"/>
      <x:c r="R66" s="52"/>
      <x:c r="S66" s="52"/>
      <x:c r="T66" s="52"/>
    </x:row>
    <x:row r="67" s="1" customFormat="1" ht="12.75" hidden="0" customHeight="1">
      <x:c r="A67" s="52"/>
      <x:c r="B67" s="52"/>
      <x:c r="C67" s="52"/>
      <x:c r="D67" s="52"/>
      <x:c r="E67" s="52"/>
      <x:c r="F67" s="52"/>
      <x:c r="G67" s="52"/>
      <x:c r="H67" s="52"/>
      <x:c r="I67" s="52"/>
      <x:c r="J67" s="52"/>
      <x:c r="K67" s="52"/>
      <x:c r="L67" s="52"/>
      <x:c r="M67" s="52"/>
      <x:c r="N67" s="52"/>
      <x:c r="O67" s="52"/>
      <x:c r="P67" s="52"/>
      <x:c r="Q67" s="52"/>
      <x:c r="R67" s="52"/>
      <x:c r="S67" s="52"/>
      <x:c r="T67" s="52"/>
    </x:row>
    <x:row r="68" s="1" customFormat="1" ht="12.75" hidden="0" customHeight="1">
      <x:c r="A68" s="52"/>
      <x:c r="B68" s="52"/>
      <x:c r="C68" s="52"/>
      <x:c r="D68" s="52"/>
      <x:c r="E68" s="52"/>
      <x:c r="F68" s="52"/>
      <x:c r="G68" s="52"/>
      <x:c r="H68" s="52"/>
      <x:c r="I68" s="52"/>
      <x:c r="J68" s="52"/>
      <x:c r="K68" s="52"/>
      <x:c r="L68" s="52"/>
      <x:c r="M68" s="52"/>
      <x:c r="N68" s="52"/>
      <x:c r="O68" s="52"/>
      <x:c r="P68" s="52"/>
      <x:c r="Q68" s="52"/>
      <x:c r="R68" s="52"/>
      <x:c r="S68" s="52"/>
      <x:c r="T68" s="52"/>
    </x:row>
    <x:row r="69" s="1" customFormat="1" ht="12.75" hidden="0" customHeight="1">
      <x:c r="A69" s="52"/>
      <x:c r="B69" s="52"/>
      <x:c r="C69" s="52"/>
      <x:c r="D69" s="52"/>
      <x:c r="E69" s="52"/>
      <x:c r="F69" s="52"/>
      <x:c r="G69" s="52"/>
      <x:c r="H69" s="52"/>
      <x:c r="I69" s="52"/>
      <x:c r="J69" s="52"/>
      <x:c r="K69" s="52"/>
      <x:c r="L69" s="52"/>
      <x:c r="M69" s="52"/>
      <x:c r="N69" s="52"/>
      <x:c r="O69" s="52"/>
      <x:c r="P69" s="52"/>
      <x:c r="Q69" s="52"/>
      <x:c r="R69" s="52"/>
      <x:c r="S69" s="52"/>
      <x:c r="T69" s="52"/>
    </x:row>
    <x:row r="70" s="1" customFormat="1" ht="12.75" hidden="0" customHeight="1">
      <x:c r="A70" s="52"/>
      <x:c r="B70" s="52"/>
      <x:c r="C70" s="52"/>
      <x:c r="D70" s="52"/>
      <x:c r="E70" s="52"/>
      <x:c r="F70" s="52"/>
      <x:c r="G70" s="52"/>
      <x:c r="H70" s="52"/>
      <x:c r="I70" s="52"/>
      <x:c r="J70" s="52"/>
      <x:c r="K70" s="52"/>
      <x:c r="L70" s="52"/>
      <x:c r="M70" s="52"/>
      <x:c r="N70" s="52"/>
      <x:c r="O70" s="52"/>
      <x:c r="P70" s="52"/>
      <x:c r="Q70" s="52"/>
      <x:c r="R70" s="52"/>
      <x:c r="S70" s="52"/>
      <x:c r="T70" s="52"/>
    </x:row>
    <x:row r="71" s="1" customFormat="1" ht="12.75" hidden="0" customHeight="1">
      <x:c r="A71" s="52"/>
      <x:c r="B71" s="52"/>
      <x:c r="C71" s="52"/>
      <x:c r="D71" s="52"/>
      <x:c r="E71" s="52"/>
      <x:c r="F71" s="52"/>
      <x:c r="G71" s="52"/>
      <x:c r="H71" s="52"/>
      <x:c r="I71" s="52"/>
      <x:c r="J71" s="52"/>
      <x:c r="K71" s="52"/>
      <x:c r="L71" s="52"/>
      <x:c r="M71" s="52"/>
      <x:c r="N71" s="52"/>
      <x:c r="O71" s="52"/>
      <x:c r="P71" s="52"/>
      <x:c r="Q71" s="52"/>
      <x:c r="R71" s="52"/>
      <x:c r="S71" s="52"/>
      <x:c r="T71" s="52"/>
    </x:row>
    <x:row r="72" s="1" customFormat="1" ht="12.75" hidden="0" customHeight="1">
      <x:c r="A72" s="52"/>
      <x:c r="B72" s="52"/>
      <x:c r="C72" s="52"/>
      <x:c r="D72" s="52"/>
      <x:c r="E72" s="52"/>
      <x:c r="F72" s="52"/>
      <x:c r="G72" s="52"/>
      <x:c r="H72" s="52"/>
      <x:c r="I72" s="52"/>
      <x:c r="J72" s="52"/>
      <x:c r="K72" s="52"/>
      <x:c r="L72" s="52"/>
      <x:c r="M72" s="52"/>
      <x:c r="N72" s="52"/>
      <x:c r="O72" s="52"/>
      <x:c r="P72" s="52"/>
      <x:c r="Q72" s="52"/>
      <x:c r="R72" s="52"/>
      <x:c r="S72" s="52"/>
      <x:c r="T72" s="52"/>
    </x:row>
    <x:row r="73" s="1" customFormat="1" ht="12.75" hidden="0" customHeight="1">
      <x:c r="A73" s="52"/>
      <x:c r="B73" s="52"/>
      <x:c r="C73" s="52"/>
      <x:c r="D73" s="52"/>
      <x:c r="E73" s="52"/>
      <x:c r="F73" s="52"/>
      <x:c r="G73" s="52"/>
      <x:c r="H73" s="52"/>
      <x:c r="I73" s="52"/>
      <x:c r="J73" s="52"/>
      <x:c r="K73" s="52"/>
      <x:c r="L73" s="52"/>
      <x:c r="M73" s="52"/>
      <x:c r="N73" s="52"/>
      <x:c r="O73" s="52"/>
      <x:c r="P73" s="52"/>
      <x:c r="Q73" s="52"/>
      <x:c r="R73" s="52"/>
      <x:c r="S73" s="52"/>
      <x:c r="T73" s="52"/>
    </x:row>
    <x:row r="74" s="1" customFormat="1" ht="12.75" hidden="0" customHeight="1">
      <x:c r="A74" s="52"/>
      <x:c r="B74" s="52"/>
      <x:c r="C74" s="52"/>
      <x:c r="D74" s="52"/>
      <x:c r="E74" s="52"/>
      <x:c r="F74" s="52"/>
      <x:c r="G74" s="52"/>
      <x:c r="H74" s="52"/>
      <x:c r="I74" s="52"/>
      <x:c r="J74" s="52"/>
      <x:c r="K74" s="52"/>
      <x:c r="L74" s="52"/>
      <x:c r="M74" s="52"/>
      <x:c r="N74" s="52"/>
      <x:c r="O74" s="52"/>
      <x:c r="P74" s="52"/>
      <x:c r="Q74" s="52"/>
      <x:c r="R74" s="52"/>
      <x:c r="S74" s="52"/>
      <x:c r="T74" s="52"/>
    </x:row>
    <x:row r="75" s="1" customFormat="1" ht="12.75" hidden="0" customHeight="1">
      <x:c r="A75" s="52"/>
      <x:c r="B75" s="52"/>
      <x:c r="C75" s="52"/>
      <x:c r="D75" s="52"/>
      <x:c r="E75" s="52"/>
      <x:c r="F75" s="52"/>
      <x:c r="G75" s="52"/>
      <x:c r="H75" s="52"/>
      <x:c r="I75" s="52"/>
      <x:c r="J75" s="52"/>
      <x:c r="K75" s="52"/>
      <x:c r="L75" s="52"/>
      <x:c r="M75" s="52"/>
      <x:c r="N75" s="52"/>
      <x:c r="O75" s="52"/>
      <x:c r="P75" s="52"/>
      <x:c r="Q75" s="52"/>
      <x:c r="R75" s="52"/>
      <x:c r="S75" s="52"/>
      <x:c r="T75" s="52"/>
    </x:row>
    <x:row r="76" s="1" customFormat="1" ht="12.75" hidden="0" customHeight="1">
      <x:c r="A76" s="52"/>
      <x:c r="B76" s="52"/>
      <x:c r="C76" s="52"/>
      <x:c r="D76" s="52"/>
      <x:c r="E76" s="52"/>
      <x:c r="F76" s="52"/>
      <x:c r="G76" s="52"/>
      <x:c r="H76" s="52"/>
      <x:c r="I76" s="52"/>
      <x:c r="J76" s="52"/>
      <x:c r="K76" s="52"/>
      <x:c r="L76" s="52"/>
      <x:c r="M76" s="52"/>
      <x:c r="N76" s="52"/>
      <x:c r="O76" s="52"/>
      <x:c r="P76" s="52"/>
      <x:c r="Q76" s="52"/>
      <x:c r="R76" s="52"/>
      <x:c r="S76" s="52"/>
      <x:c r="T76" s="52"/>
    </x:row>
    <x:row r="77" s="1" customFormat="1" ht="12.75" hidden="0" customHeight="1">
      <x:c r="A77" s="52"/>
      <x:c r="B77" s="52"/>
      <x:c r="C77" s="52"/>
      <x:c r="D77" s="52"/>
      <x:c r="E77" s="52"/>
      <x:c r="F77" s="52"/>
      <x:c r="G77" s="52"/>
      <x:c r="H77" s="52"/>
      <x:c r="I77" s="52"/>
      <x:c r="J77" s="52"/>
      <x:c r="K77" s="52"/>
      <x:c r="L77" s="52"/>
      <x:c r="M77" s="52"/>
      <x:c r="N77" s="52"/>
      <x:c r="O77" s="52"/>
      <x:c r="P77" s="52"/>
      <x:c r="Q77" s="52"/>
      <x:c r="R77" s="52"/>
      <x:c r="S77" s="52"/>
      <x:c r="T77" s="52"/>
    </x:row>
    <x:row r="78" s="1" customFormat="1" ht="12.75" hidden="0" customHeight="1">
      <x:c r="A78" s="52"/>
      <x:c r="B78" s="52"/>
      <x:c r="C78" s="52"/>
      <x:c r="D78" s="52"/>
      <x:c r="E78" s="52"/>
      <x:c r="F78" s="52"/>
      <x:c r="G78" s="52"/>
      <x:c r="H78" s="52"/>
      <x:c r="I78" s="52"/>
      <x:c r="J78" s="52"/>
      <x:c r="K78" s="52"/>
      <x:c r="L78" s="52"/>
      <x:c r="M78" s="52"/>
      <x:c r="N78" s="52"/>
      <x:c r="O78" s="52"/>
      <x:c r="P78" s="52"/>
      <x:c r="Q78" s="52"/>
      <x:c r="R78" s="52"/>
      <x:c r="S78" s="52"/>
      <x:c r="T78" s="52"/>
    </x:row>
    <x:row r="79" s="1" customFormat="1" ht="12.75" hidden="0" customHeight="1">
      <x:c r="A79" s="52"/>
      <x:c r="B79" s="52"/>
      <x:c r="C79" s="52"/>
      <x:c r="D79" s="52"/>
      <x:c r="E79" s="52"/>
      <x:c r="F79" s="52"/>
      <x:c r="G79" s="52"/>
      <x:c r="H79" s="52"/>
      <x:c r="I79" s="52"/>
      <x:c r="J79" s="52"/>
      <x:c r="K79" s="52"/>
      <x:c r="L79" s="52"/>
      <x:c r="M79" s="52"/>
      <x:c r="N79" s="52"/>
      <x:c r="O79" s="52"/>
      <x:c r="P79" s="52"/>
      <x:c r="Q79" s="52"/>
      <x:c r="R79" s="52"/>
      <x:c r="S79" s="52"/>
      <x:c r="T79" s="52"/>
    </x:row>
    <x:row r="80" s="1" customFormat="1" ht="12.75" hidden="0" customHeight="1">
      <x:c r="A80" s="52"/>
      <x:c r="B80" s="52"/>
      <x:c r="C80" s="52"/>
      <x:c r="D80" s="52"/>
      <x:c r="E80" s="52"/>
      <x:c r="F80" s="52"/>
      <x:c r="G80" s="52"/>
      <x:c r="H80" s="52"/>
      <x:c r="I80" s="52"/>
      <x:c r="J80" s="52"/>
      <x:c r="K80" s="52"/>
      <x:c r="L80" s="52"/>
      <x:c r="M80" s="52"/>
      <x:c r="N80" s="52"/>
      <x:c r="O80" s="52"/>
      <x:c r="P80" s="52"/>
      <x:c r="Q80" s="52"/>
      <x:c r="R80" s="52"/>
      <x:c r="S80" s="52"/>
      <x:c r="T80" s="52"/>
    </x:row>
  </x:sheetData>
  <x:mergeCells>
    <x:mergeCell ref="A1:J1"/>
    <x:mergeCell ref="H6:I6"/>
    <x:mergeCell ref="A20:I20"/>
    <x:mergeCell ref="A21:I21"/>
  </x:mergeCells>
  <x:pageMargins left="0.7" right="0.7" top="0.75" bottom="0.75" header="0.3" footer="0.3"/>
</x:worksheet>
</file>

<file path=xl/worksheets/sheet23.xml><?xml version="1.0" encoding="utf-8"?>
<x:worksheet xmlns:x="http://schemas.openxmlformats.org/spreadsheetml/2006/main">
  <x:sheetViews>
    <x:sheetView showGridLines="0" workbookViewId="0"/>
  </x:sheetViews>
  <x:sheetFormatPr defaultColWidth="8.6796875" defaultRowHeight="15"/>
  <x:cols>
    <x:col min="1" max="1" width="26" style="1" hidden="0" customWidth="1"/>
    <x:col min="2" max="2" width="34" style="1" hidden="0" customWidth="1"/>
    <x:col min="3" max="3" width="50" style="1" hidden="0" customWidth="1"/>
    <x:col min="4" max="4" width="34" style="1" hidden="0" customWidth="1"/>
  </x:cols>
  <x:sheetData>
    <x:row r="1" ht="15" hidden="0" customHeight="1">
      <x:c r="A1" s="2" t="s">
        <x:v>1714</x:v>
      </x:c>
      <x:c r="B1" s="2"/>
      <x:c r="C1" s="2"/>
      <x:c r="D1" s="2"/>
      <x:c r="E1" s="2"/>
    </x:row>
    <x:row r="2" ht="15" hidden="0">
      <x:c r="A2" s="1" t="s">
        <x:v>1</x:v>
      </x:c>
      <x:c r="B2" s="1" t="s">
        <x:v>1715</x:v>
      </x:c>
    </x:row>
    <x:row r="3" ht="15" hidden="0">
      <x:c r="A3" s="1" t="s">
        <x:v>1424</x:v>
      </x:c>
      <x:c r="B3" s="1" t="s">
        <x:v>1716</x:v>
      </x:c>
    </x:row>
    <x:row r="5" ht="15" hidden="0">
      <x:c r="A5" s="7" t="s">
        <x:v>346</x:v>
      </x:c>
      <x:c r="B5" s="7" t="s">
        <x:v>1717</x:v>
      </x:c>
      <x:c r="C5" s="7" t="s">
        <x:v>1718</x:v>
      </x:c>
      <x:c r="D5" s="7" t="s">
        <x:v>1719</x:v>
      </x:c>
    </x:row>
    <x:row r="6" ht="26.850000381469727" hidden="0">
      <x:c r="A6" s="7" t="s">
        <x:v>1720</x:v>
      </x:c>
      <x:c r="B6" s="91" t="n">
        <x:v>0</x:v>
      </x:c>
      <x:c r="C6" s="91" t="n">
        <x:v>0</x:v>
      </x:c>
      <x:c r="D6" s="5" t="s">
        <x:v>1721</x:v>
      </x:c>
    </x:row>
    <x:row r="7" ht="64.9000015258789" hidden="0">
      <x:c r="A7" s="7" t="s">
        <x:v>1722</x:v>
      </x:c>
      <x:c r="B7" s="91" t="s">
        <x:v>233</x:v>
      </x:c>
      <x:c r="C7" s="91" t="s">
        <x:v>233</x:v>
      </x:c>
      <x:c r="D7" s="5" t="s">
        <x:v>1723</x:v>
      </x:c>
    </x:row>
    <x:row r="8" ht="52.20000076293945" hidden="0">
      <x:c r="A8" s="7" t="s">
        <x:v>1724</x:v>
      </x:c>
      <x:c r="B8" s="91" t="n">
        <x:v>0</x:v>
      </x:c>
      <x:c r="C8" s="91" t="n">
        <x:v>0</x:v>
      </x:c>
      <x:c r="D8" s="5" t="s">
        <x:v>1725</x:v>
      </x:c>
    </x:row>
    <x:row r="9" ht="39.54999923706055" hidden="0">
      <x:c r="A9" s="7" t="s">
        <x:v>1726</x:v>
      </x:c>
      <x:c r="B9" s="91" t="n">
        <x:v>0</x:v>
      </x:c>
      <x:c r="C9" s="91" t="n">
        <x:v>0</x:v>
      </x:c>
      <x:c r="D9" s="5" t="s">
        <x:v>1727</x:v>
      </x:c>
    </x:row>
    <x:row r="10" ht="26.850000381469727" hidden="0">
      <x:c r="A10" s="7" t="s">
        <x:v>1728</x:v>
      </x:c>
      <x:c r="B10" s="5" t="s">
        <x:v>292</x:v>
      </x:c>
      <x:c r="C10" s="5" t="s">
        <x:v>292</x:v>
      </x:c>
      <x:c r="D10" s="5" t="s">
        <x:v>1729</x:v>
      </x:c>
    </x:row>
    <x:row r="11" ht="26.850000381469727" hidden="0">
      <x:c r="A11" s="7" t="s">
        <x:v>1730</x:v>
      </x:c>
      <x:c r="B11" s="5" t="s">
        <x:v>351</x:v>
      </x:c>
      <x:c r="C11" s="5" t="s">
        <x:v>351</x:v>
      </x:c>
      <x:c r="D11" s="5" t="s">
        <x:v>1731</x:v>
      </x:c>
    </x:row>
    <x:row r="12" ht="102.94999694824219" hidden="0">
      <x:c r="A12" s="7" t="s">
        <x:v>933</x:v>
      </x:c>
      <x:c r="B12" s="5" t="s">
        <x:v>1732</x:v>
      </x:c>
      <x:c r="C12" s="5" t="s">
        <x:v>1733</x:v>
      </x:c>
      <x:c r="D12" s="5" t="s">
        <x:v>1734</x:v>
      </x:c>
    </x:row>
    <x:row r="13" ht="23.850000381469727" hidden="0">
      <x:c r="A13" s="75" t="s">
        <x:v>1735</x:v>
      </x:c>
      <x:c r="B13" s="75" t="s">
        <x:v>1736</x:v>
      </x:c>
      <x:c r="C13" s="75" t="s">
        <x:v>1737</x:v>
      </x:c>
      <x:c r="D13" s="75" t="s">
        <x:v>1738</x:v>
      </x:c>
    </x:row>
    <x:row r="14" ht="23.850000381469727" hidden="0">
      <x:c r="A14" s="64" t="s">
        <x:v>1739</x:v>
      </x:c>
      <x:c r="B14" s="64" t="s">
        <x:v>1740</x:v>
      </x:c>
      <x:c r="C14" s="64" t="s">
        <x:v>1741</x:v>
      </x:c>
      <x:c r="D14" s="64" t="s">
        <x:v>1742</x:v>
      </x:c>
    </x:row>
    <x:row r="15" ht="15" hidden="0">
      <x:c r="A15" s="64" t="s">
        <x:v>1743</x:v>
      </x:c>
      <x:c r="B15" s="64" t="s">
        <x:v>1744</x:v>
      </x:c>
      <x:c r="C15" s="64" t="s">
        <x:v>1745</x:v>
      </x:c>
      <x:c r="D15" s="64" t="s">
        <x:v>1746</x:v>
      </x:c>
    </x:row>
    <x:row r="16" ht="23.850000381469727" hidden="0">
      <x:c r="A16" s="64" t="s">
        <x:v>1747</x:v>
      </x:c>
      <x:c r="B16" s="64" t="s">
        <x:v>1748</x:v>
      </x:c>
      <x:c r="C16" s="64" t="s">
        <x:v>1749</x:v>
      </x:c>
      <x:c r="D16" s="64" t="s">
        <x:v>1750</x:v>
      </x:c>
    </x:row>
    <x:row r="17" ht="15" hidden="0">
      <x:c r="A17" s="64" t="s">
        <x:v>1751</x:v>
      </x:c>
      <x:c r="B17" s="64" t="s">
        <x:v>1752</x:v>
      </x:c>
      <x:c r="C17" s="64" t="s">
        <x:v>1753</x:v>
      </x:c>
      <x:c r="D17" s="64" t="s">
        <x:v>1754</x:v>
      </x:c>
    </x:row>
    <x:row r="18" ht="23.850000381469727" hidden="0">
      <x:c r="A18" s="64" t="s">
        <x:v>1755</x:v>
      </x:c>
      <x:c r="B18" s="64" t="s">
        <x:v>1756</x:v>
      </x:c>
      <x:c r="C18" s="64" t="s">
        <x:v>1757</x:v>
      </x:c>
      <x:c r="D18" s="64" t="s">
        <x:v>1758</x:v>
      </x:c>
    </x:row>
  </x:sheetData>
  <x:mergeCells>
    <x:mergeCell ref="A1:E1"/>
  </x:mergeCells>
  <x:dataValidations count="1">
    <x:dataValidation type="list" errorStyle="stop" operator="between" allowBlank="0" showDropDown="0" showInputMessage="0" showErrorMessage="0" sqref="B7:C7">
      <x:formula1>"YES,NO"</x:formula1>
      <x:formula2>0</x:formula2>
    </x:dataValidation>
  </x:dataValidations>
  <x:pageMargins left="0.7" right="0.7" top="0.75" bottom="0.75" header="0.3" footer="0.3"/>
</x:worksheet>
</file>

<file path=xl/worksheets/sheet24.xml><?xml version="1.0" encoding="utf-8"?>
<x:worksheet xmlns:x="http://schemas.openxmlformats.org/spreadsheetml/2006/main">
  <x:sheetViews>
    <x:sheetView showGridLines="1" workbookViewId="0"/>
  </x:sheetViews>
  <x:sheetFormatPr defaultColWidth="8.66796875" defaultRowHeight="12.75"/>
  <x:cols>
    <x:col min="1" max="1" width="30" style="1" hidden="0" customWidth="1"/>
    <x:col min="2" max="3" width="25" style="1" hidden="0" customWidth="1"/>
    <x:col min="4" max="6" width="16" style="1" hidden="0" customWidth="1"/>
    <x:col min="7" max="7" width="26" style="1" hidden="0" customWidth="1"/>
    <x:col min="8" max="8" width="34" style="1" hidden="0" customWidth="1"/>
    <x:col min="9" max="21" width="16" style="1" hidden="0" customWidth="1"/>
  </x:cols>
  <x:sheetData>
    <x:row r="1" s="1" customFormat="1" ht="14.25" hidden="0" customHeight="1">
      <x:c r="A1" s="2" t="s">
        <x:v>1759</x:v>
      </x:c>
      <x:c r="B1" s="2"/>
      <x:c r="C1" s="2"/>
      <x:c r="D1" s="2"/>
      <x:c r="E1" s="2"/>
      <x:c r="F1" s="2"/>
      <x:c r="G1" s="2"/>
      <x:c r="H1" s="2"/>
      <x:c r="I1" s="2"/>
      <x:c r="J1" s="2"/>
      <x:c r="K1" s="3"/>
      <x:c r="L1" s="3"/>
      <x:c r="M1" s="3"/>
      <x:c r="N1" s="3"/>
      <x:c r="O1" s="3"/>
      <x:c r="P1" s="3"/>
      <x:c r="Q1" s="3"/>
      <x:c r="R1" s="3"/>
      <x:c r="S1" s="3"/>
      <x:c r="T1" s="3"/>
      <x:c r="U1" s="3"/>
    </x:row>
    <x:row r="2" s="1" customFormat="1" ht="12.75" hidden="0" customHeight="1">
      <x:c r="A2" s="6"/>
      <x:c r="B2" s="6"/>
      <x:c r="C2" s="6"/>
      <x:c r="D2" s="6"/>
      <x:c r="E2" s="6"/>
      <x:c r="F2" s="6"/>
      <x:c r="G2" s="6"/>
      <x:c r="H2" s="6"/>
      <x:c r="I2" s="6"/>
      <x:c r="J2" s="6"/>
      <x:c r="K2" s="6"/>
      <x:c r="L2" s="6"/>
      <x:c r="M2" s="6"/>
      <x:c r="N2" s="6"/>
      <x:c r="O2" s="6"/>
      <x:c r="P2" s="6"/>
      <x:c r="Q2" s="6"/>
      <x:c r="R2" s="6"/>
      <x:c r="S2" s="6"/>
      <x:c r="T2" s="6"/>
      <x:c r="U2" s="6"/>
    </x:row>
    <x:row r="3" s="1" customFormat="1" ht="14.25" hidden="0" customHeight="1">
      <x:c r="A3" s="7" t="s">
        <x:v>1760</x:v>
      </x:c>
      <x:c r="B3" s="6"/>
      <x:c r="C3" s="6"/>
      <x:c r="D3" s="6"/>
      <x:c r="E3" s="6"/>
      <x:c r="F3" s="6"/>
      <x:c r="G3" s="6"/>
      <x:c r="H3" s="6"/>
      <x:c r="I3" s="6"/>
      <x:c r="J3" s="6"/>
      <x:c r="K3" s="6"/>
      <x:c r="L3" s="6"/>
      <x:c r="M3" s="6"/>
      <x:c r="N3" s="6"/>
      <x:c r="O3" s="6"/>
      <x:c r="P3" s="6"/>
      <x:c r="Q3" s="6"/>
      <x:c r="R3" s="6"/>
      <x:c r="S3" s="6"/>
      <x:c r="T3" s="6"/>
      <x:c r="U3" s="6"/>
    </x:row>
    <x:row r="4" s="1" customFormat="1" ht="14.25" hidden="0" customHeight="1">
      <x:c r="A4" s="7" t="s">
        <x:v>1761</x:v>
      </x:c>
      <x:c r="B4" s="6"/>
      <x:c r="C4" s="6"/>
      <x:c r="D4" s="6"/>
      <x:c r="E4" s="6"/>
      <x:c r="F4" s="6"/>
      <x:c r="G4" s="6"/>
      <x:c r="H4" s="6"/>
      <x:c r="I4" s="6"/>
      <x:c r="J4" s="6"/>
      <x:c r="K4" s="6"/>
      <x:c r="L4" s="6"/>
      <x:c r="M4" s="6"/>
      <x:c r="N4" s="6"/>
      <x:c r="O4" s="6"/>
      <x:c r="P4" s="6"/>
      <x:c r="Q4" s="6"/>
      <x:c r="R4" s="6"/>
      <x:c r="S4" s="6"/>
      <x:c r="T4" s="6"/>
      <x:c r="U4" s="6"/>
    </x:row>
    <x:row r="5" s="1" customFormat="1" ht="12.75" hidden="0" customHeight="1">
      <x:c r="A5" s="6"/>
      <x:c r="B5" s="6"/>
      <x:c r="C5" s="6"/>
      <x:c r="D5" s="6"/>
      <x:c r="E5" s="6"/>
      <x:c r="F5" s="6"/>
      <x:c r="G5" s="6"/>
      <x:c r="H5" s="6"/>
      <x:c r="I5" s="6"/>
      <x:c r="J5" s="6"/>
      <x:c r="K5" s="6"/>
      <x:c r="L5" s="6"/>
      <x:c r="M5" s="6"/>
      <x:c r="N5" s="6"/>
      <x:c r="O5" s="6"/>
      <x:c r="P5" s="6"/>
      <x:c r="Q5" s="6"/>
      <x:c r="R5" s="6"/>
      <x:c r="S5" s="6"/>
      <x:c r="T5" s="6"/>
      <x:c r="U5" s="6"/>
    </x:row>
    <x:row r="6" s="1" customFormat="1" ht="14.25" hidden="0" customHeight="1">
      <x:c r="A6" s="7" t="s">
        <x:v>1762</x:v>
      </x:c>
      <x:c r="B6" s="6"/>
      <x:c r="C6" s="6"/>
      <x:c r="D6" s="6"/>
      <x:c r="E6" s="6"/>
      <x:c r="F6" s="6"/>
      <x:c r="G6" s="6"/>
      <x:c r="H6" s="6"/>
      <x:c r="I6" s="6"/>
      <x:c r="J6" s="6"/>
      <x:c r="K6" s="6"/>
      <x:c r="L6" s="6"/>
      <x:c r="M6" s="6"/>
      <x:c r="N6" s="6"/>
      <x:c r="O6" s="6"/>
      <x:c r="P6" s="6"/>
      <x:c r="Q6" s="6"/>
      <x:c r="R6" s="6"/>
      <x:c r="S6" s="6"/>
      <x:c r="T6" s="6"/>
      <x:c r="U6" s="6"/>
    </x:row>
    <x:row r="7" s="1" customFormat="1" ht="14.25" hidden="0" customHeight="1">
      <x:c r="A7" s="7" t="s">
        <x:v>1763</x:v>
      </x:c>
      <x:c r="B7" s="8" t="n">
        <x:v>0.95</x:v>
      </x:c>
      <x:c r="C7" s="6"/>
      <x:c r="D7" s="6"/>
      <x:c r="E7" s="6"/>
      <x:c r="F7" s="6"/>
      <x:c r="G7" s="6"/>
      <x:c r="H7" s="89"/>
      <x:c r="I7" s="6"/>
      <x:c r="J7" s="6" t="str">
        <x:v>BUILD-TIME SOURCE: Option A</x:v>
      </x:c>
      <x:c r="K7" s="6"/>
      <x:c r="L7" s="6"/>
      <x:c r="M7" s="8" t="s">
        <x:v>1764</x:v>
      </x:c>
      <x:c r="N7" s="8" t="s">
        <x:v>1765</x:v>
      </x:c>
      <x:c r="O7" s="6"/>
      <x:c r="P7" s="8" t="str">
        <x:v>BUILD-TIME SORTED OUTPUT</x:v>
      </x:c>
      <x:c r="Q7" s="6"/>
      <x:c r="R7" s="6"/>
      <x:c r="S7" s="6"/>
      <x:c r="T7" s="6"/>
      <x:c r="U7" s="6"/>
    </x:row>
    <x:row r="8" s="1" customFormat="1" ht="14.25" hidden="0" customHeight="1">
      <x:c r="A8" s="7" t="s">
        <x:v>1766</x:v>
      </x:c>
      <x:c r="B8" s="5" t="n">
        <x:v>0.05</x:v>
      </x:c>
      <x:c r="C8" s="6"/>
      <x:c r="D8" s="6"/>
      <x:c r="E8" s="6"/>
      <x:c r="F8" s="6"/>
      <x:c r="G8" s="6"/>
      <x:c r="H8" s="6"/>
      <x:c r="I8" s="6"/>
      <x:c r="J8" s="6" t="s">
        <x:v>1148</x:v>
      </x:c>
      <x:c r="K8" s="6" t="n">
        <x:v>0.6</x:v>
      </x:c>
      <x:c r="L8" s="89" t="n">
        <x:v>0</x:v>
      </x:c>
      <x:c r="M8" s="5" t="n">
        <x:v>8E-006</x:v>
      </x:c>
      <x:c r="N8" s="5" t="n">
        <x:v>7</x:v>
      </x:c>
      <x:c r="O8" s="6"/>
      <x:c r="P8" s="5" t="s">
        <x:v>1135</x:v>
      </x:c>
      <x:c r="Q8" s="5" t="s">
        <x:v>1136</x:v>
      </x:c>
      <x:c r="R8" s="5" t="s">
        <x:v>1137</x:v>
      </x:c>
      <x:c r="S8" s="5" t="s">
        <x:v>1767</x:v>
      </x:c>
      <x:c r="T8" s="5" t="s">
        <x:v>1768</x:v>
      </x:c>
      <x:c r="U8" s="5" t="s">
        <x:v>1769</x:v>
      </x:c>
    </x:row>
    <x:row r="9" s="1" customFormat="1" ht="14.25" hidden="0" customHeight="1">
      <x:c r="A9" s="7" t="s">
        <x:v>1770</x:v>
      </x:c>
      <x:c r="B9" s="56" t="n">
        <x:v>0.2</x:v>
      </x:c>
      <x:c r="C9" s="90"/>
      <x:c r="D9" s="90"/>
      <x:c r="E9" s="90"/>
      <x:c r="F9" s="90"/>
      <x:c r="G9" s="6"/>
      <x:c r="H9" s="6"/>
      <x:c r="I9" s="6"/>
      <x:c r="J9" s="6" t="s">
        <x:v>1154</x:v>
      </x:c>
      <x:c r="K9" s="6" t="n">
        <x:v>0.15</x:v>
      </x:c>
      <x:c r="L9" s="89" t="n">
        <x:v>0.007</x:v>
      </x:c>
      <x:c r="M9" s="8" t="n">
        <x:v>0.007009</x:v>
      </x:c>
      <x:c r="N9" s="8" t="n">
        <x:v>6</x:v>
      </x:c>
      <x:c r="O9" s="6"/>
      <x:c r="P9" s="8" t="s">
        <x:v>1172</x:v>
      </x:c>
      <x:c r="Q9" s="8" t="n">
        <x:v>0.03</x:v>
      </x:c>
      <x:c r="R9" s="8" t="n">
        <x:v>0.0235</x:v>
      </x:c>
      <x:c r="S9" s="8" t="n">
        <x:v>0.03</x:v>
      </x:c>
      <x:c r="T9" s="6" t="n">
        <x:v>0.03</x:v>
      </x:c>
      <x:c r="U9" s="8" t="n">
        <x:v>0.000705</x:v>
      </x:c>
    </x:row>
    <x:row r="10" s="1" customFormat="1" ht="14.25" hidden="0" customHeight="1">
      <x:c r="A10" s="7" t="s">
        <x:v>1771</x:v>
      </x:c>
      <x:c r="B10" s="5" t="s">
        <x:v>227</x:v>
      </x:c>
      <x:c r="C10" s="6"/>
      <x:c r="D10" s="6"/>
      <x:c r="E10" s="6"/>
      <x:c r="F10" s="6"/>
      <x:c r="G10" s="6"/>
      <x:c r="H10" s="6"/>
      <x:c r="I10" s="6"/>
      <x:c r="J10" s="6" t="s">
        <x:v>1158</x:v>
      </x:c>
      <x:c r="K10" s="6" t="n">
        <x:v>0.08</x:v>
      </x:c>
      <x:c r="L10" s="89" t="n">
        <x:v>0.0175</x:v>
      </x:c>
      <x:c r="M10" s="5" t="n">
        <x:v>0.01751</x:v>
      </x:c>
      <x:c r="N10" s="5" t="n">
        <x:v>3</x:v>
      </x:c>
      <x:c r="O10" s="6"/>
      <x:c r="P10" s="5" t="s">
        <x:v>1163</x:v>
      </x:c>
      <x:c r="Q10" s="5" t="n">
        <x:v>0.07</x:v>
      </x:c>
      <x:c r="R10" s="5" t="n">
        <x:v>0.0195</x:v>
      </x:c>
      <x:c r="S10" s="5" t="n">
        <x:v>0.1</x:v>
      </x:c>
      <x:c r="T10" s="6" t="n">
        <x:v>0.02</x:v>
      </x:c>
      <x:c r="U10" s="5" t="n">
        <x:v>0.00039</x:v>
      </x:c>
    </x:row>
    <x:row r="11" s="1" customFormat="1" ht="14.25" hidden="0" customHeight="1">
      <x:c r="A11" s="6"/>
      <x:c r="B11" s="6"/>
      <x:c r="C11" s="6"/>
      <x:c r="D11" s="6"/>
      <x:c r="E11" s="6"/>
      <x:c r="F11" s="6"/>
      <x:c r="G11" s="6"/>
      <x:c r="H11" s="6"/>
      <x:c r="I11" s="6"/>
      <x:c r="J11" s="6" t="s">
        <x:v>1163</x:v>
      </x:c>
      <x:c r="K11" s="6" t="n">
        <x:v>0.07</x:v>
      </x:c>
      <x:c r="L11" s="89" t="n">
        <x:v>0.0195</x:v>
      </x:c>
      <x:c r="M11" s="8" t="n">
        <x:v>0.019511</x:v>
      </x:c>
      <x:c r="N11" s="8" t="n">
        <x:v>2</x:v>
      </x:c>
      <x:c r="O11" s="6"/>
      <x:c r="P11" s="8" t="s">
        <x:v>1158</x:v>
      </x:c>
      <x:c r="Q11" s="8" t="n">
        <x:v>0.08</x:v>
      </x:c>
      <x:c r="R11" s="8" t="n">
        <x:v>0.0175</x:v>
      </x:c>
      <x:c r="S11" s="8" t="n">
        <x:v>0.18</x:v>
      </x:c>
      <x:c r="T11" s="6" t="n">
        <x:v>0</x:v>
      </x:c>
      <x:c r="U11" s="8" t="n">
        <x:v>0</x:v>
      </x:c>
    </x:row>
    <x:row r="12" s="1" customFormat="1" ht="14.25" hidden="0" customHeight="1">
      <x:c r="A12" s="7" t="s">
        <x:v>1772</x:v>
      </x:c>
      <x:c r="B12" s="6"/>
      <x:c r="C12" s="6"/>
      <x:c r="D12" s="6"/>
      <x:c r="E12" s="6"/>
      <x:c r="F12" s="6"/>
      <x:c r="G12" s="6"/>
      <x:c r="H12" s="6"/>
      <x:c r="I12" s="6"/>
      <x:c r="J12" s="6" t="s">
        <x:v>1168</x:v>
      </x:c>
      <x:c r="K12" s="6" t="n">
        <x:v>0.05</x:v>
      </x:c>
      <x:c r="L12" s="89" t="n">
        <x:v>0.0135</x:v>
      </x:c>
      <x:c r="M12" s="5" t="n">
        <x:v>0.013512</x:v>
      </x:c>
      <x:c r="N12" s="5" t="n">
        <x:v>4</x:v>
      </x:c>
      <x:c r="O12" s="6"/>
      <x:c r="P12" s="5" t="s">
        <x:v>1168</x:v>
      </x:c>
      <x:c r="Q12" s="5" t="n">
        <x:v>0.05</x:v>
      </x:c>
      <x:c r="R12" s="5" t="n">
        <x:v>0.0135</x:v>
      </x:c>
      <x:c r="S12" s="5" t="n">
        <x:v>0.23</x:v>
      </x:c>
      <x:c r="T12" s="6" t="n">
        <x:v>0</x:v>
      </x:c>
      <x:c r="U12" s="5" t="n">
        <x:v>0</x:v>
      </x:c>
    </x:row>
    <x:row r="13" s="1" customFormat="1" ht="14.25" hidden="0" customHeight="1">
      <x:c r="A13" s="7" t="str">
        <x:v>Step 1: Sorted losses (release build)</x:v>
      </x:c>
      <x:c r="B13" s="6"/>
      <x:c r="C13" s="6"/>
      <x:c r="D13" s="6"/>
      <x:c r="E13" s="6"/>
      <x:c r="F13" s="6"/>
      <x:c r="G13" s="6"/>
      <x:c r="H13" s="6"/>
      <x:c r="I13" s="6"/>
      <x:c r="J13" s="6" t="s">
        <x:v>1172</x:v>
      </x:c>
      <x:c r="K13" s="6" t="n">
        <x:v>0.03</x:v>
      </x:c>
      <x:c r="L13" s="89" t="n">
        <x:v>0.0235</x:v>
      </x:c>
      <x:c r="M13" s="8" t="n">
        <x:v>0.023513</x:v>
      </x:c>
      <x:c r="N13" s="8" t="n">
        <x:v>1</x:v>
      </x:c>
      <x:c r="O13" s="6"/>
      <x:c r="P13" s="8" t="s">
        <x:v>1176</x:v>
      </x:c>
      <x:c r="Q13" s="8" t="n">
        <x:v>0.02</x:v>
      </x:c>
      <x:c r="R13" s="8" t="n">
        <x:v>0.01</x:v>
      </x:c>
      <x:c r="S13" s="8" t="n">
        <x:v>0.25</x:v>
      </x:c>
      <x:c r="T13" s="6" t="n">
        <x:v>0</x:v>
      </x:c>
      <x:c r="U13" s="8" t="n">
        <x:v>0</x:v>
      </x:c>
    </x:row>
    <x:row r="14" s="1" customFormat="1" ht="14.25" hidden="0" customHeight="1">
      <x:c r="A14" s="7" t="s">
        <x:v>1765</x:v>
      </x:c>
      <x:c r="B14" s="5" t="s">
        <x:v>1135</x:v>
      </x:c>
      <x:c r="C14" s="5" t="s">
        <x:v>1137</x:v>
      </x:c>
      <x:c r="D14" s="5" t="s">
        <x:v>1136</x:v>
      </x:c>
      <x:c r="E14" s="5" t="s">
        <x:v>1767</x:v>
      </x:c>
      <x:c r="F14" s="5" t="s">
        <x:v>1773</x:v>
      </x:c>
      <x:c r="G14" s="5" t="s">
        <x:v>1774</x:v>
      </x:c>
      <x:c r="H14" s="5" t="s">
        <x:v>1775</x:v>
      </x:c>
      <x:c r="I14" s="6"/>
      <x:c r="J14" s="6" t="s">
        <x:v>1176</x:v>
      </x:c>
      <x:c r="K14" s="6" t="n">
        <x:v>0.02</x:v>
      </x:c>
      <x:c r="L14" s="89" t="n">
        <x:v>0.01</x:v>
      </x:c>
      <x:c r="M14" s="5" t="n">
        <x:v>0.010014</x:v>
      </x:c>
      <x:c r="N14" s="5" t="n">
        <x:v>5</x:v>
      </x:c>
      <x:c r="O14" s="6"/>
      <x:c r="P14" s="5" t="s">
        <x:v>1154</x:v>
      </x:c>
      <x:c r="Q14" s="5" t="n">
        <x:v>0.15</x:v>
      </x:c>
      <x:c r="R14" s="5" t="n">
        <x:v>0.007</x:v>
      </x:c>
      <x:c r="S14" s="5" t="n">
        <x:v>0.4</x:v>
      </x:c>
      <x:c r="T14" s="6" t="n">
        <x:v>0</x:v>
      </x:c>
      <x:c r="U14" s="5" t="n">
        <x:v>0</x:v>
      </x:c>
    </x:row>
    <x:row r="15" s="1" customFormat="1" ht="14.25" hidden="0" customHeight="1">
      <x:c r="A15" s="7" t="n">
        <x:v>1</x:v>
      </x:c>
      <x:c r="B15" s="8" t="s">
        <x:v>1172</x:v>
      </x:c>
      <x:c r="C15" s="8" t="n">
        <x:v>0.0235</x:v>
      </x:c>
      <x:c r="D15" s="8" t="n">
        <x:v>0.03</x:v>
      </x:c>
      <x:c r="E15" s="8" t="n">
        <x:v>0.03</x:v>
      </x:c>
      <x:c r="F15" s="8" t="s">
        <x:v>1776</x:v>
      </x:c>
      <x:c r="G15" s="8" t="n">
        <x:v>0.03</x:v>
      </x:c>
      <x:c r="H15" s="70" t="n">
        <x:v>0.000705</x:v>
      </x:c>
      <x:c r="I15" s="6"/>
      <x:c r="J15" s="6"/>
      <x:c r="K15" s="6"/>
      <x:c r="L15" s="6"/>
      <x:c r="M15" s="6"/>
      <x:c r="N15" s="6"/>
      <x:c r="O15" s="6"/>
      <x:c r="P15" s="8" t="s">
        <x:v>1148</x:v>
      </x:c>
      <x:c r="Q15" s="8" t="n">
        <x:v>0.6</x:v>
      </x:c>
      <x:c r="R15" s="8" t="n">
        <x:v>0</x:v>
      </x:c>
      <x:c r="S15" s="8" t="n">
        <x:v>1</x:v>
      </x:c>
      <x:c r="T15" s="6" t="n">
        <x:v>0</x:v>
      </x:c>
      <x:c r="U15" s="8" t="n">
        <x:v>0</x:v>
      </x:c>
    </x:row>
    <x:row r="16" s="1" customFormat="1" ht="14.25" hidden="0" customHeight="1">
      <x:c r="A16" s="7" t="n">
        <x:v>2</x:v>
      </x:c>
      <x:c r="B16" s="5" t="s">
        <x:v>1163</x:v>
      </x:c>
      <x:c r="C16" s="5" t="n">
        <x:v>0.0195</x:v>
      </x:c>
      <x:c r="D16" s="5" t="n">
        <x:v>0.07</x:v>
      </x:c>
      <x:c r="E16" s="5" t="n">
        <x:v>0.1</x:v>
      </x:c>
      <x:c r="F16" s="5" t="s">
        <x:v>1776</x:v>
      </x:c>
      <x:c r="G16" s="5" t="n">
        <x:v>0.02</x:v>
      </x:c>
      <x:c r="H16" s="5" t="n">
        <x:v>0.00039</x:v>
      </x:c>
      <x:c r="I16" s="6"/>
      <x:c r="J16" s="6"/>
      <x:c r="K16" s="6"/>
      <x:c r="L16" s="6"/>
      <x:c r="M16" s="6"/>
      <x:c r="N16" s="6"/>
      <x:c r="O16" s="6"/>
      <x:c r="P16" s="6"/>
      <x:c r="Q16" s="6"/>
      <x:c r="R16" s="6"/>
      <x:c r="S16" s="6"/>
      <x:c r="T16" s="6"/>
      <x:c r="U16" s="6"/>
    </x:row>
    <x:row r="17" s="1" customFormat="1" ht="14.25" hidden="0" customHeight="1">
      <x:c r="A17" s="7" t="n">
        <x:v>3</x:v>
      </x:c>
      <x:c r="B17" s="8" t="s">
        <x:v>1158</x:v>
      </x:c>
      <x:c r="C17" s="8" t="n">
        <x:v>0.0175</x:v>
      </x:c>
      <x:c r="D17" s="8" t="n">
        <x:v>0.08</x:v>
      </x:c>
      <x:c r="E17" s="8" t="n">
        <x:v>0.18</x:v>
      </x:c>
      <x:c r="F17" s="8" t="s">
        <x:v>233</x:v>
      </x:c>
      <x:c r="G17" s="8" t="n">
        <x:v>0</x:v>
      </x:c>
      <x:c r="H17" s="8" t="n">
        <x:v>0</x:v>
      </x:c>
      <x:c r="I17" s="6"/>
      <x:c r="J17" s="6"/>
      <x:c r="K17" s="6"/>
      <x:c r="L17" s="6"/>
      <x:c r="M17" s="6"/>
      <x:c r="N17" s="6"/>
      <x:c r="O17" s="6"/>
      <x:c r="P17" s="6"/>
      <x:c r="Q17" s="6"/>
      <x:c r="R17" s="6"/>
      <x:c r="S17" s="6"/>
      <x:c r="T17" s="6"/>
      <x:c r="U17" s="6"/>
    </x:row>
    <x:row r="18" s="1" customFormat="1" ht="14.25" hidden="0" customHeight="1">
      <x:c r="A18" s="7" t="n">
        <x:v>4</x:v>
      </x:c>
      <x:c r="B18" s="5" t="s">
        <x:v>1168</x:v>
      </x:c>
      <x:c r="C18" s="5" t="n">
        <x:v>0.0135</x:v>
      </x:c>
      <x:c r="D18" s="5" t="n">
        <x:v>0.05</x:v>
      </x:c>
      <x:c r="E18" s="5" t="n">
        <x:v>0.23</x:v>
      </x:c>
      <x:c r="F18" s="5" t="s">
        <x:v>233</x:v>
      </x:c>
      <x:c r="G18" s="5" t="n">
        <x:v>0</x:v>
      </x:c>
      <x:c r="H18" s="5" t="n">
        <x:v>0</x:v>
      </x:c>
      <x:c r="I18" s="6"/>
      <x:c r="J18" s="6" t="str">
        <x:v>BUILD-TIME SOURCE: Option B</x:v>
      </x:c>
      <x:c r="K18" s="6"/>
      <x:c r="L18" s="6"/>
      <x:c r="M18" s="5" t="s">
        <x:v>1764</x:v>
      </x:c>
      <x:c r="N18" s="5" t="s">
        <x:v>1765</x:v>
      </x:c>
      <x:c r="O18" s="6"/>
      <x:c r="P18" s="5" t="str">
        <x:v>BUILD-TIME SORTED OUTPUT</x:v>
      </x:c>
      <x:c r="Q18" s="6"/>
      <x:c r="R18" s="6"/>
      <x:c r="S18" s="6"/>
      <x:c r="T18" s="6"/>
      <x:c r="U18" s="6"/>
    </x:row>
    <x:row r="19" s="1" customFormat="1" ht="14.25" hidden="0" customHeight="1">
      <x:c r="A19" s="7" t="n">
        <x:v>5</x:v>
      </x:c>
      <x:c r="B19" s="8" t="s">
        <x:v>1176</x:v>
      </x:c>
      <x:c r="C19" s="8" t="n">
        <x:v>0.01</x:v>
      </x:c>
      <x:c r="D19" s="8" t="n">
        <x:v>0.02</x:v>
      </x:c>
      <x:c r="E19" s="8" t="n">
        <x:v>0.25</x:v>
      </x:c>
      <x:c r="F19" s="8" t="s">
        <x:v>233</x:v>
      </x:c>
      <x:c r="G19" s="8" t="n">
        <x:v>0</x:v>
      </x:c>
      <x:c r="H19" s="8" t="n">
        <x:v>0</x:v>
      </x:c>
      <x:c r="I19" s="6"/>
      <x:c r="J19" s="6" t="s">
        <x:v>1148</x:v>
      </x:c>
      <x:c r="K19" s="6" t="n">
        <x:v>0.6</x:v>
      </x:c>
      <x:c r="L19" s="89" t="n">
        <x:v>0.00357385</x:v>
      </x:c>
      <x:c r="M19" s="8" t="n">
        <x:v>0.00359285</x:v>
      </x:c>
      <x:c r="N19" s="8" t="n">
        <x:v>7</x:v>
      </x:c>
      <x:c r="O19" s="6"/>
      <x:c r="P19" s="8" t="s">
        <x:v>1135</x:v>
      </x:c>
      <x:c r="Q19" s="8" t="s">
        <x:v>1136</x:v>
      </x:c>
      <x:c r="R19" s="8" t="s">
        <x:v>1137</x:v>
      </x:c>
      <x:c r="S19" s="8" t="s">
        <x:v>1767</x:v>
      </x:c>
      <x:c r="T19" s="8" t="s">
        <x:v>1768</x:v>
      </x:c>
      <x:c r="U19" s="8" t="s">
        <x:v>1769</x:v>
      </x:c>
    </x:row>
    <x:row r="20" s="1" customFormat="1" ht="14.25" hidden="0" customHeight="1">
      <x:c r="A20" s="7" t="n">
        <x:v>6</x:v>
      </x:c>
      <x:c r="B20" s="5" t="s">
        <x:v>1154</x:v>
      </x:c>
      <x:c r="C20" s="5" t="n">
        <x:v>0.007</x:v>
      </x:c>
      <x:c r="D20" s="5" t="n">
        <x:v>0.15</x:v>
      </x:c>
      <x:c r="E20" s="5" t="n">
        <x:v>0.4</x:v>
      </x:c>
      <x:c r="F20" s="5" t="s">
        <x:v>233</x:v>
      </x:c>
      <x:c r="G20" s="5" t="n">
        <x:v>0</x:v>
      </x:c>
      <x:c r="H20" s="5" t="n">
        <x:v>0</x:v>
      </x:c>
      <x:c r="I20" s="6"/>
      <x:c r="J20" s="6" t="s">
        <x:v>1154</x:v>
      </x:c>
      <x:c r="K20" s="6" t="n">
        <x:v>0.15</x:v>
      </x:c>
      <x:c r="L20" s="89" t="n">
        <x:v>0.0105</x:v>
      </x:c>
      <x:c r="M20" s="5" t="n">
        <x:v>0.01052</x:v>
      </x:c>
      <x:c r="N20" s="5" t="n">
        <x:v>5</x:v>
      </x:c>
      <x:c r="O20" s="6"/>
      <x:c r="P20" s="5" t="s">
        <x:v>1158</x:v>
      </x:c>
      <x:c r="Q20" s="5" t="n">
        <x:v>0.08</x:v>
      </x:c>
      <x:c r="R20" s="5" t="n">
        <x:v>0.0315</x:v>
      </x:c>
      <x:c r="S20" s="5" t="n">
        <x:v>0.08</x:v>
      </x:c>
      <x:c r="T20" s="6" t="n">
        <x:v>0.05</x:v>
      </x:c>
      <x:c r="U20" s="5" t="n">
        <x:v>0.001575</x:v>
      </x:c>
    </x:row>
    <x:row r="21" s="1" customFormat="1" ht="14.25" hidden="0" customHeight="1">
      <x:c r="A21" s="7" t="n">
        <x:v>7</x:v>
      </x:c>
      <x:c r="B21" s="8" t="s">
        <x:v>1148</x:v>
      </x:c>
      <x:c r="C21" s="8" t="n">
        <x:v>0</x:v>
      </x:c>
      <x:c r="D21" s="8" t="n">
        <x:v>0.6</x:v>
      </x:c>
      <x:c r="E21" s="8" t="n">
        <x:v>1</x:v>
      </x:c>
      <x:c r="F21" s="8" t="s">
        <x:v>233</x:v>
      </x:c>
      <x:c r="G21" s="8" t="n">
        <x:v>0</x:v>
      </x:c>
      <x:c r="H21" s="8" t="n">
        <x:v>0</x:v>
      </x:c>
      <x:c r="I21" s="6"/>
      <x:c r="J21" s="6" t="s">
        <x:v>1158</x:v>
      </x:c>
      <x:c r="K21" s="6" t="n">
        <x:v>0.08</x:v>
      </x:c>
      <x:c r="L21" s="89" t="n">
        <x:v>0.0315</x:v>
      </x:c>
      <x:c r="M21" s="8" t="n">
        <x:v>0.031521</x:v>
      </x:c>
      <x:c r="N21" s="8" t="n">
        <x:v>1</x:v>
      </x:c>
      <x:c r="O21" s="6"/>
      <x:c r="P21" s="8" t="s">
        <x:v>1163</x:v>
      </x:c>
      <x:c r="Q21" s="8" t="n">
        <x:v>0.07</x:v>
      </x:c>
      <x:c r="R21" s="8" t="n">
        <x:v>0.0235</x:v>
      </x:c>
      <x:c r="S21" s="8" t="n">
        <x:v>0.15</x:v>
      </x:c>
      <x:c r="T21" s="6" t="n">
        <x:v>0</x:v>
      </x:c>
      <x:c r="U21" s="8" t="n">
        <x:v>0</x:v>
      </x:c>
    </x:row>
    <x:row r="22" s="1" customFormat="1" ht="14.25" hidden="0" customHeight="1">
      <x:c r="A22" s="90"/>
      <x:c r="B22" s="90"/>
      <x:c r="C22" s="90"/>
      <x:c r="D22" s="90"/>
      <x:c r="E22" s="90"/>
      <x:c r="F22" s="90"/>
      <x:c r="G22" s="6"/>
      <x:c r="H22" s="6"/>
      <x:c r="I22" s="6"/>
      <x:c r="J22" s="6" t="s">
        <x:v>1163</x:v>
      </x:c>
      <x:c r="K22" s="6" t="n">
        <x:v>0.07</x:v>
      </x:c>
      <x:c r="L22" s="89" t="n">
        <x:v>0.0235</x:v>
      </x:c>
      <x:c r="M22" s="5" t="n">
        <x:v>0.023522</x:v>
      </x:c>
      <x:c r="N22" s="5" t="n">
        <x:v>2</x:v>
      </x:c>
      <x:c r="O22" s="6"/>
      <x:c r="P22" s="5" t="s">
        <x:v>1172</x:v>
      </x:c>
      <x:c r="Q22" s="5" t="n">
        <x:v>0.03</x:v>
      </x:c>
      <x:c r="R22" s="5" t="n">
        <x:v>0.02175</x:v>
      </x:c>
      <x:c r="S22" s="5" t="n">
        <x:v>0.18</x:v>
      </x:c>
      <x:c r="T22" s="6" t="n">
        <x:v>0</x:v>
      </x:c>
      <x:c r="U22" s="5" t="n">
        <x:v>0</x:v>
      </x:c>
    </x:row>
    <x:row r="23" s="1" customFormat="1" ht="14.25" hidden="0" customHeight="1">
      <x:c r="A23" s="7" t="str">
        <x:v>Step 2: CVaR_A (release build)</x:v>
      </x:c>
      <x:c r="B23" s="6"/>
      <x:c r="C23" s="6"/>
      <x:c r="D23" s="6"/>
      <x:c r="E23" s="6"/>
      <x:c r="F23" s="6"/>
      <x:c r="G23" s="6"/>
      <x:c r="H23" s="6"/>
      <x:c r="I23" s="6"/>
      <x:c r="J23" s="6" t="s">
        <x:v>1168</x:v>
      </x:c>
      <x:c r="K23" s="6" t="n">
        <x:v>0.05</x:v>
      </x:c>
      <x:c r="L23" s="89" t="n">
        <x:v>0.0135</x:v>
      </x:c>
      <x:c r="M23" s="8" t="n">
        <x:v>0.013523</x:v>
      </x:c>
      <x:c r="N23" s="8" t="n">
        <x:v>4</x:v>
      </x:c>
      <x:c r="O23" s="6"/>
      <x:c r="P23" s="8" t="s">
        <x:v>1168</x:v>
      </x:c>
      <x:c r="Q23" s="8" t="n">
        <x:v>0.05</x:v>
      </x:c>
      <x:c r="R23" s="8" t="n">
        <x:v>0.0135</x:v>
      </x:c>
      <x:c r="S23" s="8" t="n">
        <x:v>0.23</x:v>
      </x:c>
      <x:c r="T23" s="6" t="n">
        <x:v>0</x:v>
      </x:c>
      <x:c r="U23" s="8" t="n">
        <x:v>0</x:v>
      </x:c>
    </x:row>
    <x:row r="24" s="1" customFormat="1" ht="14.25" hidden="0" customHeight="1">
      <x:c r="A24" s="7" t="s">
        <x:v>1777</x:v>
      </x:c>
      <x:c r="B24" s="5" t="n">
        <x:v>0.001095</x:v>
      </x:c>
      <x:c r="C24" s="6"/>
      <x:c r="D24" s="6"/>
      <x:c r="E24" s="6"/>
      <x:c r="F24" s="6"/>
      <x:c r="G24" s="6"/>
      <x:c r="H24" s="6"/>
      <x:c r="I24" s="6"/>
      <x:c r="J24" s="6" t="s">
        <x:v>1172</x:v>
      </x:c>
      <x:c r="K24" s="6" t="n">
        <x:v>0.03</x:v>
      </x:c>
      <x:c r="L24" s="89" t="n">
        <x:v>0.02175</x:v>
      </x:c>
      <x:c r="M24" s="5" t="n">
        <x:v>0.021774</x:v>
      </x:c>
      <x:c r="N24" s="5" t="n">
        <x:v>3</x:v>
      </x:c>
      <x:c r="O24" s="6"/>
      <x:c r="P24" s="5" t="s">
        <x:v>1154</x:v>
      </x:c>
      <x:c r="Q24" s="5" t="n">
        <x:v>0.15</x:v>
      </x:c>
      <x:c r="R24" s="5" t="n">
        <x:v>0.0105</x:v>
      </x:c>
      <x:c r="S24" s="5" t="n">
        <x:v>0.38</x:v>
      </x:c>
      <x:c r="T24" s="6" t="n">
        <x:v>0</x:v>
      </x:c>
      <x:c r="U24" s="5" t="n">
        <x:v>0</x:v>
      </x:c>
    </x:row>
    <x:row r="25" s="1" customFormat="1" ht="14.25" hidden="0" customHeight="1">
      <x:c r="A25" s="7" t="s">
        <x:v>1778</x:v>
      </x:c>
      <x:c r="B25" s="8" t="n">
        <x:v>0.0219</x:v>
      </x:c>
      <x:c r="C25" s="6"/>
      <x:c r="D25" s="6"/>
      <x:c r="E25" s="6"/>
      <x:c r="F25" s="6"/>
      <x:c r="G25" s="6"/>
      <x:c r="H25" s="6"/>
      <x:c r="I25" s="6"/>
      <x:c r="J25" s="6" t="s">
        <x:v>1176</x:v>
      </x:c>
      <x:c r="K25" s="6" t="n">
        <x:v>0.02</x:v>
      </x:c>
      <x:c r="L25" s="89" t="n">
        <x:v>0.007</x:v>
      </x:c>
      <x:c r="M25" s="8" t="n">
        <x:v>0.007025</x:v>
      </x:c>
      <x:c r="N25" s="8" t="n">
        <x:v>6</x:v>
      </x:c>
      <x:c r="O25" s="6"/>
      <x:c r="P25" s="8" t="s">
        <x:v>1176</x:v>
      </x:c>
      <x:c r="Q25" s="8" t="n">
        <x:v>0.02</x:v>
      </x:c>
      <x:c r="R25" s="8" t="n">
        <x:v>0.007</x:v>
      </x:c>
      <x:c r="S25" s="8" t="n">
        <x:v>0.4</x:v>
      </x:c>
      <x:c r="T25" s="6" t="n">
        <x:v>0</x:v>
      </x:c>
      <x:c r="U25" s="8" t="n">
        <x:v>0</x:v>
      </x:c>
    </x:row>
    <x:row r="26" s="1" customFormat="1" ht="14.25" hidden="0" customHeight="1">
      <x:c r="A26" s="7" t="s">
        <x:v>1779</x:v>
      </x:c>
      <x:c r="B26" s="5" t="s">
        <x:v>351</x:v>
      </x:c>
      <x:c r="C26" s="5" t="s">
        <x:v>1780</x:v>
      </x:c>
      <x:c r="D26" s="6"/>
      <x:c r="E26" s="6"/>
      <x:c r="F26" s="6"/>
      <x:c r="G26" s="6"/>
      <x:c r="H26" s="6"/>
      <x:c r="I26" s="6"/>
      <x:c r="J26" s="6"/>
      <x:c r="K26" s="6"/>
      <x:c r="L26" s="6"/>
      <x:c r="M26" s="6"/>
      <x:c r="N26" s="6"/>
      <x:c r="O26" s="6"/>
      <x:c r="P26" s="5" t="s">
        <x:v>1148</x:v>
      </x:c>
      <x:c r="Q26" s="5" t="n">
        <x:v>0.6</x:v>
      </x:c>
      <x:c r="R26" s="5" t="n">
        <x:v>0.00357385</x:v>
      </x:c>
      <x:c r="S26" s="5" t="n">
        <x:v>1</x:v>
      </x:c>
      <x:c r="T26" s="6" t="n">
        <x:v>0</x:v>
      </x:c>
      <x:c r="U26" s="5" t="n">
        <x:v>0</x:v>
      </x:c>
    </x:row>
    <x:row r="27" s="1" customFormat="1" ht="12.75" hidden="0" customHeight="1">
      <x:c r="A27" s="6"/>
      <x:c r="B27" s="6"/>
      <x:c r="C27" s="6"/>
      <x:c r="D27" s="6"/>
      <x:c r="E27" s="6"/>
      <x:c r="F27" s="6"/>
      <x:c r="G27" s="6"/>
      <x:c r="H27" s="6"/>
      <x:c r="I27" s="6"/>
      <x:c r="J27" s="6"/>
      <x:c r="K27" s="6"/>
      <x:c r="L27" s="6"/>
      <x:c r="M27" s="6"/>
      <x:c r="N27" s="6"/>
      <x:c r="O27" s="6"/>
      <x:c r="P27" s="6"/>
      <x:c r="Q27" s="6"/>
      <x:c r="R27" s="6"/>
      <x:c r="S27" s="6"/>
      <x:c r="T27" s="6"/>
      <x:c r="U27" s="6"/>
    </x:row>
    <x:row r="28" s="1" customFormat="1" ht="14.25" hidden="0" customHeight="1">
      <x:c r="A28" s="6"/>
      <x:c r="B28" s="6"/>
      <x:c r="C28" s="6"/>
      <x:c r="D28" s="6"/>
      <x:c r="E28" s="6"/>
      <x:c r="F28" s="6"/>
      <x:c r="G28" s="6"/>
      <x:c r="H28" s="89"/>
      <x:c r="I28" s="6"/>
      <x:c r="J28" s="6"/>
      <x:c r="K28" s="6"/>
      <x:c r="L28" s="6"/>
      <x:c r="M28" s="6"/>
      <x:c r="N28" s="6"/>
      <x:c r="O28" s="6"/>
      <x:c r="P28" s="6"/>
      <x:c r="Q28" s="6"/>
      <x:c r="R28" s="6"/>
      <x:c r="S28" s="6"/>
      <x:c r="T28" s="6"/>
      <x:c r="U28" s="6"/>
    </x:row>
    <x:row r="29" s="1" customFormat="1" ht="14.25" hidden="0" customHeight="1">
      <x:c r="A29" s="7" t="s">
        <x:v>1781</x:v>
      </x:c>
      <x:c r="B29" s="6"/>
      <x:c r="C29" s="6"/>
      <x:c r="D29" s="6"/>
      <x:c r="E29" s="6"/>
      <x:c r="F29" s="6"/>
      <x:c r="G29" s="6"/>
      <x:c r="H29" s="6"/>
      <x:c r="I29" s="6"/>
      <x:c r="J29" s="6"/>
      <x:c r="K29" s="6"/>
      <x:c r="L29" s="6"/>
      <x:c r="M29" s="6"/>
      <x:c r="N29" s="6"/>
      <x:c r="O29" s="6"/>
      <x:c r="P29" s="6"/>
      <x:c r="Q29" s="6"/>
      <x:c r="R29" s="6"/>
      <x:c r="S29" s="6"/>
      <x:c r="T29" s="6"/>
      <x:c r="U29" s="6"/>
    </x:row>
    <x:row r="30" s="1" customFormat="1" ht="14.25" hidden="0" customHeight="1">
      <x:c r="A30" s="7" t="s">
        <x:v>1765</x:v>
      </x:c>
      <x:c r="B30" s="5" t="s">
        <x:v>1135</x:v>
      </x:c>
      <x:c r="C30" s="5" t="s">
        <x:v>1137</x:v>
      </x:c>
      <x:c r="D30" s="5" t="s">
        <x:v>1136</x:v>
      </x:c>
      <x:c r="E30" s="5" t="s">
        <x:v>1767</x:v>
      </x:c>
      <x:c r="F30" s="5" t="s">
        <x:v>1773</x:v>
      </x:c>
      <x:c r="G30" s="5" t="s">
        <x:v>1774</x:v>
      </x:c>
      <x:c r="H30" s="5" t="s">
        <x:v>1775</x:v>
      </x:c>
      <x:c r="I30" s="6"/>
      <x:c r="J30" s="6"/>
      <x:c r="K30" s="6"/>
      <x:c r="L30" s="6"/>
      <x:c r="M30" s="6"/>
      <x:c r="N30" s="6"/>
      <x:c r="O30" s="6"/>
      <x:c r="P30" s="6"/>
      <x:c r="Q30" s="6"/>
      <x:c r="R30" s="6"/>
      <x:c r="S30" s="6"/>
      <x:c r="T30" s="6"/>
      <x:c r="U30" s="6"/>
    </x:row>
    <x:row r="31" s="1" customFormat="1" ht="14.25" hidden="0" customHeight="1">
      <x:c r="A31" s="7" t="n">
        <x:v>1</x:v>
      </x:c>
      <x:c r="B31" s="8" t="s">
        <x:v>1158</x:v>
      </x:c>
      <x:c r="C31" s="8" t="n">
        <x:v>0.0315</x:v>
      </x:c>
      <x:c r="D31" s="8" t="n">
        <x:v>0.08</x:v>
      </x:c>
      <x:c r="E31" s="8" t="n">
        <x:v>0.08</x:v>
      </x:c>
      <x:c r="F31" s="8" t="s">
        <x:v>1776</x:v>
      </x:c>
      <x:c r="G31" s="8" t="n">
        <x:v>0.05</x:v>
      </x:c>
      <x:c r="H31" s="8" t="n">
        <x:v>0.001575</x:v>
      </x:c>
      <x:c r="I31" s="6"/>
      <x:c r="J31" s="6"/>
      <x:c r="K31" s="6"/>
      <x:c r="L31" s="6"/>
      <x:c r="M31" s="6"/>
      <x:c r="N31" s="6"/>
      <x:c r="O31" s="6"/>
      <x:c r="P31" s="6"/>
      <x:c r="Q31" s="6"/>
      <x:c r="R31" s="6"/>
      <x:c r="S31" s="6"/>
      <x:c r="T31" s="6"/>
      <x:c r="U31" s="6"/>
    </x:row>
    <x:row r="32" s="1" customFormat="1" ht="14.25" hidden="0" customHeight="1">
      <x:c r="A32" s="7" t="n">
        <x:v>2</x:v>
      </x:c>
      <x:c r="B32" s="5" t="s">
        <x:v>1163</x:v>
      </x:c>
      <x:c r="C32" s="5" t="n">
        <x:v>0.0235</x:v>
      </x:c>
      <x:c r="D32" s="5" t="n">
        <x:v>0.07</x:v>
      </x:c>
      <x:c r="E32" s="5" t="n">
        <x:v>0.15</x:v>
      </x:c>
      <x:c r="F32" s="5" t="s">
        <x:v>233</x:v>
      </x:c>
      <x:c r="G32" s="5" t="n">
        <x:v>0</x:v>
      </x:c>
      <x:c r="H32" s="5" t="n">
        <x:v>0</x:v>
      </x:c>
      <x:c r="I32" s="6"/>
      <x:c r="J32" s="6"/>
      <x:c r="K32" s="6"/>
      <x:c r="L32" s="6"/>
      <x:c r="M32" s="6"/>
      <x:c r="N32" s="6"/>
      <x:c r="O32" s="6"/>
      <x:c r="P32" s="6"/>
      <x:c r="Q32" s="6"/>
      <x:c r="R32" s="6"/>
      <x:c r="S32" s="6"/>
      <x:c r="T32" s="6"/>
      <x:c r="U32" s="6"/>
    </x:row>
    <x:row r="33" s="1" customFormat="1" ht="14.25" hidden="0" customHeight="1">
      <x:c r="A33" s="7" t="n">
        <x:v>3</x:v>
      </x:c>
      <x:c r="B33" s="8" t="s">
        <x:v>1172</x:v>
      </x:c>
      <x:c r="C33" s="8" t="n">
        <x:v>0.02175</x:v>
      </x:c>
      <x:c r="D33" s="8" t="n">
        <x:v>0.03</x:v>
      </x:c>
      <x:c r="E33" s="8" t="n">
        <x:v>0.18</x:v>
      </x:c>
      <x:c r="F33" s="8" t="s">
        <x:v>233</x:v>
      </x:c>
      <x:c r="G33" s="8" t="n">
        <x:v>0</x:v>
      </x:c>
      <x:c r="H33" s="8" t="n">
        <x:v>0</x:v>
      </x:c>
      <x:c r="I33" s="6"/>
      <x:c r="J33" s="6"/>
      <x:c r="K33" s="6"/>
      <x:c r="L33" s="6"/>
      <x:c r="M33" s="6"/>
      <x:c r="N33" s="6"/>
      <x:c r="O33" s="6"/>
      <x:c r="P33" s="6"/>
      <x:c r="Q33" s="6"/>
      <x:c r="R33" s="6"/>
      <x:c r="S33" s="6"/>
      <x:c r="T33" s="6"/>
      <x:c r="U33" s="6"/>
    </x:row>
    <x:row r="34" s="1" customFormat="1" ht="14.25" hidden="0" customHeight="1">
      <x:c r="A34" s="7" t="n">
        <x:v>4</x:v>
      </x:c>
      <x:c r="B34" s="5" t="s">
        <x:v>1168</x:v>
      </x:c>
      <x:c r="C34" s="5" t="n">
        <x:v>0.0135</x:v>
      </x:c>
      <x:c r="D34" s="5" t="n">
        <x:v>0.05</x:v>
      </x:c>
      <x:c r="E34" s="5" t="n">
        <x:v>0.23</x:v>
      </x:c>
      <x:c r="F34" s="5" t="s">
        <x:v>233</x:v>
      </x:c>
      <x:c r="G34" s="5" t="n">
        <x:v>0</x:v>
      </x:c>
      <x:c r="H34" s="5" t="n">
        <x:v>0</x:v>
      </x:c>
      <x:c r="I34" s="6"/>
      <x:c r="J34" s="6"/>
      <x:c r="K34" s="6"/>
      <x:c r="L34" s="6"/>
      <x:c r="M34" s="6"/>
      <x:c r="N34" s="6"/>
      <x:c r="O34" s="6"/>
      <x:c r="P34" s="6"/>
      <x:c r="Q34" s="6"/>
      <x:c r="R34" s="6"/>
      <x:c r="S34" s="6"/>
      <x:c r="T34" s="6"/>
      <x:c r="U34" s="6"/>
    </x:row>
    <x:row r="35" s="1" customFormat="1" ht="14.25" hidden="0" customHeight="1">
      <x:c r="A35" s="7" t="n">
        <x:v>5</x:v>
      </x:c>
      <x:c r="B35" s="8" t="s">
        <x:v>1154</x:v>
      </x:c>
      <x:c r="C35" s="8" t="n">
        <x:v>0.0105</x:v>
      </x:c>
      <x:c r="D35" s="8" t="n">
        <x:v>0.15</x:v>
      </x:c>
      <x:c r="E35" s="8" t="n">
        <x:v>0.38</x:v>
      </x:c>
      <x:c r="F35" s="8" t="s">
        <x:v>233</x:v>
      </x:c>
      <x:c r="G35" s="8" t="n">
        <x:v>0</x:v>
      </x:c>
      <x:c r="H35" s="8" t="n">
        <x:v>0</x:v>
      </x:c>
      <x:c r="I35" s="6"/>
      <x:c r="J35" s="6"/>
      <x:c r="K35" s="6"/>
      <x:c r="L35" s="6"/>
      <x:c r="M35" s="6"/>
      <x:c r="N35" s="6"/>
      <x:c r="O35" s="6"/>
      <x:c r="P35" s="6"/>
      <x:c r="Q35" s="6"/>
      <x:c r="R35" s="6"/>
      <x:c r="S35" s="6"/>
      <x:c r="T35" s="6"/>
      <x:c r="U35" s="6"/>
    </x:row>
    <x:row r="36" s="1" customFormat="1" ht="14.25" hidden="0" customHeight="1">
      <x:c r="A36" s="7" t="n">
        <x:v>6</x:v>
      </x:c>
      <x:c r="B36" s="5" t="s">
        <x:v>1176</x:v>
      </x:c>
      <x:c r="C36" s="5" t="n">
        <x:v>0.007</x:v>
      </x:c>
      <x:c r="D36" s="5" t="n">
        <x:v>0.02</x:v>
      </x:c>
      <x:c r="E36" s="5" t="n">
        <x:v>0.4</x:v>
      </x:c>
      <x:c r="F36" s="5" t="s">
        <x:v>233</x:v>
      </x:c>
      <x:c r="G36" s="5" t="n">
        <x:v>0</x:v>
      </x:c>
      <x:c r="H36" s="5" t="n">
        <x:v>0</x:v>
      </x:c>
      <x:c r="I36" s="6"/>
      <x:c r="J36" s="6"/>
      <x:c r="K36" s="6"/>
      <x:c r="L36" s="6"/>
      <x:c r="M36" s="6"/>
      <x:c r="N36" s="6"/>
      <x:c r="O36" s="6"/>
      <x:c r="P36" s="6"/>
      <x:c r="Q36" s="6"/>
      <x:c r="R36" s="6"/>
      <x:c r="S36" s="6"/>
      <x:c r="T36" s="6"/>
      <x:c r="U36" s="6"/>
    </x:row>
    <x:row r="37" s="1" customFormat="1" ht="14.25" hidden="0" customHeight="1">
      <x:c r="A37" s="7" t="n">
        <x:v>7</x:v>
      </x:c>
      <x:c r="B37" s="8" t="s">
        <x:v>1148</x:v>
      </x:c>
      <x:c r="C37" s="8" t="n">
        <x:v>0.00357385</x:v>
      </x:c>
      <x:c r="D37" s="8" t="n">
        <x:v>0.6</x:v>
      </x:c>
      <x:c r="E37" s="8" t="n">
        <x:v>1</x:v>
      </x:c>
      <x:c r="F37" s="8" t="s">
        <x:v>233</x:v>
      </x:c>
      <x:c r="G37" s="8" t="n">
        <x:v>0</x:v>
      </x:c>
      <x:c r="H37" s="8" t="n">
        <x:v>0</x:v>
      </x:c>
      <x:c r="I37" s="6"/>
      <x:c r="J37" s="6"/>
      <x:c r="K37" s="6"/>
      <x:c r="L37" s="6"/>
      <x:c r="M37" s="6"/>
      <x:c r="N37" s="6"/>
      <x:c r="O37" s="6"/>
      <x:c r="P37" s="6"/>
      <x:c r="Q37" s="6"/>
      <x:c r="R37" s="6"/>
      <x:c r="S37" s="6"/>
      <x:c r="T37" s="6"/>
      <x:c r="U37" s="6"/>
    </x:row>
    <x:row r="38" s="1" customFormat="1" ht="14.25" hidden="0" customHeight="1">
      <x:c r="A38" s="92"/>
      <x:c r="B38" s="6"/>
      <x:c r="C38" s="6"/>
      <x:c r="D38" s="6"/>
      <x:c r="E38" s="6"/>
      <x:c r="F38" s="6"/>
      <x:c r="G38" s="6"/>
      <x:c r="H38" s="6"/>
      <x:c r="I38" s="6"/>
      <x:c r="J38" s="6"/>
      <x:c r="K38" s="6"/>
      <x:c r="L38" s="6"/>
      <x:c r="M38" s="6"/>
      <x:c r="N38" s="6"/>
      <x:c r="O38" s="6"/>
      <x:c r="P38" s="6"/>
      <x:c r="Q38" s="6"/>
      <x:c r="R38" s="6"/>
      <x:c r="S38" s="6"/>
      <x:c r="T38" s="6"/>
      <x:c r="U38" s="6"/>
    </x:row>
    <x:row r="39" s="1" customFormat="1" ht="14.25" hidden="0" customHeight="1">
      <x:c r="A39" s="7" t="str">
        <x:v>Step 2: CVaR_B (release build)</x:v>
      </x:c>
      <x:c r="B39" s="6"/>
      <x:c r="C39" s="6"/>
      <x:c r="D39" s="6"/>
      <x:c r="E39" s="6"/>
      <x:c r="F39" s="6"/>
      <x:c r="G39" s="6"/>
      <x:c r="H39" s="6"/>
      <x:c r="I39" s="6"/>
      <x:c r="J39" s="6"/>
      <x:c r="K39" s="6"/>
      <x:c r="L39" s="6"/>
      <x:c r="M39" s="6"/>
      <x:c r="N39" s="6"/>
      <x:c r="O39" s="6"/>
      <x:c r="P39" s="6"/>
      <x:c r="Q39" s="6"/>
      <x:c r="R39" s="6"/>
      <x:c r="S39" s="6"/>
      <x:c r="T39" s="6"/>
      <x:c r="U39" s="6"/>
    </x:row>
    <x:row r="40" s="1" customFormat="1" ht="14.25" hidden="0" customHeight="1">
      <x:c r="A40" s="7" t="s">
        <x:v>1777</x:v>
      </x:c>
      <x:c r="B40" s="5" t="n">
        <x:v>0.001575</x:v>
      </x:c>
      <x:c r="C40" s="6"/>
      <x:c r="D40" s="6"/>
      <x:c r="E40" s="6"/>
      <x:c r="F40" s="6"/>
      <x:c r="G40" s="6"/>
      <x:c r="H40" s="6"/>
      <x:c r="I40" s="6"/>
      <x:c r="J40" s="6"/>
      <x:c r="K40" s="6"/>
      <x:c r="L40" s="6"/>
      <x:c r="M40" s="6"/>
      <x:c r="N40" s="6"/>
      <x:c r="O40" s="6"/>
      <x:c r="P40" s="6"/>
      <x:c r="Q40" s="6"/>
      <x:c r="R40" s="6"/>
      <x:c r="S40" s="6"/>
      <x:c r="T40" s="6"/>
      <x:c r="U40" s="6"/>
    </x:row>
    <x:row r="41" s="1" customFormat="1" ht="14.25" hidden="0" customHeight="1">
      <x:c r="A41" s="7" t="s">
        <x:v>1782</x:v>
      </x:c>
      <x:c r="B41" s="8" t="n">
        <x:v>0.0315</x:v>
      </x:c>
      <x:c r="C41" s="6"/>
      <x:c r="D41" s="6"/>
      <x:c r="E41" s="6"/>
      <x:c r="F41" s="6"/>
      <x:c r="G41" s="6"/>
      <x:c r="H41" s="6"/>
      <x:c r="I41" s="6"/>
      <x:c r="J41" s="6"/>
      <x:c r="K41" s="6"/>
      <x:c r="L41" s="6"/>
      <x:c r="M41" s="6"/>
      <x:c r="N41" s="6"/>
      <x:c r="O41" s="6"/>
      <x:c r="P41" s="6"/>
      <x:c r="Q41" s="6"/>
      <x:c r="R41" s="6"/>
      <x:c r="S41" s="6"/>
      <x:c r="T41" s="6"/>
      <x:c r="U41" s="6"/>
    </x:row>
    <x:row r="42" s="1" customFormat="1" ht="14.25" hidden="0" customHeight="1">
      <x:c r="A42" s="7" t="s">
        <x:v>1779</x:v>
      </x:c>
      <x:c r="B42" s="5" t="s">
        <x:v>351</x:v>
      </x:c>
      <x:c r="C42" s="5" t="s">
        <x:v>1783</x:v>
      </x:c>
      <x:c r="D42" s="6"/>
      <x:c r="E42" s="6"/>
      <x:c r="F42" s="6"/>
      <x:c r="G42" s="6"/>
      <x:c r="H42" s="6"/>
      <x:c r="I42" s="6"/>
      <x:c r="J42" s="6"/>
      <x:c r="K42" s="6"/>
      <x:c r="L42" s="6"/>
      <x:c r="M42" s="6"/>
      <x:c r="N42" s="6"/>
      <x:c r="O42" s="6"/>
      <x:c r="P42" s="6"/>
      <x:c r="Q42" s="6"/>
      <x:c r="R42" s="6"/>
      <x:c r="S42" s="6"/>
      <x:c r="T42" s="6"/>
      <x:c r="U42" s="6"/>
    </x:row>
    <x:row r="43" s="1" customFormat="1" ht="14.25" hidden="0" customHeight="1">
      <x:c r="A43" s="7"/>
      <x:c r="B43" s="6"/>
      <x:c r="C43" s="6"/>
      <x:c r="D43" s="6"/>
      <x:c r="E43" s="6"/>
      <x:c r="F43" s="6"/>
      <x:c r="G43" s="6"/>
      <x:c r="H43" s="6"/>
      <x:c r="I43" s="6"/>
      <x:c r="J43" s="6"/>
      <x:c r="K43" s="6"/>
      <x:c r="L43" s="6"/>
      <x:c r="M43" s="6"/>
      <x:c r="N43" s="6"/>
      <x:c r="O43" s="6"/>
      <x:c r="P43" s="6"/>
      <x:c r="Q43" s="6"/>
      <x:c r="R43" s="6"/>
      <x:c r="S43" s="6"/>
      <x:c r="T43" s="6"/>
      <x:c r="U43" s="6"/>
    </x:row>
    <x:row r="44" s="1" customFormat="1" ht="12.75" hidden="0" customHeight="1">
      <x:c r="A44" s="6"/>
      <x:c r="B44" s="6"/>
      <x:c r="C44" s="6"/>
      <x:c r="D44" s="6"/>
      <x:c r="E44" s="6"/>
      <x:c r="F44" s="6"/>
      <x:c r="G44" s="6"/>
      <x:c r="H44" s="6"/>
      <x:c r="I44" s="6"/>
      <x:c r="J44" s="6"/>
      <x:c r="K44" s="6"/>
      <x:c r="L44" s="6"/>
      <x:c r="M44" s="6"/>
      <x:c r="N44" s="6"/>
      <x:c r="O44" s="6"/>
      <x:c r="P44" s="6"/>
      <x:c r="Q44" s="6"/>
      <x:c r="R44" s="6"/>
      <x:c r="S44" s="6"/>
      <x:c r="T44" s="6"/>
      <x:c r="U44" s="6"/>
    </x:row>
    <x:row r="45" s="1" customFormat="1" ht="14.25" hidden="0" customHeight="1">
      <x:c r="A45" s="7" t="s">
        <x:v>1784</x:v>
      </x:c>
      <x:c r="B45" s="6"/>
      <x:c r="C45" s="6"/>
      <x:c r="D45" s="6"/>
      <x:c r="E45" s="6"/>
      <x:c r="F45" s="6"/>
      <x:c r="G45" s="6"/>
      <x:c r="H45" s="6"/>
      <x:c r="I45" s="6"/>
      <x:c r="J45" s="6"/>
      <x:c r="K45" s="6"/>
      <x:c r="L45" s="6"/>
      <x:c r="M45" s="6"/>
      <x:c r="N45" s="6"/>
      <x:c r="O45" s="6"/>
      <x:c r="P45" s="6"/>
      <x:c r="Q45" s="6"/>
      <x:c r="R45" s="6"/>
      <x:c r="S45" s="6"/>
      <x:c r="T45" s="6"/>
      <x:c r="U45" s="6"/>
    </x:row>
    <x:row r="46" s="1" customFormat="1" ht="14.25" hidden="0" customHeight="1">
      <x:c r="A46" s="7" t="s">
        <x:v>1785</x:v>
      </x:c>
      <x:c r="B46" s="6"/>
      <x:c r="C46" s="6"/>
      <x:c r="D46" s="6"/>
      <x:c r="E46" s="6"/>
      <x:c r="F46" s="6"/>
      <x:c r="G46" s="6"/>
      <x:c r="H46" s="6"/>
      <x:c r="I46" s="6"/>
      <x:c r="J46" s="6"/>
      <x:c r="K46" s="6"/>
      <x:c r="L46" s="6"/>
      <x:c r="M46" s="6"/>
      <x:c r="N46" s="6"/>
      <x:c r="O46" s="6"/>
      <x:c r="P46" s="6"/>
      <x:c r="Q46" s="6"/>
      <x:c r="R46" s="6"/>
      <x:c r="S46" s="6"/>
      <x:c r="T46" s="6"/>
      <x:c r="U46" s="6"/>
    </x:row>
    <x:row r="47" s="1" customFormat="1" ht="14.25" hidden="0" customHeight="1">
      <x:c r="A47" s="7" t="s">
        <x:v>1786</x:v>
      </x:c>
      <x:c r="B47" s="6"/>
      <x:c r="C47" s="6"/>
      <x:c r="D47" s="6"/>
      <x:c r="E47" s="6"/>
      <x:c r="F47" s="6"/>
      <x:c r="G47" s="6"/>
      <x:c r="H47" s="6"/>
      <x:c r="I47" s="6"/>
      <x:c r="J47" s="6"/>
      <x:c r="K47" s="6"/>
      <x:c r="L47" s="6"/>
      <x:c r="M47" s="6"/>
      <x:c r="N47" s="6"/>
      <x:c r="O47" s="6"/>
      <x:c r="P47" s="6"/>
      <x:c r="Q47" s="6"/>
      <x:c r="R47" s="6"/>
      <x:c r="S47" s="6"/>
      <x:c r="T47" s="6"/>
      <x:c r="U47" s="6"/>
    </x:row>
    <x:row r="48" s="1" customFormat="1" ht="14.25" hidden="0" customHeight="1">
      <x:c r="A48" s="7" t="s">
        <x:v>1787</x:v>
      </x:c>
      <x:c r="B48" s="6"/>
      <x:c r="C48" s="6"/>
      <x:c r="D48" s="6"/>
      <x:c r="E48" s="6"/>
      <x:c r="F48" s="6"/>
      <x:c r="G48" s="6"/>
      <x:c r="H48" s="6"/>
      <x:c r="I48" s="6"/>
      <x:c r="J48" s="6"/>
      <x:c r="K48" s="6"/>
      <x:c r="L48" s="6"/>
      <x:c r="M48" s="6"/>
      <x:c r="N48" s="6"/>
      <x:c r="O48" s="6"/>
      <x:c r="P48" s="6"/>
      <x:c r="Q48" s="6"/>
      <x:c r="R48" s="6"/>
      <x:c r="S48" s="6"/>
      <x:c r="T48" s="6"/>
      <x:c r="U48" s="6"/>
    </x:row>
    <x:row r="49" s="1" customFormat="1" ht="12.75" hidden="0" customHeight="1">
      <x:c r="A49" s="6"/>
      <x:c r="B49" s="6"/>
      <x:c r="C49" s="6"/>
      <x:c r="D49" s="6"/>
      <x:c r="E49" s="6"/>
      <x:c r="F49" s="6"/>
      <x:c r="G49" s="6"/>
      <x:c r="H49" s="6"/>
      <x:c r="I49" s="6"/>
      <x:c r="J49" s="6"/>
      <x:c r="K49" s="6"/>
      <x:c r="L49" s="6"/>
      <x:c r="M49" s="6"/>
      <x:c r="N49" s="6"/>
      <x:c r="O49" s="6"/>
      <x:c r="P49" s="6"/>
      <x:c r="Q49" s="6"/>
      <x:c r="R49" s="6"/>
      <x:c r="S49" s="6"/>
      <x:c r="T49" s="6"/>
      <x:c r="U49" s="6"/>
    </x:row>
    <x:row r="50" s="1" customFormat="1" ht="12.75" hidden="0" customHeight="1">
      <x:c r="A50" s="75" t="s">
        <x:v>1788</x:v>
      </x:c>
      <x:c r="B50" s="75" t="s">
        <x:v>1717</x:v>
      </x:c>
      <x:c r="C50" s="75" t="s">
        <x:v>1718</x:v>
      </x:c>
      <x:c r="D50" s="75" t="s">
        <x:v>1789</x:v>
      </x:c>
      <x:c r="E50" s="75" t="s">
        <x:v>1790</x:v>
      </x:c>
      <x:c r="F50" s="75" t="s">
        <x:v>1791</x:v>
      </x:c>
      <x:c r="G50" s="75" t="s">
        <x:v>1792</x:v>
      </x:c>
      <x:c r="H50" s="75" t="s">
        <x:v>1793</x:v>
      </x:c>
      <x:c r="I50" s="6"/>
      <x:c r="J50" s="6"/>
      <x:c r="K50" s="6"/>
      <x:c r="L50" s="6"/>
      <x:c r="M50" s="6"/>
      <x:c r="N50" s="6"/>
      <x:c r="O50" s="6"/>
      <x:c r="P50" s="6"/>
      <x:c r="Q50" s="6"/>
      <x:c r="R50" s="6"/>
      <x:c r="S50" s="6"/>
      <x:c r="T50" s="6"/>
      <x:c r="U50" s="6"/>
    </x:row>
    <x:row r="51" s="1" customFormat="1" ht="13.5" hidden="0" customHeight="1">
      <x:c r="A51" s="12" t="s">
        <x:v>1794</x:v>
      </x:c>
      <x:c r="B51" s="12" t="s">
        <x:v>1795</x:v>
      </x:c>
      <x:c r="C51" s="12" t="s">
        <x:v>1796</x:v>
      </x:c>
      <x:c r="D51" s="12" t="s">
        <x:v>1797</x:v>
      </x:c>
      <x:c r="E51" s="12" t="s">
        <x:v>1798</x:v>
      </x:c>
      <x:c r="F51" s="12" t="s">
        <x:v>351</x:v>
      </x:c>
      <x:c r="G51" s="12" t="s">
        <x:v>1799</x:v>
      </x:c>
      <x:c r="H51" s="12" t="s">
        <x:v>1800</x:v>
      </x:c>
      <x:c r="I51" s="6"/>
      <x:c r="J51" s="6"/>
      <x:c r="K51" s="6"/>
      <x:c r="L51" s="6"/>
      <x:c r="M51" s="6"/>
      <x:c r="N51" s="6"/>
      <x:c r="O51" s="6"/>
      <x:c r="P51" s="6"/>
      <x:c r="Q51" s="6"/>
      <x:c r="R51" s="6"/>
      <x:c r="S51" s="6"/>
      <x:c r="T51" s="6"/>
      <x:c r="U51" s="6"/>
    </x:row>
    <x:row r="52" s="1" customFormat="1" ht="14.25" hidden="0" customHeight="1">
      <x:c r="A52" s="93" t="s">
        <x:v>1801</x:v>
      </x:c>
      <x:c r="B52" s="12" t="s">
        <x:v>1802</x:v>
      </x:c>
      <x:c r="C52" s="12" t="s">
        <x:v>1803</x:v>
      </x:c>
      <x:c r="D52" s="12" t="s">
        <x:v>1804</x:v>
      </x:c>
      <x:c r="E52" s="12" t="s">
        <x:v>1805</x:v>
      </x:c>
      <x:c r="F52" s="12" t="s">
        <x:v>1806</x:v>
      </x:c>
      <x:c r="G52" s="12" t="s">
        <x:v>1799</x:v>
      </x:c>
      <x:c r="H52" s="12" t="s">
        <x:v>1807</x:v>
      </x:c>
      <x:c r="I52" s="6"/>
      <x:c r="J52" s="6"/>
      <x:c r="K52" s="6"/>
      <x:c r="L52" s="6"/>
      <x:c r="M52" s="6"/>
      <x:c r="N52" s="6"/>
      <x:c r="O52" s="6"/>
      <x:c r="P52" s="6"/>
      <x:c r="Q52" s="6"/>
      <x:c r="R52" s="6"/>
      <x:c r="S52" s="6"/>
      <x:c r="T52" s="6"/>
      <x:c r="U52" s="6"/>
    </x:row>
    <x:row r="53" ht="46.25" hidden="0">
      <x:c r="A53" s="64" t="s">
        <x:v>1808</x:v>
      </x:c>
      <x:c r="B53" s="64" t="s">
        <x:v>1802</x:v>
      </x:c>
      <x:c r="C53" s="64" t="s">
        <x:v>1803</x:v>
      </x:c>
      <x:c r="D53" s="64" t="s">
        <x:v>1809</x:v>
      </x:c>
      <x:c r="E53" s="64" t="s">
        <x:v>1810</x:v>
      </x:c>
      <x:c r="F53" s="64" t="s">
        <x:v>1806</x:v>
      </x:c>
      <x:c r="G53" s="64" t="s">
        <x:v>1799</x:v>
      </x:c>
      <x:c r="H53" s="64" t="s">
        <x:v>1811</x:v>
      </x:c>
    </x:row>
    <x:row r="54" ht="35.04999923706055" hidden="0">
      <x:c r="A54" s="64" t="s">
        <x:v>1812</x:v>
      </x:c>
      <x:c r="B54" s="64" t="s">
        <x:v>1813</x:v>
      </x:c>
      <x:c r="C54" s="64" t="s">
        <x:v>1813</x:v>
      </x:c>
      <x:c r="D54" s="64" t="s">
        <x:v>1814</x:v>
      </x:c>
      <x:c r="E54" s="64" t="s">
        <x:v>1815</x:v>
      </x:c>
      <x:c r="F54" s="64" t="s">
        <x:v>351</x:v>
      </x:c>
      <x:c r="G54" s="64" t="s">
        <x:v>1816</x:v>
      </x:c>
      <x:c r="H54" s="64" t="s">
        <x:v>1817</x:v>
      </x:c>
    </x:row>
    <x:row r="55" ht="46.25" hidden="0">
      <x:c r="A55" s="64" t="s">
        <x:v>1818</x:v>
      </x:c>
      <x:c r="B55" s="64" t="s">
        <x:v>1819</x:v>
      </x:c>
      <x:c r="C55" s="64" t="s">
        <x:v>1796</x:v>
      </x:c>
      <x:c r="D55" s="64" t="s">
        <x:v>1820</x:v>
      </x:c>
      <x:c r="E55" s="64" t="s">
        <x:v>1821</x:v>
      </x:c>
      <x:c r="F55" s="64" t="s">
        <x:v>351</x:v>
      </x:c>
      <x:c r="G55" s="64" t="s">
        <x:v>1799</x:v>
      </x:c>
      <x:c r="H55" s="64" t="s">
        <x:v>1822</x:v>
      </x:c>
    </x:row>
    <x:row r="56" ht="23.850000381469727" hidden="0">
      <x:c r="A56" s="64" t="s">
        <x:v>1823</x:v>
      </x:c>
      <x:c r="B56" s="64" t="s">
        <x:v>351</x:v>
      </x:c>
      <x:c r="C56" s="64" t="s">
        <x:v>351</x:v>
      </x:c>
      <x:c r="D56" s="64" t="s">
        <x:v>1824</x:v>
      </x:c>
      <x:c r="E56" s="64" t="s">
        <x:v>1825</x:v>
      </x:c>
      <x:c r="F56" s="64" t="s">
        <x:v>351</x:v>
      </x:c>
      <x:c r="G56" s="64" t="s">
        <x:v>1826</x:v>
      </x:c>
      <x:c r="H56" s="64" t="s">
        <x:v>1827</x:v>
      </x:c>
    </x:row>
    <x:row r="57" ht="35.04999923706055" hidden="0">
      <x:c r="A57" s="64" t="s">
        <x:v>1262</x:v>
      </x:c>
      <x:c r="B57" s="64" t="s">
        <x:v>1828</x:v>
      </x:c>
      <x:c r="C57" s="64" t="s">
        <x:v>1828</x:v>
      </x:c>
      <x:c r="D57" s="64" t="s">
        <x:v>1829</x:v>
      </x:c>
      <x:c r="E57" s="64" t="s">
        <x:v>1830</x:v>
      </x:c>
      <x:c r="F57" s="64" t="s">
        <x:v>1831</x:v>
      </x:c>
      <x:c r="G57" s="64" t="s">
        <x:v>1179</x:v>
      </x:c>
      <x:c r="H57" s="64" t="s">
        <x:v>1832</x:v>
      </x:c>
    </x:row>
    <x:row r="58" ht="35.04999923706055" hidden="0">
      <x:c r="A58" s="64" t="s">
        <x:v>1833</x:v>
      </x:c>
      <x:c r="B58" s="64" t="s">
        <x:v>1834</x:v>
      </x:c>
      <x:c r="C58" s="64" t="s">
        <x:v>1796</x:v>
      </x:c>
      <x:c r="D58" s="64" t="s">
        <x:v>1835</x:v>
      </x:c>
      <x:c r="E58" s="64" t="s">
        <x:v>1836</x:v>
      </x:c>
      <x:c r="F58" s="64" t="s">
        <x:v>1346</x:v>
      </x:c>
      <x:c r="G58" s="64" t="s">
        <x:v>1837</x:v>
      </x:c>
      <x:c r="H58" s="64" t="s">
        <x:v>1838</x:v>
      </x:c>
    </x:row>
  </x:sheetData>
  <x:mergeCells>
    <x:mergeCell ref="A1:J1"/>
  </x:mergeCells>
  <x:pageMargins left="0.7" right="0.7" top="0.75" bottom="0.75" header="0.3" footer="0.3"/>
</x:worksheet>
</file>

<file path=xl/worksheets/sheet25.xml><?xml version="1.0" encoding="utf-8"?>
<x:worksheet xmlns:x="http://schemas.openxmlformats.org/spreadsheetml/2006/main">
  <x:sheetPr>
    <x:tabColor rgb="FFC00000"/>
  </x:sheetPr>
  <x:sheetViews>
    <x:sheetView showGridLines="0" workbookViewId="0"/>
  </x:sheetViews>
  <x:sheetFormatPr defaultColWidth="8.6796875" defaultRowHeight="15"/>
  <x:cols>
    <x:col min="1" max="1" width="48" style="1" hidden="0" customWidth="1"/>
    <x:col min="2" max="2" width="35" style="1" hidden="0" customWidth="1"/>
    <x:col min="3" max="3" width="22" style="1" hidden="0" customWidth="1"/>
    <x:col min="4" max="4" width="55" style="1" hidden="0" customWidth="1"/>
    <x:col min="5" max="5" width="18" style="1" hidden="0" customWidth="1"/>
  </x:cols>
  <x:sheetData>
    <x:row r="1" ht="15" hidden="0" customHeight="1">
      <x:c r="A1" s="2" t="s">
        <x:v>1839</x:v>
      </x:c>
      <x:c r="B1" s="2"/>
      <x:c r="C1" s="2"/>
      <x:c r="D1" s="2"/>
      <x:c r="E1" s="2"/>
    </x:row>
    <x:row r="2" ht="15" hidden="0">
      <x:c r="A2" s="1" t="s">
        <x:v>1840</x:v>
      </x:c>
      <x:c r="B2" s="1" t="s">
        <x:v>1841</x:v>
      </x:c>
    </x:row>
    <x:row r="3" ht="15" hidden="0">
      <x:c r="A3" s="1" t="s">
        <x:v>1842</x:v>
      </x:c>
      <x:c r="B3" s="1" t="s">
        <x:v>1843</x:v>
      </x:c>
    </x:row>
    <x:row r="5" ht="15" hidden="0">
      <x:c r="A5" s="7" t="s">
        <x:v>1844</x:v>
      </x:c>
      <x:c r="B5" s="7" t="s">
        <x:v>1845</x:v>
      </x:c>
      <x:c r="C5" s="7" t="s">
        <x:v>1846</x:v>
      </x:c>
      <x:c r="D5" s="7" t="s">
        <x:v>1847</x:v>
      </x:c>
      <x:c r="E5" s="7" t="s">
        <x:v>349</x:v>
      </x:c>
    </x:row>
    <x:row r="6" ht="15" hidden="0">
      <x:c r="A6" s="7" t="s">
        <x:v>1848</x:v>
      </x:c>
      <x:c r="B6" s="8" t="s">
        <x:v>233</x:v>
      </x:c>
      <x:c r="C6" s="8" t="s">
        <x:v>292</x:v>
      </x:c>
      <x:c r="D6" s="8" t="s">
        <x:v>1849</x:v>
      </x:c>
      <x:c r="E6" s="8" t="s">
        <x:v>1850</x:v>
      </x:c>
    </x:row>
    <x:row r="7" ht="15" hidden="0">
      <x:c r="A7" s="7" t="s">
        <x:v>1851</x:v>
      </x:c>
      <x:c r="B7" s="91" t="s">
        <x:v>233</x:v>
      </x:c>
      <x:c r="C7" s="8" t="s">
        <x:v>292</x:v>
      </x:c>
      <x:c r="D7" s="8" t="s">
        <x:v>1852</x:v>
      </x:c>
      <x:c r="E7" s="8" t="s">
        <x:v>1850</x:v>
      </x:c>
    </x:row>
    <x:row r="8" ht="15" hidden="0">
      <x:c r="A8" s="7" t="s">
        <x:v>1853</x:v>
      </x:c>
      <x:c r="B8" s="91" t="s">
        <x:v>233</x:v>
      </x:c>
      <x:c r="C8" s="8" t="s">
        <x:v>292</x:v>
      </x:c>
      <x:c r="D8" s="8" t="s">
        <x:v>1854</x:v>
      </x:c>
      <x:c r="E8" s="8" t="s">
        <x:v>1850</x:v>
      </x:c>
    </x:row>
    <x:row r="9" ht="15" hidden="0">
      <x:c r="A9" s="7" t="s">
        <x:v>1855</x:v>
      </x:c>
      <x:c r="B9" s="91" t="s">
        <x:v>233</x:v>
      </x:c>
      <x:c r="C9" s="8" t="s">
        <x:v>292</x:v>
      </x:c>
      <x:c r="D9" s="8" t="s">
        <x:v>1856</x:v>
      </x:c>
      <x:c r="E9" s="8" t="s">
        <x:v>1850</x:v>
      </x:c>
    </x:row>
    <x:row r="10" ht="15" hidden="0">
      <x:c r="A10" s="7" t="s">
        <x:v>1857</x:v>
      </x:c>
      <x:c r="B10" s="91" t="n">
        <x:v>0.4</x:v>
      </x:c>
      <x:c r="C10" s="8" t="s">
        <x:v>1858</x:v>
      </x:c>
      <x:c r="D10" s="8" t="s">
        <x:v>1859</x:v>
      </x:c>
      <x:c r="E10" s="8" t="s">
        <x:v>1850</x:v>
      </x:c>
    </x:row>
    <x:row r="11" ht="26.850000381469727" hidden="0">
      <x:c r="A11" s="7" t="s">
        <x:v>1860</x:v>
      </x:c>
      <x:c r="B11" s="91" t="s">
        <x:v>233</x:v>
      </x:c>
      <x:c r="C11" s="8" t="s">
        <x:v>292</x:v>
      </x:c>
      <x:c r="D11" s="8" t="s">
        <x:v>1861</x:v>
      </x:c>
      <x:c r="E11" s="8" t="s">
        <x:v>1850</x:v>
      </x:c>
    </x:row>
    <x:row r="12" ht="15" hidden="0">
      <x:c r="A12" s="7" t="s">
        <x:v>1862</x:v>
      </x:c>
      <x:c r="B12" s="91" t="s">
        <x:v>233</x:v>
      </x:c>
      <x:c r="C12" s="8" t="s">
        <x:v>292</x:v>
      </x:c>
      <x:c r="D12" s="8" t="s">
        <x:v>1863</x:v>
      </x:c>
      <x:c r="E12" s="8" t="s">
        <x:v>1850</x:v>
      </x:c>
    </x:row>
    <x:row r="14" ht="32" hidden="0" customHeight="1">
      <x:c r="A14" s="7" t="s">
        <x:v>1864</x:v>
      </x:c>
      <x:c r="B14" s="5" t="s">
        <x:v>429</x:v>
      </x:c>
      <x:c r="C14" s="7" t="s">
        <x:v>1865</x:v>
      </x:c>
      <x:c r="D14" s="5" t="s">
        <x:v>429</x:v>
      </x:c>
    </x:row>
    <x:row r="15" ht="32" hidden="0" customHeight="1">
      <x:c r="A15" s="7" t="s">
        <x:v>1866</x:v>
      </x:c>
      <x:c r="B15" s="5" t="s">
        <x:v>1850</x:v>
      </x:c>
    </x:row>
    <x:row r="16" ht="32" hidden="0" customHeight="1">
      <x:c r="A16" s="7" t="s">
        <x:v>1867</x:v>
      </x:c>
      <x:c r="B16" s="5" t="s">
        <x:v>1868</x:v>
      </x:c>
    </x:row>
    <x:row r="17" ht="39.54999923706055" hidden="0">
      <x:c r="A17" s="7" t="s">
        <x:v>933</x:v>
      </x:c>
      <x:c r="B17" s="5" t="s">
        <x:v>1869</x:v>
      </x:c>
    </x:row>
  </x:sheetData>
  <x:mergeCells>
    <x:mergeCell ref="A1:E1"/>
  </x:mergeCells>
  <x:dataValidations count="5">
    <x:dataValidation type="list" errorStyle="stop" operator="between" allowBlank="0" showDropDown="0" showInputMessage="0" showErrorMessage="0" sqref="B7">
      <x:formula1>"YES,NO"</x:formula1>
      <x:formula2>0</x:formula2>
    </x:dataValidation>
    <x:dataValidation type="list" errorStyle="stop" operator="between" allowBlank="0" showDropDown="0" showInputMessage="0" showErrorMessage="0" sqref="B8">
      <x:formula1>"YES,NO"</x:formula1>
      <x:formula2>0</x:formula2>
    </x:dataValidation>
    <x:dataValidation type="list" errorStyle="stop" operator="between" allowBlank="0" showDropDown="0" showInputMessage="0" showErrorMessage="0" sqref="B9">
      <x:formula1>"YES,NO"</x:formula1>
      <x:formula2>0</x:formula2>
    </x:dataValidation>
    <x:dataValidation type="list" errorStyle="stop" operator="between" allowBlank="0" showDropDown="0" showInputMessage="0" showErrorMessage="0" sqref="B11">
      <x:formula1>"YES,NO"</x:formula1>
      <x:formula2>0</x:formula2>
    </x:dataValidation>
    <x:dataValidation type="list" errorStyle="stop" operator="between" allowBlank="0" showDropDown="0" showInputMessage="0" showErrorMessage="0" sqref="B12">
      <x:formula1>"YES,NO"</x:formula1>
      <x:formula2>0</x:formula2>
    </x:dataValidation>
  </x:dataValidations>
  <x:pageMargins left="0.7" right="0.7" top="0.75" bottom="0.75" header="0.3" footer="0.3"/>
</x:worksheet>
</file>

<file path=xl/worksheets/sheet26.xml><?xml version="1.0" encoding="utf-8"?>
<x:worksheet xmlns:x="http://schemas.openxmlformats.org/spreadsheetml/2006/main">
  <x:sheetViews>
    <x:sheetView showGridLines="1" workbookViewId="0"/>
  </x:sheetViews>
  <x:sheetFormatPr defaultColWidth="8.66796875" defaultRowHeight="12.75"/>
  <x:cols>
    <x:col min="1" max="2" width="18" style="1" hidden="0" customWidth="1"/>
    <x:col min="3" max="3" width="38" style="1" hidden="0" customWidth="1"/>
    <x:col min="4" max="4" width="40" style="1" hidden="0" customWidth="1"/>
    <x:col min="5" max="5" width="23" style="1" hidden="0" customWidth="1"/>
    <x:col min="6" max="9" width="16" style="1" hidden="0" customWidth="1"/>
    <x:col min="10" max="10" width="22" style="1" hidden="0" customWidth="1"/>
    <x:col min="11" max="12" width="36" style="1" hidden="0" customWidth="1"/>
    <x:col min="13" max="13" width="34" style="1" hidden="0" customWidth="1"/>
    <x:col min="14" max="14" width="40" style="1" hidden="0" customWidth="1"/>
  </x:cols>
  <x:sheetData>
    <x:row r="1" s="1" customFormat="1" ht="39" hidden="0" customHeight="1">
      <x:c r="A1" s="2" t="s">
        <x:v>1870</x:v>
      </x:c>
      <x:c r="B1" s="2"/>
      <x:c r="C1" s="2"/>
      <x:c r="D1" s="2"/>
      <x:c r="E1" s="2"/>
      <x:c r="F1" s="2"/>
      <x:c r="G1" s="2"/>
      <x:c r="H1" s="2"/>
      <x:c r="I1" s="3"/>
      <x:c r="J1" s="3"/>
      <x:c r="K1" s="3"/>
      <x:c r="L1" s="3"/>
    </x:row>
    <x:row r="2" s="1" customFormat="1" ht="39" hidden="0" customHeight="1">
      <x:c r="A2" s="6"/>
      <x:c r="B2" s="6"/>
      <x:c r="C2" s="6"/>
      <x:c r="D2" s="6"/>
      <x:c r="E2" s="6"/>
      <x:c r="F2" s="6"/>
      <x:c r="G2" s="6"/>
      <x:c r="H2" s="6"/>
      <x:c r="I2" s="6"/>
      <x:c r="J2" s="5" t="s">
        <x:v>1871</x:v>
      </x:c>
      <x:c r="K2" s="6"/>
      <x:c r="L2" s="6"/>
    </x:row>
    <x:row r="3" s="1" customFormat="1" ht="36" hidden="0" customHeight="1">
      <x:c r="A3" s="7" t="s">
        <x:v>1872</x:v>
      </x:c>
      <x:c r="B3" s="8" t="s">
        <x:v>1873</x:v>
      </x:c>
      <x:c r="C3" s="6"/>
      <x:c r="D3" s="6"/>
      <x:c r="E3" s="6"/>
      <x:c r="F3" s="6"/>
      <x:c r="G3" s="6"/>
      <x:c r="H3" s="6"/>
      <x:c r="I3" s="6"/>
      <x:c r="J3" s="8" t="s">
        <x:v>827</x:v>
      </x:c>
      <x:c r="K3" s="8" t="n">
        <x:v>0.05</x:v>
      </x:c>
      <x:c r="L3" s="6"/>
    </x:row>
    <x:row r="4" s="1" customFormat="1" ht="12.75" hidden="0" customHeight="1">
      <x:c r="A4" s="51"/>
      <x:c r="B4" s="6"/>
      <x:c r="C4" s="6"/>
      <x:c r="D4" s="6"/>
      <x:c r="E4" s="6"/>
      <x:c r="F4" s="6"/>
      <x:c r="G4" s="6"/>
      <x:c r="H4" s="6"/>
      <x:c r="I4" s="6"/>
      <x:c r="J4" s="5" t="s">
        <x:v>1874</x:v>
      </x:c>
      <x:c r="K4" s="5" t="n">
        <x:v>-0.1</x:v>
      </x:c>
      <x:c r="L4" s="6"/>
    </x:row>
    <x:row r="5" s="1" customFormat="1" ht="36" hidden="0" customHeight="1">
      <x:c r="A5" s="94"/>
      <x:c r="B5" s="9" t="s">
        <x:v>1875</x:v>
      </x:c>
      <x:c r="C5" s="10"/>
      <x:c r="D5" s="10"/>
      <x:c r="E5" s="10"/>
      <x:c r="F5" s="10"/>
      <x:c r="G5" s="10"/>
      <x:c r="H5" s="10"/>
      <x:c r="I5" s="6"/>
      <x:c r="J5" s="8" t="s">
        <x:v>853</x:v>
      </x:c>
      <x:c r="K5" s="8" t="s">
        <x:v>1876</x:v>
      </x:c>
      <x:c r="L5" s="8" t="s">
        <x:v>1877</x:v>
      </x:c>
      <x:c r="M5" s="1" t="s">
        <x:v>1878</x:v>
      </x:c>
      <x:c r="N5" s="1" t="s">
        <x:v>1879</x:v>
      </x:c>
    </x:row>
    <x:row r="6" s="1" customFormat="1" ht="26.25" hidden="0" customHeight="1">
      <x:c r="A6" s="6"/>
      <x:c r="B6" s="6"/>
      <x:c r="C6" s="6"/>
      <x:c r="D6" s="6"/>
      <x:c r="E6" s="6"/>
      <x:c r="F6" s="6"/>
      <x:c r="G6" s="6"/>
      <x:c r="H6" s="6"/>
      <x:c r="I6" s="6"/>
      <x:c r="J6" s="5" t="s">
        <x:v>962</x:v>
      </x:c>
      <x:c r="K6" s="5" t="n">
        <x:v>0.0560382485886524</x:v>
      </x:c>
      <x:c r="L6" s="5" t="n">
        <x:v>-0.0066190810958048</x:v>
      </x:c>
      <x:c r="M6" s="91" t="n">
        <x:v>0</x:v>
      </x:c>
      <x:c r="N6" s="91" t="n">
        <x:v>0</x:v>
      </x:c>
    </x:row>
    <x:row r="7" s="1" customFormat="1" ht="26.25" hidden="0" customHeight="1">
      <x:c r="A7" s="7" t="s">
        <x:v>1880</x:v>
      </x:c>
      <x:c r="B7" s="43" t="s">
        <x:v>1876</x:v>
      </x:c>
      <x:c r="C7" s="43" t="s">
        <x:v>1881</x:v>
      </x:c>
      <x:c r="D7" s="43" t="s">
        <x:v>1877</x:v>
      </x:c>
      <x:c r="E7" s="43" t="s">
        <x:v>1882</x:v>
      </x:c>
      <x:c r="F7" s="6"/>
      <x:c r="G7" s="6"/>
      <x:c r="H7" s="6"/>
      <x:c r="I7" s="6"/>
      <x:c r="J7" s="8" t="s">
        <x:v>964</x:v>
      </x:c>
      <x:c r="K7" s="8" t="n">
        <x:v>0.00659459660486984</x:v>
      </x:c>
      <x:c r="L7" s="8" t="n">
        <x:v>-0.0026394143482197</x:v>
      </x:c>
      <x:c r="M7" s="91" t="n">
        <x:v>0</x:v>
      </x:c>
      <x:c r="N7" s="91" t="n">
        <x:v>0</x:v>
      </x:c>
    </x:row>
    <x:row r="8" s="1" customFormat="1" ht="26.25" hidden="0" customHeight="1">
      <x:c r="A8" s="95" t="s">
        <x:v>962</x:v>
      </x:c>
      <x:c r="B8" s="73" t="n">
        <x:v>0.0560382485886524</x:v>
      </x:c>
      <x:c r="C8" s="96" t="s">
        <x:v>292</x:v>
      </x:c>
      <x:c r="D8" s="73" t="n">
        <x:v>-0.0066190810958048</x:v>
      </x:c>
      <x:c r="E8" s="96" t="s">
        <x:v>233</x:v>
      </x:c>
      <x:c r="F8" s="6"/>
      <x:c r="G8" s="6"/>
      <x:c r="H8" s="6"/>
      <x:c r="I8" s="6"/>
      <x:c r="J8" s="5" t="s">
        <x:v>965</x:v>
      </x:c>
      <x:c r="K8" s="5" t="n">
        <x:v>-0.0143601373053857</x:v>
      </x:c>
      <x:c r="L8" s="5" t="n">
        <x:v>0.0106733399362981</x:v>
      </x:c>
      <x:c r="M8" s="91" t="n">
        <x:v>0</x:v>
      </x:c>
      <x:c r="N8" s="91" t="n">
        <x:v>0</x:v>
      </x:c>
    </x:row>
    <x:row r="9" s="1" customFormat="1" ht="26.25" hidden="0" customHeight="1">
      <x:c r="A9" s="95" t="s">
        <x:v>964</x:v>
      </x:c>
      <x:c r="B9" s="97" t="n">
        <x:v>0.00659459660486984</x:v>
      </x:c>
      <x:c r="C9" s="98" t="s">
        <x:v>233</x:v>
      </x:c>
      <x:c r="D9" s="97" t="n">
        <x:v>-0.0026394143482197</x:v>
      </x:c>
      <x:c r="E9" s="98" t="s">
        <x:v>233</x:v>
      </x:c>
      <x:c r="F9" s="6"/>
      <x:c r="G9" s="6"/>
      <x:c r="H9" s="6"/>
      <x:c r="I9" s="6"/>
      <x:c r="J9" s="8" t="s">
        <x:v>966</x:v>
      </x:c>
      <x:c r="K9" s="8" t="n">
        <x:v>-0.0122242051851281</x:v>
      </x:c>
      <x:c r="L9" s="8" t="n">
        <x:v>0.00145877937416745</x:v>
      </x:c>
      <x:c r="M9" s="91" t="n">
        <x:v>0</x:v>
      </x:c>
      <x:c r="N9" s="91" t="n">
        <x:v>0</x:v>
      </x:c>
    </x:row>
    <x:row r="10" s="1" customFormat="1" ht="12.75" hidden="0" customHeight="1">
      <x:c r="A10" s="95" t="s">
        <x:v>965</x:v>
      </x:c>
      <x:c r="B10" s="73" t="n">
        <x:v>-0.0143601373053857</x:v>
      </x:c>
      <x:c r="C10" s="96" t="s">
        <x:v>233</x:v>
      </x:c>
      <x:c r="D10" s="73" t="n">
        <x:v>0.0106733399362981</x:v>
      </x:c>
      <x:c r="E10" s="96" t="s">
        <x:v>233</x:v>
      </x:c>
      <x:c r="F10" s="6"/>
      <x:c r="G10" s="6"/>
      <x:c r="H10" s="6"/>
      <x:c r="I10" s="6"/>
      <x:c r="J10" s="5" t="s">
        <x:v>967</x:v>
      </x:c>
      <x:c r="K10" s="5" t="n">
        <x:v>0</x:v>
      </x:c>
      <x:c r="L10" s="5" t="n">
        <x:v>0</x:v>
      </x:c>
      <x:c r="M10" s="91" t="n">
        <x:v>0</x:v>
      </x:c>
      <x:c r="N10" s="91" t="n">
        <x:v>0</x:v>
      </x:c>
    </x:row>
    <x:row r="11" s="1" customFormat="1" ht="12.75" hidden="0" customHeight="1">
      <x:c r="A11" s="95" t="s">
        <x:v>966</x:v>
      </x:c>
      <x:c r="B11" s="97" t="n">
        <x:v>-0.0122242051851281</x:v>
      </x:c>
      <x:c r="C11" s="98" t="s">
        <x:v>233</x:v>
      </x:c>
      <x:c r="D11" s="97" t="n">
        <x:v>0.00145877937416745</x:v>
      </x:c>
      <x:c r="E11" s="98" t="s">
        <x:v>233</x:v>
      </x:c>
      <x:c r="F11" s="6"/>
      <x:c r="G11" s="6"/>
      <x:c r="H11" s="6"/>
      <x:c r="I11" s="6"/>
      <x:c r="J11" s="8" t="s">
        <x:v>968</x:v>
      </x:c>
      <x:c r="K11" s="8" t="n">
        <x:v>0</x:v>
      </x:c>
      <x:c r="L11" s="8" t="n">
        <x:v>0</x:v>
      </x:c>
      <x:c r="M11" s="91" t="n">
        <x:v>0</x:v>
      </x:c>
      <x:c r="N11" s="91" t="n">
        <x:v>0</x:v>
      </x:c>
    </x:row>
    <x:row r="12" s="1" customFormat="1" ht="26.25" hidden="0" customHeight="1">
      <x:c r="A12" s="95" t="s">
        <x:v>967</x:v>
      </x:c>
      <x:c r="B12" s="73" t="n">
        <x:v>0</x:v>
      </x:c>
      <x:c r="C12" s="96" t="s">
        <x:v>233</x:v>
      </x:c>
      <x:c r="D12" s="73" t="n">
        <x:v>0</x:v>
      </x:c>
      <x:c r="E12" s="96" t="s">
        <x:v>233</x:v>
      </x:c>
      <x:c r="F12" s="6"/>
      <x:c r="G12" s="6"/>
      <x:c r="H12" s="6"/>
      <x:c r="I12" s="6"/>
      <x:c r="J12" s="5" t="s">
        <x:v>970</x:v>
      </x:c>
      <x:c r="K12" s="5" t="n">
        <x:v>0.00218807399390855</x:v>
      </x:c>
      <x:c r="L12" s="5" t="n">
        <x:v>-0.00145877937416745</x:v>
      </x:c>
      <x:c r="M12" s="91" t="n">
        <x:v>0</x:v>
      </x:c>
      <x:c r="N12" s="91" t="n">
        <x:v>0</x:v>
      </x:c>
    </x:row>
    <x:row r="13" s="1" customFormat="1" ht="12.75" hidden="0" customHeight="1">
      <x:c r="A13" s="95" t="s">
        <x:v>968</x:v>
      </x:c>
      <x:c r="B13" s="97" t="n">
        <x:v>0</x:v>
      </x:c>
      <x:c r="C13" s="98" t="s">
        <x:v>233</x:v>
      </x:c>
      <x:c r="D13" s="97" t="n">
        <x:v>0</x:v>
      </x:c>
      <x:c r="E13" s="98" t="s">
        <x:v>233</x:v>
      </x:c>
      <x:c r="F13" s="6"/>
      <x:c r="G13" s="6"/>
      <x:c r="H13" s="6"/>
      <x:c r="I13" s="6"/>
      <x:c r="J13" s="6"/>
      <x:c r="K13" s="6"/>
      <x:c r="L13" s="6"/>
    </x:row>
    <x:row r="14" s="1" customFormat="1" ht="39" hidden="0" customHeight="1">
      <x:c r="A14" s="95" t="s">
        <x:v>970</x:v>
      </x:c>
      <x:c r="B14" s="73" t="n">
        <x:v>0.00218807399390855</x:v>
      </x:c>
      <x:c r="C14" s="96" t="s">
        <x:v>233</x:v>
      </x:c>
      <x:c r="D14" s="73" t="n">
        <x:v>-0.00145877937416745</x:v>
      </x:c>
      <x:c r="E14" s="96" t="s">
        <x:v>233</x:v>
      </x:c>
      <x:c r="F14" s="6"/>
      <x:c r="G14" s="6"/>
      <x:c r="H14" s="6"/>
      <x:c r="I14" s="6"/>
      <x:c r="J14" s="5" t="s">
        <x:v>1883</x:v>
      </x:c>
      <x:c r="K14" s="5" t="s">
        <x:v>1884</x:v>
      </x:c>
      <x:c r="L14" s="6"/>
      <x:c r="M14" s="1" t="s">
        <x:v>1885</x:v>
      </x:c>
      <x:c r="N14" s="1" t="s">
        <x:v>1886</x:v>
      </x:c>
    </x:row>
    <x:row r="15" s="1" customFormat="1" ht="39" hidden="0" customHeight="1">
      <x:c r="A15" s="51"/>
      <x:c r="B15" s="89"/>
      <x:c r="C15" s="51"/>
      <x:c r="D15" s="6"/>
      <x:c r="E15" s="6"/>
      <x:c r="F15" s="6"/>
      <x:c r="G15" s="6"/>
      <x:c r="H15" s="6"/>
      <x:c r="I15" s="6"/>
      <x:c r="J15" s="8" t="s">
        <x:v>1887</x:v>
      </x:c>
      <x:c r="K15" s="8" t="s">
        <x:v>1888</x:v>
      </x:c>
      <x:c r="L15" s="6"/>
      <x:c r="M15" s="1" t="s">
        <x:v>456</x:v>
      </x:c>
      <x:c r="N15" s="1" t="s">
        <x:v>1886</x:v>
      </x:c>
    </x:row>
    <x:row r="16" s="1" customFormat="1" ht="12.75" hidden="0" customHeight="1">
      <x:c r="A16" s="7" t="s">
        <x:v>1889</x:v>
      </x:c>
      <x:c r="B16" s="5" t="s">
        <x:v>962</x:v>
      </x:c>
      <x:c r="C16" s="6"/>
      <x:c r="D16" s="5" t="s">
        <x:v>1890</x:v>
      </x:c>
      <x:c r="E16" s="5" t="s">
        <x:v>1891</x:v>
      </x:c>
      <x:c r="F16" s="6"/>
      <x:c r="G16" s="6"/>
      <x:c r="H16" s="6"/>
      <x:c r="I16" s="6"/>
      <x:c r="J16" s="6"/>
      <x:c r="K16" s="6"/>
      <x:c r="L16" s="6"/>
      <x:c r="M16" s="1" t="s">
        <x:v>1892</x:v>
      </x:c>
      <x:c r="N16" s="1" t="s">
        <x:v>1893</x:v>
      </x:c>
    </x:row>
    <x:row r="17" s="1" customFormat="1" ht="12.75" hidden="0" customHeight="1">
      <x:c r="A17" s="7" t="s">
        <x:v>933</x:v>
      </x:c>
      <x:c r="B17" s="8" t="s">
        <x:v>1894</x:v>
      </x:c>
      <x:c r="C17" s="6"/>
      <x:c r="D17" s="8" t="s">
        <x:v>933</x:v>
      </x:c>
      <x:c r="E17" s="8" t="s">
        <x:v>1895</x:v>
      </x:c>
      <x:c r="F17" s="6"/>
      <x:c r="G17" s="6"/>
      <x:c r="H17" s="6"/>
      <x:c r="I17" s="6"/>
      <x:c r="J17" s="6"/>
      <x:c r="K17" s="6"/>
      <x:c r="L17" s="6"/>
    </x:row>
    <x:row r="18" s="1" customFormat="1" ht="26.25" hidden="0" customHeight="1">
      <x:c r="A18" s="44"/>
      <x:c r="B18" s="6"/>
      <x:c r="C18" s="6"/>
      <x:c r="D18" s="6"/>
      <x:c r="E18" s="6"/>
      <x:c r="F18" s="6"/>
      <x:c r="G18" s="6"/>
      <x:c r="H18" s="6"/>
      <x:c r="I18" s="6"/>
      <x:c r="J18" s="6"/>
      <x:c r="K18" s="6"/>
      <x:c r="L18" s="6"/>
    </x:row>
    <x:row r="19" s="1" customFormat="1" ht="32" hidden="0" customHeight="1">
      <x:c r="A19" s="22" t="s">
        <x:v>1896</x:v>
      </x:c>
      <x:c r="B19" s="23" t="s">
        <x:v>1884</x:v>
      </x:c>
      <x:c r="C19" s="14"/>
      <x:c r="D19" s="23" t="s">
        <x:v>1897</x:v>
      </x:c>
      <x:c r="E19" s="23" t="s">
        <x:v>1888</x:v>
      </x:c>
      <x:c r="F19" s="6"/>
      <x:c r="G19" s="6"/>
      <x:c r="H19" s="6"/>
      <x:c r="I19" s="6"/>
      <x:c r="J19" s="6"/>
      <x:c r="K19" s="6"/>
      <x:c r="L19" s="6"/>
    </x:row>
    <x:row r="20" s="1" customFormat="1" ht="12.75" hidden="0" customHeight="1">
      <x:c r="A20" s="90"/>
      <x:c r="B20" s="6"/>
      <x:c r="C20" s="6"/>
      <x:c r="D20" s="6"/>
      <x:c r="E20" s="6"/>
      <x:c r="F20" s="6"/>
      <x:c r="G20" s="6"/>
      <x:c r="H20" s="6"/>
      <x:c r="I20" s="6"/>
      <x:c r="J20" s="6"/>
      <x:c r="K20" s="6"/>
      <x:c r="L20" s="6"/>
    </x:row>
    <x:row r="21" s="1" customFormat="1" ht="12.75" hidden="0" customHeight="1">
      <x:c r="A21" s="7" t="s">
        <x:v>1898</x:v>
      </x:c>
      <x:c r="B21" s="8" t="s">
        <x:v>1899</x:v>
      </x:c>
      <x:c r="C21" s="90"/>
      <x:c r="D21" s="8" t="s">
        <x:v>435</x:v>
      </x:c>
      <x:c r="E21" s="8" t="s">
        <x:v>1900</x:v>
      </x:c>
      <x:c r="F21" s="6"/>
      <x:c r="G21" s="6"/>
      <x:c r="H21" s="6"/>
      <x:c r="I21" s="6"/>
      <x:c r="J21" s="6"/>
      <x:c r="K21" s="6"/>
      <x:c r="L21" s="6"/>
    </x:row>
    <x:row r="22" s="1" customFormat="1" ht="12.75" hidden="0" customHeight="1">
      <x:c r="A22" s="51"/>
      <x:c r="B22" s="51"/>
      <x:c r="C22" s="51"/>
      <x:c r="D22" s="6"/>
      <x:c r="E22" s="6"/>
      <x:c r="F22" s="6"/>
      <x:c r="G22" s="6"/>
      <x:c r="H22" s="6"/>
      <x:c r="I22" s="6"/>
      <x:c r="J22" s="6"/>
      <x:c r="K22" s="6"/>
      <x:c r="L22" s="6"/>
    </x:row>
    <x:row r="23" s="1" customFormat="1" ht="12.75" hidden="0" customHeight="1">
      <x:c r="A23" s="7" t="s">
        <x:v>877</x:v>
      </x:c>
      <x:c r="B23" s="8" t="s">
        <x:v>1901</x:v>
      </x:c>
      <x:c r="C23" s="51"/>
      <x:c r="D23" s="6"/>
      <x:c r="E23" s="6"/>
      <x:c r="F23" s="6"/>
      <x:c r="G23" s="6"/>
      <x:c r="H23" s="6"/>
      <x:c r="I23" s="6"/>
      <x:c r="J23" s="6"/>
      <x:c r="K23" s="6"/>
      <x:c r="L23" s="6"/>
    </x:row>
    <x:row r="24" s="1" customFormat="1" ht="12.75" hidden="0" customHeight="1">
      <x:c r="A24" s="7" t="s">
        <x:v>1902</x:v>
      </x:c>
      <x:c r="B24" s="71" t="s">
        <x:v>1903</x:v>
      </x:c>
      <x:c r="C24" s="51"/>
      <x:c r="D24" s="6"/>
      <x:c r="E24" s="6"/>
      <x:c r="F24" s="6"/>
      <x:c r="G24" s="6"/>
      <x:c r="H24" s="6"/>
      <x:c r="I24" s="6"/>
      <x:c r="J24" s="6"/>
      <x:c r="K24" s="6"/>
      <x:c r="L24" s="6"/>
    </x:row>
    <x:row r="25" s="1" customFormat="1" ht="12.75" hidden="0" customHeight="1">
      <x:c r="A25" s="7" t="s">
        <x:v>1904</x:v>
      </x:c>
      <x:c r="B25" s="70" t="s">
        <x:v>1905</x:v>
      </x:c>
      <x:c r="C25" s="51"/>
      <x:c r="D25" s="6"/>
      <x:c r="E25" s="6"/>
      <x:c r="F25" s="6"/>
      <x:c r="G25" s="6"/>
      <x:c r="H25" s="6"/>
      <x:c r="I25" s="6"/>
      <x:c r="J25" s="6"/>
      <x:c r="K25" s="6"/>
      <x:c r="L25" s="6"/>
    </x:row>
    <x:row r="26" s="1" customFormat="1" ht="12.75" hidden="0" customHeight="1">
      <x:c r="A26" s="7" t="s">
        <x:v>1906</x:v>
      </x:c>
      <x:c r="B26" s="71" t="s">
        <x:v>1907</x:v>
      </x:c>
      <x:c r="C26" s="5" t="s">
        <x:v>1908</x:v>
      </x:c>
      <x:c r="D26" s="6"/>
      <x:c r="E26" s="6"/>
      <x:c r="F26" s="6"/>
      <x:c r="G26" s="6"/>
      <x:c r="H26" s="6"/>
      <x:c r="I26" s="6"/>
      <x:c r="J26" s="6"/>
      <x:c r="K26" s="6"/>
      <x:c r="L26" s="6"/>
    </x:row>
    <x:row r="27" s="1" customFormat="1" ht="12.75" hidden="0" customHeight="1">
      <x:c r="A27" s="7" t="s">
        <x:v>1909</x:v>
      </x:c>
      <x:c r="B27" s="70" t="s">
        <x:v>1910</x:v>
      </x:c>
      <x:c r="C27" s="8" t="s">
        <x:v>1911</x:v>
      </x:c>
      <x:c r="D27" s="6"/>
      <x:c r="E27" s="6"/>
      <x:c r="F27" s="6"/>
      <x:c r="G27" s="6"/>
      <x:c r="H27" s="6"/>
      <x:c r="I27" s="6"/>
      <x:c r="J27" s="6"/>
      <x:c r="K27" s="6"/>
      <x:c r="L27" s="6"/>
    </x:row>
    <x:row r="28" s="1" customFormat="1" ht="12.75" hidden="0" customHeight="1">
      <x:c r="A28" s="7" t="s">
        <x:v>1912</x:v>
      </x:c>
      <x:c r="B28" s="71" t="s">
        <x:v>1913</x:v>
      </x:c>
      <x:c r="C28" s="5" t="s">
        <x:v>1914</x:v>
      </x:c>
      <x:c r="D28" s="6"/>
      <x:c r="E28" s="6"/>
      <x:c r="F28" s="6"/>
      <x:c r="G28" s="6"/>
      <x:c r="H28" s="6"/>
      <x:c r="I28" s="6"/>
      <x:c r="J28" s="6"/>
      <x:c r="K28" s="6"/>
      <x:c r="L28" s="6"/>
    </x:row>
    <x:row r="29" s="1" customFormat="1" ht="12.75" hidden="0" customHeight="1">
      <x:c r="A29" s="7" t="s">
        <x:v>1915</x:v>
      </x:c>
      <x:c r="B29" s="70" t="s">
        <x:v>1916</x:v>
      </x:c>
      <x:c r="C29" s="6"/>
      <x:c r="D29" s="6"/>
      <x:c r="E29" s="6"/>
      <x:c r="F29" s="6"/>
      <x:c r="G29" s="6"/>
      <x:c r="H29" s="6"/>
      <x:c r="I29" s="6"/>
      <x:c r="J29" s="6"/>
      <x:c r="K29" s="6"/>
      <x:c r="L29" s="6"/>
    </x:row>
    <x:row r="30" s="1" customFormat="1" ht="12.75" hidden="0" customHeight="1">
      <x:c r="A30" s="99" t="s">
        <x:v>1917</x:v>
      </x:c>
      <x:c r="B30" s="100" t="s">
        <x:v>1717</x:v>
      </x:c>
      <x:c r="C30" s="75" t="s">
        <x:v>1718</x:v>
      </x:c>
      <x:c r="D30" s="75" t="s">
        <x:v>1918</x:v>
      </x:c>
      <x:c r="E30" s="75" t="s">
        <x:v>1919</x:v>
      </x:c>
      <x:c r="F30" s="75" t="s">
        <x:v>1920</x:v>
      </x:c>
      <x:c r="G30" s="75" t="s">
        <x:v>1921</x:v>
      </x:c>
      <x:c r="H30" s="75" t="s">
        <x:v>1922</x:v>
      </x:c>
      <x:c r="I30" s="6"/>
      <x:c r="J30" s="6"/>
      <x:c r="K30" s="6"/>
      <x:c r="L30" s="6"/>
    </x:row>
    <x:row r="31" s="1" customFormat="1" ht="12.75" hidden="0" customHeight="1">
      <x:c r="A31" s="57" t="s">
        <x:v>1923</x:v>
      </x:c>
      <x:c r="B31" s="12" t="s">
        <x:v>1575</x:v>
      </x:c>
      <x:c r="C31" s="12" t="s">
        <x:v>1575</x:v>
      </x:c>
      <x:c r="D31" s="12" t="s">
        <x:v>1924</x:v>
      </x:c>
      <x:c r="E31" s="12" t="s">
        <x:v>1925</x:v>
      </x:c>
      <x:c r="F31" s="12" t="s">
        <x:v>1926</x:v>
      </x:c>
      <x:c r="G31" s="12" t="s">
        <x:v>1927</x:v>
      </x:c>
      <x:c r="H31" s="12" t="s">
        <x:v>1928</x:v>
      </x:c>
      <x:c r="I31" s="6"/>
      <x:c r="J31" s="6"/>
      <x:c r="K31" s="6"/>
      <x:c r="L31" s="6"/>
    </x:row>
    <x:row r="32" s="1" customFormat="1" ht="12.75" hidden="0" customHeight="1">
      <x:c r="A32" s="7" t="s">
        <x:v>1929</x:v>
      </x:c>
      <x:c r="B32" s="12" t="s">
        <x:v>1930</x:v>
      </x:c>
      <x:c r="C32" s="12" t="s">
        <x:v>1930</x:v>
      </x:c>
      <x:c r="D32" s="12" t="s">
        <x:v>1931</x:v>
      </x:c>
      <x:c r="E32" s="12" t="s">
        <x:v>1932</x:v>
      </x:c>
      <x:c r="F32" s="12" t="s">
        <x:v>1933</x:v>
      </x:c>
      <x:c r="G32" s="12" t="s">
        <x:v>1934</x:v>
      </x:c>
      <x:c r="H32" s="12" t="s">
        <x:v>1935</x:v>
      </x:c>
      <x:c r="I32" s="6"/>
      <x:c r="J32" s="6"/>
      <x:c r="K32" s="6"/>
      <x:c r="L32" s="6"/>
    </x:row>
    <x:row r="33" s="1" customFormat="1" ht="12.75" hidden="0" customHeight="1">
      <x:c r="A33" s="7" t="s">
        <x:v>1936</x:v>
      </x:c>
      <x:c r="B33" s="12" t="s">
        <x:v>1344</x:v>
      </x:c>
      <x:c r="C33" s="12" t="s">
        <x:v>1344</x:v>
      </x:c>
      <x:c r="D33" s="12" t="s">
        <x:v>1937</x:v>
      </x:c>
      <x:c r="E33" s="12" t="s">
        <x:v>1938</x:v>
      </x:c>
      <x:c r="F33" s="12" t="s">
        <x:v>1939</x:v>
      </x:c>
      <x:c r="G33" s="12" t="s">
        <x:v>1940</x:v>
      </x:c>
      <x:c r="H33" s="12" t="s">
        <x:v>1941</x:v>
      </x:c>
      <x:c r="I33" s="6"/>
      <x:c r="J33" s="6"/>
      <x:c r="K33" s="6"/>
      <x:c r="L33" s="6"/>
    </x:row>
    <x:row r="34" s="1" customFormat="1" ht="52.5" hidden="0" customHeight="1">
      <x:c r="A34" s="7" t="s">
        <x:v>1942</x:v>
      </x:c>
      <x:c r="B34" s="12" t="s">
        <x:v>1943</x:v>
      </x:c>
      <x:c r="C34" s="12" t="s">
        <x:v>1943</x:v>
      </x:c>
      <x:c r="D34" s="12" t="s">
        <x:v>1944</x:v>
      </x:c>
      <x:c r="E34" s="12" t="s">
        <x:v>1945</x:v>
      </x:c>
      <x:c r="F34" s="12" t="s">
        <x:v>1946</x:v>
      </x:c>
      <x:c r="G34" s="12" t="s">
        <x:v>1947</x:v>
      </x:c>
      <x:c r="H34" s="12" t="s">
        <x:v>1948</x:v>
      </x:c>
      <x:c r="I34" s="6"/>
      <x:c r="J34" s="6"/>
      <x:c r="K34" s="6"/>
      <x:c r="L34" s="6"/>
    </x:row>
    <x:row r="35" s="1" customFormat="1" ht="26.25" hidden="0" customHeight="1">
      <x:c r="A35" s="7" t="s">
        <x:v>1949</x:v>
      </x:c>
      <x:c r="B35" s="12" t="s">
        <x:v>1950</x:v>
      </x:c>
      <x:c r="C35" s="12" t="s">
        <x:v>1950</x:v>
      </x:c>
      <x:c r="D35" s="12" t="s">
        <x:v>1951</x:v>
      </x:c>
      <x:c r="E35" s="12" t="s">
        <x:v>1952</x:v>
      </x:c>
      <x:c r="F35" s="12" t="s">
        <x:v>1953</x:v>
      </x:c>
      <x:c r="G35" s="12" t="s">
        <x:v>1954</x:v>
      </x:c>
      <x:c r="H35" s="12" t="s">
        <x:v>1955</x:v>
      </x:c>
      <x:c r="I35" s="6"/>
      <x:c r="J35" s="6"/>
      <x:c r="K35" s="6"/>
      <x:c r="L35" s="6"/>
    </x:row>
    <x:row r="36" s="1" customFormat="1" ht="12.75" hidden="0" customHeight="1">
      <x:c r="A36" s="101"/>
      <x:c r="B36" s="6"/>
      <x:c r="C36" s="6"/>
      <x:c r="D36" s="6"/>
      <x:c r="E36" s="6"/>
      <x:c r="F36" s="6"/>
      <x:c r="G36" s="6"/>
      <x:c r="H36" s="6"/>
      <x:c r="I36" s="6"/>
      <x:c r="J36" s="6"/>
      <x:c r="K36" s="6"/>
      <x:c r="L36" s="6"/>
    </x:row>
    <x:row r="37" s="1" customFormat="1" ht="28" hidden="0" customHeight="1">
      <x:c r="A37" s="102" t="s">
        <x:v>1956</x:v>
      </x:c>
      <x:c r="B37" s="102"/>
      <x:c r="C37" s="102"/>
      <x:c r="D37" s="102"/>
      <x:c r="E37" s="102"/>
      <x:c r="F37" s="102"/>
      <x:c r="G37" s="6"/>
      <x:c r="H37" s="6"/>
      <x:c r="I37" s="6"/>
      <x:c r="J37" s="6"/>
      <x:c r="K37" s="6"/>
      <x:c r="L37" s="6"/>
    </x:row>
    <x:row r="38" s="1" customFormat="1" ht="28" hidden="0" customHeight="1">
      <x:c r="A38" s="13" t="s">
        <x:v>1957</x:v>
      </x:c>
      <x:c r="B38" s="13" t="s">
        <x:v>1958</x:v>
      </x:c>
      <x:c r="C38" s="13" t="s">
        <x:v>1959</x:v>
      </x:c>
      <x:c r="D38" s="13" t="s">
        <x:v>1960</x:v>
      </x:c>
      <x:c r="E38" s="13" t="s">
        <x:v>1961</x:v>
      </x:c>
      <x:c r="F38" s="13" t="s">
        <x:v>1962</x:v>
      </x:c>
      <x:c r="G38" s="6"/>
      <x:c r="H38" s="6"/>
      <x:c r="I38" s="6"/>
      <x:c r="J38" s="6"/>
      <x:c r="K38" s="6"/>
      <x:c r="L38" s="6"/>
    </x:row>
    <x:row r="39" s="1" customFormat="1" ht="28" hidden="0" customHeight="1">
      <x:c r="A39" s="14" t="s">
        <x:v>1963</x:v>
      </x:c>
      <x:c r="B39" s="14" t="n">
        <x:v>1</x:v>
      </x:c>
      <x:c r="C39" s="14" t="s">
        <x:v>1964</x:v>
      </x:c>
      <x:c r="D39" s="14" t="s">
        <x:v>1965</x:v>
      </x:c>
      <x:c r="E39" s="14" t="s">
        <x:v>1966</x:v>
      </x:c>
      <x:c r="F39" s="14" t="s">
        <x:v>1966</x:v>
      </x:c>
      <x:c r="G39" s="6"/>
      <x:c r="H39" s="6"/>
      <x:c r="I39" s="6"/>
      <x:c r="J39" s="6"/>
      <x:c r="K39" s="6"/>
      <x:c r="L39" s="6"/>
    </x:row>
    <x:row r="40" s="1" customFormat="1" ht="28" hidden="0" customHeight="1">
      <x:c r="A40" s="14" t="s">
        <x:v>1967</x:v>
      </x:c>
      <x:c r="B40" s="14" t="n">
        <x:v>2</x:v>
      </x:c>
      <x:c r="C40" s="14" t="s">
        <x:v>1968</x:v>
      </x:c>
      <x:c r="D40" s="14" t="s">
        <x:v>1969</x:v>
      </x:c>
      <x:c r="E40" s="14" t="s">
        <x:v>1966</x:v>
      </x:c>
      <x:c r="F40" s="14" t="s">
        <x:v>1966</x:v>
      </x:c>
      <x:c r="G40" s="6"/>
      <x:c r="H40" s="6"/>
      <x:c r="I40" s="6"/>
      <x:c r="J40" s="6"/>
      <x:c r="K40" s="6"/>
      <x:c r="L40" s="6"/>
    </x:row>
    <x:row r="41" s="1" customFormat="1" ht="28" hidden="0" customHeight="1">
      <x:c r="A41" s="14" t="s">
        <x:v>1970</x:v>
      </x:c>
      <x:c r="B41" s="14" t="n">
        <x:v>1</x:v>
      </x:c>
      <x:c r="C41" s="14" t="s">
        <x:v>1971</x:v>
      </x:c>
      <x:c r="D41" s="14" t="s">
        <x:v>1972</x:v>
      </x:c>
      <x:c r="E41" s="14" t="s">
        <x:v>1966</x:v>
      </x:c>
      <x:c r="F41" s="14" t="s">
        <x:v>1966</x:v>
      </x:c>
      <x:c r="G41" s="6"/>
      <x:c r="H41" s="6"/>
      <x:c r="I41" s="6"/>
      <x:c r="J41" s="6"/>
      <x:c r="K41" s="6"/>
      <x:c r="L41" s="6"/>
    </x:row>
    <x:row r="42" s="1" customFormat="1" ht="28" hidden="0" customHeight="1">
      <x:c r="A42" s="14" t="s">
        <x:v>1973</x:v>
      </x:c>
      <x:c r="B42" s="14" t="n">
        <x:v>2</x:v>
      </x:c>
      <x:c r="C42" s="14" t="s">
        <x:v>1974</x:v>
      </x:c>
      <x:c r="D42" s="14" t="s">
        <x:v>1975</x:v>
      </x:c>
      <x:c r="E42" s="14" t="s">
        <x:v>1966</x:v>
      </x:c>
      <x:c r="F42" s="14" t="s">
        <x:v>1966</x:v>
      </x:c>
      <x:c r="G42" s="6"/>
      <x:c r="H42" s="6"/>
      <x:c r="I42" s="6"/>
      <x:c r="J42" s="6"/>
      <x:c r="K42" s="6"/>
      <x:c r="L42" s="6"/>
    </x:row>
    <x:row r="43" s="1" customFormat="1" ht="28" hidden="0" customHeight="1">
      <x:c r="A43" s="14" t="s">
        <x:v>1976</x:v>
      </x:c>
      <x:c r="B43" s="14" t="n">
        <x:v>2</x:v>
      </x:c>
      <x:c r="C43" s="14" t="s">
        <x:v>1977</x:v>
      </x:c>
      <x:c r="D43" s="14" t="s">
        <x:v>1978</x:v>
      </x:c>
      <x:c r="E43" s="14" t="s">
        <x:v>1966</x:v>
      </x:c>
      <x:c r="F43" s="14" t="s">
        <x:v>1966</x:v>
      </x:c>
      <x:c r="G43" s="6"/>
      <x:c r="H43" s="6"/>
      <x:c r="I43" s="6"/>
      <x:c r="J43" s="6"/>
      <x:c r="K43" s="6"/>
      <x:c r="L43" s="6"/>
    </x:row>
    <x:row r="44" s="1" customFormat="1" ht="28" hidden="0" customHeight="1">
      <x:c r="A44" s="14" t="s">
        <x:v>1979</x:v>
      </x:c>
      <x:c r="B44" s="14"/>
      <x:c r="C44" s="14" t="s">
        <x:v>1980</x:v>
      </x:c>
      <x:c r="D44" s="14" t="s">
        <x:v>1981</x:v>
      </x:c>
      <x:c r="E44" s="14" t="s">
        <x:v>311</x:v>
      </x:c>
      <x:c r="F44" s="14" t="s">
        <x:v>311</x:v>
      </x:c>
      <x:c r="G44" s="6"/>
      <x:c r="H44" s="6"/>
      <x:c r="I44" s="6"/>
      <x:c r="J44" s="6"/>
      <x:c r="K44" s="6"/>
      <x:c r="L44" s="6"/>
    </x:row>
    <x:row r="45" s="1" customFormat="1" ht="28" hidden="0" customHeight="1">
      <x:c r="A45" s="14" t="s">
        <x:v>88</x:v>
      </x:c>
      <x:c r="B45" s="14"/>
      <x:c r="C45" s="14" t="s">
        <x:v>1982</x:v>
      </x:c>
      <x:c r="D45" s="14"/>
      <x:c r="E45" s="14" t="s">
        <x:v>1983</x:v>
      </x:c>
      <x:c r="F45" s="14" t="s">
        <x:v>1983</x:v>
      </x:c>
      <x:c r="G45" s="6"/>
      <x:c r="H45" s="6"/>
      <x:c r="I45" s="6"/>
      <x:c r="J45" s="6"/>
      <x:c r="K45" s="6"/>
      <x:c r="L45" s="6"/>
    </x:row>
    <x:row r="46" s="1" customFormat="1" ht="12.75" hidden="0" customHeight="1">
      <x:c r="A46" s="6"/>
      <x:c r="B46" s="6"/>
      <x:c r="C46" s="6"/>
      <x:c r="D46" s="6"/>
      <x:c r="E46" s="6"/>
      <x:c r="F46" s="6"/>
      <x:c r="G46" s="6"/>
      <x:c r="H46" s="6"/>
      <x:c r="I46" s="6"/>
      <x:c r="J46" s="6"/>
      <x:c r="K46" s="6"/>
      <x:c r="L46" s="6"/>
    </x:row>
    <x:row r="47" s="1" customFormat="1" ht="12.75" hidden="0" customHeight="1">
      <x:c r="A47" s="6"/>
      <x:c r="B47" s="6"/>
      <x:c r="C47" s="6"/>
      <x:c r="D47" s="6"/>
      <x:c r="E47" s="6"/>
      <x:c r="F47" s="6"/>
      <x:c r="G47" s="6"/>
      <x:c r="H47" s="6"/>
      <x:c r="I47" s="6"/>
      <x:c r="J47" s="6"/>
      <x:c r="K47" s="6"/>
      <x:c r="L47" s="6"/>
    </x:row>
    <x:row r="48" s="1" customFormat="1" ht="12.75" hidden="0" customHeight="1">
      <x:c r="A48" s="6"/>
      <x:c r="B48" s="6"/>
      <x:c r="C48" s="6"/>
      <x:c r="D48" s="6"/>
      <x:c r="E48" s="6"/>
      <x:c r="F48" s="6"/>
      <x:c r="G48" s="6"/>
      <x:c r="H48" s="6"/>
      <x:c r="I48" s="6"/>
      <x:c r="J48" s="6"/>
      <x:c r="K48" s="6"/>
      <x:c r="L48" s="6"/>
    </x:row>
    <x:row r="49" s="1" customFormat="1" ht="12.75" hidden="0" customHeight="1">
      <x:c r="A49" s="6"/>
      <x:c r="B49" s="6"/>
      <x:c r="C49" s="6"/>
      <x:c r="D49" s="6"/>
      <x:c r="E49" s="6"/>
      <x:c r="F49" s="6"/>
      <x:c r="G49" s="6"/>
      <x:c r="H49" s="6"/>
      <x:c r="I49" s="6"/>
      <x:c r="J49" s="6"/>
      <x:c r="K49" s="6"/>
      <x:c r="L49" s="6"/>
    </x:row>
    <x:row r="50" s="1" customFormat="1" ht="12.75" hidden="0" customHeight="1">
      <x:c r="A50" s="6"/>
      <x:c r="B50" s="6"/>
      <x:c r="C50" s="6"/>
      <x:c r="D50" s="6"/>
      <x:c r="E50" s="6"/>
      <x:c r="F50" s="6"/>
      <x:c r="G50" s="6"/>
      <x:c r="H50" s="6"/>
      <x:c r="I50" s="6"/>
      <x:c r="J50" s="6"/>
      <x:c r="K50" s="6"/>
      <x:c r="L50" s="6"/>
    </x:row>
    <x:row r="51" s="1" customFormat="1" ht="12.75" hidden="0" customHeight="1">
      <x:c r="A51" s="6"/>
      <x:c r="B51" s="6"/>
      <x:c r="C51" s="6"/>
      <x:c r="D51" s="6"/>
      <x:c r="E51" s="6"/>
      <x:c r="F51" s="6"/>
      <x:c r="G51" s="6"/>
      <x:c r="H51" s="6"/>
      <x:c r="I51" s="6"/>
      <x:c r="J51" s="6"/>
      <x:c r="K51" s="6"/>
      <x:c r="L51" s="6"/>
    </x:row>
    <x:row r="52" s="1" customFormat="1" ht="12.75" hidden="0" customHeight="1">
      <x:c r="A52" s="6"/>
      <x:c r="B52" s="6"/>
      <x:c r="C52" s="6"/>
      <x:c r="D52" s="6"/>
      <x:c r="E52" s="6"/>
      <x:c r="F52" s="6"/>
      <x:c r="G52" s="6"/>
      <x:c r="H52" s="6"/>
      <x:c r="I52" s="6"/>
      <x:c r="J52" s="6"/>
      <x:c r="K52" s="6"/>
      <x:c r="L52" s="6"/>
    </x:row>
    <x:row r="53" s="1" customFormat="1" ht="12.75" hidden="0" customHeight="1">
      <x:c r="A53" s="6"/>
      <x:c r="B53" s="6"/>
      <x:c r="C53" s="6"/>
      <x:c r="D53" s="6"/>
      <x:c r="E53" s="6"/>
      <x:c r="F53" s="6"/>
      <x:c r="G53" s="6"/>
      <x:c r="H53" s="6"/>
      <x:c r="I53" s="6"/>
      <x:c r="J53" s="6"/>
      <x:c r="K53" s="6"/>
      <x:c r="L53" s="6"/>
    </x:row>
    <x:row r="54" s="1" customFormat="1" ht="12.75" hidden="0" customHeight="1">
      <x:c r="A54" s="6"/>
      <x:c r="B54" s="6"/>
      <x:c r="C54" s="6"/>
      <x:c r="D54" s="6"/>
      <x:c r="E54" s="6"/>
      <x:c r="F54" s="6"/>
      <x:c r="G54" s="6"/>
      <x:c r="H54" s="6"/>
      <x:c r="I54" s="6"/>
      <x:c r="J54" s="6"/>
      <x:c r="K54" s="6"/>
      <x:c r="L54" s="6"/>
    </x:row>
    <x:row r="55" s="1" customFormat="1" ht="12.75" hidden="0" customHeight="1">
      <x:c r="A55" s="6"/>
      <x:c r="B55" s="6"/>
      <x:c r="C55" s="6"/>
      <x:c r="D55" s="6"/>
      <x:c r="E55" s="6"/>
      <x:c r="F55" s="6"/>
      <x:c r="G55" s="6"/>
      <x:c r="H55" s="6"/>
      <x:c r="I55" s="6"/>
      <x:c r="J55" s="6"/>
      <x:c r="K55" s="6"/>
      <x:c r="L55" s="6"/>
    </x:row>
    <x:row r="56" s="1" customFormat="1" ht="12.75" hidden="0" customHeight="1">
      <x:c r="A56" s="6"/>
      <x:c r="B56" s="6"/>
      <x:c r="C56" s="6"/>
      <x:c r="D56" s="6"/>
      <x:c r="E56" s="6"/>
      <x:c r="F56" s="6"/>
      <x:c r="G56" s="6"/>
      <x:c r="H56" s="6"/>
      <x:c r="I56" s="6"/>
      <x:c r="J56" s="6"/>
      <x:c r="K56" s="6"/>
      <x:c r="L56" s="6"/>
    </x:row>
    <x:row r="57" s="1" customFormat="1" ht="12.75" hidden="0" customHeight="1">
      <x:c r="A57" s="6"/>
      <x:c r="B57" s="6"/>
      <x:c r="C57" s="6"/>
      <x:c r="D57" s="6"/>
      <x:c r="E57" s="6"/>
      <x:c r="F57" s="6"/>
      <x:c r="G57" s="6"/>
      <x:c r="H57" s="6"/>
      <x:c r="I57" s="6"/>
      <x:c r="J57" s="6"/>
      <x:c r="K57" s="6"/>
      <x:c r="L57" s="6"/>
    </x:row>
    <x:row r="58" s="1" customFormat="1" ht="12.75" hidden="0" customHeight="1">
      <x:c r="A58" s="6"/>
      <x:c r="B58" s="6"/>
      <x:c r="C58" s="6"/>
      <x:c r="D58" s="6"/>
      <x:c r="E58" s="6"/>
      <x:c r="F58" s="6"/>
      <x:c r="G58" s="6"/>
      <x:c r="H58" s="6"/>
      <x:c r="I58" s="6"/>
      <x:c r="J58" s="6"/>
      <x:c r="K58" s="6"/>
      <x:c r="L58" s="6"/>
    </x:row>
    <x:row r="59" s="1" customFormat="1" ht="12.75" hidden="0" customHeight="1">
      <x:c r="A59" s="6"/>
      <x:c r="B59" s="6"/>
      <x:c r="C59" s="6"/>
      <x:c r="D59" s="6"/>
      <x:c r="E59" s="6"/>
      <x:c r="F59" s="6"/>
      <x:c r="G59" s="6"/>
      <x:c r="H59" s="6"/>
      <x:c r="I59" s="6"/>
      <x:c r="J59" s="6"/>
      <x:c r="K59" s="6"/>
      <x:c r="L59" s="6"/>
    </x:row>
    <x:row r="60" s="1" customFormat="1" ht="12.75" hidden="0" customHeight="1">
      <x:c r="A60" s="6"/>
      <x:c r="B60" s="6"/>
      <x:c r="C60" s="6"/>
      <x:c r="D60" s="6"/>
      <x:c r="E60" s="6"/>
      <x:c r="F60" s="6"/>
      <x:c r="G60" s="6"/>
      <x:c r="H60" s="6"/>
      <x:c r="I60" s="6"/>
      <x:c r="J60" s="6"/>
      <x:c r="K60" s="6"/>
      <x:c r="L60" s="6"/>
    </x:row>
    <x:row r="61" s="1" customFormat="1" ht="12.75" hidden="0" customHeight="1">
      <x:c r="A61" s="6"/>
      <x:c r="B61" s="6"/>
      <x:c r="C61" s="6"/>
      <x:c r="D61" s="6"/>
      <x:c r="E61" s="6"/>
      <x:c r="F61" s="6"/>
      <x:c r="G61" s="6"/>
      <x:c r="H61" s="6"/>
      <x:c r="I61" s="6"/>
      <x:c r="J61" s="6"/>
      <x:c r="K61" s="6"/>
      <x:c r="L61" s="6"/>
    </x:row>
    <x:row r="62" s="1" customFormat="1" ht="12.75" hidden="0" customHeight="1">
      <x:c r="A62" s="6"/>
      <x:c r="B62" s="6"/>
      <x:c r="C62" s="6"/>
      <x:c r="D62" s="6"/>
      <x:c r="E62" s="6"/>
      <x:c r="F62" s="6"/>
      <x:c r="G62" s="6"/>
      <x:c r="H62" s="6"/>
      <x:c r="I62" s="6"/>
      <x:c r="J62" s="6"/>
      <x:c r="K62" s="6"/>
      <x:c r="L62" s="6"/>
    </x:row>
    <x:row r="63" s="1" customFormat="1" ht="12.75" hidden="0" customHeight="1">
      <x:c r="A63" s="6"/>
      <x:c r="B63" s="6"/>
      <x:c r="C63" s="6"/>
      <x:c r="D63" s="6"/>
      <x:c r="E63" s="6"/>
      <x:c r="F63" s="6"/>
      <x:c r="G63" s="6"/>
      <x:c r="H63" s="6"/>
      <x:c r="I63" s="6"/>
      <x:c r="J63" s="6"/>
      <x:c r="K63" s="6"/>
      <x:c r="L63" s="6"/>
    </x:row>
    <x:row r="64" s="1" customFormat="1" ht="12.75" hidden="0" customHeight="1">
      <x:c r="A64" s="6"/>
      <x:c r="B64" s="6"/>
      <x:c r="C64" s="6"/>
      <x:c r="D64" s="6"/>
      <x:c r="E64" s="6"/>
      <x:c r="F64" s="6"/>
      <x:c r="G64" s="6"/>
      <x:c r="H64" s="6"/>
      <x:c r="I64" s="6"/>
      <x:c r="J64" s="6"/>
      <x:c r="K64" s="6"/>
      <x:c r="L64" s="6"/>
    </x:row>
    <x:row r="65" s="1" customFormat="1" ht="12.75" hidden="0" customHeight="1">
      <x:c r="A65" s="6"/>
      <x:c r="B65" s="6"/>
      <x:c r="C65" s="6"/>
      <x:c r="D65" s="6"/>
      <x:c r="E65" s="6"/>
      <x:c r="F65" s="6"/>
      <x:c r="G65" s="6"/>
      <x:c r="H65" s="6"/>
      <x:c r="I65" s="6"/>
      <x:c r="J65" s="6"/>
      <x:c r="K65" s="6"/>
      <x:c r="L65" s="6"/>
    </x:row>
    <x:row r="66" s="1" customFormat="1" ht="12.75" hidden="0" customHeight="1">
      <x:c r="A66" s="6"/>
      <x:c r="B66" s="6"/>
      <x:c r="C66" s="6"/>
      <x:c r="D66" s="6"/>
      <x:c r="E66" s="6"/>
      <x:c r="F66" s="6"/>
      <x:c r="G66" s="6"/>
      <x:c r="H66" s="6"/>
      <x:c r="I66" s="6"/>
      <x:c r="J66" s="6"/>
      <x:c r="K66" s="6"/>
      <x:c r="L66" s="6"/>
    </x:row>
    <x:row r="67" s="1" customFormat="1" ht="12.75" hidden="0" customHeight="1">
      <x:c r="A67" s="6"/>
      <x:c r="B67" s="6"/>
      <x:c r="C67" s="6"/>
      <x:c r="D67" s="6"/>
      <x:c r="E67" s="6"/>
      <x:c r="F67" s="6"/>
      <x:c r="G67" s="6"/>
      <x:c r="H67" s="6"/>
      <x:c r="I67" s="6"/>
      <x:c r="J67" s="6"/>
      <x:c r="K67" s="6"/>
      <x:c r="L67" s="6"/>
    </x:row>
    <x:row r="68" s="1" customFormat="1" ht="12.75" hidden="0" customHeight="1">
      <x:c r="A68" s="6"/>
      <x:c r="B68" s="6"/>
      <x:c r="C68" s="6"/>
      <x:c r="D68" s="6"/>
      <x:c r="E68" s="6"/>
      <x:c r="F68" s="6"/>
      <x:c r="G68" s="6"/>
      <x:c r="H68" s="6"/>
      <x:c r="I68" s="6"/>
      <x:c r="J68" s="6"/>
      <x:c r="K68" s="6"/>
      <x:c r="L68" s="6"/>
    </x:row>
    <x:row r="69" s="1" customFormat="1" ht="12.75" hidden="0" customHeight="1">
      <x:c r="A69" s="6"/>
      <x:c r="B69" s="6"/>
      <x:c r="C69" s="6"/>
      <x:c r="D69" s="6"/>
      <x:c r="E69" s="6"/>
      <x:c r="F69" s="6"/>
      <x:c r="G69" s="6"/>
      <x:c r="H69" s="6"/>
      <x:c r="I69" s="6"/>
      <x:c r="J69" s="6"/>
      <x:c r="K69" s="6"/>
      <x:c r="L69" s="6"/>
    </x:row>
    <x:row r="70" s="1" customFormat="1" ht="12.75" hidden="0" customHeight="1">
      <x:c r="A70" s="6"/>
      <x:c r="B70" s="6"/>
      <x:c r="C70" s="6"/>
      <x:c r="D70" s="6"/>
      <x:c r="E70" s="6"/>
      <x:c r="F70" s="6"/>
      <x:c r="G70" s="6"/>
      <x:c r="H70" s="6"/>
      <x:c r="I70" s="6"/>
      <x:c r="J70" s="6"/>
      <x:c r="K70" s="6"/>
      <x:c r="L70" s="6"/>
    </x:row>
    <x:row r="71" s="1" customFormat="1" ht="12.75" hidden="0" customHeight="1">
      <x:c r="A71" s="6"/>
      <x:c r="B71" s="6"/>
      <x:c r="C71" s="6"/>
      <x:c r="D71" s="6"/>
      <x:c r="E71" s="6"/>
      <x:c r="F71" s="6"/>
      <x:c r="G71" s="6"/>
      <x:c r="H71" s="6"/>
      <x:c r="I71" s="6"/>
      <x:c r="J71" s="6"/>
      <x:c r="K71" s="6"/>
      <x:c r="L71" s="6"/>
    </x:row>
    <x:row r="72" s="1" customFormat="1" ht="12.75" hidden="0" customHeight="1">
      <x:c r="A72" s="6"/>
      <x:c r="B72" s="6"/>
      <x:c r="C72" s="6"/>
      <x:c r="D72" s="6"/>
      <x:c r="E72" s="6"/>
      <x:c r="F72" s="6"/>
      <x:c r="G72" s="6"/>
      <x:c r="H72" s="6"/>
      <x:c r="I72" s="6"/>
      <x:c r="J72" s="6"/>
      <x:c r="K72" s="6"/>
      <x:c r="L72" s="6"/>
    </x:row>
    <x:row r="73" s="1" customFormat="1" ht="12.75" hidden="0" customHeight="1">
      <x:c r="A73" s="6"/>
      <x:c r="B73" s="6"/>
      <x:c r="C73" s="6"/>
      <x:c r="D73" s="6"/>
      <x:c r="E73" s="6"/>
      <x:c r="F73" s="6"/>
      <x:c r="G73" s="6"/>
      <x:c r="H73" s="6"/>
      <x:c r="I73" s="6"/>
      <x:c r="J73" s="6"/>
      <x:c r="K73" s="6"/>
      <x:c r="L73" s="6"/>
    </x:row>
    <x:row r="74" s="1" customFormat="1" ht="12.75" hidden="0" customHeight="1">
      <x:c r="A74" s="6"/>
      <x:c r="B74" s="6"/>
      <x:c r="C74" s="6"/>
      <x:c r="D74" s="6"/>
      <x:c r="E74" s="6"/>
      <x:c r="F74" s="6"/>
      <x:c r="G74" s="6"/>
      <x:c r="H74" s="6"/>
      <x:c r="I74" s="6"/>
      <x:c r="J74" s="6"/>
      <x:c r="K74" s="6"/>
      <x:c r="L74" s="6"/>
    </x:row>
    <x:row r="75" s="1" customFormat="1" ht="12.75" hidden="0" customHeight="1">
      <x:c r="A75" s="6"/>
      <x:c r="B75" s="6"/>
      <x:c r="C75" s="6"/>
      <x:c r="D75" s="6"/>
      <x:c r="E75" s="6"/>
      <x:c r="F75" s="6"/>
      <x:c r="G75" s="6"/>
      <x:c r="H75" s="6"/>
      <x:c r="I75" s="6"/>
      <x:c r="J75" s="6"/>
      <x:c r="K75" s="6"/>
      <x:c r="L75" s="6"/>
    </x:row>
    <x:row r="76" s="1" customFormat="1" ht="12.75" hidden="0" customHeight="1">
      <x:c r="A76" s="6"/>
      <x:c r="B76" s="6"/>
      <x:c r="C76" s="6"/>
      <x:c r="D76" s="6"/>
      <x:c r="E76" s="6"/>
      <x:c r="F76" s="6"/>
      <x:c r="G76" s="6"/>
      <x:c r="H76" s="6"/>
      <x:c r="I76" s="6"/>
      <x:c r="J76" s="6"/>
      <x:c r="K76" s="6"/>
      <x:c r="L76" s="6"/>
    </x:row>
    <x:row r="77" s="1" customFormat="1" ht="12.75" hidden="0" customHeight="1">
      <x:c r="A77" s="6"/>
      <x:c r="B77" s="6"/>
      <x:c r="C77" s="6"/>
      <x:c r="D77" s="6"/>
      <x:c r="E77" s="6"/>
      <x:c r="F77" s="6"/>
      <x:c r="G77" s="6"/>
      <x:c r="H77" s="6"/>
      <x:c r="I77" s="6"/>
      <x:c r="J77" s="6"/>
      <x:c r="K77" s="6"/>
      <x:c r="L77" s="6"/>
    </x:row>
    <x:row r="78" s="1" customFormat="1" ht="12.75" hidden="0" customHeight="1">
      <x:c r="A78" s="6"/>
      <x:c r="B78" s="6"/>
      <x:c r="C78" s="6"/>
      <x:c r="D78" s="6"/>
      <x:c r="E78" s="6"/>
      <x:c r="F78" s="6"/>
      <x:c r="G78" s="6"/>
      <x:c r="H78" s="6"/>
      <x:c r="I78" s="6"/>
      <x:c r="J78" s="6"/>
      <x:c r="K78" s="6"/>
      <x:c r="L78" s="6"/>
    </x:row>
    <x:row r="79" s="1" customFormat="1" ht="12.75" hidden="0" customHeight="1">
      <x:c r="A79" s="6"/>
      <x:c r="B79" s="6"/>
      <x:c r="C79" s="6"/>
      <x:c r="D79" s="6"/>
      <x:c r="E79" s="6"/>
      <x:c r="F79" s="6"/>
      <x:c r="G79" s="6"/>
      <x:c r="H79" s="6"/>
      <x:c r="I79" s="6"/>
      <x:c r="J79" s="6"/>
      <x:c r="K79" s="6"/>
      <x:c r="L79" s="6"/>
    </x:row>
    <x:row r="80" s="1" customFormat="1" ht="12.75" hidden="0" customHeight="1">
      <x:c r="A80" s="6"/>
      <x:c r="B80" s="6"/>
      <x:c r="C80" s="6"/>
      <x:c r="D80" s="6"/>
      <x:c r="E80" s="6"/>
      <x:c r="F80" s="6"/>
      <x:c r="G80" s="6"/>
      <x:c r="H80" s="6"/>
      <x:c r="I80" s="6"/>
      <x:c r="J80" s="6"/>
      <x:c r="K80" s="6"/>
      <x:c r="L80" s="6"/>
    </x:row>
    <x:row r="81" s="1" customFormat="1" ht="12.75" hidden="0" customHeight="1">
      <x:c r="A81" s="52"/>
      <x:c r="B81" s="52"/>
      <x:c r="C81" s="52"/>
      <x:c r="D81" s="52"/>
      <x:c r="E81" s="52"/>
      <x:c r="F81" s="52"/>
      <x:c r="G81" s="52"/>
      <x:c r="H81" s="52"/>
      <x:c r="I81" s="52"/>
      <x:c r="J81" s="52"/>
      <x:c r="K81" s="52"/>
      <x:c r="L81" s="52"/>
    </x:row>
    <x:row r="82" s="1" customFormat="1" ht="12.75" hidden="0" customHeight="1">
      <x:c r="A82" s="52"/>
      <x:c r="B82" s="52"/>
      <x:c r="C82" s="52"/>
      <x:c r="D82" s="52"/>
      <x:c r="E82" s="52"/>
      <x:c r="F82" s="52"/>
      <x:c r="G82" s="52"/>
      <x:c r="H82" s="52"/>
      <x:c r="I82" s="52"/>
      <x:c r="J82" s="52"/>
      <x:c r="K82" s="52"/>
      <x:c r="L82" s="52"/>
    </x:row>
    <x:row r="83" s="1" customFormat="1" ht="12.75" hidden="0" customHeight="1">
      <x:c r="A83" s="52"/>
      <x:c r="B83" s="52"/>
      <x:c r="C83" s="52"/>
      <x:c r="D83" s="52"/>
      <x:c r="E83" s="52"/>
      <x:c r="F83" s="52"/>
      <x:c r="G83" s="52"/>
      <x:c r="H83" s="52"/>
      <x:c r="I83" s="52"/>
      <x:c r="J83" s="52"/>
      <x:c r="K83" s="52"/>
      <x:c r="L83" s="52"/>
    </x:row>
    <x:row r="84" s="1" customFormat="1" ht="12.75" hidden="0" customHeight="1">
      <x:c r="A84" s="52"/>
      <x:c r="B84" s="52"/>
      <x:c r="C84" s="52"/>
      <x:c r="D84" s="52"/>
      <x:c r="E84" s="52"/>
      <x:c r="F84" s="52"/>
      <x:c r="G84" s="52"/>
      <x:c r="H84" s="52"/>
      <x:c r="I84" s="52"/>
      <x:c r="J84" s="52"/>
      <x:c r="K84" s="52"/>
      <x:c r="L84" s="52"/>
    </x:row>
    <x:row r="85" s="1" customFormat="1" ht="12.75" hidden="0" customHeight="1">
      <x:c r="A85" s="52"/>
      <x:c r="B85" s="52"/>
      <x:c r="C85" s="52"/>
      <x:c r="D85" s="52"/>
      <x:c r="E85" s="52"/>
      <x:c r="F85" s="52"/>
      <x:c r="G85" s="52"/>
      <x:c r="H85" s="52"/>
      <x:c r="I85" s="52"/>
      <x:c r="J85" s="52"/>
      <x:c r="K85" s="52"/>
      <x:c r="L85" s="52"/>
    </x:row>
    <x:row r="86" s="1" customFormat="1" ht="12.75" hidden="0" customHeight="1">
      <x:c r="A86" s="52"/>
      <x:c r="B86" s="52"/>
      <x:c r="C86" s="52"/>
      <x:c r="D86" s="52"/>
      <x:c r="E86" s="52"/>
      <x:c r="F86" s="52"/>
      <x:c r="G86" s="52"/>
      <x:c r="H86" s="52"/>
      <x:c r="I86" s="52"/>
      <x:c r="J86" s="52"/>
      <x:c r="K86" s="52"/>
      <x:c r="L86" s="52"/>
    </x:row>
    <x:row r="87" s="1" customFormat="1" ht="12.75" hidden="0" customHeight="1">
      <x:c r="A87" s="52"/>
      <x:c r="B87" s="52"/>
      <x:c r="C87" s="52"/>
      <x:c r="D87" s="52"/>
      <x:c r="E87" s="52"/>
      <x:c r="F87" s="52"/>
      <x:c r="G87" s="52"/>
      <x:c r="H87" s="52"/>
      <x:c r="I87" s="52"/>
      <x:c r="J87" s="52"/>
      <x:c r="K87" s="52"/>
      <x:c r="L87" s="52"/>
    </x:row>
    <x:row r="88" s="1" customFormat="1" ht="12.75" hidden="0" customHeight="1">
      <x:c r="A88" s="52"/>
      <x:c r="B88" s="52"/>
      <x:c r="C88" s="52"/>
      <x:c r="D88" s="52"/>
      <x:c r="E88" s="52"/>
      <x:c r="F88" s="52"/>
      <x:c r="G88" s="52"/>
      <x:c r="H88" s="52"/>
      <x:c r="I88" s="52"/>
      <x:c r="J88" s="52"/>
      <x:c r="K88" s="52"/>
      <x:c r="L88" s="52"/>
    </x:row>
    <x:row r="89" s="1" customFormat="1" ht="12.75" hidden="0" customHeight="1">
      <x:c r="A89" s="52"/>
      <x:c r="B89" s="52"/>
      <x:c r="C89" s="52"/>
      <x:c r="D89" s="52"/>
      <x:c r="E89" s="52"/>
      <x:c r="F89" s="52"/>
      <x:c r="G89" s="52"/>
      <x:c r="H89" s="52"/>
      <x:c r="I89" s="52"/>
      <x:c r="J89" s="52"/>
      <x:c r="K89" s="52"/>
      <x:c r="L89" s="52"/>
    </x:row>
    <x:row r="90" s="1" customFormat="1" ht="12.75" hidden="0" customHeight="1">
      <x:c r="A90" s="52"/>
      <x:c r="B90" s="52"/>
      <x:c r="C90" s="52"/>
      <x:c r="D90" s="52"/>
      <x:c r="E90" s="52"/>
      <x:c r="F90" s="52"/>
      <x:c r="G90" s="52"/>
      <x:c r="H90" s="52"/>
      <x:c r="I90" s="52"/>
      <x:c r="J90" s="52"/>
      <x:c r="K90" s="52"/>
      <x:c r="L90" s="52"/>
    </x:row>
    <x:row r="91" s="1" customFormat="1" ht="12.75" hidden="0" customHeight="1">
      <x:c r="A91" s="52"/>
      <x:c r="B91" s="52"/>
      <x:c r="C91" s="52"/>
      <x:c r="D91" s="52"/>
      <x:c r="E91" s="52"/>
      <x:c r="F91" s="52"/>
      <x:c r="G91" s="52"/>
      <x:c r="H91" s="52"/>
      <x:c r="I91" s="52"/>
      <x:c r="J91" s="52"/>
      <x:c r="K91" s="52"/>
      <x:c r="L91" s="52"/>
    </x:row>
    <x:row r="92" s="1" customFormat="1" ht="12.75" hidden="0" customHeight="1">
      <x:c r="A92" s="52"/>
      <x:c r="B92" s="52"/>
      <x:c r="C92" s="52"/>
      <x:c r="D92" s="52"/>
      <x:c r="E92" s="52"/>
      <x:c r="F92" s="52"/>
      <x:c r="G92" s="52"/>
      <x:c r="H92" s="52"/>
      <x:c r="I92" s="52"/>
      <x:c r="J92" s="52"/>
      <x:c r="K92" s="52"/>
      <x:c r="L92" s="52"/>
    </x:row>
    <x:row r="93" s="1" customFormat="1" ht="12.75" hidden="0" customHeight="1">
      <x:c r="A93" s="52"/>
      <x:c r="B93" s="52"/>
      <x:c r="C93" s="52"/>
      <x:c r="D93" s="52"/>
      <x:c r="E93" s="52"/>
      <x:c r="F93" s="52"/>
      <x:c r="G93" s="52"/>
      <x:c r="H93" s="52"/>
      <x:c r="I93" s="52"/>
      <x:c r="J93" s="52"/>
      <x:c r="K93" s="52"/>
      <x:c r="L93" s="52"/>
    </x:row>
    <x:row r="94" s="1" customFormat="1" ht="12.75" hidden="0" customHeight="1">
      <x:c r="A94" s="52"/>
      <x:c r="B94" s="52"/>
      <x:c r="C94" s="52"/>
      <x:c r="D94" s="52"/>
      <x:c r="E94" s="52"/>
      <x:c r="F94" s="52"/>
      <x:c r="G94" s="52"/>
      <x:c r="H94" s="52"/>
      <x:c r="I94" s="52"/>
      <x:c r="J94" s="52"/>
      <x:c r="K94" s="52"/>
      <x:c r="L94" s="52"/>
    </x:row>
    <x:row r="95" s="1" customFormat="1" ht="12.75" hidden="0" customHeight="1">
      <x:c r="A95" s="52"/>
      <x:c r="B95" s="52"/>
      <x:c r="C95" s="52"/>
      <x:c r="D95" s="52"/>
      <x:c r="E95" s="52"/>
      <x:c r="F95" s="52"/>
      <x:c r="G95" s="52"/>
      <x:c r="H95" s="52"/>
      <x:c r="I95" s="52"/>
      <x:c r="J95" s="52"/>
      <x:c r="K95" s="52"/>
      <x:c r="L95" s="52"/>
    </x:row>
    <x:row r="96" s="1" customFormat="1" ht="12.75" hidden="0" customHeight="1">
      <x:c r="A96" s="52"/>
      <x:c r="B96" s="52"/>
      <x:c r="C96" s="52"/>
      <x:c r="D96" s="52"/>
      <x:c r="E96" s="52"/>
      <x:c r="F96" s="52"/>
      <x:c r="G96" s="52"/>
      <x:c r="H96" s="52"/>
      <x:c r="I96" s="52"/>
      <x:c r="J96" s="52"/>
      <x:c r="K96" s="52"/>
      <x:c r="L96" s="52"/>
    </x:row>
    <x:row r="97" s="1" customFormat="1" ht="12.75" hidden="0" customHeight="1">
      <x:c r="A97" s="52"/>
      <x:c r="B97" s="52"/>
      <x:c r="C97" s="52"/>
      <x:c r="D97" s="52"/>
      <x:c r="E97" s="52"/>
      <x:c r="F97" s="52"/>
      <x:c r="G97" s="52"/>
      <x:c r="H97" s="52"/>
      <x:c r="I97" s="52"/>
      <x:c r="J97" s="52"/>
      <x:c r="K97" s="52"/>
      <x:c r="L97" s="52"/>
    </x:row>
    <x:row r="98" s="1" customFormat="1" ht="12.75" hidden="0" customHeight="1">
      <x:c r="A98" s="52"/>
      <x:c r="B98" s="52"/>
      <x:c r="C98" s="52"/>
      <x:c r="D98" s="52"/>
      <x:c r="E98" s="52"/>
      <x:c r="F98" s="52"/>
      <x:c r="G98" s="52"/>
      <x:c r="H98" s="52"/>
      <x:c r="I98" s="52"/>
      <x:c r="J98" s="52"/>
      <x:c r="K98" s="52"/>
      <x:c r="L98" s="52"/>
    </x:row>
    <x:row r="99" s="1" customFormat="1" ht="12.75" hidden="0" customHeight="1">
      <x:c r="A99" s="52"/>
      <x:c r="B99" s="52"/>
      <x:c r="C99" s="52"/>
      <x:c r="D99" s="52"/>
      <x:c r="E99" s="52"/>
      <x:c r="F99" s="52"/>
      <x:c r="G99" s="52"/>
      <x:c r="H99" s="52"/>
      <x:c r="I99" s="52"/>
      <x:c r="J99" s="52"/>
      <x:c r="K99" s="52"/>
      <x:c r="L99" s="52"/>
    </x:row>
    <x:row r="100" s="1" customFormat="1" ht="12.75" hidden="0" customHeight="1">
      <x:c r="A100" s="52"/>
      <x:c r="B100" s="52"/>
      <x:c r="C100" s="52"/>
      <x:c r="D100" s="52"/>
      <x:c r="E100" s="52"/>
      <x:c r="F100" s="52"/>
      <x:c r="G100" s="52"/>
      <x:c r="H100" s="52"/>
      <x:c r="I100" s="52"/>
      <x:c r="J100" s="52"/>
      <x:c r="K100" s="52"/>
      <x:c r="L100" s="52"/>
    </x:row>
    <x:row r="101" s="1" customFormat="1" ht="12.75" hidden="0" customHeight="1">
      <x:c r="A101" s="52"/>
      <x:c r="B101" s="52"/>
      <x:c r="C101" s="52"/>
      <x:c r="D101" s="52"/>
      <x:c r="E101" s="52"/>
      <x:c r="F101" s="52"/>
      <x:c r="G101" s="52"/>
      <x:c r="H101" s="52"/>
      <x:c r="I101" s="52"/>
      <x:c r="J101" s="52"/>
      <x:c r="K101" s="52"/>
      <x:c r="L101" s="52"/>
    </x:row>
    <x:row r="102" s="1" customFormat="1" ht="12.75" hidden="0" customHeight="1">
      <x:c r="A102" s="52"/>
      <x:c r="B102" s="52"/>
      <x:c r="C102" s="52"/>
      <x:c r="D102" s="52"/>
      <x:c r="E102" s="52"/>
      <x:c r="F102" s="52"/>
      <x:c r="G102" s="52"/>
      <x:c r="H102" s="52"/>
      <x:c r="I102" s="52"/>
      <x:c r="J102" s="52"/>
      <x:c r="K102" s="52"/>
      <x:c r="L102" s="52"/>
    </x:row>
    <x:row r="103" s="1" customFormat="1" ht="12.75" hidden="0" customHeight="1">
      <x:c r="A103" s="52"/>
      <x:c r="B103" s="52"/>
      <x:c r="C103" s="52"/>
      <x:c r="D103" s="52"/>
      <x:c r="E103" s="52"/>
      <x:c r="F103" s="52"/>
      <x:c r="G103" s="52"/>
      <x:c r="H103" s="52"/>
      <x:c r="I103" s="52"/>
      <x:c r="J103" s="52"/>
      <x:c r="K103" s="52"/>
      <x:c r="L103" s="52"/>
    </x:row>
    <x:row r="104" s="1" customFormat="1" ht="12.75" hidden="0" customHeight="1">
      <x:c r="A104" s="52"/>
      <x:c r="B104" s="52"/>
      <x:c r="C104" s="52"/>
      <x:c r="D104" s="52"/>
      <x:c r="E104" s="52"/>
      <x:c r="F104" s="52"/>
      <x:c r="G104" s="52"/>
      <x:c r="H104" s="52"/>
      <x:c r="I104" s="52"/>
      <x:c r="J104" s="52"/>
      <x:c r="K104" s="52"/>
      <x:c r="L104" s="52"/>
    </x:row>
    <x:row r="105" s="1" customFormat="1" ht="12.75" hidden="0" customHeight="1">
      <x:c r="A105" s="52"/>
      <x:c r="B105" s="52"/>
      <x:c r="C105" s="52"/>
      <x:c r="D105" s="52"/>
      <x:c r="E105" s="52"/>
      <x:c r="F105" s="52"/>
      <x:c r="G105" s="52"/>
      <x:c r="H105" s="52"/>
      <x:c r="I105" s="52"/>
      <x:c r="J105" s="52"/>
      <x:c r="K105" s="52"/>
      <x:c r="L105" s="52"/>
    </x:row>
    <x:row r="106" s="1" customFormat="1" ht="12.75" hidden="0" customHeight="1">
      <x:c r="A106" s="52"/>
      <x:c r="B106" s="52"/>
      <x:c r="C106" s="52"/>
      <x:c r="D106" s="52"/>
      <x:c r="E106" s="52"/>
      <x:c r="F106" s="52"/>
      <x:c r="G106" s="52"/>
      <x:c r="H106" s="52"/>
      <x:c r="I106" s="52"/>
      <x:c r="J106" s="52"/>
      <x:c r="K106" s="52"/>
      <x:c r="L106" s="52"/>
    </x:row>
    <x:row r="107" s="1" customFormat="1" ht="12.75" hidden="0" customHeight="1">
      <x:c r="A107" s="52"/>
      <x:c r="B107" s="52"/>
      <x:c r="C107" s="52"/>
      <x:c r="D107" s="52"/>
      <x:c r="E107" s="52"/>
      <x:c r="F107" s="52"/>
      <x:c r="G107" s="52"/>
      <x:c r="H107" s="52"/>
      <x:c r="I107" s="52"/>
      <x:c r="J107" s="52"/>
      <x:c r="K107" s="52"/>
      <x:c r="L107" s="52"/>
    </x:row>
    <x:row r="108" s="1" customFormat="1" ht="12.75" hidden="0" customHeight="1">
      <x:c r="A108" s="52"/>
      <x:c r="B108" s="52"/>
      <x:c r="C108" s="52"/>
      <x:c r="D108" s="52"/>
      <x:c r="E108" s="52"/>
      <x:c r="F108" s="52"/>
      <x:c r="G108" s="52"/>
      <x:c r="H108" s="52"/>
      <x:c r="I108" s="52"/>
      <x:c r="J108" s="52"/>
      <x:c r="K108" s="52"/>
      <x:c r="L108" s="52"/>
    </x:row>
    <x:row r="109" s="1" customFormat="1" ht="12.75" hidden="0" customHeight="1">
      <x:c r="A109" s="52"/>
      <x:c r="B109" s="52"/>
      <x:c r="C109" s="52"/>
      <x:c r="D109" s="52"/>
      <x:c r="E109" s="52"/>
      <x:c r="F109" s="52"/>
      <x:c r="G109" s="52"/>
      <x:c r="H109" s="52"/>
      <x:c r="I109" s="52"/>
      <x:c r="J109" s="52"/>
      <x:c r="K109" s="52"/>
      <x:c r="L109" s="52"/>
    </x:row>
    <x:row r="110" s="1" customFormat="1" ht="12.75" hidden="0" customHeight="1">
      <x:c r="A110" s="52"/>
      <x:c r="B110" s="52"/>
      <x:c r="C110" s="52"/>
      <x:c r="D110" s="52"/>
      <x:c r="E110" s="52"/>
      <x:c r="F110" s="52"/>
      <x:c r="G110" s="52"/>
      <x:c r="H110" s="52"/>
      <x:c r="I110" s="52"/>
      <x:c r="J110" s="52"/>
      <x:c r="K110" s="52"/>
      <x:c r="L110" s="52"/>
    </x:row>
    <x:row r="111" s="1" customFormat="1" ht="12.75" hidden="0" customHeight="1">
      <x:c r="A111" s="52"/>
      <x:c r="B111" s="52"/>
      <x:c r="C111" s="52"/>
      <x:c r="D111" s="52"/>
      <x:c r="E111" s="52"/>
      <x:c r="F111" s="52"/>
      <x:c r="G111" s="52"/>
      <x:c r="H111" s="52"/>
      <x:c r="I111" s="52"/>
      <x:c r="J111" s="52"/>
      <x:c r="K111" s="52"/>
      <x:c r="L111" s="52"/>
    </x:row>
    <x:row r="112" s="1" customFormat="1" ht="12.75" hidden="0" customHeight="1">
      <x:c r="A112" s="52"/>
      <x:c r="B112" s="52"/>
      <x:c r="C112" s="52"/>
      <x:c r="D112" s="52"/>
      <x:c r="E112" s="52"/>
      <x:c r="F112" s="52"/>
      <x:c r="G112" s="52"/>
      <x:c r="H112" s="52"/>
      <x:c r="I112" s="52"/>
      <x:c r="J112" s="52"/>
      <x:c r="K112" s="52"/>
      <x:c r="L112" s="52"/>
    </x:row>
    <x:row r="113" s="1" customFormat="1" ht="12.75" hidden="0" customHeight="1">
      <x:c r="A113" s="52"/>
      <x:c r="B113" s="52"/>
      <x:c r="C113" s="52"/>
      <x:c r="D113" s="52"/>
      <x:c r="E113" s="52"/>
      <x:c r="F113" s="52"/>
      <x:c r="G113" s="52"/>
      <x:c r="H113" s="52"/>
      <x:c r="I113" s="52"/>
      <x:c r="J113" s="52"/>
      <x:c r="K113" s="52"/>
      <x:c r="L113" s="52"/>
    </x:row>
    <x:row r="114" s="1" customFormat="1" ht="12.75" hidden="0" customHeight="1">
      <x:c r="A114" s="52"/>
      <x:c r="B114" s="52"/>
      <x:c r="C114" s="52"/>
      <x:c r="D114" s="52"/>
      <x:c r="E114" s="52"/>
      <x:c r="F114" s="52"/>
      <x:c r="G114" s="52"/>
      <x:c r="H114" s="52"/>
      <x:c r="I114" s="52"/>
      <x:c r="J114" s="52"/>
      <x:c r="K114" s="52"/>
      <x:c r="L114" s="52"/>
    </x:row>
    <x:row r="115" s="1" customFormat="1" ht="12.75" hidden="0" customHeight="1">
      <x:c r="A115" s="52"/>
      <x:c r="B115" s="52"/>
      <x:c r="C115" s="52"/>
      <x:c r="D115" s="52"/>
      <x:c r="E115" s="52"/>
      <x:c r="F115" s="52"/>
      <x:c r="G115" s="52"/>
      <x:c r="H115" s="52"/>
      <x:c r="I115" s="52"/>
      <x:c r="J115" s="52"/>
      <x:c r="K115" s="52"/>
      <x:c r="L115" s="52"/>
    </x:row>
    <x:row r="116" s="1" customFormat="1" ht="12.75" hidden="0" customHeight="1">
      <x:c r="A116" s="52"/>
      <x:c r="B116" s="52"/>
      <x:c r="C116" s="52"/>
      <x:c r="D116" s="52"/>
      <x:c r="E116" s="52"/>
      <x:c r="F116" s="52"/>
      <x:c r="G116" s="52"/>
      <x:c r="H116" s="52"/>
      <x:c r="I116" s="52"/>
      <x:c r="J116" s="52"/>
      <x:c r="K116" s="52"/>
      <x:c r="L116" s="52"/>
    </x:row>
    <x:row r="117" s="1" customFormat="1" ht="12.75" hidden="0" customHeight="1">
      <x:c r="A117" s="52"/>
      <x:c r="B117" s="52"/>
      <x:c r="C117" s="52"/>
      <x:c r="D117" s="52"/>
      <x:c r="E117" s="52"/>
      <x:c r="F117" s="52"/>
      <x:c r="G117" s="52"/>
      <x:c r="H117" s="52"/>
      <x:c r="I117" s="52"/>
      <x:c r="J117" s="52"/>
      <x:c r="K117" s="52"/>
      <x:c r="L117" s="52"/>
    </x:row>
    <x:row r="118" s="1" customFormat="1" ht="12.75" hidden="0" customHeight="1">
      <x:c r="A118" s="52"/>
      <x:c r="B118" s="52"/>
      <x:c r="C118" s="52"/>
      <x:c r="D118" s="52"/>
      <x:c r="E118" s="52"/>
      <x:c r="F118" s="52"/>
      <x:c r="G118" s="52"/>
      <x:c r="H118" s="52"/>
      <x:c r="I118" s="52"/>
      <x:c r="J118" s="52"/>
      <x:c r="K118" s="52"/>
      <x:c r="L118" s="52"/>
    </x:row>
    <x:row r="119" s="1" customFormat="1" ht="12.75" hidden="0" customHeight="1">
      <x:c r="A119" s="52"/>
      <x:c r="B119" s="52"/>
      <x:c r="C119" s="52"/>
      <x:c r="D119" s="52"/>
      <x:c r="E119" s="52"/>
      <x:c r="F119" s="52"/>
      <x:c r="G119" s="52"/>
      <x:c r="H119" s="52"/>
      <x:c r="I119" s="52"/>
      <x:c r="J119" s="52"/>
      <x:c r="K119" s="52"/>
      <x:c r="L119" s="52"/>
    </x:row>
    <x:row r="120" s="1" customFormat="1" ht="12.75" hidden="0" customHeight="1">
      <x:c r="A120" s="52"/>
      <x:c r="B120" s="52"/>
      <x:c r="C120" s="52"/>
      <x:c r="D120" s="52"/>
      <x:c r="E120" s="52"/>
      <x:c r="F120" s="52"/>
      <x:c r="G120" s="52"/>
      <x:c r="H120" s="52"/>
      <x:c r="I120" s="52"/>
      <x:c r="J120" s="52"/>
      <x:c r="K120" s="52"/>
      <x:c r="L120" s="52"/>
    </x:row>
    <x:row r="121" s="1" customFormat="1" ht="12.75" hidden="0" customHeight="1">
      <x:c r="A121" s="52"/>
      <x:c r="B121" s="52"/>
      <x:c r="C121" s="52"/>
      <x:c r="D121" s="52"/>
      <x:c r="E121" s="52"/>
      <x:c r="F121" s="52"/>
      <x:c r="G121" s="52"/>
      <x:c r="H121" s="52"/>
      <x:c r="I121" s="52"/>
      <x:c r="J121" s="52"/>
      <x:c r="K121" s="52"/>
      <x:c r="L121" s="52"/>
    </x:row>
    <x:row r="122" s="1" customFormat="1" ht="12.75" hidden="0" customHeight="1">
      <x:c r="A122" s="52"/>
      <x:c r="B122" s="52"/>
      <x:c r="C122" s="52"/>
      <x:c r="D122" s="52"/>
      <x:c r="E122" s="52"/>
      <x:c r="F122" s="52"/>
      <x:c r="G122" s="52"/>
      <x:c r="H122" s="52"/>
      <x:c r="I122" s="52"/>
      <x:c r="J122" s="52"/>
      <x:c r="K122" s="52"/>
      <x:c r="L122" s="52"/>
    </x:row>
    <x:row r="123" s="1" customFormat="1" ht="12.75" hidden="0" customHeight="1">
      <x:c r="A123" s="52"/>
      <x:c r="B123" s="52"/>
      <x:c r="C123" s="52"/>
      <x:c r="D123" s="52"/>
      <x:c r="E123" s="52"/>
      <x:c r="F123" s="52"/>
      <x:c r="G123" s="52"/>
      <x:c r="H123" s="52"/>
      <x:c r="I123" s="52"/>
      <x:c r="J123" s="52"/>
      <x:c r="K123" s="52"/>
      <x:c r="L123" s="52"/>
    </x:row>
    <x:row r="124" s="1" customFormat="1" ht="12.75" hidden="0" customHeight="1">
      <x:c r="A124" s="52"/>
      <x:c r="B124" s="52"/>
      <x:c r="C124" s="52"/>
      <x:c r="D124" s="52"/>
      <x:c r="E124" s="52"/>
      <x:c r="F124" s="52"/>
      <x:c r="G124" s="52"/>
      <x:c r="H124" s="52"/>
      <x:c r="I124" s="52"/>
      <x:c r="J124" s="52"/>
      <x:c r="K124" s="52"/>
      <x:c r="L124" s="52"/>
    </x:row>
    <x:row r="125" s="1" customFormat="1" ht="12.75" hidden="0" customHeight="1">
      <x:c r="A125" s="52"/>
      <x:c r="B125" s="52"/>
      <x:c r="C125" s="52"/>
      <x:c r="D125" s="52"/>
      <x:c r="E125" s="52"/>
      <x:c r="F125" s="52"/>
      <x:c r="G125" s="52"/>
      <x:c r="H125" s="52"/>
      <x:c r="I125" s="52"/>
      <x:c r="J125" s="52"/>
      <x:c r="K125" s="52"/>
      <x:c r="L125" s="52"/>
    </x:row>
    <x:row r="126" s="1" customFormat="1" ht="12.75" hidden="0" customHeight="1">
      <x:c r="A126" s="52"/>
      <x:c r="B126" s="52"/>
      <x:c r="C126" s="52"/>
      <x:c r="D126" s="52"/>
      <x:c r="E126" s="52"/>
      <x:c r="F126" s="52"/>
      <x:c r="G126" s="52"/>
      <x:c r="H126" s="52"/>
      <x:c r="I126" s="52"/>
      <x:c r="J126" s="52"/>
      <x:c r="K126" s="52"/>
      <x:c r="L126" s="52"/>
    </x:row>
    <x:row r="127" s="1" customFormat="1" ht="12.75" hidden="0" customHeight="1">
      <x:c r="A127" s="52"/>
      <x:c r="B127" s="52"/>
      <x:c r="C127" s="52"/>
      <x:c r="D127" s="52"/>
      <x:c r="E127" s="52"/>
      <x:c r="F127" s="52"/>
      <x:c r="G127" s="52"/>
      <x:c r="H127" s="52"/>
      <x:c r="I127" s="52"/>
      <x:c r="J127" s="52"/>
      <x:c r="K127" s="52"/>
      <x:c r="L127" s="52"/>
    </x:row>
    <x:row r="128" s="1" customFormat="1" ht="12.75" hidden="0" customHeight="1">
      <x:c r="A128" s="52"/>
      <x:c r="B128" s="52"/>
      <x:c r="C128" s="52"/>
      <x:c r="D128" s="52"/>
      <x:c r="E128" s="52"/>
      <x:c r="F128" s="52"/>
      <x:c r="G128" s="52"/>
      <x:c r="H128" s="52"/>
      <x:c r="I128" s="52"/>
      <x:c r="J128" s="52"/>
      <x:c r="K128" s="52"/>
      <x:c r="L128" s="52"/>
    </x:row>
    <x:row r="129" s="1" customFormat="1" ht="12.75" hidden="0" customHeight="1">
      <x:c r="A129" s="52"/>
      <x:c r="B129" s="52"/>
      <x:c r="C129" s="52"/>
      <x:c r="D129" s="52"/>
      <x:c r="E129" s="52"/>
      <x:c r="F129" s="52"/>
      <x:c r="G129" s="52"/>
      <x:c r="H129" s="52"/>
      <x:c r="I129" s="52"/>
      <x:c r="J129" s="52"/>
      <x:c r="K129" s="52"/>
      <x:c r="L129" s="52"/>
    </x:row>
    <x:row r="130" s="1" customFormat="1" ht="12.75" hidden="0" customHeight="1">
      <x:c r="A130" s="52"/>
      <x:c r="B130" s="52"/>
      <x:c r="C130" s="52"/>
      <x:c r="D130" s="52"/>
      <x:c r="E130" s="52"/>
      <x:c r="F130" s="52"/>
      <x:c r="G130" s="52"/>
      <x:c r="H130" s="52"/>
      <x:c r="I130" s="52"/>
      <x:c r="J130" s="52"/>
      <x:c r="K130" s="52"/>
      <x:c r="L130" s="52"/>
    </x:row>
    <x:row r="131" s="1" customFormat="1" ht="12.75" hidden="0" customHeight="1">
      <x:c r="A131" s="52"/>
      <x:c r="B131" s="52"/>
      <x:c r="C131" s="52"/>
      <x:c r="D131" s="52"/>
      <x:c r="E131" s="52"/>
      <x:c r="F131" s="52"/>
      <x:c r="G131" s="52"/>
      <x:c r="H131" s="52"/>
      <x:c r="I131" s="52"/>
      <x:c r="J131" s="52"/>
      <x:c r="K131" s="52"/>
      <x:c r="L131" s="52"/>
    </x:row>
    <x:row r="132" s="1" customFormat="1" ht="12.75" hidden="0" customHeight="1">
      <x:c r="A132" s="52"/>
      <x:c r="B132" s="52"/>
      <x:c r="C132" s="52"/>
      <x:c r="D132" s="52"/>
      <x:c r="E132" s="52"/>
      <x:c r="F132" s="52"/>
      <x:c r="G132" s="52"/>
      <x:c r="H132" s="52"/>
      <x:c r="I132" s="52"/>
      <x:c r="J132" s="52"/>
      <x:c r="K132" s="52"/>
      <x:c r="L132" s="52"/>
    </x:row>
    <x:row r="133" s="1" customFormat="1" ht="12.75" hidden="0" customHeight="1">
      <x:c r="A133" s="52"/>
      <x:c r="B133" s="52"/>
      <x:c r="C133" s="52"/>
      <x:c r="D133" s="52"/>
      <x:c r="E133" s="52"/>
      <x:c r="F133" s="52"/>
      <x:c r="G133" s="52"/>
      <x:c r="H133" s="52"/>
      <x:c r="I133" s="52"/>
      <x:c r="J133" s="52"/>
      <x:c r="K133" s="52"/>
      <x:c r="L133" s="52"/>
    </x:row>
    <x:row r="134" s="1" customFormat="1" ht="12.75" hidden="0" customHeight="1">
      <x:c r="A134" s="52"/>
      <x:c r="B134" s="52"/>
      <x:c r="C134" s="52"/>
      <x:c r="D134" s="52"/>
      <x:c r="E134" s="52"/>
      <x:c r="F134" s="52"/>
      <x:c r="G134" s="52"/>
      <x:c r="H134" s="52"/>
      <x:c r="I134" s="52"/>
      <x:c r="J134" s="52"/>
      <x:c r="K134" s="52"/>
      <x:c r="L134" s="52"/>
    </x:row>
    <x:row r="135" s="1" customFormat="1" ht="12.75" hidden="0" customHeight="1">
      <x:c r="A135" s="52"/>
      <x:c r="B135" s="52"/>
      <x:c r="C135" s="52"/>
      <x:c r="D135" s="52"/>
      <x:c r="E135" s="52"/>
      <x:c r="F135" s="52"/>
      <x:c r="G135" s="52"/>
      <x:c r="H135" s="52"/>
      <x:c r="I135" s="52"/>
      <x:c r="J135" s="52"/>
      <x:c r="K135" s="52"/>
      <x:c r="L135" s="52"/>
    </x:row>
    <x:row r="136" s="1" customFormat="1" ht="12.75" hidden="0" customHeight="1">
      <x:c r="A136" s="52"/>
      <x:c r="B136" s="52"/>
      <x:c r="C136" s="52"/>
      <x:c r="D136" s="52"/>
      <x:c r="E136" s="52"/>
      <x:c r="F136" s="52"/>
      <x:c r="G136" s="52"/>
      <x:c r="H136" s="52"/>
      <x:c r="I136" s="52"/>
      <x:c r="J136" s="52"/>
      <x:c r="K136" s="52"/>
      <x:c r="L136" s="52"/>
    </x:row>
    <x:row r="137" s="1" customFormat="1" ht="12.75" hidden="0" customHeight="1">
      <x:c r="A137" s="52"/>
      <x:c r="B137" s="52"/>
      <x:c r="C137" s="52"/>
      <x:c r="D137" s="52"/>
      <x:c r="E137" s="52"/>
      <x:c r="F137" s="52"/>
      <x:c r="G137" s="52"/>
      <x:c r="H137" s="52"/>
      <x:c r="I137" s="52"/>
      <x:c r="J137" s="52"/>
      <x:c r="K137" s="52"/>
      <x:c r="L137" s="52"/>
    </x:row>
    <x:row r="138" s="1" customFormat="1" ht="12.75" hidden="0" customHeight="1">
      <x:c r="A138" s="52"/>
      <x:c r="B138" s="52"/>
      <x:c r="C138" s="52"/>
      <x:c r="D138" s="52"/>
      <x:c r="E138" s="52"/>
      <x:c r="F138" s="52"/>
      <x:c r="G138" s="52"/>
      <x:c r="H138" s="52"/>
      <x:c r="I138" s="52"/>
      <x:c r="J138" s="52"/>
      <x:c r="K138" s="52"/>
      <x:c r="L138" s="52"/>
    </x:row>
    <x:row r="139" s="1" customFormat="1" ht="12.75" hidden="0" customHeight="1">
      <x:c r="A139" s="52"/>
      <x:c r="B139" s="52"/>
      <x:c r="C139" s="52"/>
      <x:c r="D139" s="52"/>
      <x:c r="E139" s="52"/>
      <x:c r="F139" s="52"/>
      <x:c r="G139" s="52"/>
      <x:c r="H139" s="52"/>
      <x:c r="I139" s="52"/>
      <x:c r="J139" s="52"/>
      <x:c r="K139" s="52"/>
      <x:c r="L139" s="52"/>
    </x:row>
    <x:row r="140" s="1" customFormat="1" ht="12.75" hidden="0" customHeight="1">
      <x:c r="A140" s="52"/>
      <x:c r="B140" s="52"/>
      <x:c r="C140" s="52"/>
      <x:c r="D140" s="52"/>
      <x:c r="E140" s="52"/>
      <x:c r="F140" s="52"/>
      <x:c r="G140" s="52"/>
      <x:c r="H140" s="52"/>
      <x:c r="I140" s="52"/>
      <x:c r="J140" s="52"/>
      <x:c r="K140" s="52"/>
      <x:c r="L140" s="52"/>
    </x:row>
    <x:row r="141" s="1" customFormat="1" ht="12.75" hidden="0" customHeight="1">
      <x:c r="A141" s="52"/>
      <x:c r="B141" s="52"/>
      <x:c r="C141" s="52"/>
      <x:c r="D141" s="52"/>
      <x:c r="E141" s="52"/>
      <x:c r="F141" s="52"/>
      <x:c r="G141" s="52"/>
      <x:c r="H141" s="52"/>
      <x:c r="I141" s="52"/>
      <x:c r="J141" s="52"/>
      <x:c r="K141" s="52"/>
      <x:c r="L141" s="52"/>
    </x:row>
    <x:row r="142" s="1" customFormat="1" ht="12.75" hidden="0" customHeight="1">
      <x:c r="A142" s="52"/>
      <x:c r="B142" s="52"/>
      <x:c r="C142" s="52"/>
      <x:c r="D142" s="52"/>
      <x:c r="E142" s="52"/>
      <x:c r="F142" s="52"/>
      <x:c r="G142" s="52"/>
      <x:c r="H142" s="52"/>
      <x:c r="I142" s="52"/>
      <x:c r="J142" s="52"/>
      <x:c r="K142" s="52"/>
      <x:c r="L142" s="52"/>
    </x:row>
    <x:row r="143" s="1" customFormat="1" ht="12.75" hidden="0" customHeight="1">
      <x:c r="A143" s="52"/>
      <x:c r="B143" s="52"/>
      <x:c r="C143" s="52"/>
      <x:c r="D143" s="52"/>
      <x:c r="E143" s="52"/>
      <x:c r="F143" s="52"/>
      <x:c r="G143" s="52"/>
      <x:c r="H143" s="52"/>
      <x:c r="I143" s="52"/>
      <x:c r="J143" s="52"/>
      <x:c r="K143" s="52"/>
      <x:c r="L143" s="52"/>
    </x:row>
    <x:row r="144" s="1" customFormat="1" ht="12.75" hidden="0" customHeight="1">
      <x:c r="A144" s="52"/>
      <x:c r="B144" s="52"/>
      <x:c r="C144" s="52"/>
      <x:c r="D144" s="52"/>
      <x:c r="E144" s="52"/>
      <x:c r="F144" s="52"/>
      <x:c r="G144" s="52"/>
      <x:c r="H144" s="52"/>
      <x:c r="I144" s="52"/>
      <x:c r="J144" s="52"/>
      <x:c r="K144" s="52"/>
      <x:c r="L144" s="52"/>
    </x:row>
    <x:row r="145" s="1" customFormat="1" ht="12.75" hidden="0" customHeight="1">
      <x:c r="A145" s="52"/>
      <x:c r="B145" s="52"/>
      <x:c r="C145" s="52"/>
      <x:c r="D145" s="52"/>
      <x:c r="E145" s="52"/>
      <x:c r="F145" s="52"/>
      <x:c r="G145" s="52"/>
      <x:c r="H145" s="52"/>
      <x:c r="I145" s="52"/>
      <x:c r="J145" s="52"/>
      <x:c r="K145" s="52"/>
      <x:c r="L145" s="52"/>
    </x:row>
    <x:row r="146" s="1" customFormat="1" ht="12.75" hidden="0" customHeight="1">
      <x:c r="A146" s="52"/>
      <x:c r="B146" s="52"/>
      <x:c r="C146" s="52"/>
      <x:c r="D146" s="52"/>
      <x:c r="E146" s="52"/>
      <x:c r="F146" s="52"/>
      <x:c r="G146" s="52"/>
      <x:c r="H146" s="52"/>
      <x:c r="I146" s="52"/>
      <x:c r="J146" s="52"/>
      <x:c r="K146" s="52"/>
      <x:c r="L146" s="52"/>
    </x:row>
    <x:row r="147" s="1" customFormat="1" ht="12.75" hidden="0" customHeight="1">
      <x:c r="A147" s="52"/>
      <x:c r="B147" s="52"/>
      <x:c r="C147" s="52"/>
      <x:c r="D147" s="52"/>
      <x:c r="E147" s="52"/>
      <x:c r="F147" s="52"/>
      <x:c r="G147" s="52"/>
      <x:c r="H147" s="52"/>
      <x:c r="I147" s="52"/>
      <x:c r="J147" s="52"/>
      <x:c r="K147" s="52"/>
      <x:c r="L147" s="52"/>
    </x:row>
    <x:row r="148" s="1" customFormat="1" ht="12.75" hidden="0" customHeight="1">
      <x:c r="A148" s="52"/>
      <x:c r="B148" s="52"/>
      <x:c r="C148" s="52"/>
      <x:c r="D148" s="52"/>
      <x:c r="E148" s="52"/>
      <x:c r="F148" s="52"/>
      <x:c r="G148" s="52"/>
      <x:c r="H148" s="52"/>
      <x:c r="I148" s="52"/>
      <x:c r="J148" s="52"/>
      <x:c r="K148" s="52"/>
      <x:c r="L148" s="52"/>
    </x:row>
    <x:row r="149" s="1" customFormat="1" ht="12.75" hidden="0" customHeight="1">
      <x:c r="A149" s="52"/>
      <x:c r="B149" s="52"/>
      <x:c r="C149" s="52"/>
      <x:c r="D149" s="52"/>
      <x:c r="E149" s="52"/>
      <x:c r="F149" s="52"/>
      <x:c r="G149" s="52"/>
      <x:c r="H149" s="52"/>
      <x:c r="I149" s="52"/>
      <x:c r="J149" s="52"/>
      <x:c r="K149" s="52"/>
      <x:c r="L149" s="52"/>
    </x:row>
    <x:row r="150" s="1" customFormat="1" ht="12.75" hidden="0" customHeight="1">
      <x:c r="A150" s="52"/>
      <x:c r="B150" s="52"/>
      <x:c r="C150" s="52"/>
      <x:c r="D150" s="52"/>
      <x:c r="E150" s="52"/>
      <x:c r="F150" s="52"/>
      <x:c r="G150" s="52"/>
      <x:c r="H150" s="52"/>
      <x:c r="I150" s="52"/>
      <x:c r="J150" s="52"/>
      <x:c r="K150" s="52"/>
      <x:c r="L150" s="52"/>
    </x:row>
    <x:row r="151" s="1" customFormat="1" ht="12.75" hidden="0" customHeight="1">
      <x:c r="A151" s="52"/>
      <x:c r="B151" s="52"/>
      <x:c r="C151" s="52"/>
      <x:c r="D151" s="52"/>
      <x:c r="E151" s="52"/>
      <x:c r="F151" s="52"/>
      <x:c r="G151" s="52"/>
      <x:c r="H151" s="52"/>
      <x:c r="I151" s="52"/>
      <x:c r="J151" s="52"/>
      <x:c r="K151" s="52"/>
      <x:c r="L151" s="52"/>
    </x:row>
    <x:row r="152" s="1" customFormat="1" ht="12.75" hidden="0" customHeight="1">
      <x:c r="A152" s="52"/>
      <x:c r="B152" s="52"/>
      <x:c r="C152" s="52"/>
      <x:c r="D152" s="52"/>
      <x:c r="E152" s="52"/>
      <x:c r="F152" s="52"/>
      <x:c r="G152" s="52"/>
      <x:c r="H152" s="52"/>
      <x:c r="I152" s="52"/>
      <x:c r="J152" s="52"/>
      <x:c r="K152" s="52"/>
      <x:c r="L152" s="52"/>
    </x:row>
    <x:row r="153" s="1" customFormat="1" ht="12.75" hidden="0" customHeight="1">
      <x:c r="A153" s="52"/>
      <x:c r="B153" s="52"/>
      <x:c r="C153" s="52"/>
      <x:c r="D153" s="52"/>
      <x:c r="E153" s="52"/>
      <x:c r="F153" s="52"/>
      <x:c r="G153" s="52"/>
      <x:c r="H153" s="52"/>
      <x:c r="I153" s="52"/>
      <x:c r="J153" s="52"/>
      <x:c r="K153" s="52"/>
      <x:c r="L153" s="52"/>
    </x:row>
    <x:row r="154" s="1" customFormat="1" ht="12.75" hidden="0" customHeight="1">
      <x:c r="A154" s="52"/>
      <x:c r="B154" s="52"/>
      <x:c r="C154" s="52"/>
      <x:c r="D154" s="52"/>
      <x:c r="E154" s="52"/>
      <x:c r="F154" s="52"/>
      <x:c r="G154" s="52"/>
      <x:c r="H154" s="52"/>
      <x:c r="I154" s="52"/>
      <x:c r="J154" s="52"/>
      <x:c r="K154" s="52"/>
      <x:c r="L154" s="52"/>
    </x:row>
    <x:row r="155" s="1" customFormat="1" ht="12.75" hidden="0" customHeight="1">
      <x:c r="A155" s="52"/>
      <x:c r="B155" s="52"/>
      <x:c r="C155" s="52"/>
      <x:c r="D155" s="52"/>
      <x:c r="E155" s="52"/>
      <x:c r="F155" s="52"/>
      <x:c r="G155" s="52"/>
      <x:c r="H155" s="52"/>
      <x:c r="I155" s="52"/>
      <x:c r="J155" s="52"/>
      <x:c r="K155" s="52"/>
      <x:c r="L155" s="52"/>
    </x:row>
    <x:row r="156" s="1" customFormat="1" ht="12.75" hidden="0" customHeight="1">
      <x:c r="A156" s="52"/>
      <x:c r="B156" s="52"/>
      <x:c r="C156" s="52"/>
      <x:c r="D156" s="52"/>
      <x:c r="E156" s="52"/>
      <x:c r="F156" s="52"/>
      <x:c r="G156" s="52"/>
      <x:c r="H156" s="52"/>
      <x:c r="I156" s="52"/>
      <x:c r="J156" s="52"/>
      <x:c r="K156" s="52"/>
      <x:c r="L156" s="52"/>
    </x:row>
    <x:row r="157" s="1" customFormat="1" ht="12.75" hidden="0" customHeight="1">
      <x:c r="A157" s="52"/>
      <x:c r="B157" s="52"/>
      <x:c r="C157" s="52"/>
      <x:c r="D157" s="52"/>
      <x:c r="E157" s="52"/>
      <x:c r="F157" s="52"/>
      <x:c r="G157" s="52"/>
      <x:c r="H157" s="52"/>
      <x:c r="I157" s="52"/>
      <x:c r="J157" s="52"/>
      <x:c r="K157" s="52"/>
      <x:c r="L157" s="52"/>
    </x:row>
    <x:row r="158" s="1" customFormat="1" ht="12.75" hidden="0" customHeight="1">
      <x:c r="A158" s="52"/>
      <x:c r="B158" s="52"/>
      <x:c r="C158" s="52"/>
      <x:c r="D158" s="52"/>
      <x:c r="E158" s="52"/>
      <x:c r="F158" s="52"/>
      <x:c r="G158" s="52"/>
      <x:c r="H158" s="52"/>
      <x:c r="I158" s="52"/>
      <x:c r="J158" s="52"/>
      <x:c r="K158" s="52"/>
      <x:c r="L158" s="52"/>
    </x:row>
    <x:row r="159" s="1" customFormat="1" ht="12.75" hidden="0" customHeight="1">
      <x:c r="A159" s="52"/>
      <x:c r="B159" s="52"/>
      <x:c r="C159" s="52"/>
      <x:c r="D159" s="52"/>
      <x:c r="E159" s="52"/>
      <x:c r="F159" s="52"/>
      <x:c r="G159" s="52"/>
      <x:c r="H159" s="52"/>
      <x:c r="I159" s="52"/>
      <x:c r="J159" s="52"/>
      <x:c r="K159" s="52"/>
      <x:c r="L159" s="52"/>
    </x:row>
    <x:row r="160" s="1" customFormat="1" ht="12.75" hidden="0" customHeight="1">
      <x:c r="A160" s="52"/>
      <x:c r="B160" s="52"/>
      <x:c r="C160" s="52"/>
      <x:c r="D160" s="52"/>
      <x:c r="E160" s="52"/>
      <x:c r="F160" s="52"/>
      <x:c r="G160" s="52"/>
      <x:c r="H160" s="52"/>
      <x:c r="I160" s="52"/>
      <x:c r="J160" s="52"/>
      <x:c r="K160" s="52"/>
      <x:c r="L160" s="52"/>
    </x:row>
  </x:sheetData>
  <x:mergeCells>
    <x:mergeCell ref="A1:H1"/>
  </x:mergeCells>
  <x:pageMargins left="0.7" right="0.7" top="0.75" bottom="0.75" header="0.3" footer="0.3"/>
</x:worksheet>
</file>

<file path=xl/worksheets/sheet27.xml><?xml version="1.0" encoding="utf-8"?>
<x:worksheet xmlns:x="http://schemas.openxmlformats.org/spreadsheetml/2006/main">
  <x:sheetViews>
    <x:sheetView showGridLines="0" workbookViewId="0"/>
  </x:sheetViews>
  <x:sheetFormatPr defaultColWidth="8.6796875" defaultRowHeight="15"/>
  <x:cols>
    <x:col min="1" max="5" width="36" style="1" hidden="0" customWidth="1"/>
    <x:col min="6" max="8" width="16" style="1" hidden="0" customWidth="1"/>
  </x:cols>
  <x:sheetData>
    <x:row r="1" s="1" customFormat="1" ht="36" hidden="0" customHeight="1">
      <x:c r="A1" s="2" t="s">
        <x:v>1984</x:v>
      </x:c>
      <x:c r="B1" s="2"/>
      <x:c r="C1" s="2"/>
      <x:c r="D1" s="2"/>
      <x:c r="E1" s="2"/>
      <x:c r="F1" s="3"/>
      <x:c r="G1" s="3"/>
      <x:c r="H1" s="3"/>
    </x:row>
    <x:row r="2" s="1" customFormat="1" ht="15" hidden="0" customHeight="1">
      <x:c r="A2" s="4" t="s">
        <x:v>1</x:v>
      </x:c>
      <x:c r="B2" s="5" t="s">
        <x:v>1985</x:v>
      </x:c>
      <x:c r="C2" s="6"/>
      <x:c r="D2" s="6"/>
      <x:c r="E2" s="6"/>
      <x:c r="F2" s="6"/>
      <x:c r="G2" s="6"/>
      <x:c r="H2" s="6"/>
    </x:row>
    <x:row r="3" s="1" customFormat="1" ht="54" hidden="0" customHeight="1">
      <x:c r="A3" s="7" t="s">
        <x:v>1986</x:v>
      </x:c>
      <x:c r="B3" s="103" t="s">
        <x:v>1987</x:v>
      </x:c>
      <x:c r="C3" s="103"/>
      <x:c r="D3" s="103"/>
      <x:c r="E3" s="103"/>
      <x:c r="F3" s="6"/>
      <x:c r="G3" s="6"/>
      <x:c r="H3" s="6"/>
    </x:row>
    <x:row r="4" s="1" customFormat="1" ht="15" hidden="0" customHeight="1">
      <x:c r="A4" s="7" t="s">
        <x:v>1988</x:v>
      </x:c>
      <x:c r="B4" s="5" t="s">
        <x:v>1989</x:v>
      </x:c>
      <x:c r="C4" s="6"/>
      <x:c r="D4" s="6"/>
      <x:c r="E4" s="6"/>
      <x:c r="F4" s="6"/>
      <x:c r="G4" s="6"/>
      <x:c r="H4" s="6"/>
    </x:row>
    <x:row r="5" s="1" customFormat="1" ht="15" hidden="0" customHeight="1">
      <x:c r="A5" s="7" t="s">
        <x:v>1990</x:v>
      </x:c>
      <x:c r="B5" s="9" t="s">
        <x:v>1991</x:v>
      </x:c>
      <x:c r="C5" s="10"/>
      <x:c r="D5" s="10"/>
      <x:c r="E5" s="10"/>
      <x:c r="F5" s="10"/>
      <x:c r="G5" s="10"/>
      <x:c r="H5" s="10"/>
    </x:row>
    <x:row r="6" s="1" customFormat="1" ht="24" hidden="0" customHeight="1">
      <x:c r="A6" s="7" t="s">
        <x:v>1992</x:v>
      </x:c>
      <x:c r="B6" s="5" t="s">
        <x:v>351</x:v>
      </x:c>
      <x:c r="C6" s="5" t="s">
        <x:v>351</x:v>
      </x:c>
      <x:c r="D6" s="5" t="s">
        <x:v>1993</x:v>
      </x:c>
      <x:c r="E6" s="5" t="s">
        <x:v>1994</x:v>
      </x:c>
      <x:c r="F6" s="6"/>
      <x:c r="G6" s="6"/>
      <x:c r="H6" s="6"/>
    </x:row>
    <x:row r="7" s="1" customFormat="1" ht="24" hidden="0" customHeight="1">
      <x:c r="A7" s="7" t="s">
        <x:v>1995</x:v>
      </x:c>
      <x:c r="B7" s="8" t="s">
        <x:v>351</x:v>
      </x:c>
      <x:c r="C7" s="8" t="s">
        <x:v>351</x:v>
      </x:c>
      <x:c r="D7" s="8" t="s">
        <x:v>1996</x:v>
      </x:c>
      <x:c r="E7" s="8" t="s">
        <x:v>1997</x:v>
      </x:c>
      <x:c r="F7" s="6"/>
      <x:c r="G7" s="6"/>
      <x:c r="H7" s="6"/>
    </x:row>
    <x:row r="8" s="1" customFormat="1" ht="24" hidden="0" customHeight="1">
      <x:c r="A8" s="7" t="s">
        <x:v>1998</x:v>
      </x:c>
      <x:c r="B8" s="5" t="s">
        <x:v>351</x:v>
      </x:c>
      <x:c r="C8" s="5" t="s">
        <x:v>351</x:v>
      </x:c>
      <x:c r="D8" s="5" t="s">
        <x:v>1999</x:v>
      </x:c>
      <x:c r="E8" s="5" t="s">
        <x:v>2000</x:v>
      </x:c>
      <x:c r="F8" s="6"/>
      <x:c r="G8" s="6"/>
      <x:c r="H8" s="6"/>
    </x:row>
    <x:row r="9" s="1" customFormat="1" ht="24" hidden="0" customHeight="1">
      <x:c r="A9" s="7" t="s">
        <x:v>2001</x:v>
      </x:c>
      <x:c r="B9" s="8" t="s">
        <x:v>351</x:v>
      </x:c>
      <x:c r="C9" s="8" t="s">
        <x:v>351</x:v>
      </x:c>
      <x:c r="D9" s="8" t="s">
        <x:v>2002</x:v>
      </x:c>
      <x:c r="E9" s="8" t="s">
        <x:v>2003</x:v>
      </x:c>
      <x:c r="F9" s="6"/>
      <x:c r="G9" s="6"/>
      <x:c r="H9" s="6"/>
    </x:row>
    <x:row r="10" s="1" customFormat="1" ht="24" hidden="0" customHeight="1">
      <x:c r="A10" s="7" t="s">
        <x:v>2004</x:v>
      </x:c>
      <x:c r="B10" s="5" t="s">
        <x:v>351</x:v>
      </x:c>
      <x:c r="C10" s="5" t="s">
        <x:v>351</x:v>
      </x:c>
      <x:c r="D10" s="5" t="s">
        <x:v>2005</x:v>
      </x:c>
      <x:c r="E10" s="5" t="s">
        <x:v>2006</x:v>
      </x:c>
      <x:c r="F10" s="6"/>
      <x:c r="G10" s="6"/>
      <x:c r="H10" s="6"/>
    </x:row>
    <x:row r="11" s="1" customFormat="1" ht="24" hidden="0" customHeight="1">
      <x:c r="A11" s="7" t="s">
        <x:v>2007</x:v>
      </x:c>
      <x:c r="B11" s="8" t="s">
        <x:v>351</x:v>
      </x:c>
      <x:c r="C11" s="8" t="s">
        <x:v>351</x:v>
      </x:c>
      <x:c r="D11" s="8" t="s">
        <x:v>2008</x:v>
      </x:c>
      <x:c r="E11" s="8" t="s">
        <x:v>2009</x:v>
      </x:c>
      <x:c r="F11" s="6"/>
      <x:c r="G11" s="6"/>
      <x:c r="H11" s="6"/>
    </x:row>
    <x:row r="12" s="1" customFormat="1" ht="24" hidden="0" customHeight="1">
      <x:c r="A12" s="7" t="s">
        <x:v>2010</x:v>
      </x:c>
      <x:c r="B12" s="5" t="s">
        <x:v>292</x:v>
      </x:c>
      <x:c r="C12" s="5" t="s">
        <x:v>292</x:v>
      </x:c>
      <x:c r="D12" s="5" t="s">
        <x:v>2011</x:v>
      </x:c>
      <x:c r="E12" s="5" t="s">
        <x:v>2012</x:v>
      </x:c>
      <x:c r="F12" s="6"/>
      <x:c r="G12" s="6"/>
      <x:c r="H12" s="6"/>
    </x:row>
    <x:row r="13" s="1" customFormat="1" ht="24" hidden="0" customHeight="1">
      <x:c r="A13" s="7" t="s">
        <x:v>2013</x:v>
      </x:c>
      <x:c r="B13" s="8" t="s">
        <x:v>292</x:v>
      </x:c>
      <x:c r="C13" s="8" t="s">
        <x:v>292</x:v>
      </x:c>
      <x:c r="D13" s="8" t="s">
        <x:v>2014</x:v>
      </x:c>
      <x:c r="E13" s="8" t="s">
        <x:v>2015</x:v>
      </x:c>
      <x:c r="F13" s="6"/>
      <x:c r="G13" s="6"/>
      <x:c r="H13" s="6"/>
    </x:row>
    <x:row r="14" s="1" customFormat="1" ht="36" hidden="0" customHeight="1">
      <x:c r="A14" s="7" t="s">
        <x:v>2016</x:v>
      </x:c>
      <x:c r="B14" s="5" t="s">
        <x:v>2017</x:v>
      </x:c>
      <x:c r="C14" s="5" t="s">
        <x:v>2017</x:v>
      </x:c>
      <x:c r="D14" s="5" t="s">
        <x:v>2018</x:v>
      </x:c>
      <x:c r="E14" s="5" t="s">
        <x:v>2019</x:v>
      </x:c>
      <x:c r="F14" s="6"/>
      <x:c r="G14" s="6"/>
      <x:c r="H14" s="6"/>
    </x:row>
    <x:row r="15" s="1" customFormat="1" ht="15" hidden="0" customHeight="1">
      <x:c r="A15" s="6"/>
      <x:c r="B15" s="6"/>
      <x:c r="C15" s="6"/>
      <x:c r="D15" s="6"/>
      <x:c r="E15" s="6"/>
      <x:c r="F15" s="6"/>
      <x:c r="G15" s="6"/>
      <x:c r="H15" s="6"/>
    </x:row>
    <x:row r="16" s="1" customFormat="1" ht="15" hidden="0" customHeight="1">
      <x:c r="A16" s="6"/>
      <x:c r="B16" s="6"/>
      <x:c r="C16" s="6"/>
      <x:c r="D16" s="6"/>
      <x:c r="E16" s="6"/>
      <x:c r="F16" s="6"/>
      <x:c r="G16" s="6"/>
      <x:c r="H16" s="6"/>
    </x:row>
    <x:row r="17" s="1" customFormat="1" ht="15" hidden="0" customHeight="1">
      <x:c r="A17" s="6"/>
      <x:c r="B17" s="6"/>
      <x:c r="C17" s="6"/>
      <x:c r="D17" s="6"/>
      <x:c r="E17" s="6"/>
      <x:c r="F17" s="6"/>
      <x:c r="G17" s="6"/>
      <x:c r="H17" s="6"/>
    </x:row>
    <x:row r="18" s="1" customFormat="1" ht="15" hidden="0" customHeight="1">
      <x:c r="A18" s="6"/>
      <x:c r="B18" s="6"/>
      <x:c r="C18" s="6"/>
      <x:c r="D18" s="6"/>
      <x:c r="E18" s="6"/>
      <x:c r="F18" s="6"/>
      <x:c r="G18" s="6"/>
      <x:c r="H18" s="6"/>
    </x:row>
    <x:row r="19" s="1" customFormat="1" ht="15" hidden="0" customHeight="1">
      <x:c r="A19" s="6"/>
      <x:c r="B19" s="6"/>
      <x:c r="C19" s="6"/>
      <x:c r="D19" s="6"/>
      <x:c r="E19" s="6"/>
      <x:c r="F19" s="6"/>
      <x:c r="G19" s="6"/>
      <x:c r="H19" s="6"/>
    </x:row>
    <x:row r="20" s="1" customFormat="1" ht="15" hidden="0" customHeight="1">
      <x:c r="A20" s="6"/>
      <x:c r="B20" s="6"/>
      <x:c r="C20" s="6"/>
      <x:c r="D20" s="6"/>
      <x:c r="E20" s="6"/>
      <x:c r="F20" s="6"/>
      <x:c r="G20" s="6"/>
      <x:c r="H20" s="6"/>
    </x:row>
  </x:sheetData>
  <x:mergeCells>
    <x:mergeCell ref="A1:E1"/>
    <x:mergeCell ref="B3:E3"/>
  </x:mergeCells>
  <x:dataValidations count="1">
    <x:dataValidation type="list" errorStyle="stop" operator="between" allowBlank="0" showDropDown="0" showInputMessage="0" showErrorMessage="0" sqref="B6:C13">
      <x:formula1>"PASS,FAIL,UNKNOWN,NOT_MATERIAL"</x:formula1>
      <x:formula2>0</x:formula2>
    </x:dataValidation>
  </x:dataValidations>
  <x:pageMargins left="0.7" right="0.7" top="0.75" bottom="0.75" header="0.3" footer="0.3"/>
</x:worksheet>
</file>

<file path=xl/worksheets/sheet28.xml><?xml version="1.0" encoding="utf-8"?>
<x:worksheet xmlns:x="http://schemas.openxmlformats.org/spreadsheetml/2006/main">
  <x:sheetViews>
    <x:sheetView showGridLines="1" workbookViewId="0"/>
  </x:sheetViews>
  <x:sheetFormatPr defaultColWidth="8.66796875" defaultRowHeight="12.75"/>
  <x:cols>
    <x:col min="1" max="9" width="36" style="1" hidden="0" customWidth="1"/>
    <x:col min="10" max="20" width="16" style="1" hidden="0" customWidth="1"/>
  </x:cols>
  <x:sheetData>
    <x:row r="1" s="1" customFormat="1" ht="12.75" hidden="0" customHeight="1">
      <x:c r="A1" s="2" t="s">
        <x:v>2020</x:v>
      </x:c>
      <x:c r="B1" s="2"/>
      <x:c r="C1" s="2"/>
      <x:c r="D1" s="2"/>
      <x:c r="E1" s="2"/>
      <x:c r="F1" s="2"/>
      <x:c r="G1" s="2"/>
      <x:c r="H1" s="2"/>
      <x:c r="I1" s="2"/>
      <x:c r="J1" s="2"/>
      <x:c r="K1" s="52"/>
      <x:c r="L1" s="52"/>
      <x:c r="M1" s="52"/>
      <x:c r="N1" s="52"/>
      <x:c r="O1" s="52"/>
      <x:c r="P1" s="52"/>
      <x:c r="Q1" s="52"/>
      <x:c r="R1" s="52"/>
      <x:c r="S1" s="52"/>
      <x:c r="T1" s="52"/>
    </x:row>
    <x:row r="2" s="1" customFormat="1" ht="12.75" hidden="0" customHeight="1">
      <x:c r="A2" s="12"/>
      <x:c r="B2" s="12"/>
      <x:c r="C2" s="12"/>
      <x:c r="D2" s="12"/>
      <x:c r="E2" s="12"/>
      <x:c r="F2" s="12"/>
      <x:c r="G2" s="12"/>
      <x:c r="H2" s="12"/>
      <x:c r="I2" s="12"/>
      <x:c r="J2" s="6"/>
      <x:c r="K2" s="52"/>
      <x:c r="L2" s="52"/>
      <x:c r="M2" s="52"/>
      <x:c r="N2" s="52"/>
      <x:c r="O2" s="52"/>
      <x:c r="P2" s="52"/>
      <x:c r="Q2" s="52"/>
      <x:c r="R2" s="52"/>
      <x:c r="S2" s="52"/>
      <x:c r="T2" s="52"/>
    </x:row>
    <x:row r="3" s="1" customFormat="1" ht="24" hidden="0" customHeight="1">
      <x:c r="A3" s="7" t="s">
        <x:v>2021</x:v>
      </x:c>
      <x:c r="B3" s="12"/>
      <x:c r="C3" s="12"/>
      <x:c r="D3" s="12"/>
      <x:c r="E3" s="12"/>
      <x:c r="F3" s="12"/>
      <x:c r="G3" s="12"/>
      <x:c r="H3" s="12"/>
      <x:c r="I3" s="12"/>
      <x:c r="J3" s="6"/>
      <x:c r="K3" s="52"/>
      <x:c r="L3" s="52"/>
      <x:c r="M3" s="52"/>
      <x:c r="N3" s="52"/>
      <x:c r="O3" s="52"/>
      <x:c r="P3" s="52"/>
      <x:c r="Q3" s="52"/>
      <x:c r="R3" s="52"/>
      <x:c r="S3" s="52"/>
      <x:c r="T3" s="52"/>
    </x:row>
    <x:row r="4" s="1" customFormat="1" ht="48" hidden="0" customHeight="1">
      <x:c r="A4" s="7" t="s">
        <x:v>2022</x:v>
      </x:c>
      <x:c r="B4" s="12"/>
      <x:c r="C4" s="12"/>
      <x:c r="D4" s="12"/>
      <x:c r="E4" s="12"/>
      <x:c r="F4" s="12"/>
      <x:c r="G4" s="12"/>
      <x:c r="H4" s="12"/>
      <x:c r="I4" s="12"/>
      <x:c r="J4" s="6"/>
      <x:c r="K4" s="52"/>
      <x:c r="L4" s="52"/>
      <x:c r="M4" s="52"/>
      <x:c r="N4" s="52"/>
      <x:c r="O4" s="52"/>
      <x:c r="P4" s="52"/>
      <x:c r="Q4" s="52"/>
      <x:c r="R4" s="52"/>
      <x:c r="S4" s="52"/>
      <x:c r="T4" s="52"/>
    </x:row>
    <x:row r="5" s="1" customFormat="1" ht="12.75" hidden="0" customHeight="1">
      <x:c r="A5" s="7" t="s">
        <x:v>945</x:v>
      </x:c>
      <x:c r="B5" s="70" t="n">
        <x:v>0.0153129427168233</x:v>
      </x:c>
      <x:c r="C5" s="12"/>
      <x:c r="D5" s="12"/>
      <x:c r="E5" s="12"/>
      <x:c r="F5" s="12"/>
      <x:c r="G5" s="12"/>
      <x:c r="H5" s="12"/>
      <x:c r="I5" s="12"/>
      <x:c r="J5" s="6"/>
      <x:c r="K5" s="52"/>
      <x:c r="L5" s="52"/>
      <x:c r="M5" s="52"/>
      <x:c r="N5" s="52"/>
      <x:c r="O5" s="52"/>
      <x:c r="P5" s="52"/>
      <x:c r="Q5" s="52"/>
      <x:c r="R5" s="52"/>
      <x:c r="S5" s="52"/>
      <x:c r="T5" s="52"/>
    </x:row>
    <x:row r="6" s="1" customFormat="1" ht="12.75" hidden="0" customHeight="1">
      <x:c r="A6" s="7" t="s">
        <x:v>949</x:v>
      </x:c>
      <x:c r="B6" s="71" t="n">
        <x:v>-0.00112238738505248</x:v>
      </x:c>
      <x:c r="C6" s="71" t="n">
        <x:v>0.0153129427168233</x:v>
      </x:c>
      <x:c r="D6" s="12"/>
      <x:c r="E6" s="12"/>
      <x:c r="F6" s="12"/>
      <x:c r="G6" s="12"/>
      <x:c r="H6" s="12"/>
      <x:c r="I6" s="12"/>
      <x:c r="J6" s="6"/>
      <x:c r="K6" s="52"/>
      <x:c r="L6" s="52"/>
      <x:c r="M6" s="52"/>
      <x:c r="N6" s="52"/>
      <x:c r="O6" s="52"/>
      <x:c r="P6" s="52"/>
      <x:c r="Q6" s="52"/>
      <x:c r="R6" s="52"/>
      <x:c r="S6" s="52"/>
      <x:c r="T6" s="52"/>
    </x:row>
    <x:row r="7" s="1" customFormat="1" ht="24" hidden="0" customHeight="1">
      <x:c r="A7" s="7" t="s">
        <x:v>2023</x:v>
      </x:c>
      <x:c r="B7" s="8" t="s">
        <x:v>953</x:v>
      </x:c>
      <x:c r="C7" s="88"/>
      <x:c r="D7" s="12"/>
      <x:c r="E7" s="12"/>
      <x:c r="F7" s="12"/>
      <x:c r="G7" s="12"/>
      <x:c r="H7" s="12"/>
      <x:c r="I7" s="12"/>
      <x:c r="J7" s="6"/>
      <x:c r="K7" s="52"/>
      <x:c r="L7" s="52"/>
      <x:c r="M7" s="52"/>
      <x:c r="N7" s="52"/>
      <x:c r="O7" s="52"/>
      <x:c r="P7" s="52"/>
      <x:c r="Q7" s="52"/>
      <x:c r="R7" s="52"/>
      <x:c r="S7" s="52"/>
      <x:c r="T7" s="52"/>
    </x:row>
    <x:row r="8" s="1" customFormat="1" ht="12.75" hidden="0" customHeight="1">
      <x:c r="A8" s="12"/>
      <x:c r="B8" s="12"/>
      <x:c r="C8" s="12"/>
      <x:c r="D8" s="12"/>
      <x:c r="E8" s="12"/>
      <x:c r="F8" s="12"/>
      <x:c r="G8" s="12"/>
      <x:c r="H8" s="12"/>
      <x:c r="I8" s="12"/>
      <x:c r="J8" s="6"/>
      <x:c r="K8" s="52"/>
      <x:c r="L8" s="52"/>
      <x:c r="M8" s="52"/>
      <x:c r="N8" s="52"/>
      <x:c r="O8" s="52"/>
      <x:c r="P8" s="52"/>
      <x:c r="Q8" s="52"/>
      <x:c r="R8" s="52"/>
      <x:c r="S8" s="52"/>
      <x:c r="T8" s="52"/>
    </x:row>
    <x:row r="9" s="1" customFormat="1" ht="24" hidden="0" customHeight="1">
      <x:c r="A9" s="7" t="str">
        <x:v>Build-frozen contribution table (values reproduced at release build)</x:v>
      </x:c>
      <x:c r="B9" s="12"/>
      <x:c r="C9" s="12"/>
      <x:c r="D9" s="12"/>
      <x:c r="E9" s="12"/>
      <x:c r="F9" s="12"/>
      <x:c r="G9" s="12"/>
      <x:c r="H9" s="12"/>
      <x:c r="I9" s="12"/>
      <x:c r="J9" s="6"/>
      <x:c r="K9" s="52"/>
      <x:c r="L9" s="52"/>
      <x:c r="M9" s="52"/>
      <x:c r="N9" s="52"/>
      <x:c r="O9" s="52"/>
      <x:c r="P9" s="52"/>
      <x:c r="Q9" s="52"/>
      <x:c r="R9" s="52"/>
      <x:c r="S9" s="52"/>
      <x:c r="T9" s="52"/>
    </x:row>
    <x:row r="10" s="1" customFormat="1" ht="12.75" hidden="0" customHeight="1">
      <x:c r="A10" s="7" t="s">
        <x:v>990</x:v>
      </x:c>
      <x:c r="B10" s="5" t="s">
        <x:v>975</x:v>
      </x:c>
      <x:c r="C10" s="104" t="s">
        <x:v>2024</x:v>
      </x:c>
      <x:c r="D10" s="5" t="s">
        <x:v>2025</x:v>
      </x:c>
      <x:c r="E10" s="5" t="s">
        <x:v>2026</x:v>
      </x:c>
      <x:c r="F10" s="5" t="s">
        <x:v>976</x:v>
      </x:c>
      <x:c r="G10" s="5" t="s">
        <x:v>2027</x:v>
      </x:c>
      <x:c r="H10" s="5" t="s">
        <x:v>458</x:v>
      </x:c>
      <x:c r="I10" s="5" t="s">
        <x:v>877</x:v>
      </x:c>
      <x:c r="J10" s="6"/>
      <x:c r="K10" s="52"/>
      <x:c r="L10" s="52"/>
      <x:c r="M10" s="52"/>
      <x:c r="N10" s="52"/>
      <x:c r="O10" s="52"/>
      <x:c r="P10" s="52"/>
      <x:c r="Q10" s="52"/>
      <x:c r="R10" s="52"/>
      <x:c r="S10" s="52"/>
      <x:c r="T10" s="52"/>
    </x:row>
    <x:row r="11" s="1" customFormat="1" ht="14.25" hidden="0" customHeight="1">
      <x:c r="A11" s="7" t="s">
        <x:v>2028</x:v>
      </x:c>
      <x:c r="B11" s="70" t="n">
        <x:v>0.249007884327423</x:v>
      </x:c>
      <x:c r="C11" s="105" t="n">
        <x:v>0.307666666666667</x:v>
      </x:c>
      <x:c r="D11" s="60" t="n">
        <x:v>0.142857142857143</x:v>
      </x:c>
      <x:c r="E11" s="8" t="n">
        <x:v>0.0109444893921053</x:v>
      </x:c>
      <x:c r="F11" s="70" t="n">
        <x:v>-0.0463335676706336</x:v>
      </x:c>
      <x:c r="G11" s="8" t="n">
        <x:v>-0.00203647061714261</x:v>
      </x:c>
      <x:c r="H11" s="8" t="s">
        <x:v>2029</x:v>
      </x:c>
      <x:c r="I11" s="8" t="str">
        <x:v>Build-frozen value</x:v>
      </x:c>
      <x:c r="J11" s="6"/>
      <x:c r="K11" s="52"/>
      <x:c r="L11" s="52"/>
      <x:c r="M11" s="52"/>
      <x:c r="N11" s="52"/>
      <x:c r="O11" s="52"/>
      <x:c r="P11" s="52"/>
      <x:c r="Q11" s="52"/>
      <x:c r="R11" s="52"/>
      <x:c r="S11" s="52"/>
      <x:c r="T11" s="52"/>
    </x:row>
    <x:row r="12" s="1" customFormat="1" ht="14.25" hidden="0" customHeight="1">
      <x:c r="A12" s="7" t="s">
        <x:v>2030</x:v>
      </x:c>
      <x:c r="B12" s="71" t="n">
        <x:v>0.143259855793145</x:v>
      </x:c>
      <x:c r="C12" s="104" t="n">
        <x:v>0.307666666666667</x:v>
      </x:c>
      <x:c r="D12" s="61" t="n">
        <x:v>0.142857142857143</x:v>
      </x:c>
      <x:c r="E12" s="5" t="n">
        <x:v>0.00629661175700345</x:v>
      </x:c>
      <x:c r="F12" s="71" t="n">
        <x:v>0</x:v>
      </x:c>
      <x:c r="G12" s="5" t="n">
        <x:v>0</x:v>
      </x:c>
      <x:c r="H12" s="5" t="s">
        <x:v>2029</x:v>
      </x:c>
      <x:c r="I12" s="5" t="str">
        <x:v>Build-frozen value</x:v>
      </x:c>
      <x:c r="J12" s="6"/>
      <x:c r="K12" s="52"/>
      <x:c r="L12" s="52"/>
      <x:c r="M12" s="52"/>
      <x:c r="N12" s="52"/>
      <x:c r="O12" s="52"/>
      <x:c r="P12" s="52"/>
      <x:c r="Q12" s="52"/>
      <x:c r="R12" s="52"/>
      <x:c r="S12" s="52"/>
      <x:c r="T12" s="52"/>
    </x:row>
    <x:row r="13" s="1" customFormat="1" ht="14.25" hidden="0" customHeight="1">
      <x:c r="A13" s="7" t="s">
        <x:v>2031</x:v>
      </x:c>
      <x:c r="B13" s="70" t="n">
        <x:v>0.0461621762340889</x:v>
      </x:c>
      <x:c r="C13" s="105" t="n">
        <x:v>0.156333333333333</x:v>
      </x:c>
      <x:c r="D13" s="60" t="n">
        <x:v>0.142857142857143</x:v>
      </x:c>
      <x:c r="E13" s="8" t="n">
        <x:v>0.00103095526922799</x:v>
      </x:c>
      <x:c r="F13" s="70" t="n">
        <x:v>-0.0184759004375379</x:v>
      </x:c>
      <x:c r="G13" s="8" t="n">
        <x:v>-0.000412628443105014</x:v>
      </x:c>
      <x:c r="H13" s="8" t="s">
        <x:v>2029</x:v>
      </x:c>
      <x:c r="I13" s="8" t="str">
        <x:v>Build-frozen value</x:v>
      </x:c>
      <x:c r="J13" s="6"/>
      <x:c r="K13" s="52"/>
      <x:c r="L13" s="52"/>
      <x:c r="M13" s="52"/>
      <x:c r="N13" s="52"/>
      <x:c r="O13" s="52"/>
      <x:c r="P13" s="52"/>
      <x:c r="Q13" s="52"/>
      <x:c r="R13" s="52"/>
      <x:c r="S13" s="52"/>
      <x:c r="T13" s="52"/>
    </x:row>
    <x:row r="14" s="1" customFormat="1" ht="14.25" hidden="0" customHeight="1">
      <x:c r="A14" s="7" t="s">
        <x:v>2032</x:v>
      </x:c>
      <x:c r="B14" s="71" t="n">
        <x:v>-0.0197952743221616</x:v>
      </x:c>
      <x:c r="C14" s="104" t="n">
        <x:v>0.122333333333333</x:v>
      </x:c>
      <x:c r="D14" s="61" t="n">
        <x:v>0.142857142857143</x:v>
      </x:c>
      <x:c r="E14" s="5" t="n">
        <x:v>-0.000345945984582539</x:v>
      </x:c>
      <x:c r="F14" s="71" t="n">
        <x:v>0.0131978073405775</x:v>
      </x:c>
      <x:c r="G14" s="5" t="n">
        <x:v>0.000230647394951997</x:v>
      </x:c>
      <x:c r="H14" s="5" t="s">
        <x:v>2029</x:v>
      </x:c>
      <x:c r="I14" s="5" t="str">
        <x:v>Build-frozen value</x:v>
      </x:c>
      <x:c r="J14" s="6"/>
      <x:c r="K14" s="52"/>
      <x:c r="L14" s="52"/>
      <x:c r="M14" s="52"/>
      <x:c r="N14" s="52"/>
      <x:c r="O14" s="52"/>
      <x:c r="P14" s="52"/>
      <x:c r="Q14" s="52"/>
      <x:c r="R14" s="52"/>
      <x:c r="S14" s="52"/>
      <x:c r="T14" s="52"/>
    </x:row>
    <x:row r="15" s="1" customFormat="1" ht="14.25" hidden="0" customHeight="1">
      <x:c r="A15" s="7" t="s">
        <x:v>2033</x:v>
      </x:c>
      <x:c r="B15" s="70" t="n">
        <x:v>-0.0807256868155385</x:v>
      </x:c>
      <x:c r="C15" s="105" t="n">
        <x:v>0.122333333333333</x:v>
      </x:c>
      <x:c r="D15" s="60" t="n">
        <x:v>0.142857142857143</x:v>
      </x:c>
      <x:c r="E15" s="8" t="n">
        <x:v>-0.00141077747910965</x:v>
      </x:c>
      <x:c r="F15" s="70" t="n">
        <x:v>0.0615155722135092</x:v>
      </x:c>
      <x:c r="G15" s="8" t="n">
        <x:v>0.00107505785725514</x:v>
      </x:c>
      <x:c r="H15" s="8" t="s">
        <x:v>2029</x:v>
      </x:c>
      <x:c r="I15" s="8" t="str">
        <x:v>Build-frozen value</x:v>
      </x:c>
      <x:c r="J15" s="6"/>
      <x:c r="K15" s="52"/>
      <x:c r="L15" s="52"/>
      <x:c r="M15" s="52"/>
      <x:c r="N15" s="52"/>
      <x:c r="O15" s="52"/>
      <x:c r="P15" s="52"/>
      <x:c r="Q15" s="52"/>
      <x:c r="R15" s="52"/>
      <x:c r="S15" s="52"/>
      <x:c r="T15" s="52"/>
    </x:row>
    <x:row r="16" s="1" customFormat="1" ht="14.25" hidden="0" customHeight="1">
      <x:c r="A16" s="7" t="s">
        <x:v>2034</x:v>
      </x:c>
      <x:c r="B16" s="71" t="n">
        <x:v>-0.0855694362958967</x:v>
      </x:c>
      <x:c r="C16" s="104" t="n">
        <x:v>0.116666666666667</x:v>
      </x:c>
      <x:c r="D16" s="61" t="n">
        <x:v>0.142857142857143</x:v>
      </x:c>
      <x:c r="E16" s="5" t="n">
        <x:v>-0.00142615727159828</x:v>
      </x:c>
      <x:c r="F16" s="71" t="n">
        <x:v>0.0102114556191722</x:v>
      </x:c>
      <x:c r="G16" s="5" t="n">
        <x:v>0.000170190926986203</x:v>
      </x:c>
      <x:c r="H16" s="5" t="s">
        <x:v>2029</x:v>
      </x:c>
      <x:c r="I16" s="5" t="str">
        <x:v>Build-frozen value</x:v>
      </x:c>
      <x:c r="J16" s="6"/>
      <x:c r="K16" s="52"/>
      <x:c r="L16" s="52"/>
      <x:c r="M16" s="52"/>
      <x:c r="N16" s="52"/>
      <x:c r="O16" s="52"/>
      <x:c r="P16" s="52"/>
      <x:c r="Q16" s="52"/>
      <x:c r="R16" s="52"/>
      <x:c r="S16" s="52"/>
      <x:c r="T16" s="52"/>
    </x:row>
    <x:row r="17" s="1" customFormat="1" ht="14.25" hidden="0" customHeight="1">
      <x:c r="A17" s="7" t="s">
        <x:v>2035</x:v>
      </x:c>
      <x:c r="B17" s="70" t="n">
        <x:v>0.0153165179573599</x:v>
      </x:c>
      <x:c r="C17" s="8" t="n">
        <x:v>0.102266666666667</x:v>
      </x:c>
      <x:c r="D17" s="60" t="n">
        <x:v>0.142857142857143</x:v>
      </x:c>
      <x:c r="E17" s="8" t="n">
        <x:v>0.000223767033777048</x:v>
      </x:c>
      <x:c r="F17" s="70" t="n">
        <x:v>-0.0102114556191722</x:v>
      </x:c>
      <x:c r="G17" s="8" t="n">
        <x:v>-0.000149184503998192</x:v>
      </x:c>
      <x:c r="H17" s="8" t="s">
        <x:v>2029</x:v>
      </x:c>
      <x:c r="I17" s="8" t="str">
        <x:v>Build-frozen value</x:v>
      </x:c>
      <x:c r="J17" s="6"/>
      <x:c r="K17" s="52"/>
      <x:c r="L17" s="52"/>
      <x:c r="M17" s="52"/>
      <x:c r="N17" s="52"/>
      <x:c r="O17" s="52"/>
      <x:c r="P17" s="52"/>
      <x:c r="Q17" s="52"/>
      <x:c r="R17" s="52"/>
      <x:c r="S17" s="52"/>
      <x:c r="T17" s="52"/>
    </x:row>
    <x:row r="18" s="1" customFormat="1" ht="14.25" hidden="0" customHeight="1">
      <x:c r="A18" s="7" t="s">
        <x:v>2036</x:v>
      </x:c>
      <x:c r="B18" s="5" t="n">
        <x:v>0.0153129427168233</x:v>
      </x:c>
      <x:c r="C18" s="6"/>
      <x:c r="D18" s="6"/>
      <x:c r="E18" s="6"/>
      <x:c r="F18" s="6"/>
      <x:c r="G18" s="6"/>
      <x:c r="H18" s="6"/>
      <x:c r="I18" s="6"/>
      <x:c r="J18" s="6"/>
      <x:c r="K18" s="52"/>
      <x:c r="L18" s="52"/>
      <x:c r="M18" s="52"/>
      <x:c r="N18" s="52"/>
      <x:c r="O18" s="52"/>
      <x:c r="P18" s="52"/>
      <x:c r="Q18" s="52"/>
      <x:c r="R18" s="52"/>
      <x:c r="S18" s="52"/>
      <x:c r="T18" s="52"/>
    </x:row>
    <x:row r="19" s="1" customFormat="1" ht="13.5" hidden="0" customHeight="1">
      <x:c r="A19" s="7" t="s">
        <x:v>2037</x:v>
      </x:c>
      <x:c r="B19" s="8" t="n">
        <x:v>-0.00112238738505248</x:v>
      </x:c>
      <x:c r="C19" s="6"/>
      <x:c r="D19" s="6"/>
      <x:c r="E19" s="6"/>
      <x:c r="F19" s="6"/>
      <x:c r="G19" s="6"/>
      <x:c r="H19" s="6"/>
      <x:c r="I19" s="6"/>
      <x:c r="J19" s="6"/>
      <x:c r="K19" s="52"/>
      <x:c r="L19" s="52"/>
      <x:c r="M19" s="52"/>
      <x:c r="N19" s="52"/>
      <x:c r="O19" s="52"/>
      <x:c r="P19" s="52"/>
      <x:c r="Q19" s="52"/>
      <x:c r="R19" s="52"/>
      <x:c r="S19" s="52"/>
      <x:c r="T19" s="52"/>
    </x:row>
    <x:row r="20" s="1" customFormat="1" ht="13.5" hidden="0" customHeight="1">
      <x:c r="A20" s="7" t="s">
        <x:v>2038</x:v>
      </x:c>
      <x:c r="B20" s="71" t="n">
        <x:v>0.0153129427168233</x:v>
      </x:c>
      <x:c r="C20" s="6"/>
      <x:c r="D20" s="6"/>
      <x:c r="E20" s="6"/>
      <x:c r="F20" s="6"/>
      <x:c r="G20" s="6"/>
      <x:c r="H20" s="6"/>
      <x:c r="I20" s="6"/>
      <x:c r="J20" s="6"/>
      <x:c r="K20" s="52"/>
      <x:c r="L20" s="52"/>
      <x:c r="M20" s="52"/>
      <x:c r="N20" s="52"/>
      <x:c r="O20" s="52"/>
      <x:c r="P20" s="52"/>
      <x:c r="Q20" s="52"/>
      <x:c r="R20" s="52"/>
      <x:c r="S20" s="52"/>
      <x:c r="T20" s="52"/>
    </x:row>
    <x:row r="21" s="1" customFormat="1" ht="14.25" hidden="0" customHeight="1">
      <x:c r="A21" s="7" t="s">
        <x:v>2039</x:v>
      </x:c>
      <x:c r="B21" s="70" t="n">
        <x:v>-0.00112238738505248</x:v>
      </x:c>
      <x:c r="C21" s="6"/>
      <x:c r="D21" s="6"/>
      <x:c r="E21" s="6"/>
      <x:c r="F21" s="6"/>
      <x:c r="G21" s="6"/>
      <x:c r="H21" s="6"/>
      <x:c r="I21" s="6"/>
      <x:c r="J21" s="6"/>
      <x:c r="K21" s="52"/>
      <x:c r="L21" s="52"/>
      <x:c r="M21" s="52"/>
      <x:c r="N21" s="52"/>
      <x:c r="O21" s="52"/>
      <x:c r="P21" s="52"/>
      <x:c r="Q21" s="52"/>
      <x:c r="R21" s="52"/>
      <x:c r="S21" s="52"/>
      <x:c r="T21" s="52"/>
    </x:row>
    <x:row r="22" s="1" customFormat="1" ht="14.25" hidden="0" customHeight="1">
      <x:c r="A22" s="7" t="s">
        <x:v>2040</x:v>
      </x:c>
      <x:c r="B22" s="5" t="str">
        <x:v>Release-build values; edit inputs → rebuild.</x:v>
      </x:c>
      <x:c r="C22" s="106"/>
      <x:c r="D22" s="6"/>
      <x:c r="E22" s="6"/>
      <x:c r="F22" s="6"/>
      <x:c r="G22" s="6"/>
      <x:c r="H22" s="6"/>
      <x:c r="I22" s="6"/>
      <x:c r="J22" s="6"/>
      <x:c r="K22" s="52"/>
      <x:c r="L22" s="52"/>
      <x:c r="M22" s="52"/>
      <x:c r="N22" s="52"/>
      <x:c r="O22" s="52"/>
      <x:c r="P22" s="52"/>
      <x:c r="Q22" s="52"/>
      <x:c r="R22" s="52"/>
      <x:c r="S22" s="52"/>
      <x:c r="T22" s="52"/>
    </x:row>
    <x:row r="23" s="1" customFormat="1" ht="14.25" hidden="0" customHeight="1">
      <x:c r="A23" s="51"/>
      <x:c r="B23" s="89"/>
      <x:c r="C23" s="106"/>
      <x:c r="D23" s="6"/>
      <x:c r="E23" s="6"/>
      <x:c r="F23" s="6"/>
      <x:c r="G23" s="6"/>
      <x:c r="H23" s="6"/>
      <x:c r="I23" s="6"/>
      <x:c r="J23" s="6"/>
      <x:c r="K23" s="52"/>
      <x:c r="L23" s="52"/>
      <x:c r="M23" s="52"/>
      <x:c r="N23" s="52"/>
      <x:c r="O23" s="52"/>
      <x:c r="P23" s="52"/>
      <x:c r="Q23" s="52"/>
      <x:c r="R23" s="52"/>
      <x:c r="S23" s="52"/>
      <x:c r="T23" s="52"/>
    </x:row>
    <x:row r="24" s="1" customFormat="1" ht="14.25" hidden="0" customHeight="1">
      <x:c r="A24" s="51"/>
      <x:c r="B24" s="89"/>
      <x:c r="C24" s="106"/>
      <x:c r="D24" s="6"/>
      <x:c r="E24" s="6"/>
      <x:c r="F24" s="6"/>
      <x:c r="G24" s="6"/>
      <x:c r="H24" s="6"/>
      <x:c r="I24" s="6"/>
      <x:c r="J24" s="6"/>
      <x:c r="K24" s="52"/>
      <x:c r="L24" s="52"/>
      <x:c r="M24" s="52"/>
      <x:c r="N24" s="52"/>
      <x:c r="O24" s="52"/>
      <x:c r="P24" s="52"/>
      <x:c r="Q24" s="52"/>
      <x:c r="R24" s="52"/>
      <x:c r="S24" s="52"/>
      <x:c r="T24" s="52"/>
    </x:row>
    <x:row r="25" s="1" customFormat="1" ht="14.25" hidden="0" customHeight="1">
      <x:c r="A25" s="51"/>
      <x:c r="B25" s="89"/>
      <x:c r="C25" s="106"/>
      <x:c r="D25" s="6"/>
      <x:c r="E25" s="6"/>
      <x:c r="F25" s="6"/>
      <x:c r="G25" s="6"/>
      <x:c r="H25" s="6"/>
      <x:c r="I25" s="6"/>
      <x:c r="J25" s="6"/>
      <x:c r="K25" s="52"/>
      <x:c r="L25" s="52"/>
      <x:c r="M25" s="52"/>
      <x:c r="N25" s="52"/>
      <x:c r="O25" s="52"/>
      <x:c r="P25" s="52"/>
      <x:c r="Q25" s="52"/>
      <x:c r="R25" s="52"/>
      <x:c r="S25" s="52"/>
      <x:c r="T25" s="52"/>
    </x:row>
    <x:row r="26" s="1" customFormat="1" ht="14.25" hidden="0" customHeight="1">
      <x:c r="A26" s="51"/>
      <x:c r="B26" s="89"/>
      <x:c r="C26" s="106"/>
      <x:c r="D26" s="6"/>
      <x:c r="E26" s="6"/>
      <x:c r="F26" s="6"/>
      <x:c r="G26" s="6"/>
      <x:c r="H26" s="6"/>
      <x:c r="I26" s="6"/>
      <x:c r="J26" s="6"/>
      <x:c r="K26" s="52"/>
      <x:c r="L26" s="52"/>
      <x:c r="M26" s="52"/>
      <x:c r="N26" s="52"/>
      <x:c r="O26" s="52"/>
      <x:c r="P26" s="52"/>
      <x:c r="Q26" s="52"/>
      <x:c r="R26" s="52"/>
      <x:c r="S26" s="52"/>
      <x:c r="T26" s="52"/>
    </x:row>
    <x:row r="27" s="1" customFormat="1" ht="14.25" hidden="0" customHeight="1">
      <x:c r="A27" s="51"/>
      <x:c r="B27" s="89"/>
      <x:c r="C27" s="106"/>
      <x:c r="D27" s="6"/>
      <x:c r="E27" s="6"/>
      <x:c r="F27" s="6"/>
      <x:c r="G27" s="6"/>
      <x:c r="H27" s="6"/>
      <x:c r="I27" s="6"/>
      <x:c r="J27" s="6"/>
      <x:c r="K27" s="52"/>
      <x:c r="L27" s="52"/>
      <x:c r="M27" s="52"/>
      <x:c r="N27" s="52"/>
      <x:c r="O27" s="52"/>
      <x:c r="P27" s="52"/>
      <x:c r="Q27" s="52"/>
      <x:c r="R27" s="52"/>
      <x:c r="S27" s="52"/>
      <x:c r="T27" s="52"/>
    </x:row>
    <x:row r="28" s="1" customFormat="1" ht="14.25" hidden="0" customHeight="1">
      <x:c r="A28" s="51"/>
      <x:c r="B28" s="107"/>
      <x:c r="C28" s="6"/>
      <x:c r="D28" s="6"/>
      <x:c r="E28" s="6"/>
      <x:c r="F28" s="6"/>
      <x:c r="G28" s="6"/>
      <x:c r="H28" s="6"/>
      <x:c r="I28" s="6"/>
      <x:c r="J28" s="6"/>
      <x:c r="K28" s="52"/>
      <x:c r="L28" s="52"/>
      <x:c r="M28" s="52"/>
      <x:c r="N28" s="52"/>
      <x:c r="O28" s="52"/>
      <x:c r="P28" s="52"/>
      <x:c r="Q28" s="52"/>
      <x:c r="R28" s="52"/>
      <x:c r="S28" s="52"/>
      <x:c r="T28" s="52"/>
    </x:row>
    <x:row r="29" s="1" customFormat="1" ht="14.25" hidden="0" customHeight="1">
      <x:c r="A29" s="108"/>
      <x:c r="B29" s="6"/>
      <x:c r="C29" s="6"/>
      <x:c r="D29" s="6"/>
      <x:c r="E29" s="6"/>
      <x:c r="F29" s="6"/>
      <x:c r="G29" s="6"/>
      <x:c r="H29" s="6"/>
      <x:c r="I29" s="6"/>
      <x:c r="J29" s="6"/>
      <x:c r="K29" s="52"/>
      <x:c r="L29" s="52"/>
      <x:c r="M29" s="52"/>
      <x:c r="N29" s="52"/>
      <x:c r="O29" s="52"/>
      <x:c r="P29" s="52"/>
      <x:c r="Q29" s="52"/>
      <x:c r="R29" s="52"/>
      <x:c r="S29" s="52"/>
      <x:c r="T29" s="52"/>
    </x:row>
    <x:row r="30" s="1" customFormat="1" ht="13.5" hidden="0" customHeight="1">
      <x:c r="A30" s="6"/>
      <x:c r="B30" s="6"/>
      <x:c r="C30" s="6"/>
      <x:c r="D30" s="6"/>
      <x:c r="E30" s="6"/>
      <x:c r="F30" s="6"/>
      <x:c r="G30" s="6"/>
      <x:c r="H30" s="6"/>
      <x:c r="I30" s="6"/>
      <x:c r="J30" s="6"/>
      <x:c r="K30" s="52"/>
      <x:c r="L30" s="52"/>
      <x:c r="M30" s="52"/>
      <x:c r="N30" s="52"/>
      <x:c r="O30" s="52"/>
      <x:c r="P30" s="52"/>
      <x:c r="Q30" s="52"/>
      <x:c r="R30" s="52"/>
      <x:c r="S30" s="52"/>
      <x:c r="T30" s="52"/>
    </x:row>
    <x:row r="31" s="1" customFormat="1" ht="13.5" hidden="0" customHeight="1">
      <x:c r="A31" s="6"/>
      <x:c r="B31" s="6"/>
      <x:c r="C31" s="6"/>
      <x:c r="D31" s="6"/>
      <x:c r="E31" s="6"/>
      <x:c r="F31" s="6"/>
      <x:c r="G31" s="6"/>
      <x:c r="H31" s="6"/>
      <x:c r="I31" s="6"/>
      <x:c r="J31" s="6"/>
      <x:c r="K31" s="52"/>
      <x:c r="L31" s="52"/>
      <x:c r="M31" s="52"/>
      <x:c r="N31" s="52"/>
      <x:c r="O31" s="52"/>
      <x:c r="P31" s="52"/>
      <x:c r="Q31" s="52"/>
      <x:c r="R31" s="52"/>
      <x:c r="S31" s="52"/>
      <x:c r="T31" s="52"/>
    </x:row>
    <x:row r="32" s="1" customFormat="1" ht="14.25" hidden="0" customHeight="1">
      <x:c r="A32" s="7" t="s">
        <x:v>2041</x:v>
      </x:c>
      <x:c r="B32" s="6"/>
      <x:c r="C32" s="6"/>
      <x:c r="D32" s="6"/>
      <x:c r="E32" s="6"/>
      <x:c r="F32" s="6"/>
      <x:c r="G32" s="6"/>
      <x:c r="H32" s="6"/>
      <x:c r="I32" s="6"/>
      <x:c r="J32" s="6"/>
      <x:c r="K32" s="52"/>
      <x:c r="L32" s="52"/>
      <x:c r="M32" s="52"/>
      <x:c r="N32" s="52"/>
      <x:c r="O32" s="52"/>
      <x:c r="P32" s="52"/>
      <x:c r="Q32" s="52"/>
      <x:c r="R32" s="52"/>
      <x:c r="S32" s="52"/>
      <x:c r="T32" s="52"/>
    </x:row>
    <x:row r="33" s="1" customFormat="1" ht="14.25" hidden="0" customHeight="1">
      <x:c r="A33" s="7" t="s">
        <x:v>945</x:v>
      </x:c>
      <x:c r="B33" s="70" t="n">
        <x:v>0.0153129427168233</x:v>
      </x:c>
      <x:c r="C33" s="6"/>
      <x:c r="D33" s="6"/>
      <x:c r="E33" s="6"/>
      <x:c r="F33" s="6"/>
      <x:c r="G33" s="6"/>
      <x:c r="H33" s="6"/>
      <x:c r="I33" s="6"/>
      <x:c r="J33" s="6"/>
      <x:c r="K33" s="52"/>
      <x:c r="L33" s="52"/>
      <x:c r="M33" s="52"/>
      <x:c r="N33" s="52"/>
      <x:c r="O33" s="52"/>
      <x:c r="P33" s="52"/>
      <x:c r="Q33" s="52"/>
      <x:c r="R33" s="52"/>
      <x:c r="S33" s="52"/>
      <x:c r="T33" s="52"/>
    </x:row>
    <x:row r="34" s="1" customFormat="1" ht="14.25" hidden="0" customHeight="1">
      <x:c r="A34" s="7" t="s">
        <x:v>949</x:v>
      </x:c>
      <x:c r="B34" s="71" t="n">
        <x:v>-0.00112238738505248</x:v>
      </x:c>
      <x:c r="C34" s="6"/>
      <x:c r="D34" s="6"/>
      <x:c r="E34" s="6"/>
      <x:c r="F34" s="6"/>
      <x:c r="G34" s="6"/>
      <x:c r="H34" s="6"/>
      <x:c r="I34" s="6"/>
      <x:c r="J34" s="6"/>
      <x:c r="K34" s="52"/>
      <x:c r="L34" s="52"/>
      <x:c r="M34" s="52"/>
      <x:c r="N34" s="52"/>
      <x:c r="O34" s="52"/>
      <x:c r="P34" s="52"/>
      <x:c r="Q34" s="52"/>
      <x:c r="R34" s="52"/>
      <x:c r="S34" s="52"/>
      <x:c r="T34" s="52"/>
    </x:row>
    <x:row r="35" s="1" customFormat="1" ht="14.25" hidden="0" customHeight="1">
      <x:c r="A35" s="7" t="s">
        <x:v>2042</x:v>
      </x:c>
      <x:c r="B35" s="8" t="n">
        <x:v>0.0164353301018758</x:v>
      </x:c>
      <x:c r="C35" s="6"/>
      <x:c r="D35" s="6"/>
      <x:c r="E35" s="6"/>
      <x:c r="F35" s="6"/>
      <x:c r="G35" s="6"/>
      <x:c r="H35" s="6"/>
      <x:c r="I35" s="6"/>
      <x:c r="J35" s="6"/>
      <x:c r="K35" s="52"/>
      <x:c r="L35" s="52"/>
      <x:c r="M35" s="52"/>
      <x:c r="N35" s="52"/>
      <x:c r="O35" s="52"/>
      <x:c r="P35" s="52"/>
      <x:c r="Q35" s="52"/>
      <x:c r="R35" s="52"/>
      <x:c r="S35" s="52"/>
      <x:c r="T35" s="52"/>
    </x:row>
    <x:row r="36" s="1" customFormat="1" ht="14.25" hidden="0" customHeight="1">
      <x:c r="A36" s="7" t="s">
        <x:v>2043</x:v>
      </x:c>
      <x:c r="B36" s="5" t="n">
        <x:v>0.02</x:v>
      </x:c>
      <x:c r="C36" s="6"/>
      <x:c r="D36" s="6"/>
      <x:c r="E36" s="6"/>
      <x:c r="F36" s="6"/>
      <x:c r="G36" s="6"/>
      <x:c r="H36" s="6"/>
      <x:c r="I36" s="6"/>
      <x:c r="J36" s="6"/>
      <x:c r="K36" s="52"/>
      <x:c r="L36" s="52"/>
      <x:c r="M36" s="52"/>
      <x:c r="N36" s="52"/>
      <x:c r="O36" s="52"/>
      <x:c r="P36" s="52"/>
      <x:c r="Q36" s="52"/>
      <x:c r="R36" s="52"/>
      <x:c r="S36" s="52"/>
      <x:c r="T36" s="52"/>
    </x:row>
    <x:row r="37" s="1" customFormat="1" ht="14.25" hidden="0" customHeight="1">
      <x:c r="A37" s="7" t="s">
        <x:v>2044</x:v>
      </x:c>
      <x:c r="B37" s="6" t="n">
        <x:v>0.00318179871261823</x:v>
      </x:c>
      <x:c r="C37" s="6"/>
      <x:c r="D37" s="6"/>
      <x:c r="E37" s="6"/>
      <x:c r="F37" s="6"/>
      <x:c r="G37" s="6"/>
      <x:c r="H37" s="6"/>
      <x:c r="I37" s="6"/>
      <x:c r="J37" s="6"/>
      <x:c r="K37" s="52"/>
      <x:c r="L37" s="52"/>
      <x:c r="M37" s="52"/>
      <x:c r="N37" s="52"/>
      <x:c r="O37" s="52"/>
      <x:c r="P37" s="52"/>
      <x:c r="Q37" s="52"/>
      <x:c r="R37" s="52"/>
      <x:c r="S37" s="52"/>
      <x:c r="T37" s="52"/>
    </x:row>
    <x:row r="38" s="1" customFormat="1" ht="14.25" hidden="0" customHeight="1">
      <x:c r="A38" s="7" t="s">
        <x:v>2045</x:v>
      </x:c>
      <x:c r="B38" s="5" t="n">
        <x:v>0.00318179871261823</x:v>
      </x:c>
      <x:c r="C38" s="6"/>
      <x:c r="D38" s="6"/>
      <x:c r="E38" s="6"/>
      <x:c r="F38" s="6"/>
      <x:c r="G38" s="6"/>
      <x:c r="H38" s="6"/>
      <x:c r="I38" s="6"/>
      <x:c r="J38" s="6"/>
      <x:c r="K38" s="52"/>
      <x:c r="L38" s="52"/>
      <x:c r="M38" s="52"/>
      <x:c r="N38" s="52"/>
      <x:c r="O38" s="52"/>
      <x:c r="P38" s="52"/>
      <x:c r="Q38" s="52"/>
      <x:c r="R38" s="52"/>
      <x:c r="S38" s="52"/>
      <x:c r="T38" s="52"/>
    </x:row>
    <x:row r="39" s="1" customFormat="1" ht="14.25" hidden="0" customHeight="1">
      <x:c r="A39" s="360" t="s">
        <x:v>2046</x:v>
      </x:c>
      <x:c r="B39" s="362" t="n">
        <x:v>3.56551781265359</x:v>
      </x:c>
      <x:c r="C39" s="363" t="str">
        <x:v>Base demonstration Gap only. A governed σ×2 stress changes decisiveness; this is not a z-score or a basis for unique framework selection.</x:v>
      </x:c>
      <x:c r="D39" s="6"/>
      <x:c r="E39" s="6"/>
      <x:c r="F39" s="6"/>
      <x:c r="G39" s="6"/>
      <x:c r="H39" s="6"/>
      <x:c r="I39" s="6"/>
      <x:c r="J39" s="6"/>
      <x:c r="K39" s="52"/>
      <x:c r="L39" s="52"/>
      <x:c r="M39" s="52"/>
      <x:c r="N39" s="52"/>
      <x:c r="O39" s="52"/>
      <x:c r="P39" s="52"/>
      <x:c r="Q39" s="52"/>
      <x:c r="R39" s="52"/>
      <x:c r="S39" s="52"/>
      <x:c r="T39" s="52"/>
    </x:row>
    <x:row r="40" s="1" customFormat="1" ht="13.5" hidden="0" customHeight="1">
      <x:c r="A40" s="363" t="s">
        <x:v>2047</x:v>
      </x:c>
      <x:c r="B40" s="363" t="str">
        <x:v>NON-DECISIVE</x:v>
      </x:c>
      <x:c r="C40" s="363"/>
      <x:c r="D40" s="6"/>
      <x:c r="E40" s="6"/>
      <x:c r="F40" s="6"/>
      <x:c r="G40" s="6"/>
      <x:c r="H40" s="6"/>
      <x:c r="I40" s="6"/>
      <x:c r="J40" s="6"/>
      <x:c r="K40" s="52"/>
      <x:c r="L40" s="52"/>
      <x:c r="M40" s="52"/>
      <x:c r="N40" s="52"/>
      <x:c r="O40" s="52"/>
      <x:c r="P40" s="52"/>
      <x:c r="Q40" s="52"/>
      <x:c r="R40" s="52"/>
      <x:c r="S40" s="52"/>
      <x:c r="T40" s="52"/>
    </x:row>
    <x:row r="41" s="1" customFormat="1" ht="14.25" hidden="0" customHeight="1">
      <x:c r="A41" s="360" t="str">
        <x:v>Point-score leader</x:v>
      </x:c>
      <x:c r="B41" s="363" t="str">
        <x:v>A</x:v>
      </x:c>
      <x:c r="C41" s="363"/>
      <x:c r="D41" s="6"/>
      <x:c r="E41" s="6"/>
      <x:c r="F41" s="6"/>
      <x:c r="G41" s="6"/>
      <x:c r="H41" s="6"/>
      <x:c r="I41" s="6"/>
      <x:c r="J41" s="6"/>
      <x:c r="K41" s="52"/>
      <x:c r="L41" s="52"/>
      <x:c r="M41" s="52"/>
      <x:c r="N41" s="52"/>
      <x:c r="O41" s="52"/>
      <x:c r="P41" s="52"/>
      <x:c r="Q41" s="52"/>
      <x:c r="R41" s="52"/>
      <x:c r="S41" s="52"/>
      <x:c r="T41" s="52"/>
    </x:row>
    <x:row r="42" s="1" customFormat="1" ht="84" hidden="0" customHeight="1">
      <x:c r="A42" s="360" t="s">
        <x:v>2048</x:v>
      </x:c>
      <x:c r="B42" s="361" t="str">
        <x:v>Option A is the higher point-score option, but the unvalidated Method C uncertainty basis changes to non-decisive at σ×2. RippleLogic therefore refuses deterministic selection; A is recorded only through a separate authority selection.</x:v>
      </x:c>
      <x:c r="C42" s="363"/>
      <x:c r="D42" s="6"/>
      <x:c r="E42" s="6"/>
      <x:c r="F42" s="6"/>
      <x:c r="G42" s="6"/>
      <x:c r="H42" s="6"/>
      <x:c r="I42" s="6"/>
      <x:c r="J42" s="6"/>
      <x:c r="K42" s="52"/>
      <x:c r="L42" s="52"/>
      <x:c r="M42" s="52"/>
      <x:c r="N42" s="52"/>
      <x:c r="O42" s="52"/>
      <x:c r="P42" s="52"/>
      <x:c r="Q42" s="52"/>
      <x:c r="R42" s="52"/>
      <x:c r="S42" s="52"/>
      <x:c r="T42" s="52"/>
    </x:row>
    <x:row r="43" s="1" customFormat="1" ht="14.25" hidden="0" customHeight="1">
      <x:c r="A43" s="367"/>
      <x:c r="B43" s="363"/>
      <x:c r="C43" s="363"/>
      <x:c r="D43" s="6"/>
      <x:c r="E43" s="6"/>
      <x:c r="F43" s="6"/>
      <x:c r="G43" s="6"/>
      <x:c r="H43" s="6"/>
      <x:c r="I43" s="6"/>
      <x:c r="J43" s="6"/>
      <x:c r="K43" s="52"/>
      <x:c r="L43" s="52"/>
      <x:c r="M43" s="52"/>
      <x:c r="N43" s="52"/>
      <x:c r="O43" s="52"/>
      <x:c r="P43" s="52"/>
      <x:c r="Q43" s="52"/>
      <x:c r="R43" s="52"/>
      <x:c r="S43" s="52"/>
      <x:c r="T43" s="52"/>
    </x:row>
    <x:row r="44" s="1" customFormat="1" ht="32" hidden="0" customHeight="1">
      <x:c r="A44" s="368" t="s">
        <x:v>2049</x:v>
      </x:c>
      <x:c r="B44" s="368"/>
      <x:c r="C44" s="363"/>
      <x:c r="D44" s="6"/>
      <x:c r="E44" s="6"/>
      <x:c r="F44" s="6"/>
      <x:c r="G44" s="6"/>
      <x:c r="H44" s="6"/>
      <x:c r="I44" s="6"/>
      <x:c r="J44" s="6"/>
      <x:c r="K44" s="52"/>
      <x:c r="L44" s="52"/>
      <x:c r="M44" s="52"/>
      <x:c r="N44" s="52"/>
      <x:c r="O44" s="52"/>
      <x:c r="P44" s="52"/>
      <x:c r="Q44" s="52"/>
      <x:c r="R44" s="52"/>
      <x:c r="S44" s="52"/>
      <x:c r="T44" s="52"/>
    </x:row>
    <x:row r="45" s="1" customFormat="1" ht="44" hidden="0" customHeight="1">
      <x:c r="A45" s="368" t="s">
        <x:v>2050</x:v>
      </x:c>
      <x:c r="B45" s="368"/>
      <x:c r="C45" s="363"/>
      <x:c r="D45" s="6"/>
      <x:c r="E45" s="6"/>
      <x:c r="F45" s="6"/>
      <x:c r="G45" s="6"/>
      <x:c r="H45" s="6"/>
      <x:c r="I45" s="6"/>
      <x:c r="J45" s="6"/>
      <x:c r="K45" s="52"/>
      <x:c r="L45" s="52"/>
      <x:c r="M45" s="52"/>
      <x:c r="N45" s="52"/>
      <x:c r="O45" s="52"/>
      <x:c r="P45" s="52"/>
      <x:c r="Q45" s="52"/>
      <x:c r="R45" s="52"/>
      <x:c r="S45" s="52"/>
      <x:c r="T45" s="52"/>
    </x:row>
    <x:row r="46" s="1" customFormat="1" ht="13.5" hidden="0" customHeight="1">
      <x:c r="A46" s="363" t="s">
        <x:v>2051</x:v>
      </x:c>
      <x:c r="B46" s="363" t="n">
        <x:v>1.81508102477079</x:v>
      </x:c>
      <x:c r="C46" s="363" t="s">
        <x:v>2052</x:v>
      </x:c>
      <x:c r="D46" s="6"/>
      <x:c r="E46" s="6"/>
      <x:c r="F46" s="6"/>
      <x:c r="G46" s="6"/>
      <x:c r="H46" s="6"/>
      <x:c r="I46" s="6"/>
      <x:c r="J46" s="6"/>
      <x:c r="K46" s="52"/>
      <x:c r="L46" s="52"/>
      <x:c r="M46" s="52"/>
      <x:c r="N46" s="52"/>
      <x:c r="O46" s="52"/>
      <x:c r="P46" s="52"/>
      <x:c r="Q46" s="52"/>
      <x:c r="R46" s="52"/>
      <x:c r="S46" s="52"/>
      <x:c r="T46" s="52"/>
    </x:row>
    <x:row r="47" s="1" customFormat="1" ht="13.5" hidden="0" customHeight="1">
      <x:c r="A47" s="363" t="s">
        <x:v>2053</x:v>
      </x:c>
      <x:c r="B47" s="363" t="n">
        <x:v>1.8126799195478</x:v>
      </x:c>
      <x:c r="C47" s="363" t="s">
        <x:v>2054</x:v>
      </x:c>
      <x:c r="D47" s="6"/>
      <x:c r="E47" s="6"/>
      <x:c r="F47" s="6"/>
      <x:c r="G47" s="6"/>
      <x:c r="H47" s="6"/>
      <x:c r="I47" s="6"/>
      <x:c r="J47" s="6"/>
      <x:c r="K47" s="52"/>
      <x:c r="L47" s="52"/>
      <x:c r="M47" s="52"/>
      <x:c r="N47" s="52"/>
      <x:c r="O47" s="52"/>
      <x:c r="P47" s="52"/>
      <x:c r="Q47" s="52"/>
      <x:c r="R47" s="52"/>
      <x:c r="S47" s="52"/>
      <x:c r="T47" s="52"/>
    </x:row>
    <x:row r="48" s="1" customFormat="1" ht="58" hidden="0" customHeight="1">
      <x:c r="A48" s="363" t="s">
        <x:v>2055</x:v>
      </x:c>
      <x:c r="B48" s="363" t="s">
        <x:v>255</x:v>
      </x:c>
      <x:c r="C48" s="363" t="str">
        <x:v>A computed uncertainty stress changes the decisive/non-decisive classification; Canon §10.4A therefore requires non-decisive treatment at this tier.</x:v>
      </x:c>
      <x:c r="D48" s="6"/>
      <x:c r="E48" s="6"/>
      <x:c r="F48" s="6"/>
      <x:c r="G48" s="6"/>
      <x:c r="H48" s="6"/>
      <x:c r="I48" s="6"/>
      <x:c r="J48" s="6"/>
      <x:c r="K48" s="52"/>
      <x:c r="L48" s="52"/>
      <x:c r="M48" s="52"/>
      <x:c r="N48" s="52"/>
      <x:c r="O48" s="52"/>
      <x:c r="P48" s="52"/>
      <x:c r="Q48" s="52"/>
      <x:c r="R48" s="52"/>
      <x:c r="S48" s="52"/>
      <x:c r="T48" s="52"/>
    </x:row>
    <x:row r="49" s="1" customFormat="1" ht="13.5" hidden="0" customHeight="1">
      <x:c r="A49" s="6"/>
      <x:c r="B49" s="6"/>
      <x:c r="C49" s="6"/>
      <x:c r="D49" s="6"/>
      <x:c r="E49" s="6"/>
      <x:c r="F49" s="6"/>
      <x:c r="G49" s="6"/>
      <x:c r="H49" s="6"/>
      <x:c r="I49" s="6"/>
      <x:c r="J49" s="6"/>
      <x:c r="K49" s="52"/>
      <x:c r="L49" s="52"/>
      <x:c r="M49" s="52"/>
      <x:c r="N49" s="52"/>
      <x:c r="O49" s="52"/>
      <x:c r="P49" s="52"/>
      <x:c r="Q49" s="52"/>
      <x:c r="R49" s="52"/>
      <x:c r="S49" s="52"/>
      <x:c r="T49" s="52"/>
    </x:row>
    <x:row r="50" s="1" customFormat="1" ht="24" hidden="0" customHeight="1">
      <x:c r="A50" s="7" t="str">
        <x:v>CANONICAL RLS WEIGHT MATRIX (v5.6: build-frozen union weights reproduced from PLSS_Local_Scope final weights)</x:v>
      </x:c>
      <x:c r="B50" s="6"/>
      <x:c r="C50" s="6"/>
      <x:c r="D50" s="6"/>
      <x:c r="E50" s="6"/>
      <x:c r="F50" s="6"/>
      <x:c r="G50" s="6"/>
      <x:c r="H50" s="6"/>
      <x:c r="I50" s="6"/>
      <x:c r="J50" s="6"/>
      <x:c r="K50" s="52"/>
      <x:c r="L50" s="52"/>
      <x:c r="M50" s="52"/>
      <x:c r="N50" s="52"/>
      <x:c r="O50" s="52"/>
      <x:c r="P50" s="52"/>
      <x:c r="Q50" s="52"/>
      <x:c r="R50" s="52"/>
      <x:c r="S50" s="52"/>
      <x:c r="T50" s="52"/>
    </x:row>
    <x:row r="51" s="1" customFormat="1" ht="27.75" hidden="0" customHeight="1">
      <x:c r="A51" s="7" t="str">
        <x:v>Canonical RLS values for this run are the build-verified values shown in the summary rows of this sheet and in CANON.</x:v>
      </x:c>
      <x:c r="B51" s="8" t="s">
        <x:v>973</x:v>
      </x:c>
      <x:c r="C51" s="8" t="s">
        <x:v>963</x:v>
      </x:c>
      <x:c r="D51" s="8" t="s">
        <x:v>972</x:v>
      </x:c>
      <x:c r="E51" s="8" t="s">
        <x:v>974</x:v>
      </x:c>
      <x:c r="F51" s="8" t="s">
        <x:v>971</x:v>
      </x:c>
      <x:c r="G51" s="8" t="s">
        <x:v>1099</x:v>
      </x:c>
      <x:c r="H51" s="8" t="s">
        <x:v>969</x:v>
      </x:c>
      <x:c r="I51" s="8" t="s">
        <x:v>2024</x:v>
      </x:c>
      <x:c r="J51" s="6"/>
      <x:c r="K51" s="52"/>
      <x:c r="L51" s="52"/>
      <x:c r="M51" s="52"/>
      <x:c r="N51" s="52"/>
      <x:c r="O51" s="52"/>
      <x:c r="P51" s="52"/>
      <x:c r="Q51" s="52"/>
      <x:c r="R51" s="52"/>
      <x:c r="S51" s="52"/>
      <x:c r="T51" s="52"/>
    </x:row>
    <x:row r="52" s="1" customFormat="1" ht="14.25" hidden="0" customHeight="1">
      <x:c r="A52" s="7" t="s">
        <x:v>853</x:v>
      </x:c>
      <x:c r="B52" s="71" t="n">
        <x:v>0.142857142857143</x:v>
      </x:c>
      <x:c r="C52" s="71" t="n">
        <x:v>0.142857142857143</x:v>
      </x:c>
      <x:c r="D52" s="71" t="n">
        <x:v>0.142857142857143</x:v>
      </x:c>
      <x:c r="E52" s="71" t="n">
        <x:v>0.142857142857143</x:v>
      </x:c>
      <x:c r="F52" s="71" t="n">
        <x:v>0.142857142857143</x:v>
      </x:c>
      <x:c r="G52" s="71" t="n">
        <x:v>0.142857142857143</x:v>
      </x:c>
      <x:c r="H52" s="71" t="n">
        <x:v>0.142857142857143</x:v>
      </x:c>
      <x:c r="I52" s="6"/>
      <x:c r="J52" s="6"/>
      <x:c r="K52" s="52"/>
      <x:c r="L52" s="52"/>
      <x:c r="M52" s="52"/>
      <x:c r="N52" s="52"/>
      <x:c r="O52" s="52"/>
      <x:c r="P52" s="52"/>
      <x:c r="Q52" s="52"/>
      <x:c r="R52" s="52"/>
      <x:c r="S52" s="52"/>
      <x:c r="T52" s="52"/>
    </x:row>
    <x:row r="53" s="1" customFormat="1" ht="14.25" hidden="0" customHeight="1">
      <x:c r="A53" s="7" t="s">
        <x:v>962</x:v>
      </x:c>
      <x:c r="B53" s="70" t="n">
        <x:v>0.043952380952381</x:v>
      </x:c>
      <x:c r="C53" s="70" t="n">
        <x:v>0.043952380952381</x:v>
      </x:c>
      <x:c r="D53" s="70" t="n">
        <x:v>0.043952380952381</x:v>
      </x:c>
      <x:c r="E53" s="70" t="n">
        <x:v>0.043952380952381</x:v>
      </x:c>
      <x:c r="F53" s="70" t="n">
        <x:v>0.043952380952381</x:v>
      </x:c>
      <x:c r="G53" s="70" t="n">
        <x:v>0.043952380952381</x:v>
      </x:c>
      <x:c r="H53" s="70" t="n">
        <x:v>0.043952380952381</x:v>
      </x:c>
      <x:c r="I53" s="70" t="n">
        <x:v>0.307666666666667</x:v>
      </x:c>
      <x:c r="J53" s="6"/>
      <x:c r="K53" s="52"/>
      <x:c r="L53" s="52"/>
      <x:c r="M53" s="52"/>
      <x:c r="N53" s="52"/>
      <x:c r="O53" s="52"/>
      <x:c r="P53" s="52"/>
      <x:c r="Q53" s="52"/>
      <x:c r="R53" s="52"/>
      <x:c r="S53" s="52"/>
      <x:c r="T53" s="52"/>
    </x:row>
    <x:row r="54" s="1" customFormat="1" ht="14.25" hidden="0" customHeight="1">
      <x:c r="A54" s="7" t="s">
        <x:v>964</x:v>
      </x:c>
      <x:c r="B54" s="71" t="n">
        <x:v>0.0223333333333334</x:v>
      </x:c>
      <x:c r="C54" s="71" t="n">
        <x:v>0.0223333333333334</x:v>
      </x:c>
      <x:c r="D54" s="71" t="n">
        <x:v>0.0223333333333334</x:v>
      </x:c>
      <x:c r="E54" s="71" t="n">
        <x:v>0.0223333333333334</x:v>
      </x:c>
      <x:c r="F54" s="71" t="n">
        <x:v>0.0223333333333334</x:v>
      </x:c>
      <x:c r="G54" s="71" t="n">
        <x:v>0.0223333333333334</x:v>
      </x:c>
      <x:c r="H54" s="71" t="n">
        <x:v>0.0223333333333334</x:v>
      </x:c>
      <x:c r="I54" s="71" t="n">
        <x:v>0.156333333333333</x:v>
      </x:c>
      <x:c r="J54" s="6"/>
      <x:c r="K54" s="52"/>
      <x:c r="L54" s="52"/>
      <x:c r="M54" s="52"/>
      <x:c r="N54" s="52"/>
      <x:c r="O54" s="52"/>
      <x:c r="P54" s="52"/>
      <x:c r="Q54" s="52"/>
      <x:c r="R54" s="52"/>
      <x:c r="S54" s="52"/>
      <x:c r="T54" s="52"/>
    </x:row>
    <x:row r="55" s="1" customFormat="1" ht="14.25" hidden="0" customHeight="1">
      <x:c r="A55" s="7" t="s">
        <x:v>965</x:v>
      </x:c>
      <x:c r="B55" s="70" t="n">
        <x:v>0.0174761904761905</x:v>
      </x:c>
      <x:c r="C55" s="70" t="n">
        <x:v>0.0174761904761905</x:v>
      </x:c>
      <x:c r="D55" s="70" t="n">
        <x:v>0.0174761904761905</x:v>
      </x:c>
      <x:c r="E55" s="70" t="n">
        <x:v>0.0174761904761905</x:v>
      </x:c>
      <x:c r="F55" s="70" t="n">
        <x:v>0.0174761904761905</x:v>
      </x:c>
      <x:c r="G55" s="70" t="n">
        <x:v>0.0174761904761905</x:v>
      </x:c>
      <x:c r="H55" s="70" t="n">
        <x:v>0.0174761904761905</x:v>
      </x:c>
      <x:c r="I55" s="70" t="n">
        <x:v>0.122333333333333</x:v>
      </x:c>
      <x:c r="J55" s="6"/>
      <x:c r="K55" s="52"/>
      <x:c r="L55" s="52"/>
      <x:c r="M55" s="52"/>
      <x:c r="N55" s="52"/>
      <x:c r="O55" s="52"/>
      <x:c r="P55" s="52"/>
      <x:c r="Q55" s="52"/>
      <x:c r="R55" s="52"/>
      <x:c r="S55" s="52"/>
      <x:c r="T55" s="52"/>
    </x:row>
    <x:row r="56" s="1" customFormat="1" ht="14.25" hidden="0" customHeight="1">
      <x:c r="A56" s="7" t="s">
        <x:v>966</x:v>
      </x:c>
      <x:c r="B56" s="71" t="n">
        <x:v>0.0166666666666667</x:v>
      </x:c>
      <x:c r="C56" s="71" t="n">
        <x:v>0.0166666666666667</x:v>
      </x:c>
      <x:c r="D56" s="71" t="n">
        <x:v>0.0166666666666667</x:v>
      </x:c>
      <x:c r="E56" s="71" t="n">
        <x:v>0.0166666666666667</x:v>
      </x:c>
      <x:c r="F56" s="71" t="n">
        <x:v>0.0166666666666667</x:v>
      </x:c>
      <x:c r="G56" s="71" t="n">
        <x:v>0.0166666666666667</x:v>
      </x:c>
      <x:c r="H56" s="71" t="n">
        <x:v>0.0166666666666667</x:v>
      </x:c>
      <x:c r="I56" s="71" t="n">
        <x:v>0.116666666666667</x:v>
      </x:c>
      <x:c r="J56" s="6"/>
      <x:c r="K56" s="52"/>
      <x:c r="L56" s="52"/>
      <x:c r="M56" s="52"/>
      <x:c r="N56" s="52"/>
      <x:c r="O56" s="52"/>
      <x:c r="P56" s="52"/>
      <x:c r="Q56" s="52"/>
      <x:c r="R56" s="52"/>
      <x:c r="S56" s="52"/>
      <x:c r="T56" s="52"/>
    </x:row>
    <x:row r="57" s="1" customFormat="1" ht="14.25" hidden="0" customHeight="1">
      <x:c r="A57" s="7" t="s">
        <x:v>967</x:v>
      </x:c>
      <x:c r="B57" s="70" t="n">
        <x:v>0.0130476190476191</x:v>
      </x:c>
      <x:c r="C57" s="70" t="n">
        <x:v>0.0130476190476191</x:v>
      </x:c>
      <x:c r="D57" s="70" t="n">
        <x:v>0.0130476190476191</x:v>
      </x:c>
      <x:c r="E57" s="70" t="n">
        <x:v>0.0130476190476191</x:v>
      </x:c>
      <x:c r="F57" s="70" t="n">
        <x:v>0.0130476190476191</x:v>
      </x:c>
      <x:c r="G57" s="70" t="n">
        <x:v>0.0130476190476191</x:v>
      </x:c>
      <x:c r="H57" s="70" t="n">
        <x:v>0.0130476190476191</x:v>
      </x:c>
      <x:c r="I57" s="70" t="n">
        <x:v>0.0913333333333333</x:v>
      </x:c>
      <x:c r="J57" s="6"/>
      <x:c r="K57" s="52"/>
      <x:c r="L57" s="52"/>
      <x:c r="M57" s="52"/>
      <x:c r="N57" s="52"/>
      <x:c r="O57" s="52"/>
      <x:c r="P57" s="52"/>
      <x:c r="Q57" s="52"/>
      <x:c r="R57" s="52"/>
      <x:c r="S57" s="52"/>
      <x:c r="T57" s="52"/>
    </x:row>
    <x:row r="58" s="1" customFormat="1" ht="14.25" hidden="0" customHeight="1">
      <x:c r="A58" s="7" t="s">
        <x:v>968</x:v>
      </x:c>
      <x:c r="B58" s="71" t="n">
        <x:v>0.0147714285714286</x:v>
      </x:c>
      <x:c r="C58" s="71" t="n">
        <x:v>0.0147714285714286</x:v>
      </x:c>
      <x:c r="D58" s="71" t="n">
        <x:v>0.0147714285714286</x:v>
      </x:c>
      <x:c r="E58" s="71" t="n">
        <x:v>0.0147714285714286</x:v>
      </x:c>
      <x:c r="F58" s="71" t="n">
        <x:v>0.0147714285714286</x:v>
      </x:c>
      <x:c r="G58" s="71" t="n">
        <x:v>0.0147714285714286</x:v>
      </x:c>
      <x:c r="H58" s="71" t="n">
        <x:v>0.0147714285714286</x:v>
      </x:c>
      <x:c r="I58" s="71" t="n">
        <x:v>0.1034</x:v>
      </x:c>
      <x:c r="J58" s="6"/>
      <x:c r="K58" s="52"/>
      <x:c r="L58" s="52"/>
      <x:c r="M58" s="52"/>
      <x:c r="N58" s="52"/>
      <x:c r="O58" s="52"/>
      <x:c r="P58" s="52"/>
      <x:c r="Q58" s="52"/>
      <x:c r="R58" s="52"/>
      <x:c r="S58" s="52"/>
      <x:c r="T58" s="52"/>
    </x:row>
    <x:row r="59" s="1" customFormat="1" ht="14.25" hidden="0" customHeight="1">
      <x:c r="A59" s="7" t="s">
        <x:v>970</x:v>
      </x:c>
      <x:c r="B59" s="70" t="n">
        <x:v>0.0146095238095238</x:v>
      </x:c>
      <x:c r="C59" s="70" t="n">
        <x:v>0.0146095238095238</x:v>
      </x:c>
      <x:c r="D59" s="70" t="n">
        <x:v>0.0146095238095238</x:v>
      </x:c>
      <x:c r="E59" s="70" t="n">
        <x:v>0.0146095238095238</x:v>
      </x:c>
      <x:c r="F59" s="70" t="n">
        <x:v>0.0146095238095238</x:v>
      </x:c>
      <x:c r="G59" s="70" t="n">
        <x:v>0.0146095238095238</x:v>
      </x:c>
      <x:c r="H59" s="70" t="n">
        <x:v>0.0146095238095238</x:v>
      </x:c>
      <x:c r="I59" s="70" t="n">
        <x:v>0.102266666666667</x:v>
      </x:c>
      <x:c r="J59" s="6"/>
      <x:c r="K59" s="52"/>
      <x:c r="L59" s="52"/>
      <x:c r="M59" s="52"/>
      <x:c r="N59" s="52"/>
      <x:c r="O59" s="52"/>
      <x:c r="P59" s="52"/>
      <x:c r="Q59" s="52"/>
      <x:c r="R59" s="52"/>
      <x:c r="S59" s="52"/>
      <x:c r="T59" s="52"/>
    </x:row>
    <x:row r="60" s="1" customFormat="1" ht="13.5" hidden="0" customHeight="1">
      <x:c r="A60" s="6" t="s">
        <x:v>2056</x:v>
      </x:c>
      <x:c r="B60" s="6" t="n">
        <x:v>1</x:v>
      </x:c>
      <x:c r="C60" s="6"/>
      <x:c r="D60" s="6"/>
      <x:c r="E60" s="6"/>
      <x:c r="F60" s="6"/>
      <x:c r="G60" s="6"/>
      <x:c r="H60" s="6"/>
      <x:c r="I60" s="6"/>
      <x:c r="J60" s="6"/>
      <x:c r="K60" s="52"/>
      <x:c r="L60" s="52"/>
      <x:c r="M60" s="52"/>
      <x:c r="N60" s="52"/>
      <x:c r="O60" s="52"/>
      <x:c r="P60" s="52"/>
      <x:c r="Q60" s="52"/>
      <x:c r="R60" s="52"/>
      <x:c r="S60" s="52"/>
      <x:c r="T60" s="52"/>
    </x:row>
    <x:row r="61" s="1" customFormat="1" ht="14.25" hidden="0" customHeight="1">
      <x:c r="A61" s="7" t="s">
        <x:v>945</x:v>
      </x:c>
      <x:c r="B61" s="70" t="n">
        <x:v>0.0153129427168233</x:v>
      </x:c>
      <x:c r="C61" s="6"/>
      <x:c r="D61" s="6"/>
      <x:c r="E61" s="6"/>
      <x:c r="F61" s="6"/>
      <x:c r="G61" s="6"/>
      <x:c r="H61" s="6"/>
      <x:c r="I61" s="6"/>
      <x:c r="J61" s="6"/>
      <x:c r="K61" s="52"/>
      <x:c r="L61" s="52"/>
      <x:c r="M61" s="52"/>
      <x:c r="N61" s="52"/>
      <x:c r="O61" s="52"/>
      <x:c r="P61" s="52"/>
      <x:c r="Q61" s="52"/>
      <x:c r="R61" s="52"/>
      <x:c r="S61" s="52"/>
      <x:c r="T61" s="52"/>
    </x:row>
    <x:row r="62" s="1" customFormat="1" ht="14.25" hidden="0" customHeight="1">
      <x:c r="A62" s="7" t="s">
        <x:v>949</x:v>
      </x:c>
      <x:c r="B62" s="71" t="n">
        <x:v>-0.00112238738505248</x:v>
      </x:c>
      <x:c r="C62" s="6"/>
      <x:c r="D62" s="6"/>
      <x:c r="E62" s="6"/>
      <x:c r="F62" s="6"/>
      <x:c r="G62" s="6"/>
      <x:c r="H62" s="6"/>
      <x:c r="I62" s="6"/>
      <x:c r="J62" s="6"/>
      <x:c r="K62" s="52"/>
      <x:c r="L62" s="52"/>
      <x:c r="M62" s="52"/>
      <x:c r="N62" s="52"/>
      <x:c r="O62" s="52"/>
      <x:c r="P62" s="52"/>
      <x:c r="Q62" s="52"/>
      <x:c r="R62" s="52"/>
      <x:c r="S62" s="52"/>
      <x:c r="T62" s="52"/>
    </x:row>
    <x:row r="63" s="1" customFormat="1" ht="14.25" hidden="0" customHeight="1">
      <x:c r="A63" s="7" t="s">
        <x:v>2057</x:v>
      </x:c>
      <x:c r="B63" s="8" t="s">
        <x:v>953</x:v>
      </x:c>
      <x:c r="C63" s="6"/>
      <x:c r="D63" s="6"/>
      <x:c r="E63" s="6"/>
      <x:c r="F63" s="6"/>
      <x:c r="G63" s="6"/>
      <x:c r="H63" s="6"/>
      <x:c r="I63" s="6"/>
      <x:c r="J63" s="6"/>
      <x:c r="K63" s="52"/>
      <x:c r="L63" s="52"/>
      <x:c r="M63" s="52"/>
      <x:c r="N63" s="52"/>
      <x:c r="O63" s="52"/>
      <x:c r="P63" s="52"/>
      <x:c r="Q63" s="52"/>
      <x:c r="R63" s="52"/>
      <x:c r="S63" s="52"/>
      <x:c r="T63" s="52"/>
    </x:row>
    <x:row r="64" s="1" customFormat="1" ht="171" hidden="0" customHeight="1">
      <x:c r="A64" s="7" t="s">
        <x:v>2058</x:v>
      </x:c>
      <x:c r="B64" s="5" t="str">
        <x:v>Canonical RLS divides by Q after active masks/cell multipliers. This preserves the [-1,+1] interpretation; Q=0 is undefined.</x:v>
      </x:c>
      <x:c r="C64" s="6"/>
      <x:c r="D64" s="6"/>
      <x:c r="E64" s="6"/>
      <x:c r="F64" s="6"/>
      <x:c r="G64" s="6"/>
      <x:c r="H64" s="6"/>
      <x:c r="I64" s="6"/>
      <x:c r="J64" s="6"/>
      <x:c r="K64" s="52"/>
      <x:c r="L64" s="52"/>
      <x:c r="M64" s="52"/>
      <x:c r="N64" s="52"/>
      <x:c r="O64" s="52"/>
      <x:c r="P64" s="52"/>
      <x:c r="Q64" s="52"/>
      <x:c r="R64" s="52"/>
      <x:c r="S64" s="52"/>
      <x:c r="T64" s="52"/>
    </x:row>
    <x:row r="65" s="1" customFormat="1" ht="12.75" hidden="0" customHeight="1">
      <x:c r="A65" s="52"/>
      <x:c r="B65" s="52"/>
      <x:c r="C65" s="52"/>
      <x:c r="D65" s="52"/>
      <x:c r="E65" s="52"/>
      <x:c r="F65" s="52"/>
      <x:c r="G65" s="52"/>
      <x:c r="H65" s="52"/>
      <x:c r="I65" s="52"/>
      <x:c r="J65" s="52"/>
      <x:c r="K65" s="52"/>
      <x:c r="L65" s="52"/>
      <x:c r="M65" s="52"/>
      <x:c r="N65" s="52"/>
      <x:c r="O65" s="52"/>
      <x:c r="P65" s="52"/>
      <x:c r="Q65" s="52"/>
      <x:c r="R65" s="52"/>
      <x:c r="S65" s="52"/>
      <x:c r="T65" s="52"/>
    </x:row>
    <x:row r="66" s="1" customFormat="1" ht="12.75" hidden="0" customHeight="1">
      <x:c r="A66" s="75" t="s">
        <x:v>2059</x:v>
      </x:c>
      <x:c r="B66" s="75" t="s">
        <x:v>1717</x:v>
      </x:c>
      <x:c r="C66" s="75" t="s">
        <x:v>1718</x:v>
      </x:c>
      <x:c r="D66" s="75" t="s">
        <x:v>2060</x:v>
      </x:c>
      <x:c r="E66" s="75" t="s">
        <x:v>2061</x:v>
      </x:c>
      <x:c r="F66" s="75" t="s">
        <x:v>2062</x:v>
      </x:c>
      <x:c r="G66" s="75" t="s">
        <x:v>1918</x:v>
      </x:c>
      <x:c r="H66" s="75" t="s">
        <x:v>2063</x:v>
      </x:c>
      <x:c r="I66" s="75" t="s">
        <x:v>1424</x:v>
      </x:c>
      <x:c r="J66" s="52"/>
      <x:c r="K66" s="52"/>
      <x:c r="L66" s="52"/>
      <x:c r="M66" s="52"/>
      <x:c r="N66" s="52"/>
      <x:c r="O66" s="52"/>
      <x:c r="P66" s="52"/>
      <x:c r="Q66" s="52"/>
      <x:c r="R66" s="52"/>
      <x:c r="S66" s="52"/>
      <x:c r="T66" s="52"/>
    </x:row>
    <x:row r="67" s="1" customFormat="1" ht="12.75" hidden="0" customHeight="1">
      <x:c r="A67" s="64" t="s">
        <x:v>2064</x:v>
      </x:c>
      <x:c r="B67" s="64" t="s">
        <x:v>2065</x:v>
      </x:c>
      <x:c r="C67" s="64" t="s">
        <x:v>1796</x:v>
      </x:c>
      <x:c r="D67" s="64" t="s">
        <x:v>2066</x:v>
      </x:c>
      <x:c r="E67" s="64" t="s">
        <x:v>2067</x:v>
      </x:c>
      <x:c r="F67" s="64" t="s">
        <x:v>2068</x:v>
      </x:c>
      <x:c r="G67" s="64" t="s">
        <x:v>2069</x:v>
      </x:c>
      <x:c r="H67" s="64" t="s">
        <x:v>2070</x:v>
      </x:c>
      <x:c r="I67" s="64" t="s">
        <x:v>2071</x:v>
      </x:c>
      <x:c r="J67" s="52"/>
      <x:c r="K67" s="52"/>
      <x:c r="L67" s="52"/>
      <x:c r="M67" s="52"/>
      <x:c r="N67" s="52"/>
      <x:c r="O67" s="52"/>
      <x:c r="P67" s="52"/>
      <x:c r="Q67" s="52"/>
      <x:c r="R67" s="52"/>
      <x:c r="S67" s="52"/>
      <x:c r="T67" s="52"/>
    </x:row>
    <x:row r="68" s="1" customFormat="1" ht="12.75" hidden="0" customHeight="1">
      <x:c r="A68" s="64" t="s">
        <x:v>1818</x:v>
      </x:c>
      <x:c r="B68" s="64" t="s">
        <x:v>2072</x:v>
      </x:c>
      <x:c r="C68" s="64" t="s">
        <x:v>1796</x:v>
      </x:c>
      <x:c r="D68" s="64" t="s">
        <x:v>2073</x:v>
      </x:c>
      <x:c r="E68" s="64" t="s">
        <x:v>2074</x:v>
      </x:c>
      <x:c r="F68" s="64" t="s">
        <x:v>2075</x:v>
      </x:c>
      <x:c r="G68" s="64" t="s">
        <x:v>2069</x:v>
      </x:c>
      <x:c r="H68" s="64" t="s">
        <x:v>2076</x:v>
      </x:c>
      <x:c r="I68" s="64" t="s">
        <x:v>2077</x:v>
      </x:c>
      <x:c r="J68" s="52"/>
      <x:c r="K68" s="52"/>
      <x:c r="L68" s="52"/>
      <x:c r="M68" s="52"/>
      <x:c r="N68" s="52"/>
      <x:c r="O68" s="52"/>
      <x:c r="P68" s="52"/>
      <x:c r="Q68" s="52"/>
      <x:c r="R68" s="52"/>
      <x:c r="S68" s="52"/>
      <x:c r="T68" s="52"/>
    </x:row>
    <x:row r="69" s="1" customFormat="1" ht="12.75" hidden="0" customHeight="1">
      <x:c r="A69" s="64" t="s">
        <x:v>2078</x:v>
      </x:c>
      <x:c r="B69" s="64" t="s">
        <x:v>2079</x:v>
      </x:c>
      <x:c r="C69" s="64" t="s">
        <x:v>2079</x:v>
      </x:c>
      <x:c r="D69" s="64" t="s">
        <x:v>2080</x:v>
      </x:c>
      <x:c r="E69" s="64" t="s">
        <x:v>2081</x:v>
      </x:c>
      <x:c r="F69" s="64" t="s">
        <x:v>2082</x:v>
      </x:c>
      <x:c r="G69" s="64" t="s">
        <x:v>2083</x:v>
      </x:c>
      <x:c r="H69" s="64" t="s">
        <x:v>2084</x:v>
      </x:c>
      <x:c r="I69" s="64" t="s">
        <x:v>2085</x:v>
      </x:c>
      <x:c r="J69" s="52"/>
      <x:c r="K69" s="52"/>
      <x:c r="L69" s="52"/>
      <x:c r="M69" s="52"/>
      <x:c r="N69" s="52"/>
      <x:c r="O69" s="52"/>
      <x:c r="P69" s="52"/>
      <x:c r="Q69" s="52"/>
      <x:c r="R69" s="52"/>
      <x:c r="S69" s="52"/>
      <x:c r="T69" s="52"/>
    </x:row>
    <x:row r="70" s="1" customFormat="1" ht="12.75" hidden="0" customHeight="1">
      <x:c r="A70" s="64" t="s">
        <x:v>2086</x:v>
      </x:c>
      <x:c r="B70" s="64" t="s">
        <x:v>2087</x:v>
      </x:c>
      <x:c r="C70" s="64" t="s">
        <x:v>2087</x:v>
      </x:c>
      <x:c r="D70" s="64" t="s">
        <x:v>2088</x:v>
      </x:c>
      <x:c r="E70" s="64" t="s">
        <x:v>748</x:v>
      </x:c>
      <x:c r="F70" s="64" t="s">
        <x:v>2089</x:v>
      </x:c>
      <x:c r="G70" s="64" t="s">
        <x:v>2090</x:v>
      </x:c>
      <x:c r="H70" s="64" t="s">
        <x:v>2091</x:v>
      </x:c>
      <x:c r="I70" s="64" t="s">
        <x:v>2092</x:v>
      </x:c>
      <x:c r="J70" s="52"/>
      <x:c r="K70" s="52"/>
      <x:c r="L70" s="52"/>
      <x:c r="M70" s="52"/>
      <x:c r="N70" s="52"/>
      <x:c r="O70" s="52"/>
      <x:c r="P70" s="52"/>
      <x:c r="Q70" s="52"/>
      <x:c r="R70" s="52"/>
      <x:c r="S70" s="52"/>
      <x:c r="T70" s="52"/>
    </x:row>
    <x:row r="71" s="1" customFormat="1" ht="12.75" hidden="0" customHeight="1">
      <x:c r="A71" s="64" t="s">
        <x:v>2093</x:v>
      </x:c>
      <x:c r="B71" s="64" t="s">
        <x:v>2094</x:v>
      </x:c>
      <x:c r="C71" s="64" t="s">
        <x:v>2094</x:v>
      </x:c>
      <x:c r="D71" s="64" t="s">
        <x:v>2095</x:v>
      </x:c>
      <x:c r="E71" s="64" t="s">
        <x:v>2074</x:v>
      </x:c>
      <x:c r="F71" s="64" t="s">
        <x:v>2096</x:v>
      </x:c>
      <x:c r="G71" s="64" t="s">
        <x:v>2069</x:v>
      </x:c>
      <x:c r="H71" s="64" t="s">
        <x:v>2097</x:v>
      </x:c>
      <x:c r="I71" s="64" t="s">
        <x:v>2098</x:v>
      </x:c>
      <x:c r="J71" s="52"/>
      <x:c r="K71" s="52"/>
      <x:c r="L71" s="52"/>
      <x:c r="M71" s="52"/>
      <x:c r="N71" s="52"/>
      <x:c r="O71" s="52"/>
      <x:c r="P71" s="52"/>
      <x:c r="Q71" s="52"/>
      <x:c r="R71" s="52"/>
      <x:c r="S71" s="52"/>
      <x:c r="T71" s="52"/>
    </x:row>
    <x:row r="72" s="1" customFormat="1" ht="12.75" hidden="0" customHeight="1">
      <x:c r="A72" s="64" t="s">
        <x:v>2099</x:v>
      </x:c>
      <x:c r="B72" s="64" t="s">
        <x:v>2100</x:v>
      </x:c>
      <x:c r="C72" s="64" t="s">
        <x:v>1796</x:v>
      </x:c>
      <x:c r="D72" s="64" t="s">
        <x:v>2101</x:v>
      </x:c>
      <x:c r="E72" s="64" t="s">
        <x:v>2102</x:v>
      </x:c>
      <x:c r="F72" s="64" t="s">
        <x:v>1799</x:v>
      </x:c>
      <x:c r="G72" s="64" t="s">
        <x:v>2069</x:v>
      </x:c>
      <x:c r="H72" s="64" t="s">
        <x:v>2103</x:v>
      </x:c>
      <x:c r="I72" s="64" t="s">
        <x:v>2104</x:v>
      </x:c>
      <x:c r="J72" s="52"/>
      <x:c r="K72" s="52"/>
      <x:c r="L72" s="52"/>
      <x:c r="M72" s="52"/>
      <x:c r="N72" s="52"/>
      <x:c r="O72" s="52"/>
      <x:c r="P72" s="52"/>
      <x:c r="Q72" s="52"/>
      <x:c r="R72" s="52"/>
      <x:c r="S72" s="52"/>
      <x:c r="T72" s="52"/>
    </x:row>
    <x:row r="73" s="1" customFormat="1" ht="12.75" hidden="0" customHeight="1">
      <x:c r="A73" s="64" t="s">
        <x:v>2105</x:v>
      </x:c>
      <x:c r="B73" s="64" t="s">
        <x:v>2106</x:v>
      </x:c>
      <x:c r="C73" s="64" t="s">
        <x:v>1796</x:v>
      </x:c>
      <x:c r="D73" s="64" t="s">
        <x:v>2107</x:v>
      </x:c>
      <x:c r="E73" s="64" t="s">
        <x:v>748</x:v>
      </x:c>
      <x:c r="F73" s="64" t="s">
        <x:v>1799</x:v>
      </x:c>
      <x:c r="G73" s="64" t="s">
        <x:v>2069</x:v>
      </x:c>
      <x:c r="H73" s="64" t="s">
        <x:v>2108</x:v>
      </x:c>
      <x:c r="I73" s="64" t="s">
        <x:v>2109</x:v>
      </x:c>
      <x:c r="J73" s="52"/>
      <x:c r="K73" s="52"/>
      <x:c r="L73" s="52"/>
      <x:c r="M73" s="52"/>
      <x:c r="N73" s="52"/>
      <x:c r="O73" s="52"/>
      <x:c r="P73" s="52"/>
      <x:c r="Q73" s="52"/>
      <x:c r="R73" s="52"/>
      <x:c r="S73" s="52"/>
      <x:c r="T73" s="52"/>
    </x:row>
    <x:row r="74" s="1" customFormat="1" ht="12.75" hidden="0" customHeight="1">
      <x:c r="A74" s="64" t="s">
        <x:v>2110</x:v>
      </x:c>
      <x:c r="B74" s="64" t="s">
        <x:v>2111</x:v>
      </x:c>
      <x:c r="C74" s="64" t="s">
        <x:v>2111</x:v>
      </x:c>
      <x:c r="D74" s="64" t="s">
        <x:v>2112</x:v>
      </x:c>
      <x:c r="E74" s="64" t="s">
        <x:v>2113</x:v>
      </x:c>
      <x:c r="F74" s="64" t="s">
        <x:v>2114</x:v>
      </x:c>
      <x:c r="G74" s="64" t="s">
        <x:v>1944</x:v>
      </x:c>
      <x:c r="H74" s="64" t="s">
        <x:v>2115</x:v>
      </x:c>
      <x:c r="I74" s="64" t="s">
        <x:v>2116</x:v>
      </x:c>
      <x:c r="J74" s="52"/>
      <x:c r="K74" s="52"/>
      <x:c r="L74" s="52"/>
      <x:c r="M74" s="52"/>
      <x:c r="N74" s="52"/>
      <x:c r="O74" s="52"/>
      <x:c r="P74" s="52"/>
      <x:c r="Q74" s="52"/>
      <x:c r="R74" s="52"/>
      <x:c r="S74" s="52"/>
      <x:c r="T74" s="52"/>
    </x:row>
    <x:row r="75" s="1" customFormat="1" ht="12.75" hidden="0" customHeight="1">
      <x:c r="A75" s="64" t="str">
        <x:v>Historical conclusion (superseded by current canonical release-build calculation)</x:v>
      </x:c>
      <x:c r="B75" s="64" t="str">
        <x:v>Superseded: current release-build RLS!B39:B41 control and yield the displayed decisiveness/selection state.</x:v>
      </x:c>
      <x:c r="C75" s="64" t="s">
        <x:v>2117</x:v>
      </x:c>
      <x:c r="D75" s="64" t="s">
        <x:v>2118</x:v>
      </x:c>
      <x:c r="E75" s="64" t="s">
        <x:v>2119</x:v>
      </x:c>
      <x:c r="F75" s="64" t="s">
        <x:v>2120</x:v>
      </x:c>
      <x:c r="G75" s="64" t="s">
        <x:v>2121</x:v>
      </x:c>
      <x:c r="H75" s="64" t="s">
        <x:v>2122</x:v>
      </x:c>
      <x:c r="I75" s="64" t="s">
        <x:v>2123</x:v>
      </x:c>
      <x:c r="J75" s="52"/>
      <x:c r="K75" s="52"/>
      <x:c r="L75" s="52"/>
      <x:c r="M75" s="52"/>
      <x:c r="N75" s="52"/>
      <x:c r="O75" s="52"/>
      <x:c r="P75" s="52"/>
      <x:c r="Q75" s="52"/>
      <x:c r="R75" s="52"/>
      <x:c r="S75" s="52"/>
      <x:c r="T75" s="52"/>
    </x:row>
    <x:row r="76" s="1" customFormat="1" ht="12.75" hidden="0" customHeight="1">
      <x:c r="A76" s="64" t="s">
        <x:v>1262</x:v>
      </x:c>
      <x:c r="B76" s="64" t="s">
        <x:v>2124</x:v>
      </x:c>
      <x:c r="C76" s="64" t="s">
        <x:v>2124</x:v>
      </x:c>
      <x:c r="D76" s="64" t="s">
        <x:v>2125</x:v>
      </x:c>
      <x:c r="E76" s="64" t="s">
        <x:v>1831</x:v>
      </x:c>
      <x:c r="F76" s="64" t="s">
        <x:v>1179</x:v>
      </x:c>
      <x:c r="G76" s="64" t="s">
        <x:v>1951</x:v>
      </x:c>
      <x:c r="H76" s="64" t="s">
        <x:v>2126</x:v>
      </x:c>
      <x:c r="I76" s="64" t="s">
        <x:v>2127</x:v>
      </x:c>
      <x:c r="J76" s="52"/>
      <x:c r="K76" s="52"/>
      <x:c r="L76" s="52"/>
      <x:c r="M76" s="52"/>
      <x:c r="N76" s="52"/>
      <x:c r="O76" s="52"/>
      <x:c r="P76" s="52"/>
      <x:c r="Q76" s="52"/>
      <x:c r="R76" s="52"/>
      <x:c r="S76" s="52"/>
      <x:c r="T76" s="52"/>
    </x:row>
    <x:row r="77" s="1" customFormat="1" ht="12.75" hidden="0" customHeight="1">
      <x:c r="A77" s="52"/>
      <x:c r="B77" s="52"/>
      <x:c r="C77" s="52"/>
      <x:c r="D77" s="52"/>
      <x:c r="E77" s="52"/>
      <x:c r="F77" s="52"/>
      <x:c r="G77" s="52"/>
      <x:c r="H77" s="52"/>
      <x:c r="I77" s="52"/>
      <x:c r="J77" s="52"/>
      <x:c r="K77" s="52"/>
      <x:c r="L77" s="52"/>
      <x:c r="M77" s="52"/>
      <x:c r="N77" s="52"/>
      <x:c r="O77" s="52"/>
      <x:c r="P77" s="52"/>
      <x:c r="Q77" s="52"/>
      <x:c r="R77" s="52"/>
      <x:c r="S77" s="52"/>
      <x:c r="T77" s="52"/>
    </x:row>
    <x:row r="78" s="1" customFormat="1" ht="12.75" hidden="0" customHeight="1">
      <x:c r="A78" s="52"/>
      <x:c r="B78" s="52"/>
      <x:c r="C78" s="52"/>
      <x:c r="D78" s="52"/>
      <x:c r="E78" s="52"/>
      <x:c r="F78" s="52"/>
      <x:c r="G78" s="52"/>
      <x:c r="H78" s="52"/>
      <x:c r="I78" s="52"/>
      <x:c r="J78" s="52"/>
      <x:c r="K78" s="52"/>
      <x:c r="L78" s="52"/>
      <x:c r="M78" s="52"/>
      <x:c r="N78" s="52"/>
      <x:c r="O78" s="52"/>
      <x:c r="P78" s="52"/>
      <x:c r="Q78" s="52"/>
      <x:c r="R78" s="52"/>
      <x:c r="S78" s="52"/>
      <x:c r="T78" s="52"/>
    </x:row>
    <x:row r="79" s="1" customFormat="1" ht="12.75" hidden="0" customHeight="1">
      <x:c r="A79" s="52"/>
      <x:c r="B79" s="52"/>
      <x:c r="C79" s="52"/>
      <x:c r="D79" s="52"/>
      <x:c r="E79" s="52"/>
      <x:c r="F79" s="52"/>
      <x:c r="G79" s="52"/>
      <x:c r="H79" s="52"/>
      <x:c r="I79" s="52"/>
      <x:c r="J79" s="52"/>
      <x:c r="K79" s="52"/>
      <x:c r="L79" s="52"/>
      <x:c r="M79" s="52"/>
      <x:c r="N79" s="52"/>
      <x:c r="O79" s="52"/>
      <x:c r="P79" s="52"/>
      <x:c r="Q79" s="52"/>
      <x:c r="R79" s="52"/>
      <x:c r="S79" s="52"/>
      <x:c r="T79" s="52"/>
    </x:row>
    <x:row r="80" s="1" customFormat="1" ht="12.75" hidden="0" customHeight="1">
      <x:c r="A80" s="52"/>
      <x:c r="B80" s="52"/>
      <x:c r="C80" s="52"/>
      <x:c r="D80" s="52"/>
      <x:c r="E80" s="52"/>
      <x:c r="F80" s="52"/>
      <x:c r="G80" s="52"/>
      <x:c r="H80" s="52"/>
      <x:c r="I80" s="52"/>
      <x:c r="J80" s="52"/>
      <x:c r="K80" s="52"/>
      <x:c r="L80" s="52"/>
      <x:c r="M80" s="52"/>
      <x:c r="N80" s="52"/>
      <x:c r="O80" s="52"/>
      <x:c r="P80" s="52"/>
      <x:c r="Q80" s="52"/>
      <x:c r="R80" s="52"/>
      <x:c r="S80" s="52"/>
      <x:c r="T80" s="52"/>
    </x:row>
  </x:sheetData>
  <x:mergeCells>
    <x:mergeCell ref="A1:J1"/>
    <x:mergeCell ref="A44:B44"/>
    <x:mergeCell ref="A45:B45"/>
  </x:mergeCells>
  <x:pageMargins left="0.7" right="0.7" top="0.75" bottom="0.75" header="0.3" footer="0.3"/>
</x:worksheet>
</file>

<file path=xl/worksheets/sheet29.xml><?xml version="1.0" encoding="utf-8"?>
<x:worksheet xmlns:x="http://schemas.openxmlformats.org/spreadsheetml/2006/main">
  <x:sheetViews>
    <x:sheetView showGridLines="1" workbookViewId="0"/>
  </x:sheetViews>
  <x:sheetFormatPr defaultColWidth="8.66796875" defaultRowHeight="12.75"/>
  <x:cols>
    <x:col min="1" max="2" width="36" style="1" hidden="0" customWidth="1"/>
    <x:col min="3" max="5" width="16" style="1" hidden="0" customWidth="1"/>
    <x:col min="6" max="6" width="19" style="1" hidden="0" customWidth="1"/>
    <x:col min="7" max="8" width="16" style="1" hidden="0" customWidth="1"/>
  </x:cols>
  <x:sheetData>
    <x:row r="1" s="1" customFormat="1" ht="14.25" hidden="0" customHeight="1">
      <x:c r="A1" s="74" t="s">
        <x:v>2128</x:v>
      </x:c>
      <x:c r="B1" s="74"/>
      <x:c r="C1" s="74"/>
      <x:c r="D1" s="74"/>
      <x:c r="E1" s="74"/>
      <x:c r="F1" s="74"/>
      <x:c r="G1" s="74"/>
      <x:c r="H1" s="74"/>
    </x:row>
    <x:row r="2" s="1" customFormat="1" ht="13.5" hidden="0" customHeight="1">
      <x:c r="A2" s="12"/>
      <x:c r="B2" s="12"/>
      <x:c r="C2" s="12"/>
      <x:c r="D2" s="12"/>
      <x:c r="E2" s="12"/>
      <x:c r="F2" s="12"/>
      <x:c r="G2" s="6"/>
      <x:c r="H2" s="6"/>
    </x:row>
    <x:row r="3" s="1" customFormat="1" ht="14.25" hidden="0" customHeight="1">
      <x:c r="A3" s="7" t="s">
        <x:v>1872</x:v>
      </x:c>
      <x:c r="B3" s="8" t="s">
        <x:v>2129</x:v>
      </x:c>
      <x:c r="C3" s="12"/>
      <x:c r="D3" s="12"/>
      <x:c r="E3" s="12"/>
      <x:c r="F3" s="12"/>
      <x:c r="G3" s="6"/>
      <x:c r="H3" s="6"/>
    </x:row>
    <x:row r="4" s="1" customFormat="1" ht="14.25" hidden="0" customHeight="1">
      <x:c r="A4" s="7" t="s">
        <x:v>2130</x:v>
      </x:c>
      <x:c r="B4" s="5" t="s">
        <x:v>2131</x:v>
      </x:c>
      <x:c r="C4" s="12"/>
      <x:c r="D4" s="12"/>
      <x:c r="E4" s="12"/>
      <x:c r="F4" s="12"/>
      <x:c r="G4" s="6"/>
      <x:c r="H4" s="6"/>
    </x:row>
    <x:row r="5" s="1" customFormat="1" ht="14.25" hidden="0" customHeight="1">
      <x:c r="A5" s="7" t="s">
        <x:v>2132</x:v>
      </x:c>
      <x:c r="B5" s="8" t="s">
        <x:v>2133</x:v>
      </x:c>
      <x:c r="C5" s="12"/>
      <x:c r="D5" s="12"/>
      <x:c r="E5" s="12"/>
      <x:c r="F5" s="12"/>
      <x:c r="G5" s="6"/>
      <x:c r="H5" s="6"/>
    </x:row>
    <x:row r="6" s="1" customFormat="1" ht="14.25" hidden="0" customHeight="1">
      <x:c r="A6" s="7" t="s">
        <x:v>2134</x:v>
      </x:c>
      <x:c r="B6" s="5" t="s">
        <x:v>2135</x:v>
      </x:c>
      <x:c r="C6" s="12"/>
      <x:c r="D6" s="12"/>
      <x:c r="E6" s="12"/>
      <x:c r="F6" s="12"/>
      <x:c r="G6" s="6"/>
      <x:c r="H6" s="6"/>
    </x:row>
    <x:row r="7" s="1" customFormat="1" ht="13.5" hidden="0" customHeight="1">
      <x:c r="A7" s="7" t="s">
        <x:v>2136</x:v>
      </x:c>
      <x:c r="B7" s="8" t="s">
        <x:v>2137</x:v>
      </x:c>
      <x:c r="C7" s="12"/>
      <x:c r="D7" s="12"/>
      <x:c r="E7" s="12"/>
      <x:c r="F7" s="12"/>
      <x:c r="G7" s="6"/>
      <x:c r="H7" s="6"/>
    </x:row>
    <x:row r="8" s="1" customFormat="1" ht="14.25" hidden="0" customHeight="1">
      <x:c r="A8" s="7" t="s">
        <x:v>2138</x:v>
      </x:c>
      <x:c r="B8" s="12"/>
      <x:c r="C8" s="12"/>
      <x:c r="D8" s="12"/>
      <x:c r="E8" s="12"/>
      <x:c r="F8" s="12"/>
      <x:c r="G8" s="6"/>
      <x:c r="H8" s="6"/>
    </x:row>
    <x:row r="9" s="1" customFormat="1" ht="14.25" hidden="0" customHeight="1">
      <x:c r="A9" s="7" t="s">
        <x:v>2139</x:v>
      </x:c>
      <x:c r="B9" s="12"/>
      <x:c r="C9" s="12"/>
      <x:c r="D9" s="12"/>
      <x:c r="E9" s="12"/>
      <x:c r="F9" s="12"/>
      <x:c r="G9" s="6"/>
      <x:c r="H9" s="6"/>
    </x:row>
    <x:row r="10" s="1" customFormat="1" ht="14.25" hidden="0" customHeight="1">
      <x:c r="A10" s="7" t="s">
        <x:v>2140</x:v>
      </x:c>
      <x:c r="B10" s="12"/>
      <x:c r="C10" s="12"/>
      <x:c r="D10" s="12"/>
      <x:c r="E10" s="12"/>
      <x:c r="F10" s="12"/>
      <x:c r="G10" s="6"/>
      <x:c r="H10" s="6"/>
    </x:row>
    <x:row r="11" s="1" customFormat="1" ht="14.25" hidden="0" customHeight="1">
      <x:c r="A11" s="7" t="s">
        <x:v>2141</x:v>
      </x:c>
      <x:c r="B11" s="12"/>
      <x:c r="C11" s="12"/>
      <x:c r="D11" s="12"/>
      <x:c r="E11" s="12"/>
      <x:c r="F11" s="12"/>
      <x:c r="G11" s="6"/>
      <x:c r="H11" s="6"/>
    </x:row>
    <x:row r="12" s="1" customFormat="1" ht="14.25" hidden="0" customHeight="1">
      <x:c r="A12" s="7" t="s">
        <x:v>2142</x:v>
      </x:c>
      <x:c r="B12" s="12"/>
      <x:c r="C12" s="12"/>
      <x:c r="D12" s="12"/>
      <x:c r="E12" s="12"/>
      <x:c r="F12" s="12"/>
      <x:c r="G12" s="6"/>
      <x:c r="H12" s="6"/>
    </x:row>
    <x:row r="13" s="1" customFormat="1" ht="14.25" hidden="0" customHeight="1">
      <x:c r="A13" s="74" t="s">
        <x:v>853</x:v>
      </x:c>
      <x:c r="B13" s="74" t="s">
        <x:v>2143</x:v>
      </x:c>
      <x:c r="C13" s="74" t="s">
        <x:v>2144</x:v>
      </x:c>
      <x:c r="D13" s="74" t="s">
        <x:v>2145</x:v>
      </x:c>
      <x:c r="E13" s="74" t="s">
        <x:v>2146</x:v>
      </x:c>
      <x:c r="F13" s="74" t="s">
        <x:v>2147</x:v>
      </x:c>
      <x:c r="G13" s="6"/>
      <x:c r="H13" s="6"/>
    </x:row>
    <x:row r="14" s="1" customFormat="1" ht="14.25" hidden="0" customHeight="1">
      <x:c r="A14" s="7" t="s">
        <x:v>962</x:v>
      </x:c>
      <x:c r="B14" s="5" t="n">
        <x:v>0.7</x:v>
      </x:c>
      <x:c r="C14" s="5" t="n">
        <x:v>0.7</x:v>
      </x:c>
      <x:c r="D14" s="5" t="n">
        <x:v>0.7</x:v>
      </x:c>
      <x:c r="E14" s="5" t="s">
        <x:v>2148</x:v>
      </x:c>
      <x:c r="F14" s="71" t="n">
        <x:v>0.7</x:v>
      </x:c>
      <x:c r="G14" s="6"/>
      <x:c r="H14" s="6"/>
    </x:row>
    <x:row r="15" s="1" customFormat="1" ht="14.25" hidden="0" customHeight="1">
      <x:c r="A15" s="7" t="s">
        <x:v>964</x:v>
      </x:c>
      <x:c r="B15" s="8" t="n">
        <x:v>0.7</x:v>
      </x:c>
      <x:c r="C15" s="8" t="n">
        <x:v>0.7</x:v>
      </x:c>
      <x:c r="D15" s="8" t="n">
        <x:v>0.7</x:v>
      </x:c>
      <x:c r="E15" s="8" t="n">
        <x:v>0.7</x:v>
      </x:c>
      <x:c r="F15" s="70" t="n">
        <x:v>0.7</x:v>
      </x:c>
      <x:c r="G15" s="6"/>
      <x:c r="H15" s="6"/>
    </x:row>
    <x:row r="16" s="1" customFormat="1" ht="14.25" hidden="0" customHeight="1">
      <x:c r="A16" s="7" t="s">
        <x:v>965</x:v>
      </x:c>
      <x:c r="B16" s="5" t="n">
        <x:v>0.7</x:v>
      </x:c>
      <x:c r="C16" s="5" t="n">
        <x:v>0.7</x:v>
      </x:c>
      <x:c r="D16" s="5" t="n">
        <x:v>0.7</x:v>
      </x:c>
      <x:c r="E16" s="5" t="n">
        <x:v>0.7</x:v>
      </x:c>
      <x:c r="F16" s="71" t="n">
        <x:v>0.7</x:v>
      </x:c>
      <x:c r="G16" s="6"/>
      <x:c r="H16" s="6"/>
    </x:row>
    <x:row r="17" s="1" customFormat="1" ht="14.25" hidden="0" customHeight="1">
      <x:c r="A17" s="7" t="s">
        <x:v>966</x:v>
      </x:c>
      <x:c r="B17" s="8" t="n">
        <x:v>0.7</x:v>
      </x:c>
      <x:c r="C17" s="8" t="n">
        <x:v>0.7</x:v>
      </x:c>
      <x:c r="D17" s="8" t="n">
        <x:v>0.7</x:v>
      </x:c>
      <x:c r="E17" s="8" t="n">
        <x:v>0.7</x:v>
      </x:c>
      <x:c r="F17" s="70" t="n">
        <x:v>0.7</x:v>
      </x:c>
      <x:c r="G17" s="6"/>
      <x:c r="H17" s="6"/>
    </x:row>
    <x:row r="18" s="1" customFormat="1" ht="14.25" hidden="0" customHeight="1">
      <x:c r="A18" s="7" t="s">
        <x:v>967</x:v>
      </x:c>
      <x:c r="B18" s="5" t="n">
        <x:v>0.7</x:v>
      </x:c>
      <x:c r="C18" s="5" t="n">
        <x:v>0.7</x:v>
      </x:c>
      <x:c r="D18" s="5" t="n">
        <x:v>0.7</x:v>
      </x:c>
      <x:c r="E18" s="5" t="n">
        <x:v>0.7</x:v>
      </x:c>
      <x:c r="F18" s="71" t="n">
        <x:v>0.7</x:v>
      </x:c>
      <x:c r="G18" s="6"/>
      <x:c r="H18" s="6"/>
    </x:row>
    <x:row r="19" s="1" customFormat="1" ht="14.25" hidden="0" customHeight="1">
      <x:c r="A19" s="7" t="s">
        <x:v>968</x:v>
      </x:c>
      <x:c r="B19" s="8" t="n">
        <x:v>0.7</x:v>
      </x:c>
      <x:c r="C19" s="8" t="n">
        <x:v>0.7</x:v>
      </x:c>
      <x:c r="D19" s="8" t="n">
        <x:v>0.7</x:v>
      </x:c>
      <x:c r="E19" s="8" t="n">
        <x:v>0.7</x:v>
      </x:c>
      <x:c r="F19" s="70" t="n">
        <x:v>0.7</x:v>
      </x:c>
      <x:c r="G19" s="6"/>
      <x:c r="H19" s="6"/>
    </x:row>
    <x:row r="20" s="1" customFormat="1" ht="14.25" hidden="0" customHeight="1">
      <x:c r="A20" s="7" t="s">
        <x:v>970</x:v>
      </x:c>
      <x:c r="B20" s="5" t="n">
        <x:v>0.7</x:v>
      </x:c>
      <x:c r="C20" s="5" t="n">
        <x:v>0.7</x:v>
      </x:c>
      <x:c r="D20" s="5" t="n">
        <x:v>0.7</x:v>
      </x:c>
      <x:c r="E20" s="5" t="s">
        <x:v>2148</x:v>
      </x:c>
      <x:c r="F20" s="71" t="n">
        <x:v>0.7</x:v>
      </x:c>
      <x:c r="G20" s="6"/>
      <x:c r="H20" s="6"/>
    </x:row>
    <x:row r="21" s="1" customFormat="1" ht="13.5" hidden="0" customHeight="1">
      <x:c r="A21" s="12"/>
      <x:c r="B21" s="12"/>
      <x:c r="C21" s="12"/>
      <x:c r="D21" s="12"/>
      <x:c r="E21" s="12"/>
      <x:c r="F21" s="12"/>
      <x:c r="G21" s="6"/>
      <x:c r="H21" s="6"/>
    </x:row>
    <x:row r="22" s="1" customFormat="1" ht="14.25" hidden="0" customHeight="1">
      <x:c r="A22" s="7" t="s">
        <x:v>2149</x:v>
      </x:c>
      <x:c r="B22" s="71" t="n">
        <x:v>0.7</x:v>
      </x:c>
      <x:c r="C22" s="12"/>
      <x:c r="D22" s="12"/>
      <x:c r="E22" s="12"/>
      <x:c r="F22" s="12"/>
      <x:c r="G22" s="6"/>
      <x:c r="H22" s="6"/>
    </x:row>
    <x:row r="23" s="1" customFormat="1" ht="24" hidden="0" customHeight="1">
      <x:c r="A23" s="7" t="s">
        <x:v>2150</x:v>
      </x:c>
      <x:c r="B23" s="12"/>
      <x:c r="C23" s="12"/>
      <x:c r="D23" s="12"/>
      <x:c r="E23" s="12"/>
      <x:c r="F23" s="12"/>
      <x:c r="G23" s="6"/>
      <x:c r="H23" s="6"/>
    </x:row>
    <x:row r="24" s="1" customFormat="1" ht="14.25" hidden="0" customHeight="1">
      <x:c r="A24" s="7" t="s">
        <x:v>2151</x:v>
      </x:c>
      <x:c r="B24" s="12"/>
      <x:c r="C24" s="12"/>
      <x:c r="D24" s="12"/>
      <x:c r="E24" s="12"/>
      <x:c r="F24" s="12"/>
      <x:c r="G24" s="6"/>
      <x:c r="H24" s="6"/>
    </x:row>
    <x:row r="25" s="1" customFormat="1" ht="13.5" hidden="0" customHeight="1">
      <x:c r="A25" s="12"/>
      <x:c r="B25" s="12"/>
      <x:c r="C25" s="12"/>
      <x:c r="D25" s="12"/>
      <x:c r="E25" s="12"/>
      <x:c r="F25" s="12"/>
      <x:c r="G25" s="6"/>
      <x:c r="H25" s="6"/>
    </x:row>
    <x:row r="26" s="1" customFormat="1" ht="14.25" hidden="0" customHeight="1">
      <x:c r="A26" s="74" t="s">
        <x:v>2152</x:v>
      </x:c>
      <x:c r="B26" s="75"/>
      <x:c r="C26" s="75"/>
      <x:c r="D26" s="75"/>
      <x:c r="E26" s="75"/>
      <x:c r="F26" s="75"/>
      <x:c r="G26" s="6"/>
      <x:c r="H26" s="6"/>
    </x:row>
    <x:row r="27" s="1" customFormat="1" ht="14.25" hidden="0" customHeight="1">
      <x:c r="A27" s="7" t="s">
        <x:v>2153</x:v>
      </x:c>
      <x:c r="B27" s="12"/>
      <x:c r="C27" s="12"/>
      <x:c r="D27" s="12"/>
      <x:c r="E27" s="12"/>
      <x:c r="F27" s="12"/>
      <x:c r="G27" s="6"/>
      <x:c r="H27" s="6"/>
    </x:row>
    <x:row r="28" s="1" customFormat="1" ht="14.25" hidden="0" customHeight="1">
      <x:c r="A28" s="7" t="s">
        <x:v>2154</x:v>
      </x:c>
      <x:c r="B28" s="12"/>
      <x:c r="C28" s="12"/>
      <x:c r="D28" s="12"/>
      <x:c r="E28" s="12"/>
      <x:c r="F28" s="12"/>
      <x:c r="G28" s="6"/>
      <x:c r="H28" s="6"/>
    </x:row>
    <x:row r="29" s="1" customFormat="1" ht="14.25" hidden="0" customHeight="1">
      <x:c r="A29" s="74" t="s">
        <x:v>2155</x:v>
      </x:c>
      <x:c r="B29" s="75"/>
      <x:c r="C29" s="75"/>
      <x:c r="D29" s="75"/>
      <x:c r="E29" s="75"/>
      <x:c r="F29" s="75"/>
      <x:c r="G29" s="6"/>
      <x:c r="H29" s="6"/>
    </x:row>
    <x:row r="30" s="1" customFormat="1" ht="14.25" hidden="0" customHeight="1">
      <x:c r="A30" s="7" t="s">
        <x:v>2156</x:v>
      </x:c>
      <x:c r="B30" s="12"/>
      <x:c r="C30" s="12"/>
      <x:c r="D30" s="12"/>
      <x:c r="E30" s="12"/>
      <x:c r="F30" s="12"/>
      <x:c r="G30" s="6"/>
      <x:c r="H30" s="6"/>
    </x:row>
    <x:row r="31" s="1" customFormat="1" ht="14.25" hidden="0" customHeight="1">
      <x:c r="A31" s="7" t="s">
        <x:v>2157</x:v>
      </x:c>
      <x:c r="B31" s="12"/>
      <x:c r="C31" s="12"/>
      <x:c r="D31" s="12"/>
      <x:c r="E31" s="12"/>
      <x:c r="F31" s="12"/>
      <x:c r="G31" s="6"/>
      <x:c r="H31" s="6"/>
    </x:row>
    <x:row r="32" s="1" customFormat="1" ht="25.5" hidden="0" customHeight="1">
      <x:c r="A32" s="7" t="s">
        <x:v>2158</x:v>
      </x:c>
      <x:c r="B32" s="12"/>
      <x:c r="C32" s="12"/>
      <x:c r="D32" s="12"/>
      <x:c r="E32" s="12"/>
      <x:c r="F32" s="12"/>
      <x:c r="G32" s="6"/>
      <x:c r="H32" s="6"/>
    </x:row>
    <x:row r="33" s="1" customFormat="1" ht="12.75" hidden="0" customHeight="1">
      <x:c r="A33" s="6"/>
      <x:c r="B33" s="6"/>
      <x:c r="C33" s="6"/>
      <x:c r="D33" s="6"/>
      <x:c r="E33" s="6"/>
      <x:c r="F33" s="6"/>
      <x:c r="G33" s="6"/>
      <x:c r="H33" s="6"/>
    </x:row>
    <x:row r="34" s="1" customFormat="1" ht="12.75" hidden="0" customHeight="1">
      <x:c r="A34" s="6"/>
      <x:c r="B34" s="6"/>
      <x:c r="C34" s="6"/>
      <x:c r="D34" s="6"/>
      <x:c r="E34" s="6"/>
      <x:c r="F34" s="6"/>
      <x:c r="G34" s="6"/>
      <x:c r="H34" s="6"/>
    </x:row>
    <x:row r="35" s="1" customFormat="1" ht="12.75" hidden="0" customHeight="1">
      <x:c r="A35" s="6"/>
      <x:c r="B35" s="6"/>
      <x:c r="C35" s="6"/>
      <x:c r="D35" s="6"/>
      <x:c r="E35" s="6"/>
      <x:c r="F35" s="6"/>
      <x:c r="G35" s="6"/>
      <x:c r="H35" s="6"/>
    </x:row>
    <x:row r="36" s="1" customFormat="1" ht="12.75" hidden="0" customHeight="1">
      <x:c r="A36" s="6"/>
      <x:c r="B36" s="6"/>
      <x:c r="C36" s="6"/>
      <x:c r="D36" s="6"/>
      <x:c r="E36" s="6"/>
      <x:c r="F36" s="6"/>
      <x:c r="G36" s="6"/>
      <x:c r="H36" s="6"/>
    </x:row>
    <x:row r="37" s="1" customFormat="1" ht="12.75" hidden="0" customHeight="1">
      <x:c r="A37" s="6"/>
      <x:c r="B37" s="6"/>
      <x:c r="C37" s="6"/>
      <x:c r="D37" s="6"/>
      <x:c r="E37" s="6"/>
      <x:c r="F37" s="6"/>
      <x:c r="G37" s="6"/>
      <x:c r="H37" s="6"/>
    </x:row>
    <x:row r="38" s="1" customFormat="1" ht="12.75" hidden="0" customHeight="1">
      <x:c r="A38" s="6"/>
      <x:c r="B38" s="6"/>
      <x:c r="C38" s="6"/>
      <x:c r="D38" s="6"/>
      <x:c r="E38" s="6"/>
      <x:c r="F38" s="6"/>
      <x:c r="G38" s="6"/>
      <x:c r="H38" s="6"/>
    </x:row>
    <x:row r="39" s="1" customFormat="1" ht="12.75" hidden="0" customHeight="1">
      <x:c r="A39" s="6"/>
      <x:c r="B39" s="6"/>
      <x:c r="C39" s="6"/>
      <x:c r="D39" s="6"/>
      <x:c r="E39" s="6"/>
      <x:c r="F39" s="6"/>
      <x:c r="G39" s="6"/>
      <x:c r="H39" s="6"/>
    </x:row>
    <x:row r="40" s="1" customFormat="1" ht="12.75" hidden="0" customHeight="1">
      <x:c r="A40" s="6"/>
      <x:c r="B40" s="6"/>
      <x:c r="C40" s="6"/>
      <x:c r="D40" s="6"/>
      <x:c r="E40" s="6"/>
      <x:c r="F40" s="6"/>
      <x:c r="G40" s="6"/>
      <x:c r="H40" s="6"/>
    </x:row>
    <x:row r="41" s="1" customFormat="1" ht="12.75" hidden="0" customHeight="1">
      <x:c r="A41" s="6"/>
      <x:c r="B41" s="6"/>
      <x:c r="C41" s="6"/>
      <x:c r="D41" s="6"/>
      <x:c r="E41" s="6"/>
      <x:c r="F41" s="6"/>
      <x:c r="G41" s="6"/>
      <x:c r="H41" s="6"/>
    </x:row>
    <x:row r="42" s="1" customFormat="1" ht="12.75" hidden="0" customHeight="1">
      <x:c r="A42" s="6"/>
      <x:c r="B42" s="6"/>
      <x:c r="C42" s="6"/>
      <x:c r="D42" s="6"/>
      <x:c r="E42" s="6"/>
      <x:c r="F42" s="6"/>
      <x:c r="G42" s="6"/>
      <x:c r="H42" s="6"/>
    </x:row>
    <x:row r="43" s="1" customFormat="1" ht="12.75" hidden="0" customHeight="1">
      <x:c r="A43" s="6"/>
      <x:c r="B43" s="6"/>
      <x:c r="C43" s="6"/>
      <x:c r="D43" s="6"/>
      <x:c r="E43" s="6"/>
      <x:c r="F43" s="6"/>
      <x:c r="G43" s="6"/>
      <x:c r="H43" s="6"/>
    </x:row>
    <x:row r="44" s="1" customFormat="1" ht="12.75" hidden="0" customHeight="1">
      <x:c r="A44" s="6"/>
      <x:c r="B44" s="6"/>
      <x:c r="C44" s="6"/>
      <x:c r="D44" s="6"/>
      <x:c r="E44" s="6"/>
      <x:c r="F44" s="6"/>
      <x:c r="G44" s="6"/>
      <x:c r="H44" s="6"/>
    </x:row>
    <x:row r="45" s="1" customFormat="1" ht="12.75" hidden="0" customHeight="1">
      <x:c r="A45" s="6"/>
      <x:c r="B45" s="6"/>
      <x:c r="C45" s="6"/>
      <x:c r="D45" s="6"/>
      <x:c r="E45" s="6"/>
      <x:c r="F45" s="6"/>
      <x:c r="G45" s="6"/>
      <x:c r="H45" s="6"/>
    </x:row>
    <x:row r="46" s="1" customFormat="1" ht="12.75" hidden="0" customHeight="1">
      <x:c r="A46" s="6"/>
      <x:c r="B46" s="6"/>
      <x:c r="C46" s="6"/>
      <x:c r="D46" s="6"/>
      <x:c r="E46" s="6"/>
      <x:c r="F46" s="6"/>
      <x:c r="G46" s="6"/>
      <x:c r="H46" s="6"/>
    </x:row>
    <x:row r="47" s="1" customFormat="1" ht="12.75" hidden="0" customHeight="1">
      <x:c r="A47" s="6"/>
      <x:c r="B47" s="6"/>
      <x:c r="C47" s="6"/>
      <x:c r="D47" s="6"/>
      <x:c r="E47" s="6"/>
      <x:c r="F47" s="6"/>
      <x:c r="G47" s="6"/>
      <x:c r="H47" s="6"/>
    </x:row>
    <x:row r="48" s="1" customFormat="1" ht="12.75" hidden="0" customHeight="1">
      <x:c r="A48" s="6"/>
      <x:c r="B48" s="6"/>
      <x:c r="C48" s="6"/>
      <x:c r="D48" s="6"/>
      <x:c r="E48" s="6"/>
      <x:c r="F48" s="6"/>
      <x:c r="G48" s="6"/>
      <x:c r="H48" s="6"/>
    </x:row>
    <x:row r="49" s="1" customFormat="1" ht="12.75" hidden="0" customHeight="1">
      <x:c r="A49" s="6"/>
      <x:c r="B49" s="6"/>
      <x:c r="C49" s="6"/>
      <x:c r="D49" s="6"/>
      <x:c r="E49" s="6"/>
      <x:c r="F49" s="6"/>
      <x:c r="G49" s="6"/>
      <x:c r="H49" s="6"/>
    </x:row>
    <x:row r="50" s="1" customFormat="1" ht="12.75" hidden="0" customHeight="1">
      <x:c r="A50" s="6"/>
      <x:c r="B50" s="6"/>
      <x:c r="C50" s="6"/>
      <x:c r="D50" s="6"/>
      <x:c r="E50" s="6"/>
      <x:c r="F50" s="6"/>
      <x:c r="G50" s="6"/>
      <x:c r="H50" s="6"/>
    </x:row>
    <x:row r="51" s="1" customFormat="1" ht="12.75" hidden="0" customHeight="1">
      <x:c r="A51" s="6"/>
      <x:c r="B51" s="6"/>
      <x:c r="C51" s="6"/>
      <x:c r="D51" s="6"/>
      <x:c r="E51" s="6"/>
      <x:c r="F51" s="6"/>
      <x:c r="G51" s="6"/>
      <x:c r="H51" s="6"/>
    </x:row>
    <x:row r="52" s="1" customFormat="1" ht="12.75" hidden="0" customHeight="1">
      <x:c r="A52" s="6"/>
      <x:c r="B52" s="6"/>
      <x:c r="C52" s="6"/>
      <x:c r="D52" s="6"/>
      <x:c r="E52" s="6"/>
      <x:c r="F52" s="6"/>
      <x:c r="G52" s="6"/>
      <x:c r="H52" s="6"/>
    </x:row>
    <x:row r="53" s="1" customFormat="1" ht="12.75" hidden="0" customHeight="1">
      <x:c r="A53" s="6"/>
      <x:c r="B53" s="6"/>
      <x:c r="C53" s="6"/>
      <x:c r="D53" s="6"/>
      <x:c r="E53" s="6"/>
      <x:c r="F53" s="6"/>
      <x:c r="G53" s="6"/>
      <x:c r="H53" s="6"/>
    </x:row>
    <x:row r="54" s="1" customFormat="1" ht="12.75" hidden="0" customHeight="1">
      <x:c r="A54" s="6"/>
      <x:c r="B54" s="6"/>
      <x:c r="C54" s="6"/>
      <x:c r="D54" s="6"/>
      <x:c r="E54" s="6"/>
      <x:c r="F54" s="6"/>
      <x:c r="G54" s="6"/>
      <x:c r="H54" s="6"/>
    </x:row>
    <x:row r="55" s="1" customFormat="1" ht="12.75" hidden="0" customHeight="1">
      <x:c r="A55" s="6"/>
      <x:c r="B55" s="6"/>
      <x:c r="C55" s="6"/>
      <x:c r="D55" s="6"/>
      <x:c r="E55" s="6"/>
      <x:c r="F55" s="6"/>
      <x:c r="G55" s="6"/>
      <x:c r="H55" s="6"/>
    </x:row>
    <x:row r="56" s="1" customFormat="1" ht="12.75" hidden="0" customHeight="1">
      <x:c r="A56" s="6"/>
      <x:c r="B56" s="6"/>
      <x:c r="C56" s="6"/>
      <x:c r="D56" s="6"/>
      <x:c r="E56" s="6"/>
      <x:c r="F56" s="6"/>
      <x:c r="G56" s="6"/>
      <x:c r="H56" s="6"/>
    </x:row>
    <x:row r="57" s="1" customFormat="1" ht="12.75" hidden="0" customHeight="1">
      <x:c r="A57" s="6"/>
      <x:c r="B57" s="6"/>
      <x:c r="C57" s="6"/>
      <x:c r="D57" s="6"/>
      <x:c r="E57" s="6"/>
      <x:c r="F57" s="6"/>
      <x:c r="G57" s="6"/>
      <x:c r="H57" s="6"/>
    </x:row>
    <x:row r="58" s="1" customFormat="1" ht="12.75" hidden="0" customHeight="1">
      <x:c r="A58" s="6"/>
      <x:c r="B58" s="6"/>
      <x:c r="C58" s="6"/>
      <x:c r="D58" s="6"/>
      <x:c r="E58" s="6"/>
      <x:c r="F58" s="6"/>
      <x:c r="G58" s="6"/>
      <x:c r="H58" s="6"/>
    </x:row>
    <x:row r="59" s="1" customFormat="1" ht="12.75" hidden="0" customHeight="1">
      <x:c r="A59" s="6"/>
      <x:c r="B59" s="6"/>
      <x:c r="C59" s="6"/>
      <x:c r="D59" s="6"/>
      <x:c r="E59" s="6"/>
      <x:c r="F59" s="6"/>
      <x:c r="G59" s="6"/>
      <x:c r="H59" s="6"/>
    </x:row>
    <x:row r="60" s="1" customFormat="1" ht="12.75" hidden="0" customHeight="1">
      <x:c r="A60" s="6"/>
      <x:c r="B60" s="6"/>
      <x:c r="C60" s="6"/>
      <x:c r="D60" s="6"/>
      <x:c r="E60" s="6"/>
      <x:c r="F60" s="6"/>
      <x:c r="G60" s="6"/>
      <x:c r="H60" s="6"/>
    </x:row>
    <x:row r="61" s="1" customFormat="1" ht="12.75" hidden="0" customHeight="1">
      <x:c r="A61" s="6"/>
      <x:c r="B61" s="6"/>
      <x:c r="C61" s="6"/>
      <x:c r="D61" s="6"/>
      <x:c r="E61" s="6"/>
      <x:c r="F61" s="6"/>
      <x:c r="G61" s="6"/>
      <x:c r="H61" s="6"/>
    </x:row>
    <x:row r="62" s="1" customFormat="1" ht="12.75" hidden="0" customHeight="1">
      <x:c r="A62" s="6"/>
      <x:c r="B62" s="6"/>
      <x:c r="C62" s="6"/>
      <x:c r="D62" s="6"/>
      <x:c r="E62" s="6"/>
      <x:c r="F62" s="6"/>
      <x:c r="G62" s="6"/>
      <x:c r="H62" s="6"/>
    </x:row>
    <x:row r="63" s="1" customFormat="1" ht="12.75" hidden="0" customHeight="1">
      <x:c r="A63" s="6"/>
      <x:c r="B63" s="6"/>
      <x:c r="C63" s="6"/>
      <x:c r="D63" s="6"/>
      <x:c r="E63" s="6"/>
      <x:c r="F63" s="6"/>
      <x:c r="G63" s="6"/>
      <x:c r="H63" s="6"/>
    </x:row>
    <x:row r="64" s="1" customFormat="1" ht="12.75" hidden="0" customHeight="1">
      <x:c r="A64" s="6"/>
      <x:c r="B64" s="6"/>
      <x:c r="C64" s="6"/>
      <x:c r="D64" s="6"/>
      <x:c r="E64" s="6"/>
      <x:c r="F64" s="6"/>
      <x:c r="G64" s="6"/>
      <x:c r="H64" s="6"/>
    </x:row>
    <x:row r="65" s="1" customFormat="1" ht="12.75" hidden="0" customHeight="1">
      <x:c r="A65" s="6"/>
      <x:c r="B65" s="6"/>
      <x:c r="C65" s="6"/>
      <x:c r="D65" s="6"/>
      <x:c r="E65" s="6"/>
      <x:c r="F65" s="6"/>
      <x:c r="G65" s="6"/>
      <x:c r="H65" s="6"/>
    </x:row>
    <x:row r="66" s="1" customFormat="1" ht="12.75" hidden="0" customHeight="1">
      <x:c r="A66" s="6"/>
      <x:c r="B66" s="6"/>
      <x:c r="C66" s="6"/>
      <x:c r="D66" s="6"/>
      <x:c r="E66" s="6"/>
      <x:c r="F66" s="6"/>
      <x:c r="G66" s="6"/>
      <x:c r="H66" s="6"/>
    </x:row>
    <x:row r="67" s="1" customFormat="1" ht="12.75" hidden="0" customHeight="1">
      <x:c r="A67" s="6"/>
      <x:c r="B67" s="6"/>
      <x:c r="C67" s="6"/>
      <x:c r="D67" s="6"/>
      <x:c r="E67" s="6"/>
      <x:c r="F67" s="6"/>
      <x:c r="G67" s="6"/>
      <x:c r="H67" s="6"/>
    </x:row>
    <x:row r="68" s="1" customFormat="1" ht="12.75" hidden="0" customHeight="1">
      <x:c r="A68" s="6"/>
      <x:c r="B68" s="6"/>
      <x:c r="C68" s="6"/>
      <x:c r="D68" s="6"/>
      <x:c r="E68" s="6"/>
      <x:c r="F68" s="6"/>
      <x:c r="G68" s="6"/>
      <x:c r="H68" s="6"/>
    </x:row>
    <x:row r="69" s="1" customFormat="1" ht="12.75" hidden="0" customHeight="1">
      <x:c r="A69" s="6"/>
      <x:c r="B69" s="6"/>
      <x:c r="C69" s="6"/>
      <x:c r="D69" s="6"/>
      <x:c r="E69" s="6"/>
      <x:c r="F69" s="6"/>
      <x:c r="G69" s="6"/>
      <x:c r="H69" s="6"/>
    </x:row>
    <x:row r="70" s="1" customFormat="1" ht="12.75" hidden="0" customHeight="1">
      <x:c r="A70" s="6"/>
      <x:c r="B70" s="6"/>
      <x:c r="C70" s="6"/>
      <x:c r="D70" s="6"/>
      <x:c r="E70" s="6"/>
      <x:c r="F70" s="6"/>
      <x:c r="G70" s="6"/>
      <x:c r="H70" s="6"/>
    </x:row>
    <x:row r="71" s="1" customFormat="1" ht="12.75" hidden="0" customHeight="1">
      <x:c r="A71" s="6"/>
      <x:c r="B71" s="6"/>
      <x:c r="C71" s="6"/>
      <x:c r="D71" s="6"/>
      <x:c r="E71" s="6"/>
      <x:c r="F71" s="6"/>
      <x:c r="G71" s="6"/>
      <x:c r="H71" s="6"/>
    </x:row>
    <x:row r="72" s="1" customFormat="1" ht="12.75" hidden="0" customHeight="1">
      <x:c r="A72" s="6"/>
      <x:c r="B72" s="6"/>
      <x:c r="C72" s="6"/>
      <x:c r="D72" s="6"/>
      <x:c r="E72" s="6"/>
      <x:c r="F72" s="6"/>
      <x:c r="G72" s="6"/>
      <x:c r="H72" s="6"/>
    </x:row>
    <x:row r="73" s="1" customFormat="1" ht="12.75" hidden="0" customHeight="1">
      <x:c r="A73" s="6"/>
      <x:c r="B73" s="6"/>
      <x:c r="C73" s="6"/>
      <x:c r="D73" s="6"/>
      <x:c r="E73" s="6"/>
      <x:c r="F73" s="6"/>
      <x:c r="G73" s="6"/>
      <x:c r="H73" s="6"/>
    </x:row>
    <x:row r="74" s="1" customFormat="1" ht="12.75" hidden="0" customHeight="1">
      <x:c r="A74" s="6"/>
      <x:c r="B74" s="6"/>
      <x:c r="C74" s="6"/>
      <x:c r="D74" s="6"/>
      <x:c r="E74" s="6"/>
      <x:c r="F74" s="6"/>
      <x:c r="G74" s="6"/>
      <x:c r="H74" s="6"/>
    </x:row>
    <x:row r="75" s="1" customFormat="1" ht="12.75" hidden="0" customHeight="1">
      <x:c r="A75" s="6"/>
      <x:c r="B75" s="6"/>
      <x:c r="C75" s="6"/>
      <x:c r="D75" s="6"/>
      <x:c r="E75" s="6"/>
      <x:c r="F75" s="6"/>
      <x:c r="G75" s="6"/>
      <x:c r="H75" s="6"/>
    </x:row>
    <x:row r="76" s="1" customFormat="1" ht="12.75" hidden="0" customHeight="1">
      <x:c r="A76" s="6"/>
      <x:c r="B76" s="6"/>
      <x:c r="C76" s="6"/>
      <x:c r="D76" s="6"/>
      <x:c r="E76" s="6"/>
      <x:c r="F76" s="6"/>
      <x:c r="G76" s="6"/>
      <x:c r="H76" s="6"/>
    </x:row>
    <x:row r="77" s="1" customFormat="1" ht="12.75" hidden="0" customHeight="1">
      <x:c r="A77" s="6"/>
      <x:c r="B77" s="6"/>
      <x:c r="C77" s="6"/>
      <x:c r="D77" s="6"/>
      <x:c r="E77" s="6"/>
      <x:c r="F77" s="6"/>
      <x:c r="G77" s="6"/>
      <x:c r="H77" s="6"/>
    </x:row>
    <x:row r="78" s="1" customFormat="1" ht="12.75" hidden="0" customHeight="1">
      <x:c r="A78" s="6"/>
      <x:c r="B78" s="6"/>
      <x:c r="C78" s="6"/>
      <x:c r="D78" s="6"/>
      <x:c r="E78" s="6"/>
      <x:c r="F78" s="6"/>
      <x:c r="G78" s="6"/>
      <x:c r="H78" s="6"/>
    </x:row>
    <x:row r="79" s="1" customFormat="1" ht="12.75" hidden="0" customHeight="1">
      <x:c r="A79" s="6"/>
      <x:c r="B79" s="6"/>
      <x:c r="C79" s="6"/>
      <x:c r="D79" s="6"/>
      <x:c r="E79" s="6"/>
      <x:c r="F79" s="6"/>
      <x:c r="G79" s="6"/>
      <x:c r="H79" s="6"/>
    </x:row>
    <x:row r="80" s="1" customFormat="1" ht="12.75" hidden="0" customHeight="1">
      <x:c r="A80" s="6"/>
      <x:c r="B80" s="6"/>
      <x:c r="C80" s="6"/>
      <x:c r="D80" s="6"/>
      <x:c r="E80" s="6"/>
      <x:c r="F80" s="6"/>
      <x:c r="G80" s="6"/>
      <x:c r="H80" s="6"/>
    </x:row>
  </x:sheetData>
  <x:mergeCells>
    <x:mergeCell ref="A1:H1"/>
  </x:mergeCells>
  <x:pageMargins left="0.7" right="0.7" top="0.75" bottom="0.75" header="0.3" footer="0.3"/>
</x:worksheet>
</file>

<file path=xl/worksheets/sheet30.xml><?xml version="1.0" encoding="utf-8"?>
<x:worksheet xmlns:x="http://schemas.openxmlformats.org/spreadsheetml/2006/main">
  <x:sheetViews>
    <x:sheetView showGridLines="1" workbookViewId="0"/>
  </x:sheetViews>
  <x:sheetFormatPr defaultColWidth="8.66796875" defaultRowHeight="14.25"/>
  <x:cols>
    <x:col min="1" max="2" width="36" style="53" hidden="0" customWidth="1"/>
    <x:col min="3" max="4" width="28" style="1" hidden="0" customWidth="1"/>
    <x:col min="5" max="5" width="57" style="1" hidden="0" customWidth="1"/>
    <x:col min="6" max="8" width="16" style="1" hidden="0" customWidth="1"/>
    <x:col min="9" max="10" width="36" style="1" hidden="0" customWidth="1"/>
    <x:col min="11" max="26" width="16" style="1" hidden="0" customWidth="1"/>
    <x:col min="9" max="9" width="36" hidden="0" customWidth="1"/>
    <x:col min="10" max="10" width="54" hidden="0" customWidth="1"/>
  </x:cols>
  <x:sheetData>
    <x:row r="1" s="1" customFormat="1" ht="36" hidden="0" customHeight="1">
      <x:c r="A1" s="359" t="s">
        <x:v>2159</x:v>
      </x:c>
      <x:c r="B1" s="369"/>
      <x:c r="C1" s="369"/>
      <x:c r="D1" s="369"/>
      <x:c r="E1" s="369"/>
      <x:c r="F1" s="369"/>
      <x:c r="G1" s="369"/>
      <x:c r="H1" s="369"/>
      <x:c r="I1" s="369"/>
      <x:c r="J1" s="369"/>
      <x:c r="K1" s="3"/>
      <x:c r="L1" s="3"/>
      <x:c r="M1" s="3"/>
      <x:c r="N1" s="3"/>
      <x:c r="O1" s="3"/>
      <x:c r="P1" s="3"/>
      <x:c r="Q1" s="3"/>
      <x:c r="R1" s="3"/>
      <x:c r="S1" s="3"/>
      <x:c r="T1" s="3"/>
      <x:c r="U1" s="3"/>
      <x:c r="V1" s="3"/>
      <x:c r="W1" s="3"/>
      <x:c r="X1" s="3"/>
      <x:c r="Y1" s="3"/>
      <x:c r="Z1" s="3"/>
    </x:row>
    <x:row r="2" s="1" customFormat="1" ht="44" hidden="0" customHeight="1">
      <x:c r="A2" s="370" t="s">
        <x:v>2160</x:v>
      </x:c>
      <x:c r="B2" s="361" t="s">
        <x:v>2161</x:v>
      </x:c>
      <x:c r="C2" s="363"/>
      <x:c r="D2" s="363"/>
      <x:c r="E2" s="363"/>
      <x:c r="F2" s="363"/>
      <x:c r="G2" s="363"/>
      <x:c r="H2" s="363"/>
      <x:c r="I2" s="361" t="s">
        <x:v>2162</x:v>
      </x:c>
      <x:c r="J2" s="361" t="s">
        <x:v>2163</x:v>
      </x:c>
      <x:c r="K2" s="6"/>
      <x:c r="L2" s="6"/>
      <x:c r="M2" s="6"/>
      <x:c r="N2" s="6"/>
      <x:c r="O2" s="6"/>
      <x:c r="P2" s="6"/>
      <x:c r="Q2" s="6"/>
      <x:c r="R2" s="6"/>
      <x:c r="S2" s="6"/>
      <x:c r="T2" s="6"/>
      <x:c r="U2" s="6"/>
      <x:c r="V2" s="6"/>
      <x:c r="W2" s="6"/>
      <x:c r="X2" s="6"/>
      <x:c r="Y2" s="6"/>
      <x:c r="Z2" s="6"/>
    </x:row>
    <x:row r="3" s="1" customFormat="1" ht="24" hidden="0" customHeight="1">
      <x:c r="A3" s="371"/>
      <x:c r="B3" s="363"/>
      <x:c r="C3" s="363"/>
      <x:c r="D3" s="363"/>
      <x:c r="E3" s="363"/>
      <x:c r="F3" s="363"/>
      <x:c r="G3" s="363"/>
      <x:c r="H3" s="363"/>
      <x:c r="I3" s="362" t="str">
        <x:v>Worked-run point-score leader / framework status</x:v>
      </x:c>
      <x:c r="J3" s="362" t="str">
        <x:v>A — POINT-SCORE LEADER; FRAMEWORK NON-DETERMINISTIC</x:v>
      </x:c>
      <x:c r="K3" s="6"/>
      <x:c r="L3" s="6"/>
      <x:c r="M3" s="6"/>
      <x:c r="N3" s="6"/>
      <x:c r="O3" s="6"/>
      <x:c r="P3" s="6"/>
      <x:c r="Q3" s="6"/>
      <x:c r="R3" s="6"/>
      <x:c r="S3" s="6"/>
      <x:c r="T3" s="6"/>
      <x:c r="U3" s="6"/>
      <x:c r="V3" s="6"/>
      <x:c r="W3" s="6"/>
      <x:c r="X3" s="6"/>
      <x:c r="Y3" s="6"/>
      <x:c r="Z3" s="6"/>
    </x:row>
    <x:row r="4" s="1" customFormat="1" ht="100" hidden="0" customHeight="1">
      <x:c r="A4" s="360" t="s">
        <x:v>2164</x:v>
      </x:c>
      <x:c r="B4" s="372" t="str">
        <x:v>This workbook is a worked-run exemplar companion. It is not a repository-level validator, generalized multi-option engine, or substitute for canonical Markdown/DOCX or schema surfaces. The dashboard compares Option A and Option B only. Option A is the higher point-score option, but the unvalidated Method C uncertainty basis and the σ×2 sensitivity require REFUSE_DETERMINISTIC_SELECTION. Option A is separately selected by accountable authority. Lawful authority and execution authorization remain separate, and the workbook does not establish empirical validation, deployment readiness, or Tier-4/ProofPack status.</x:v>
      </x:c>
      <x:c r="C4" s="372"/>
      <x:c r="D4" s="372"/>
      <x:c r="E4" s="372"/>
      <x:c r="F4" s="372"/>
      <x:c r="G4" s="372"/>
      <x:c r="H4" s="372"/>
      <x:c r="I4" s="361" t="s">
        <x:v>2165</x:v>
      </x:c>
      <x:c r="J4" s="361" t="str">
        <x:v>A — SEPARATE AUTHORITY SELECTION; execution authority remains separate</x:v>
      </x:c>
      <x:c r="K4" s="6"/>
      <x:c r="L4" s="6"/>
      <x:c r="M4" s="6"/>
      <x:c r="N4" s="6"/>
      <x:c r="O4" s="6"/>
      <x:c r="P4" s="6"/>
      <x:c r="Q4" s="6"/>
      <x:c r="R4" s="6"/>
      <x:c r="S4" s="6"/>
      <x:c r="T4" s="6"/>
      <x:c r="U4" s="6"/>
      <x:c r="V4" s="6"/>
      <x:c r="W4" s="6"/>
      <x:c r="X4" s="6"/>
      <x:c r="Y4" s="6"/>
      <x:c r="Z4" s="6"/>
    </x:row>
    <x:row r="5" s="1" customFormat="1" ht="14.25" hidden="0" customHeight="1">
      <x:c r="A5" s="363"/>
      <x:c r="B5" s="363"/>
      <x:c r="C5" s="363"/>
      <x:c r="D5" s="363"/>
      <x:c r="E5" s="363"/>
      <x:c r="F5" s="363"/>
      <x:c r="G5" s="363"/>
      <x:c r="H5" s="363"/>
      <x:c r="I5" s="362" t="s">
        <x:v>2166</x:v>
      </x:c>
      <x:c r="J5" s="362" t="n">
        <x:v>0</x:v>
      </x:c>
      <x:c r="K5" s="6"/>
      <x:c r="L5" s="6"/>
      <x:c r="M5" s="6"/>
      <x:c r="N5" s="6"/>
      <x:c r="O5" s="6"/>
      <x:c r="P5" s="6"/>
      <x:c r="Q5" s="6"/>
      <x:c r="R5" s="6"/>
      <x:c r="S5" s="6"/>
      <x:c r="T5" s="6"/>
      <x:c r="U5" s="6"/>
      <x:c r="V5" s="6"/>
      <x:c r="W5" s="6"/>
      <x:c r="X5" s="6"/>
      <x:c r="Y5" s="6"/>
      <x:c r="Z5" s="6"/>
    </x:row>
    <x:row r="6" s="1" customFormat="1" ht="14.25" hidden="0" customHeight="1">
      <x:c r="A6" s="360" t="s">
        <x:v>2167</x:v>
      </x:c>
      <x:c r="B6" s="363"/>
      <x:c r="C6" s="363"/>
      <x:c r="D6" s="363"/>
      <x:c r="E6" s="363"/>
      <x:c r="F6" s="363"/>
      <x:c r="G6" s="363"/>
      <x:c r="H6" s="363"/>
      <x:c r="I6" s="361" t="s">
        <x:v>2168</x:v>
      </x:c>
      <x:c r="J6" s="361" t="n">
        <x:v>2</x:v>
      </x:c>
      <x:c r="K6" s="6"/>
      <x:c r="L6" s="6"/>
      <x:c r="M6" s="6"/>
      <x:c r="N6" s="6"/>
      <x:c r="O6" s="6"/>
      <x:c r="P6" s="6"/>
      <x:c r="Q6" s="6"/>
      <x:c r="R6" s="6"/>
      <x:c r="S6" s="6"/>
      <x:c r="T6" s="6"/>
      <x:c r="U6" s="6"/>
      <x:c r="V6" s="6"/>
      <x:c r="W6" s="6"/>
      <x:c r="X6" s="6"/>
      <x:c r="Y6" s="6"/>
      <x:c r="Z6" s="6"/>
    </x:row>
    <x:row r="7" s="1" customFormat="1" ht="14.25" hidden="0" customHeight="1">
      <x:c r="A7" s="360" t="s">
        <x:v>2169</x:v>
      </x:c>
      <x:c r="B7" s="362" t="s">
        <x:v>2170</x:v>
      </x:c>
      <x:c r="C7" s="363"/>
      <x:c r="D7" s="363"/>
      <x:c r="E7" s="363"/>
      <x:c r="F7" s="363"/>
      <x:c r="G7" s="363"/>
      <x:c r="H7" s="363"/>
      <x:c r="I7" s="362" t="s">
        <x:v>2171</x:v>
      </x:c>
      <x:c r="J7" s="362" t="n">
        <x:v>1</x:v>
      </x:c>
      <x:c r="K7" s="6"/>
      <x:c r="L7" s="6"/>
      <x:c r="M7" s="6"/>
      <x:c r="N7" s="6"/>
      <x:c r="O7" s="6"/>
      <x:c r="P7" s="6"/>
      <x:c r="Q7" s="6"/>
      <x:c r="R7" s="6"/>
      <x:c r="S7" s="6"/>
      <x:c r="T7" s="6"/>
      <x:c r="U7" s="6"/>
      <x:c r="V7" s="6"/>
      <x:c r="W7" s="6"/>
      <x:c r="X7" s="6"/>
      <x:c r="Y7" s="6"/>
      <x:c r="Z7" s="6"/>
    </x:row>
    <x:row r="8" s="1" customFormat="1" ht="14.25" hidden="0" customHeight="1">
      <x:c r="A8" s="360" t="s">
        <x:v>2172</x:v>
      </x:c>
      <x:c r="B8" s="361" t="s">
        <x:v>2173</x:v>
      </x:c>
      <x:c r="C8" s="363"/>
      <x:c r="D8" s="363"/>
      <x:c r="E8" s="363"/>
      <x:c r="F8" s="363"/>
      <x:c r="G8" s="363"/>
      <x:c r="H8" s="363"/>
      <x:c r="I8" s="361" t="str">
        <x:v>Sanity Check Failures</x:v>
      </x:c>
      <x:c r="J8" s="361" t="n">
        <x:v>0</x:v>
      </x:c>
      <x:c r="K8" s="6"/>
      <x:c r="L8" s="6"/>
      <x:c r="M8" s="6"/>
      <x:c r="N8" s="6"/>
      <x:c r="O8" s="6"/>
      <x:c r="P8" s="6"/>
      <x:c r="Q8" s="6"/>
      <x:c r="R8" s="6"/>
      <x:c r="S8" s="6"/>
      <x:c r="T8" s="6"/>
      <x:c r="U8" s="6"/>
      <x:c r="V8" s="6"/>
      <x:c r="W8" s="6"/>
      <x:c r="X8" s="6"/>
      <x:c r="Y8" s="6"/>
      <x:c r="Z8" s="6"/>
    </x:row>
    <x:row r="9" s="1" customFormat="1" ht="14.25" hidden="0" customHeight="1">
      <x:c r="A9" s="360" t="s">
        <x:v>2174</x:v>
      </x:c>
      <x:c r="B9" s="362" t="s">
        <x:v>2175</x:v>
      </x:c>
      <x:c r="C9" s="363"/>
      <x:c r="D9" s="363"/>
      <x:c r="E9" s="363"/>
      <x:c r="F9" s="363"/>
      <x:c r="G9" s="363"/>
      <x:c r="H9" s="363"/>
      <x:c r="I9" s="363"/>
      <x:c r="J9" s="363"/>
      <x:c r="K9" s="6"/>
      <x:c r="L9" s="6"/>
      <x:c r="M9" s="6"/>
      <x:c r="N9" s="6"/>
      <x:c r="O9" s="6"/>
      <x:c r="P9" s="6"/>
      <x:c r="Q9" s="6"/>
      <x:c r="R9" s="6"/>
      <x:c r="S9" s="6"/>
      <x:c r="T9" s="6"/>
      <x:c r="U9" s="6"/>
      <x:c r="V9" s="6"/>
      <x:c r="W9" s="6"/>
      <x:c r="X9" s="6"/>
      <x:c r="Y9" s="6"/>
      <x:c r="Z9" s="6"/>
    </x:row>
    <x:row r="10" s="1" customFormat="1" ht="14.25" hidden="0" customHeight="1">
      <x:c r="A10" s="360" t="s">
        <x:v>1771</x:v>
      </x:c>
      <x:c r="B10" s="361" t="s">
        <x:v>227</x:v>
      </x:c>
      <x:c r="C10" s="363"/>
      <x:c r="D10" s="363"/>
      <x:c r="E10" s="363"/>
      <x:c r="F10" s="363"/>
      <x:c r="G10" s="363"/>
      <x:c r="H10" s="363"/>
      <x:c r="I10" s="363"/>
      <x:c r="J10" s="363"/>
      <x:c r="K10" s="6"/>
      <x:c r="L10" s="6"/>
      <x:c r="M10" s="6"/>
      <x:c r="N10" s="6"/>
      <x:c r="O10" s="6"/>
      <x:c r="P10" s="6"/>
      <x:c r="Q10" s="6"/>
      <x:c r="R10" s="6"/>
      <x:c r="S10" s="6"/>
      <x:c r="T10" s="6"/>
      <x:c r="U10" s="6"/>
      <x:c r="V10" s="6"/>
      <x:c r="W10" s="6"/>
      <x:c r="X10" s="6"/>
      <x:c r="Y10" s="6"/>
      <x:c r="Z10" s="6"/>
    </x:row>
    <x:row r="11" s="1" customFormat="1" ht="14.25" hidden="0" customHeight="1">
      <x:c r="A11" s="360" t="s">
        <x:v>775</x:v>
      </x:c>
      <x:c r="B11" s="362" t="s">
        <x:v>233</x:v>
      </x:c>
      <x:c r="C11" s="363"/>
      <x:c r="D11" s="363"/>
      <x:c r="E11" s="363"/>
      <x:c r="F11" s="363"/>
      <x:c r="G11" s="363"/>
      <x:c r="H11" s="363"/>
      <x:c r="I11" s="363"/>
      <x:c r="J11" s="363"/>
      <x:c r="K11" s="6"/>
      <x:c r="L11" s="6"/>
      <x:c r="M11" s="6"/>
      <x:c r="N11" s="6"/>
      <x:c r="O11" s="6"/>
      <x:c r="P11" s="6"/>
      <x:c r="Q11" s="6"/>
      <x:c r="R11" s="6"/>
      <x:c r="S11" s="6"/>
      <x:c r="T11" s="6"/>
      <x:c r="U11" s="6"/>
      <x:c r="V11" s="6"/>
      <x:c r="W11" s="6"/>
      <x:c r="X11" s="6"/>
      <x:c r="Y11" s="6"/>
      <x:c r="Z11" s="6"/>
    </x:row>
    <x:row r="12" s="1" customFormat="1" ht="14.25" hidden="0" customHeight="1">
      <x:c r="A12" s="360" t="s">
        <x:v>2176</x:v>
      </x:c>
      <x:c r="B12" s="361" t="s">
        <x:v>292</x:v>
      </x:c>
      <x:c r="C12" s="363"/>
      <x:c r="D12" s="363"/>
      <x:c r="E12" s="363"/>
      <x:c r="F12" s="363"/>
      <x:c r="G12" s="363"/>
      <x:c r="H12" s="363"/>
      <x:c r="I12" s="363"/>
      <x:c r="J12" s="363"/>
      <x:c r="K12" s="6"/>
      <x:c r="L12" s="6"/>
      <x:c r="M12" s="6"/>
      <x:c r="N12" s="6"/>
      <x:c r="O12" s="6"/>
      <x:c r="P12" s="6"/>
      <x:c r="Q12" s="6"/>
      <x:c r="R12" s="6"/>
      <x:c r="S12" s="6"/>
      <x:c r="T12" s="6"/>
      <x:c r="U12" s="6"/>
      <x:c r="V12" s="6"/>
      <x:c r="W12" s="6"/>
      <x:c r="X12" s="6"/>
      <x:c r="Y12" s="6"/>
      <x:c r="Z12" s="6"/>
    </x:row>
    <x:row r="13" s="1" customFormat="1" ht="14.25" hidden="0" customHeight="1">
      <x:c r="A13" s="371"/>
      <x:c r="B13" s="371"/>
      <x:c r="C13" s="371"/>
      <x:c r="D13" s="373"/>
      <x:c r="E13" s="371"/>
      <x:c r="F13" s="363"/>
      <x:c r="G13" s="363"/>
      <x:c r="H13" s="363"/>
      <x:c r="I13" s="363"/>
      <x:c r="J13" s="363"/>
      <x:c r="K13" s="6"/>
      <x:c r="L13" s="6"/>
      <x:c r="M13" s="6"/>
      <x:c r="N13" s="6"/>
      <x:c r="O13" s="6"/>
      <x:c r="P13" s="6"/>
      <x:c r="Q13" s="6"/>
      <x:c r="R13" s="6"/>
      <x:c r="S13" s="6"/>
      <x:c r="T13" s="6"/>
      <x:c r="U13" s="6"/>
      <x:c r="V13" s="6"/>
      <x:c r="W13" s="6"/>
      <x:c r="X13" s="6"/>
      <x:c r="Y13" s="6"/>
      <x:c r="Z13" s="6"/>
    </x:row>
    <x:row r="14" s="1" customFormat="1" ht="29" hidden="0" customHeight="1">
      <x:c r="A14" s="360" t="s">
        <x:v>2177</x:v>
      </x:c>
      <x:c r="B14" s="374"/>
      <x:c r="C14" s="374"/>
      <x:c r="D14" s="374"/>
      <x:c r="E14" s="363"/>
      <x:c r="F14" s="363"/>
      <x:c r="G14" s="375" t="s">
        <x:v>2178</x:v>
      </x:c>
      <x:c r="H14" s="376" t="s">
        <x:v>2179</x:v>
      </x:c>
      <x:c r="I14" s="377" t="s">
        <x:v>2180</x:v>
      </x:c>
      <x:c r="J14" s="363"/>
      <x:c r="K14" s="6"/>
      <x:c r="L14" s="6"/>
      <x:c r="M14" s="6"/>
      <x:c r="N14" s="6"/>
      <x:c r="O14" s="6"/>
      <x:c r="P14" s="6"/>
      <x:c r="Q14" s="6"/>
      <x:c r="R14" s="6"/>
      <x:c r="S14" s="6"/>
      <x:c r="T14" s="6"/>
      <x:c r="U14" s="6"/>
      <x:c r="V14" s="6"/>
      <x:c r="W14" s="6"/>
      <x:c r="X14" s="6"/>
      <x:c r="Y14" s="6"/>
      <x:c r="Z14" s="6"/>
    </x:row>
    <x:row r="15" s="1" customFormat="1" ht="29" hidden="0" customHeight="1">
      <x:c r="A15" s="378" t="s">
        <x:v>2181</x:v>
      </x:c>
      <x:c r="B15" s="379" t="s">
        <x:v>2182</x:v>
      </x:c>
      <x:c r="C15" s="379" t="s">
        <x:v>1717</x:v>
      </x:c>
      <x:c r="D15" s="379" t="s">
        <x:v>1718</x:v>
      </x:c>
      <x:c r="E15" s="380" t="s">
        <x:v>2183</x:v>
      </x:c>
      <x:c r="F15" s="363"/>
      <x:c r="G15" s="381" t="s">
        <x:v>2184</x:v>
      </x:c>
      <x:c r="H15" s="363" t="s">
        <x:v>224</x:v>
      </x:c>
      <x:c r="I15" s="382" t="s">
        <x:v>2185</x:v>
      </x:c>
      <x:c r="J15" s="363"/>
      <x:c r="K15" s="6"/>
      <x:c r="L15" s="6"/>
      <x:c r="M15" s="6"/>
      <x:c r="N15" s="6"/>
      <x:c r="O15" s="6"/>
      <x:c r="P15" s="6"/>
      <x:c r="Q15" s="6"/>
      <x:c r="R15" s="6"/>
      <x:c r="S15" s="6"/>
      <x:c r="T15" s="6"/>
      <x:c r="U15" s="6"/>
      <x:c r="V15" s="6"/>
      <x:c r="W15" s="6"/>
      <x:c r="X15" s="6"/>
      <x:c r="Y15" s="6"/>
      <x:c r="Z15" s="6"/>
    </x:row>
    <x:row r="16" s="1" customFormat="1" ht="29" hidden="0" customHeight="1">
      <x:c r="A16" s="378" t="s">
        <x:v>21</x:v>
      </x:c>
      <x:c r="B16" s="361" t="s">
        <x:v>2186</x:v>
      </x:c>
      <x:c r="C16" s="383" t="s">
        <x:v>1206</x:v>
      </x:c>
      <x:c r="D16" s="383" t="s">
        <x:v>1206</x:v>
      </x:c>
      <x:c r="E16" s="361" t="s">
        <x:v>2187</x:v>
      </x:c>
      <x:c r="F16" s="363"/>
      <x:c r="G16" s="381" t="s">
        <x:v>2188</x:v>
      </x:c>
      <x:c r="H16" s="363" t="s">
        <x:v>230</x:v>
      </x:c>
      <x:c r="I16" s="382" t="s">
        <x:v>2189</x:v>
      </x:c>
      <x:c r="J16" s="363"/>
      <x:c r="K16" s="6"/>
      <x:c r="L16" s="6"/>
      <x:c r="M16" s="6"/>
      <x:c r="N16" s="6"/>
      <x:c r="O16" s="6"/>
      <x:c r="P16" s="6"/>
      <x:c r="Q16" s="6"/>
      <x:c r="R16" s="6"/>
      <x:c r="S16" s="6"/>
      <x:c r="T16" s="6"/>
      <x:c r="U16" s="6"/>
      <x:c r="V16" s="6"/>
      <x:c r="W16" s="6"/>
      <x:c r="X16" s="6"/>
      <x:c r="Y16" s="6"/>
      <x:c r="Z16" s="6"/>
    </x:row>
    <x:row r="17" s="1" customFormat="1" ht="29" hidden="0" customHeight="1">
      <x:c r="A17" s="378" t="s">
        <x:v>23</x:v>
      </x:c>
      <x:c r="B17" s="362" t="s">
        <x:v>300</x:v>
      </x:c>
      <x:c r="C17" s="384" t="s">
        <x:v>300</x:v>
      </x:c>
      <x:c r="D17" s="384" t="s">
        <x:v>300</x:v>
      </x:c>
      <x:c r="E17" s="385" t="s">
        <x:v>2190</x:v>
      </x:c>
      <x:c r="F17" s="363"/>
      <x:c r="G17" s="381" t="s">
        <x:v>2191</x:v>
      </x:c>
      <x:c r="H17" s="386" t="n">
        <x:v>3.56551781265359</x:v>
      </x:c>
      <x:c r="I17" s="382" t="s">
        <x:v>2192</x:v>
      </x:c>
      <x:c r="J17" s="363"/>
      <x:c r="K17" s="6"/>
      <x:c r="L17" s="6"/>
      <x:c r="M17" s="6"/>
      <x:c r="N17" s="6"/>
      <x:c r="O17" s="6"/>
      <x:c r="P17" s="6"/>
      <x:c r="Q17" s="6"/>
      <x:c r="R17" s="6"/>
      <x:c r="S17" s="6"/>
      <x:c r="T17" s="6"/>
      <x:c r="U17" s="6"/>
      <x:c r="V17" s="6"/>
      <x:c r="W17" s="6"/>
      <x:c r="X17" s="6"/>
      <x:c r="Y17" s="6"/>
      <x:c r="Z17" s="6"/>
    </x:row>
    <x:row r="18" s="1" customFormat="1" ht="29" hidden="0" customHeight="1">
      <x:c r="A18" s="378" t="s">
        <x:v>25</x:v>
      </x:c>
      <x:c r="B18" s="361" t="s">
        <x:v>305</x:v>
      </x:c>
      <x:c r="C18" s="365" t="s">
        <x:v>305</x:v>
      </x:c>
      <x:c r="D18" s="361" t="s">
        <x:v>305</x:v>
      </x:c>
      <x:c r="E18" s="361" t="s">
        <x:v>2193</x:v>
      </x:c>
      <x:c r="F18" s="363"/>
      <x:c r="G18" s="387" t="s">
        <x:v>2194</x:v>
      </x:c>
      <x:c r="H18" s="388" t="s">
        <x:v>240</x:v>
      </x:c>
      <x:c r="I18" s="389" t="str">
        <x:v>Unvalidated sigma; point-score comparison only. No deterministic framework selection claim.</x:v>
      </x:c>
      <x:c r="J18" s="363"/>
      <x:c r="K18" s="6"/>
      <x:c r="L18" s="6"/>
      <x:c r="M18" s="6"/>
      <x:c r="N18" s="6"/>
      <x:c r="O18" s="6"/>
      <x:c r="P18" s="6"/>
      <x:c r="Q18" s="6"/>
      <x:c r="R18" s="6"/>
      <x:c r="S18" s="6"/>
      <x:c r="T18" s="6"/>
      <x:c r="U18" s="6"/>
      <x:c r="V18" s="6"/>
      <x:c r="W18" s="6"/>
      <x:c r="X18" s="6"/>
      <x:c r="Y18" s="6"/>
      <x:c r="Z18" s="6"/>
    </x:row>
    <x:row r="19" s="1" customFormat="1" ht="50" hidden="0" customHeight="1">
      <x:c r="A19" s="378" t="s">
        <x:v>27</x:v>
      </x:c>
      <x:c r="B19" s="362" t="s">
        <x:v>2195</x:v>
      </x:c>
      <x:c r="C19" s="383" t="s">
        <x:v>311</x:v>
      </x:c>
      <x:c r="D19" s="383" t="s">
        <x:v>311</x:v>
      </x:c>
      <x:c r="E19" s="362" t="s">
        <x:v>2196</x:v>
      </x:c>
      <x:c r="F19" s="363"/>
      <x:c r="G19" s="363" t="s">
        <x:v>2197</x:v>
      </x:c>
      <x:c r="H19" s="386" t="n">
        <x:v>1.81508102477079</x:v>
      </x:c>
      <x:c r="I19" s="363" t="s">
        <x:v>2198</x:v>
      </x:c>
      <x:c r="J19" s="363"/>
      <x:c r="K19" s="6"/>
      <x:c r="L19" s="6"/>
      <x:c r="M19" s="6"/>
      <x:c r="N19" s="6"/>
      <x:c r="O19" s="6"/>
      <x:c r="P19" s="6"/>
      <x:c r="Q19" s="6"/>
      <x:c r="R19" s="6"/>
      <x:c r="S19" s="6"/>
      <x:c r="T19" s="6"/>
      <x:c r="U19" s="6"/>
      <x:c r="V19" s="6"/>
      <x:c r="W19" s="6"/>
      <x:c r="X19" s="6"/>
      <x:c r="Y19" s="6"/>
      <x:c r="Z19" s="6"/>
    </x:row>
    <x:row r="20" s="1" customFormat="1" ht="42" hidden="0" customHeight="1">
      <x:c r="A20" s="378" t="s">
        <x:v>29</x:v>
      </x:c>
      <x:c r="B20" s="361" t="s">
        <x:v>2199</x:v>
      </x:c>
      <x:c r="C20" s="365" t="n">
        <x:v>0.0153129427168233</x:v>
      </x:c>
      <x:c r="D20" s="365" t="n">
        <x:v>-0.00112238738505248</x:v>
      </x:c>
      <x:c r="E20" s="361" t="str">
        <x:v>REFUSE_DETERMINISTIC_SELECTION</x:v>
      </x:c>
      <x:c r="F20" s="363"/>
      <x:c r="G20" s="363" t="s">
        <x:v>2200</x:v>
      </x:c>
      <x:c r="H20" s="386" t="n">
        <x:v>1.8126799195478</x:v>
      </x:c>
      <x:c r="I20" s="363" t="s">
        <x:v>2201</x:v>
      </x:c>
      <x:c r="J20" s="363"/>
      <x:c r="K20" s="6"/>
      <x:c r="L20" s="6"/>
      <x:c r="M20" s="6"/>
      <x:c r="N20" s="6"/>
      <x:c r="O20" s="6"/>
      <x:c r="P20" s="6"/>
      <x:c r="Q20" s="6"/>
      <x:c r="R20" s="6"/>
      <x:c r="S20" s="6"/>
      <x:c r="T20" s="6"/>
      <x:c r="U20" s="6"/>
      <x:c r="V20" s="6"/>
      <x:c r="W20" s="6"/>
      <x:c r="X20" s="6"/>
      <x:c r="Y20" s="6"/>
      <x:c r="Z20" s="6"/>
    </x:row>
    <x:row r="21" s="1" customFormat="1" ht="88" hidden="0" customHeight="1">
      <x:c r="A21" s="360" t="s">
        <x:v>2202</x:v>
      </x:c>
      <x:c r="B21" s="362" t="str">
        <x:v>Option A is the higher point-score option, but the declared Method C uncertainty is unvalidated and σ×2 changes decisiveness. RippleLogic therefore refuses deterministic selection; this is not empirical validation, legal authority, or safe-execution proof.</x:v>
      </x:c>
      <x:c r="C21" s="386" t="n">
        <x:v>0.0153129427168233</x:v>
      </x:c>
      <x:c r="D21" s="386" t="n">
        <x:v>-0.00112238738505248</x:v>
      </x:c>
      <x:c r="E21" s="363" t="str">
        <x:v>Framework verdict: REFUSE_DETERMINISTIC_SELECTION</x:v>
      </x:c>
      <x:c r="F21" s="363"/>
      <x:c r="G21" s="363" t="s">
        <x:v>2203</x:v>
      </x:c>
      <x:c r="H21" s="363" t="s">
        <x:v>2204</x:v>
      </x:c>
      <x:c r="I21" s="363" t="s">
        <x:v>2205</x:v>
      </x:c>
      <x:c r="J21" s="363"/>
      <x:c r="K21" s="6"/>
      <x:c r="L21" s="6"/>
      <x:c r="M21" s="6"/>
      <x:c r="N21" s="6"/>
      <x:c r="O21" s="6"/>
      <x:c r="P21" s="6"/>
      <x:c r="Q21" s="6"/>
      <x:c r="R21" s="6"/>
      <x:c r="S21" s="6"/>
      <x:c r="T21" s="6"/>
      <x:c r="U21" s="6"/>
      <x:c r="V21" s="6"/>
      <x:c r="W21" s="6"/>
      <x:c r="X21" s="6"/>
      <x:c r="Y21" s="6"/>
      <x:c r="Z21" s="6"/>
    </x:row>
    <x:row r="22" s="1" customFormat="1" ht="68" hidden="0" customHeight="1">
      <x:c r="A22" s="360" t="s">
        <x:v>2206</x:v>
      </x:c>
      <x:c r="B22" s="390" t="str">
        <x:v>Two-option surface only (A/B); both remain selectable with binding controls. Option A is separately selected by accountable authority after the non-decisive framework result.</x:v>
      </x:c>
      <x:c r="C22" s="391"/>
      <x:c r="D22" s="391"/>
      <x:c r="E22" s="363"/>
      <x:c r="F22" s="363"/>
      <x:c r="G22" s="363"/>
      <x:c r="H22" s="363"/>
      <x:c r="I22" s="363"/>
      <x:c r="J22" s="363"/>
      <x:c r="K22" s="6"/>
      <x:c r="L22" s="6"/>
      <x:c r="M22" s="6"/>
      <x:c r="N22" s="6"/>
      <x:c r="O22" s="6"/>
      <x:c r="P22" s="6"/>
      <x:c r="Q22" s="6"/>
      <x:c r="R22" s="6"/>
      <x:c r="S22" s="6"/>
      <x:c r="T22" s="6"/>
      <x:c r="U22" s="6"/>
      <x:c r="V22" s="6"/>
      <x:c r="W22" s="6"/>
      <x:c r="X22" s="6"/>
      <x:c r="Y22" s="6"/>
      <x:c r="Z22" s="6"/>
    </x:row>
    <x:row r="23" s="1" customFormat="1" ht="36" hidden="0" customHeight="1">
      <x:c r="A23" s="360" t="s">
        <x:v>2207</x:v>
      </x:c>
      <x:c r="B23" s="362"/>
      <x:c r="C23" s="363"/>
      <x:c r="D23" s="363"/>
      <x:c r="E23" s="363"/>
      <x:c r="F23" s="363"/>
      <x:c r="G23" s="363"/>
      <x:c r="H23" s="363"/>
      <x:c r="I23" s="363"/>
      <x:c r="J23" s="363"/>
      <x:c r="K23" s="6"/>
      <x:c r="L23" s="6"/>
      <x:c r="M23" s="6"/>
      <x:c r="N23" s="6"/>
      <x:c r="O23" s="6"/>
      <x:c r="P23" s="6"/>
      <x:c r="Q23" s="6"/>
      <x:c r="R23" s="6"/>
      <x:c r="S23" s="6"/>
      <x:c r="T23" s="6"/>
      <x:c r="U23" s="6"/>
      <x:c r="V23" s="6"/>
      <x:c r="W23" s="6"/>
      <x:c r="X23" s="6"/>
      <x:c r="Y23" s="6"/>
      <x:c r="Z23" s="6"/>
    </x:row>
    <x:row r="24" s="1" customFormat="1" ht="58" hidden="0" customHeight="1">
      <x:c r="A24" s="360" t="s">
        <x:v>435</x:v>
      </x:c>
      <x:c r="B24" s="361" t="s">
        <x:v>2208</x:v>
      </x:c>
      <x:c r="C24" s="363"/>
      <x:c r="D24" s="363"/>
      <x:c r="E24" s="363"/>
      <x:c r="F24" s="363"/>
      <x:c r="G24" s="363"/>
      <x:c r="H24" s="363"/>
      <x:c r="I24" s="363"/>
      <x:c r="J24" s="363"/>
      <x:c r="K24" s="6"/>
      <x:c r="L24" s="6"/>
      <x:c r="M24" s="6"/>
      <x:c r="N24" s="6"/>
      <x:c r="O24" s="6"/>
      <x:c r="P24" s="6"/>
      <x:c r="Q24" s="6"/>
      <x:c r="R24" s="6"/>
      <x:c r="S24" s="6"/>
      <x:c r="T24" s="6"/>
      <x:c r="U24" s="6"/>
      <x:c r="V24" s="6"/>
      <x:c r="W24" s="6"/>
      <x:c r="X24" s="6"/>
      <x:c r="Y24" s="6"/>
      <x:c r="Z24" s="6"/>
    </x:row>
    <x:row r="25" s="1" customFormat="1" ht="86" hidden="0" customHeight="1">
      <x:c r="A25" s="360" t="s">
        <x:v>2209</x:v>
      </x:c>
      <x:c r="B25" s="385" t="str">
        <x:v>The ordinary point-score ranking remains visible, but a computed uncertainty stress changes decisiveness. RippleLogic does not claim unique selection; the accountable authority selects A transparently among qualified options.</x:v>
      </x:c>
      <x:c r="C25" s="363"/>
      <x:c r="D25" s="363"/>
      <x:c r="E25" s="363"/>
      <x:c r="F25" s="363"/>
      <x:c r="G25" s="363"/>
      <x:c r="H25" s="363"/>
      <x:c r="I25" s="363"/>
      <x:c r="J25" s="363"/>
      <x:c r="K25" s="6"/>
      <x:c r="L25" s="6"/>
      <x:c r="M25" s="6"/>
      <x:c r="N25" s="6"/>
      <x:c r="O25" s="6"/>
      <x:c r="P25" s="6"/>
      <x:c r="Q25" s="6"/>
      <x:c r="R25" s="6"/>
      <x:c r="S25" s="6"/>
      <x:c r="T25" s="6"/>
      <x:c r="U25" s="6"/>
      <x:c r="V25" s="6"/>
      <x:c r="W25" s="6"/>
      <x:c r="X25" s="6"/>
      <x:c r="Y25" s="6"/>
      <x:c r="Z25" s="6"/>
    </x:row>
    <x:row r="26" s="1" customFormat="1" ht="14.25" hidden="0" customHeight="1">
      <x:c r="A26" s="360" t="s">
        <x:v>2210</x:v>
      </x:c>
      <x:c r="B26" s="361" t="s">
        <x:v>2211</x:v>
      </x:c>
      <x:c r="C26" s="363"/>
      <x:c r="D26" s="363"/>
      <x:c r="E26" s="363"/>
      <x:c r="F26" s="363"/>
      <x:c r="G26" s="363"/>
      <x:c r="H26" s="363"/>
      <x:c r="I26" s="363"/>
      <x:c r="J26" s="363"/>
      <x:c r="K26" s="6"/>
      <x:c r="L26" s="6"/>
      <x:c r="M26" s="6"/>
      <x:c r="N26" s="6"/>
      <x:c r="O26" s="6"/>
      <x:c r="P26" s="6"/>
      <x:c r="Q26" s="6"/>
      <x:c r="R26" s="6"/>
      <x:c r="S26" s="6"/>
      <x:c r="T26" s="6"/>
      <x:c r="U26" s="6"/>
      <x:c r="V26" s="6"/>
      <x:c r="W26" s="6"/>
      <x:c r="X26" s="6"/>
      <x:c r="Y26" s="6"/>
      <x:c r="Z26" s="6"/>
    </x:row>
    <x:row r="27" s="1" customFormat="1" ht="14.25" hidden="0" customHeight="1">
      <x:c r="A27" s="360" t="s">
        <x:v>2212</x:v>
      </x:c>
      <x:c r="B27" s="392" t="s">
        <x:v>2179</x:v>
      </x:c>
      <x:c r="C27" s="392" t="s">
        <x:v>2213</x:v>
      </x:c>
      <x:c r="D27" s="363"/>
      <x:c r="E27" s="363"/>
      <x:c r="F27" s="363"/>
      <x:c r="G27" s="363"/>
      <x:c r="H27" s="363"/>
      <x:c r="I27" s="363"/>
      <x:c r="J27" s="363"/>
      <x:c r="K27" s="6"/>
      <x:c r="L27" s="6"/>
      <x:c r="M27" s="6"/>
      <x:c r="N27" s="6"/>
      <x:c r="O27" s="6"/>
      <x:c r="P27" s="6"/>
      <x:c r="Q27" s="6"/>
      <x:c r="R27" s="6"/>
      <x:c r="S27" s="6"/>
      <x:c r="T27" s="6"/>
      <x:c r="U27" s="6"/>
      <x:c r="V27" s="6"/>
      <x:c r="W27" s="6"/>
      <x:c r="X27" s="6"/>
      <x:c r="Y27" s="6"/>
      <x:c r="Z27" s="6"/>
    </x:row>
    <x:row r="28" s="1" customFormat="1" ht="24" hidden="0" customHeight="1">
      <x:c r="A28" s="360" t="s">
        <x:v>1676</x:v>
      </x:c>
      <x:c r="B28" s="361" t="s">
        <x:v>2123</x:v>
      </x:c>
      <x:c r="C28" s="361" t="s">
        <x:v>2214</x:v>
      </x:c>
      <x:c r="D28" s="363"/>
      <x:c r="E28" s="363"/>
      <x:c r="F28" s="363"/>
      <x:c r="G28" s="363"/>
      <x:c r="H28" s="363"/>
      <x:c r="I28" s="363"/>
      <x:c r="J28" s="363"/>
      <x:c r="K28" s="6"/>
      <x:c r="L28" s="6"/>
      <x:c r="M28" s="6"/>
      <x:c r="N28" s="6"/>
      <x:c r="O28" s="6"/>
      <x:c r="P28" s="6"/>
      <x:c r="Q28" s="6"/>
      <x:c r="R28" s="6"/>
      <x:c r="S28" s="6"/>
      <x:c r="T28" s="6"/>
      <x:c r="U28" s="6"/>
      <x:c r="V28" s="6"/>
      <x:c r="W28" s="6"/>
      <x:c r="X28" s="6"/>
      <x:c r="Y28" s="6"/>
      <x:c r="Z28" s="6"/>
    </x:row>
    <x:row r="29" s="1" customFormat="1" ht="24" hidden="0" customHeight="1">
      <x:c r="A29" s="360" t="s">
        <x:v>2215</x:v>
      </x:c>
      <x:c r="B29" s="362" t="s">
        <x:v>233</x:v>
      </x:c>
      <x:c r="C29" s="362" t="s">
        <x:v>2216</x:v>
      </x:c>
      <x:c r="D29" s="363"/>
      <x:c r="E29" s="363"/>
      <x:c r="F29" s="363"/>
      <x:c r="G29" s="363"/>
      <x:c r="H29" s="363"/>
      <x:c r="I29" s="363"/>
      <x:c r="J29" s="363"/>
      <x:c r="K29" s="6"/>
      <x:c r="L29" s="6"/>
      <x:c r="M29" s="6"/>
      <x:c r="N29" s="6"/>
      <x:c r="O29" s="6"/>
      <x:c r="P29" s="6"/>
      <x:c r="Q29" s="6"/>
      <x:c r="R29" s="6"/>
      <x:c r="S29" s="6"/>
      <x:c r="T29" s="6"/>
      <x:c r="U29" s="6"/>
      <x:c r="V29" s="6"/>
      <x:c r="W29" s="6"/>
      <x:c r="X29" s="6"/>
      <x:c r="Y29" s="6"/>
      <x:c r="Z29" s="6"/>
    </x:row>
    <x:row r="30" s="1" customFormat="1" ht="24" hidden="0" customHeight="1">
      <x:c r="A30" s="360" t="s">
        <x:v>2217</x:v>
      </x:c>
      <x:c r="B30" s="361" t="s">
        <x:v>233</x:v>
      </x:c>
      <x:c r="C30" s="361" t="s">
        <x:v>2218</x:v>
      </x:c>
      <x:c r="D30" s="363"/>
      <x:c r="E30" s="363"/>
      <x:c r="F30" s="363"/>
      <x:c r="G30" s="363"/>
      <x:c r="H30" s="363"/>
      <x:c r="I30" s="363"/>
      <x:c r="J30" s="363"/>
      <x:c r="K30" s="6"/>
      <x:c r="L30" s="6"/>
      <x:c r="M30" s="6"/>
      <x:c r="N30" s="6"/>
      <x:c r="O30" s="6"/>
      <x:c r="P30" s="6"/>
      <x:c r="Q30" s="6"/>
      <x:c r="R30" s="6"/>
      <x:c r="S30" s="6"/>
      <x:c r="T30" s="6"/>
      <x:c r="U30" s="6"/>
      <x:c r="V30" s="6"/>
      <x:c r="W30" s="6"/>
      <x:c r="X30" s="6"/>
      <x:c r="Y30" s="6"/>
      <x:c r="Z30" s="6"/>
    </x:row>
    <x:row r="31" s="1" customFormat="1" ht="24" hidden="0" customHeight="1">
      <x:c r="A31" s="360" t="s">
        <x:v>2219</x:v>
      </x:c>
      <x:c r="B31" s="362" t="s">
        <x:v>233</x:v>
      </x:c>
      <x:c r="C31" s="362" t="s">
        <x:v>2220</x:v>
      </x:c>
      <x:c r="D31" s="363"/>
      <x:c r="E31" s="363"/>
      <x:c r="F31" s="363"/>
      <x:c r="G31" s="363"/>
      <x:c r="H31" s="363"/>
      <x:c r="I31" s="363"/>
      <x:c r="J31" s="363"/>
      <x:c r="K31" s="6"/>
      <x:c r="L31" s="6"/>
      <x:c r="M31" s="6"/>
      <x:c r="N31" s="6"/>
      <x:c r="O31" s="6"/>
      <x:c r="P31" s="6"/>
      <x:c r="Q31" s="6"/>
      <x:c r="R31" s="6"/>
      <x:c r="S31" s="6"/>
      <x:c r="T31" s="6"/>
      <x:c r="U31" s="6"/>
      <x:c r="V31" s="6"/>
      <x:c r="W31" s="6"/>
      <x:c r="X31" s="6"/>
      <x:c r="Y31" s="6"/>
      <x:c r="Z31" s="6"/>
    </x:row>
    <x:row r="32" s="1" customFormat="1" ht="24" hidden="0" customHeight="1">
      <x:c r="A32" s="360" t="s">
        <x:v>2221</x:v>
      </x:c>
      <x:c r="B32" s="361" t="s">
        <x:v>233</x:v>
      </x:c>
      <x:c r="C32" s="361" t="s">
        <x:v>2222</x:v>
      </x:c>
      <x:c r="D32" s="363"/>
      <x:c r="E32" s="363"/>
      <x:c r="F32" s="363"/>
      <x:c r="G32" s="363"/>
      <x:c r="H32" s="363"/>
      <x:c r="I32" s="363"/>
      <x:c r="J32" s="363"/>
      <x:c r="K32" s="6"/>
      <x:c r="L32" s="6"/>
      <x:c r="M32" s="6"/>
      <x:c r="N32" s="6"/>
      <x:c r="O32" s="6"/>
      <x:c r="P32" s="6"/>
      <x:c r="Q32" s="6"/>
      <x:c r="R32" s="6"/>
      <x:c r="S32" s="6"/>
      <x:c r="T32" s="6"/>
      <x:c r="U32" s="6"/>
      <x:c r="V32" s="6"/>
      <x:c r="W32" s="6"/>
      <x:c r="X32" s="6"/>
      <x:c r="Y32" s="6"/>
      <x:c r="Z32" s="6"/>
    </x:row>
    <x:row r="33" s="1" customFormat="1" ht="24" hidden="0" customHeight="1">
      <x:c r="A33" s="360" t="s">
        <x:v>2223</x:v>
      </x:c>
      <x:c r="B33" s="362" t="s">
        <x:v>2224</x:v>
      </x:c>
      <x:c r="C33" s="362" t="s">
        <x:v>2225</x:v>
      </x:c>
      <x:c r="D33" s="363"/>
      <x:c r="E33" s="363"/>
      <x:c r="F33" s="363"/>
      <x:c r="G33" s="363"/>
      <x:c r="H33" s="363"/>
      <x:c r="I33" s="363"/>
      <x:c r="J33" s="363"/>
      <x:c r="K33" s="6"/>
      <x:c r="L33" s="6"/>
      <x:c r="M33" s="6"/>
      <x:c r="N33" s="6"/>
      <x:c r="O33" s="6"/>
      <x:c r="P33" s="6"/>
      <x:c r="Q33" s="6"/>
      <x:c r="R33" s="6"/>
      <x:c r="S33" s="6"/>
      <x:c r="T33" s="6"/>
      <x:c r="U33" s="6"/>
      <x:c r="V33" s="6"/>
      <x:c r="W33" s="6"/>
      <x:c r="X33" s="6"/>
      <x:c r="Y33" s="6"/>
      <x:c r="Z33" s="6"/>
    </x:row>
    <x:row r="34" s="1" customFormat="1" ht="48" hidden="0" customHeight="1">
      <x:c r="A34" s="360" t="s">
        <x:v>2226</x:v>
      </x:c>
      <x:c r="B34" s="361" t="s">
        <x:v>429</x:v>
      </x:c>
      <x:c r="C34" s="361" t="s">
        <x:v>2227</x:v>
      </x:c>
      <x:c r="D34" s="363"/>
      <x:c r="E34" s="363"/>
      <x:c r="F34" s="363"/>
      <x:c r="G34" s="363"/>
      <x:c r="H34" s="363"/>
      <x:c r="I34" s="363"/>
      <x:c r="J34" s="363"/>
      <x:c r="K34" s="6"/>
      <x:c r="L34" s="6"/>
      <x:c r="M34" s="6"/>
      <x:c r="N34" s="6"/>
      <x:c r="O34" s="6"/>
      <x:c r="P34" s="6"/>
      <x:c r="Q34" s="6"/>
      <x:c r="R34" s="6"/>
      <x:c r="S34" s="6"/>
      <x:c r="T34" s="6"/>
      <x:c r="U34" s="6"/>
      <x:c r="V34" s="6"/>
      <x:c r="W34" s="6"/>
      <x:c r="X34" s="6"/>
      <x:c r="Y34" s="6"/>
      <x:c r="Z34" s="6"/>
    </x:row>
    <x:row r="35" s="1" customFormat="1" ht="33" hidden="0" customHeight="1">
      <x:c r="A35" s="360" t="s">
        <x:v>2228</x:v>
      </x:c>
      <x:c r="B35" s="393" t="str">
        <x:v>Worked-run publishable with a non-decisive framework verdict, explicit uncertainty sensitivity, and a separate authority-selection boundary</x:v>
      </x:c>
      <x:c r="C35" s="362" t="s">
        <x:v>2229</x:v>
      </x:c>
      <x:c r="D35" s="363"/>
      <x:c r="E35" s="363"/>
      <x:c r="F35" s="363"/>
      <x:c r="G35" s="363"/>
      <x:c r="H35" s="363"/>
      <x:c r="I35" s="363"/>
      <x:c r="J35" s="363"/>
      <x:c r="K35" s="6"/>
      <x:c r="L35" s="6"/>
      <x:c r="M35" s="6"/>
      <x:c r="N35" s="6"/>
      <x:c r="O35" s="6"/>
      <x:c r="P35" s="6"/>
      <x:c r="Q35" s="6"/>
      <x:c r="R35" s="6"/>
      <x:c r="S35" s="6"/>
      <x:c r="T35" s="6"/>
      <x:c r="U35" s="6"/>
      <x:c r="V35" s="6"/>
      <x:c r="W35" s="6"/>
      <x:c r="X35" s="6"/>
      <x:c r="Y35" s="6"/>
      <x:c r="Z35" s="6"/>
    </x:row>
    <x:row r="36" s="1" customFormat="1" ht="36" hidden="0" customHeight="1">
      <x:c r="A36" s="360" t="s">
        <x:v>2230</x:v>
      </x:c>
      <x:c r="B36" s="361" t="s">
        <x:v>2231</x:v>
      </x:c>
      <x:c r="C36" s="361" t="s">
        <x:v>2232</x:v>
      </x:c>
      <x:c r="D36" s="363"/>
      <x:c r="E36" s="363"/>
      <x:c r="F36" s="363"/>
      <x:c r="G36" s="363"/>
      <x:c r="H36" s="363"/>
      <x:c r="I36" s="363"/>
      <x:c r="J36" s="363"/>
      <x:c r="K36" s="6"/>
      <x:c r="L36" s="6"/>
      <x:c r="M36" s="6"/>
      <x:c r="N36" s="6"/>
      <x:c r="O36" s="6"/>
      <x:c r="P36" s="6"/>
      <x:c r="Q36" s="6"/>
      <x:c r="R36" s="6"/>
      <x:c r="S36" s="6"/>
      <x:c r="T36" s="6"/>
      <x:c r="U36" s="6"/>
      <x:c r="V36" s="6"/>
      <x:c r="W36" s="6"/>
      <x:c r="X36" s="6"/>
      <x:c r="Y36" s="6"/>
      <x:c r="Z36" s="6"/>
    </x:row>
    <x:row r="37" s="1" customFormat="1" ht="14.25" hidden="0" customHeight="1">
      <x:c r="A37" s="360" t="s">
        <x:v>2233</x:v>
      </x:c>
      <x:c r="B37" s="393" t="n">
        <x:v>0</x:v>
      </x:c>
      <x:c r="C37" s="363"/>
      <x:c r="D37" s="363"/>
      <x:c r="E37" s="363"/>
      <x:c r="F37" s="363"/>
      <x:c r="G37" s="363"/>
      <x:c r="H37" s="363"/>
      <x:c r="I37" s="363"/>
      <x:c r="J37" s="363"/>
      <x:c r="K37" s="6"/>
      <x:c r="L37" s="6"/>
      <x:c r="M37" s="6"/>
      <x:c r="N37" s="6"/>
      <x:c r="O37" s="6"/>
      <x:c r="P37" s="6"/>
      <x:c r="Q37" s="6"/>
      <x:c r="R37" s="6"/>
      <x:c r="S37" s="6"/>
      <x:c r="T37" s="6"/>
      <x:c r="U37" s="6"/>
      <x:c r="V37" s="6"/>
      <x:c r="W37" s="6"/>
      <x:c r="X37" s="6"/>
      <x:c r="Y37" s="6"/>
      <x:c r="Z37" s="6"/>
    </x:row>
    <x:row r="38" s="1" customFormat="1" ht="14.25" hidden="0" customHeight="1">
      <x:c r="A38" s="363"/>
      <x:c r="B38" s="394"/>
      <x:c r="C38" s="363"/>
      <x:c r="D38" s="363"/>
      <x:c r="E38" s="363"/>
      <x:c r="F38" s="363"/>
      <x:c r="G38" s="363"/>
      <x:c r="H38" s="363"/>
      <x:c r="I38" s="363"/>
      <x:c r="J38" s="363"/>
      <x:c r="K38" s="6"/>
      <x:c r="L38" s="6"/>
      <x:c r="M38" s="6"/>
      <x:c r="N38" s="6"/>
      <x:c r="O38" s="6"/>
      <x:c r="P38" s="6"/>
      <x:c r="Q38" s="6"/>
      <x:c r="R38" s="6"/>
      <x:c r="S38" s="6"/>
      <x:c r="T38" s="6"/>
      <x:c r="U38" s="6"/>
      <x:c r="V38" s="6"/>
      <x:c r="W38" s="6"/>
      <x:c r="X38" s="6"/>
      <x:c r="Y38" s="6"/>
      <x:c r="Z38" s="6"/>
    </x:row>
    <x:row r="39" s="1" customFormat="1" ht="14.25" hidden="0" customHeight="1">
      <x:c r="A39" s="360" t="s">
        <x:v>2234</x:v>
      </x:c>
      <x:c r="B39" s="362" t="str">
        <x:v>ESCALATION_REQUIRED; NONDECISIVE_GAP_REVIEW; UNCERTAINTY_DECISIVENESS_SENSITIVE</x:v>
      </x:c>
      <x:c r="C39" s="363"/>
      <x:c r="D39" s="363"/>
      <x:c r="E39" s="363"/>
      <x:c r="F39" s="363"/>
      <x:c r="G39" s="363"/>
      <x:c r="H39" s="363"/>
      <x:c r="I39" s="363"/>
      <x:c r="J39" s="363"/>
      <x:c r="K39" s="6"/>
      <x:c r="L39" s="6"/>
      <x:c r="M39" s="6"/>
      <x:c r="N39" s="6"/>
      <x:c r="O39" s="6"/>
      <x:c r="P39" s="6"/>
      <x:c r="Q39" s="6"/>
      <x:c r="R39" s="6"/>
      <x:c r="S39" s="6"/>
      <x:c r="T39" s="6"/>
      <x:c r="U39" s="6"/>
      <x:c r="V39" s="6"/>
      <x:c r="W39" s="6"/>
      <x:c r="X39" s="6"/>
      <x:c r="Y39" s="6"/>
      <x:c r="Z39" s="6"/>
    </x:row>
    <x:row r="40" s="1" customFormat="1" ht="14.25" hidden="0" customHeight="1">
      <x:c r="A40" s="363"/>
      <x:c r="B40" s="363"/>
      <x:c r="C40" s="363"/>
      <x:c r="D40" s="363"/>
      <x:c r="E40" s="363"/>
      <x:c r="F40" s="363"/>
      <x:c r="G40" s="363"/>
      <x:c r="H40" s="363"/>
      <x:c r="I40" s="363"/>
      <x:c r="J40" s="363"/>
      <x:c r="K40" s="6"/>
      <x:c r="L40" s="6"/>
      <x:c r="M40" s="6"/>
      <x:c r="N40" s="6"/>
      <x:c r="O40" s="6"/>
      <x:c r="P40" s="6"/>
      <x:c r="Q40" s="6"/>
      <x:c r="R40" s="6"/>
      <x:c r="S40" s="6"/>
      <x:c r="T40" s="6"/>
      <x:c r="U40" s="6"/>
      <x:c r="V40" s="6"/>
      <x:c r="W40" s="6"/>
      <x:c r="X40" s="6"/>
      <x:c r="Y40" s="6"/>
      <x:c r="Z40" s="6"/>
    </x:row>
    <x:row r="41" s="1" customFormat="1" ht="14.25" hidden="0" customHeight="1">
      <x:c r="A41" s="371"/>
      <x:c r="B41" s="363"/>
      <x:c r="C41" s="363"/>
      <x:c r="D41" s="363"/>
      <x:c r="E41" s="363"/>
      <x:c r="F41" s="363"/>
      <x:c r="G41" s="363"/>
      <x:c r="H41" s="363"/>
      <x:c r="I41" s="363"/>
      <x:c r="J41" s="363"/>
      <x:c r="K41" s="6"/>
      <x:c r="L41" s="6"/>
      <x:c r="M41" s="6"/>
      <x:c r="N41" s="6"/>
      <x:c r="O41" s="6"/>
      <x:c r="P41" s="6"/>
      <x:c r="Q41" s="6"/>
      <x:c r="R41" s="6"/>
      <x:c r="S41" s="6"/>
      <x:c r="T41" s="6"/>
      <x:c r="U41" s="6"/>
      <x:c r="V41" s="6"/>
      <x:c r="W41" s="6"/>
      <x:c r="X41" s="6"/>
      <x:c r="Y41" s="6"/>
      <x:c r="Z41" s="6"/>
    </x:row>
    <x:row r="42" s="1" customFormat="1" ht="14.25" hidden="0" customHeight="1">
      <x:c r="A42" s="360" t="s">
        <x:v>233</x:v>
      </x:c>
      <x:c r="B42" s="361" t="s">
        <x:v>2235</x:v>
      </x:c>
      <x:c r="C42" s="363"/>
      <x:c r="D42" s="363"/>
      <x:c r="E42" s="363"/>
      <x:c r="F42" s="363"/>
      <x:c r="G42" s="363"/>
      <x:c r="H42" s="363"/>
      <x:c r="I42" s="363"/>
      <x:c r="J42" s="363"/>
      <x:c r="K42" s="6"/>
      <x:c r="L42" s="6"/>
      <x:c r="M42" s="6"/>
      <x:c r="N42" s="6"/>
      <x:c r="O42" s="6"/>
      <x:c r="P42" s="6"/>
      <x:c r="Q42" s="6"/>
      <x:c r="R42" s="6"/>
      <x:c r="S42" s="6"/>
      <x:c r="T42" s="6"/>
      <x:c r="U42" s="6"/>
      <x:c r="V42" s="6"/>
      <x:c r="W42" s="6"/>
      <x:c r="X42" s="6"/>
      <x:c r="Y42" s="6"/>
      <x:c r="Z42" s="6"/>
    </x:row>
    <x:row r="43" s="1" customFormat="1" ht="14.25" hidden="0" customHeight="1">
      <x:c r="A43" s="363"/>
      <x:c r="B43" s="363"/>
      <x:c r="C43" s="363"/>
      <x:c r="D43" s="363"/>
      <x:c r="E43" s="363"/>
      <x:c r="F43" s="363"/>
      <x:c r="G43" s="363"/>
      <x:c r="H43" s="363"/>
      <x:c r="I43" s="363"/>
      <x:c r="J43" s="363"/>
      <x:c r="K43" s="6"/>
      <x:c r="L43" s="6"/>
      <x:c r="M43" s="6"/>
      <x:c r="N43" s="6"/>
      <x:c r="O43" s="6"/>
      <x:c r="P43" s="6"/>
      <x:c r="Q43" s="6"/>
      <x:c r="R43" s="6"/>
      <x:c r="S43" s="6"/>
      <x:c r="T43" s="6"/>
      <x:c r="U43" s="6"/>
      <x:c r="V43" s="6"/>
      <x:c r="W43" s="6"/>
      <x:c r="X43" s="6"/>
      <x:c r="Y43" s="6"/>
      <x:c r="Z43" s="6"/>
    </x:row>
    <x:row r="44" s="1" customFormat="1" ht="14.25" hidden="0" customHeight="1">
      <x:c r="A44" s="363"/>
      <x:c r="B44" s="363"/>
      <x:c r="C44" s="363"/>
      <x:c r="D44" s="363"/>
      <x:c r="E44" s="363"/>
      <x:c r="F44" s="363"/>
      <x:c r="G44" s="363"/>
      <x:c r="H44" s="363"/>
      <x:c r="I44" s="363"/>
      <x:c r="J44" s="363"/>
      <x:c r="K44" s="6"/>
      <x:c r="L44" s="6"/>
      <x:c r="M44" s="6"/>
      <x:c r="N44" s="6"/>
      <x:c r="O44" s="6"/>
      <x:c r="P44" s="6"/>
      <x:c r="Q44" s="6"/>
      <x:c r="R44" s="6"/>
      <x:c r="S44" s="6"/>
      <x:c r="T44" s="6"/>
      <x:c r="U44" s="6"/>
      <x:c r="V44" s="6"/>
      <x:c r="W44" s="6"/>
      <x:c r="X44" s="6"/>
      <x:c r="Y44" s="6"/>
      <x:c r="Z44" s="6"/>
    </x:row>
    <x:row r="45" s="1" customFormat="1" ht="14.25" hidden="0" customHeight="1">
      <x:c r="A45" s="360" t="s">
        <x:v>2236</x:v>
      </x:c>
      <x:c r="B45" s="362" t="n">
        <x:v>3</x:v>
      </x:c>
      <x:c r="C45" s="363"/>
      <x:c r="D45" s="363"/>
      <x:c r="E45" s="363"/>
      <x:c r="F45" s="363"/>
      <x:c r="G45" s="363"/>
      <x:c r="H45" s="363"/>
      <x:c r="I45" s="363"/>
      <x:c r="J45" s="363"/>
      <x:c r="K45" s="6"/>
      <x:c r="L45" s="6"/>
      <x:c r="M45" s="6"/>
      <x:c r="N45" s="6"/>
      <x:c r="O45" s="6"/>
      <x:c r="P45" s="6"/>
      <x:c r="Q45" s="6"/>
      <x:c r="R45" s="6"/>
      <x:c r="S45" s="6"/>
      <x:c r="T45" s="6"/>
      <x:c r="U45" s="6"/>
      <x:c r="V45" s="6"/>
      <x:c r="W45" s="6"/>
      <x:c r="X45" s="6"/>
      <x:c r="Y45" s="6"/>
      <x:c r="Z45" s="6"/>
    </x:row>
    <x:row r="46" s="1" customFormat="1" ht="14.25" hidden="0" customHeight="1">
      <x:c r="A46" s="363"/>
      <x:c r="B46" s="363"/>
      <x:c r="C46" s="363"/>
      <x:c r="D46" s="363"/>
      <x:c r="E46" s="363"/>
      <x:c r="F46" s="363"/>
      <x:c r="G46" s="363"/>
      <x:c r="H46" s="363"/>
      <x:c r="I46" s="363"/>
      <x:c r="J46" s="363"/>
      <x:c r="K46" s="6"/>
      <x:c r="L46" s="6"/>
      <x:c r="M46" s="6"/>
      <x:c r="N46" s="6"/>
      <x:c r="O46" s="6"/>
      <x:c r="P46" s="6"/>
      <x:c r="Q46" s="6"/>
      <x:c r="R46" s="6"/>
      <x:c r="S46" s="6"/>
      <x:c r="T46" s="6"/>
      <x:c r="U46" s="6"/>
      <x:c r="V46" s="6"/>
      <x:c r="W46" s="6"/>
      <x:c r="X46" s="6"/>
      <x:c r="Y46" s="6"/>
      <x:c r="Z46" s="6"/>
    </x:row>
    <x:row r="47" s="1" customFormat="1" ht="14.25" hidden="0" customHeight="1">
      <x:c r="A47" s="363"/>
      <x:c r="B47" s="363"/>
      <x:c r="C47" s="363"/>
      <x:c r="D47" s="363"/>
      <x:c r="E47" s="363"/>
      <x:c r="F47" s="363"/>
      <x:c r="G47" s="363"/>
      <x:c r="H47" s="363"/>
      <x:c r="I47" s="363"/>
      <x:c r="J47" s="363"/>
      <x:c r="K47" s="6"/>
      <x:c r="L47" s="6"/>
      <x:c r="M47" s="6"/>
      <x:c r="N47" s="6"/>
      <x:c r="O47" s="6"/>
      <x:c r="P47" s="6"/>
      <x:c r="Q47" s="6"/>
      <x:c r="R47" s="6"/>
      <x:c r="S47" s="6"/>
      <x:c r="T47" s="6"/>
      <x:c r="U47" s="6"/>
      <x:c r="V47" s="6"/>
      <x:c r="W47" s="6"/>
      <x:c r="X47" s="6"/>
      <x:c r="Y47" s="6"/>
      <x:c r="Z47" s="6"/>
    </x:row>
    <x:row r="48" s="1" customFormat="1" ht="14.25" hidden="0" customHeight="1">
      <x:c r="A48" s="363"/>
      <x:c r="B48" s="363"/>
      <x:c r="C48" s="363"/>
      <x:c r="D48" s="363"/>
      <x:c r="E48" s="363"/>
      <x:c r="F48" s="363"/>
      <x:c r="G48" s="363"/>
      <x:c r="H48" s="363"/>
      <x:c r="I48" s="363"/>
      <x:c r="J48" s="363"/>
      <x:c r="K48" s="6"/>
      <x:c r="L48" s="6"/>
      <x:c r="M48" s="6"/>
      <x:c r="N48" s="6"/>
      <x:c r="O48" s="6"/>
      <x:c r="P48" s="6"/>
      <x:c r="Q48" s="6"/>
      <x:c r="R48" s="6"/>
      <x:c r="S48" s="6"/>
      <x:c r="T48" s="6"/>
      <x:c r="U48" s="6"/>
      <x:c r="V48" s="6"/>
      <x:c r="W48" s="6"/>
      <x:c r="X48" s="6"/>
      <x:c r="Y48" s="6"/>
      <x:c r="Z48" s="6"/>
    </x:row>
    <x:row r="49" s="1" customFormat="1" ht="14.25" hidden="0" customHeight="1">
      <x:c r="A49" s="360" t="s">
        <x:v>2237</x:v>
      </x:c>
      <x:c r="B49" s="363"/>
      <x:c r="C49" s="363"/>
      <x:c r="D49" s="363"/>
      <x:c r="E49" s="363"/>
      <x:c r="F49" s="363"/>
      <x:c r="G49" s="363"/>
      <x:c r="H49" s="363"/>
      <x:c r="I49" s="363"/>
      <x:c r="J49" s="363"/>
      <x:c r="K49" s="6"/>
      <x:c r="L49" s="6"/>
      <x:c r="M49" s="6"/>
      <x:c r="N49" s="6"/>
      <x:c r="O49" s="6"/>
      <x:c r="P49" s="6"/>
      <x:c r="Q49" s="6"/>
      <x:c r="R49" s="6"/>
      <x:c r="S49" s="6"/>
      <x:c r="T49" s="6"/>
      <x:c r="U49" s="6"/>
      <x:c r="V49" s="6"/>
      <x:c r="W49" s="6"/>
      <x:c r="X49" s="6"/>
      <x:c r="Y49" s="6"/>
      <x:c r="Z49" s="6"/>
    </x:row>
    <x:row r="50" s="1" customFormat="1" ht="26.25" hidden="0" customHeight="1">
      <x:c r="A50" s="360" t="str">
        <x:v>1. ✓ Non-decisive framework verdict, uncertainty sensitivity, and separate authority selection documented</x:v>
      </x:c>
      <x:c r="B50" s="363"/>
      <x:c r="C50" s="363"/>
      <x:c r="D50" s="363"/>
      <x:c r="E50" s="363"/>
      <x:c r="F50" s="363"/>
      <x:c r="G50" s="363"/>
      <x:c r="H50" s="363"/>
      <x:c r="I50" s="363"/>
      <x:c r="J50" s="363"/>
      <x:c r="K50" s="6"/>
      <x:c r="L50" s="6"/>
      <x:c r="M50" s="6"/>
      <x:c r="N50" s="6"/>
      <x:c r="O50" s="6"/>
      <x:c r="P50" s="6"/>
      <x:c r="Q50" s="6"/>
      <x:c r="R50" s="6"/>
      <x:c r="S50" s="6"/>
      <x:c r="T50" s="6"/>
      <x:c r="U50" s="6"/>
      <x:c r="V50" s="6"/>
      <x:c r="W50" s="6"/>
      <x:c r="X50" s="6"/>
      <x:c r="Y50" s="6"/>
      <x:c r="Z50" s="6"/>
    </x:row>
    <x:row r="51" s="1" customFormat="1" ht="26.25" hidden="0" customHeight="1">
      <x:c r="A51" s="360" t="s">
        <x:v>2238</x:v>
      </x:c>
      <x:c r="B51" s="363"/>
      <x:c r="C51" s="363"/>
      <x:c r="D51" s="363"/>
      <x:c r="E51" s="363"/>
      <x:c r="F51" s="363"/>
      <x:c r="G51" s="363"/>
      <x:c r="H51" s="363"/>
      <x:c r="I51" s="363"/>
      <x:c r="J51" s="363"/>
      <x:c r="K51" s="6"/>
      <x:c r="L51" s="6"/>
      <x:c r="M51" s="6"/>
      <x:c r="N51" s="6"/>
      <x:c r="O51" s="6"/>
      <x:c r="P51" s="6"/>
      <x:c r="Q51" s="6"/>
      <x:c r="R51" s="6"/>
      <x:c r="S51" s="6"/>
      <x:c r="T51" s="6"/>
      <x:c r="U51" s="6"/>
      <x:c r="V51" s="6"/>
      <x:c r="W51" s="6"/>
      <x:c r="X51" s="6"/>
      <x:c r="Y51" s="6"/>
      <x:c r="Z51" s="6"/>
    </x:row>
    <x:row r="52" s="1" customFormat="1" ht="14.25" hidden="0" customHeight="1">
      <x:c r="A52" s="360" t="s">
        <x:v>2239</x:v>
      </x:c>
      <x:c r="B52" s="361" t="s">
        <x:v>2240</x:v>
      </x:c>
      <x:c r="C52" s="363"/>
      <x:c r="D52" s="363"/>
      <x:c r="E52" s="363"/>
      <x:c r="F52" s="363"/>
      <x:c r="G52" s="363"/>
      <x:c r="H52" s="363"/>
      <x:c r="I52" s="363"/>
      <x:c r="J52" s="363"/>
      <x:c r="K52" s="6"/>
      <x:c r="L52" s="6"/>
      <x:c r="M52" s="6"/>
      <x:c r="N52" s="6"/>
      <x:c r="O52" s="6"/>
      <x:c r="P52" s="6"/>
      <x:c r="Q52" s="6"/>
      <x:c r="R52" s="6"/>
      <x:c r="S52" s="6"/>
      <x:c r="T52" s="6"/>
      <x:c r="U52" s="6"/>
      <x:c r="V52" s="6"/>
      <x:c r="W52" s="6"/>
      <x:c r="X52" s="6"/>
      <x:c r="Y52" s="6"/>
      <x:c r="Z52" s="6"/>
    </x:row>
    <x:row r="53" s="1" customFormat="1" ht="26.25" hidden="0" customHeight="1">
      <x:c r="A53" s="360" t="s">
        <x:v>2241</x:v>
      </x:c>
      <x:c r="B53" s="363"/>
      <x:c r="C53" s="363"/>
      <x:c r="D53" s="363"/>
      <x:c r="E53" s="363"/>
      <x:c r="F53" s="363"/>
      <x:c r="G53" s="363"/>
      <x:c r="H53" s="363"/>
      <x:c r="I53" s="363"/>
      <x:c r="J53" s="363"/>
      <x:c r="K53" s="6"/>
      <x:c r="L53" s="6"/>
      <x:c r="M53" s="6"/>
      <x:c r="N53" s="6"/>
      <x:c r="O53" s="6"/>
      <x:c r="P53" s="6"/>
      <x:c r="Q53" s="6"/>
      <x:c r="R53" s="6"/>
      <x:c r="S53" s="6"/>
      <x:c r="T53" s="6"/>
      <x:c r="U53" s="6"/>
      <x:c r="V53" s="6"/>
      <x:c r="W53" s="6"/>
      <x:c r="X53" s="6"/>
      <x:c r="Y53" s="6"/>
      <x:c r="Z53" s="6"/>
    </x:row>
    <x:row r="54" s="1" customFormat="1" ht="14.25" hidden="0" customHeight="1">
      <x:c r="A54" s="363"/>
      <x:c r="B54" s="363"/>
      <x:c r="C54" s="363"/>
      <x:c r="D54" s="363"/>
      <x:c r="E54" s="363"/>
      <x:c r="F54" s="363"/>
      <x:c r="G54" s="363"/>
      <x:c r="H54" s="363"/>
      <x:c r="I54" s="363"/>
      <x:c r="J54" s="363"/>
      <x:c r="K54" s="6"/>
      <x:c r="L54" s="6"/>
      <x:c r="M54" s="6"/>
      <x:c r="N54" s="6"/>
      <x:c r="O54" s="6"/>
      <x:c r="P54" s="6"/>
      <x:c r="Q54" s="6"/>
      <x:c r="R54" s="6"/>
      <x:c r="S54" s="6"/>
      <x:c r="T54" s="6"/>
      <x:c r="U54" s="6"/>
      <x:c r="V54" s="6"/>
      <x:c r="W54" s="6"/>
      <x:c r="X54" s="6"/>
      <x:c r="Y54" s="6"/>
      <x:c r="Z54" s="6"/>
    </x:row>
    <x:row r="55" s="1" customFormat="1" ht="24" hidden="0" customHeight="1">
      <x:c r="A55" s="360" t="s">
        <x:v>2242</x:v>
      </x:c>
      <x:c r="B55" s="363"/>
      <x:c r="C55" s="363"/>
      <x:c r="D55" s="363"/>
      <x:c r="E55" s="363"/>
      <x:c r="F55" s="363"/>
      <x:c r="G55" s="363"/>
      <x:c r="H55" s="363"/>
      <x:c r="I55" s="363"/>
      <x:c r="J55" s="363"/>
      <x:c r="K55" s="6"/>
      <x:c r="L55" s="6"/>
      <x:c r="M55" s="6"/>
      <x:c r="N55" s="6"/>
      <x:c r="O55" s="6"/>
      <x:c r="P55" s="6"/>
      <x:c r="Q55" s="6"/>
      <x:c r="R55" s="6"/>
      <x:c r="S55" s="6"/>
      <x:c r="T55" s="6"/>
      <x:c r="U55" s="6"/>
      <x:c r="V55" s="6"/>
      <x:c r="W55" s="6"/>
      <x:c r="X55" s="6"/>
      <x:c r="Y55" s="6"/>
      <x:c r="Z55" s="6"/>
    </x:row>
    <x:row r="56" s="1" customFormat="1" ht="14.25" hidden="0" customHeight="1">
      <x:c r="A56" s="360" t="s">
        <x:v>2243</x:v>
      </x:c>
      <x:c r="B56" s="361" t="s">
        <x:v>601</x:v>
      </x:c>
      <x:c r="C56" s="363"/>
      <x:c r="D56" s="363"/>
      <x:c r="E56" s="363"/>
      <x:c r="F56" s="363"/>
      <x:c r="G56" s="363"/>
      <x:c r="H56" s="363"/>
      <x:c r="I56" s="363"/>
      <x:c r="J56" s="363"/>
      <x:c r="K56" s="6"/>
      <x:c r="L56" s="6"/>
      <x:c r="M56" s="6"/>
      <x:c r="N56" s="6"/>
      <x:c r="O56" s="6"/>
      <x:c r="P56" s="6"/>
      <x:c r="Q56" s="6"/>
      <x:c r="R56" s="6"/>
      <x:c r="S56" s="6"/>
      <x:c r="T56" s="6"/>
      <x:c r="U56" s="6"/>
      <x:c r="V56" s="6"/>
      <x:c r="W56" s="6"/>
      <x:c r="X56" s="6"/>
      <x:c r="Y56" s="6"/>
      <x:c r="Z56" s="6"/>
    </x:row>
    <x:row r="57" s="1" customFormat="1" ht="24" hidden="0" customHeight="1">
      <x:c r="A57" s="360" t="s">
        <x:v>2244</x:v>
      </x:c>
      <x:c r="B57" s="362" t="s">
        <x:v>2245</x:v>
      </x:c>
      <x:c r="C57" s="363"/>
      <x:c r="D57" s="363"/>
      <x:c r="E57" s="363"/>
      <x:c r="F57" s="363"/>
      <x:c r="G57" s="363"/>
      <x:c r="H57" s="363"/>
      <x:c r="I57" s="363"/>
      <x:c r="J57" s="363"/>
      <x:c r="K57" s="6"/>
      <x:c r="L57" s="6"/>
      <x:c r="M57" s="6"/>
      <x:c r="N57" s="6"/>
      <x:c r="O57" s="6"/>
      <x:c r="P57" s="6"/>
      <x:c r="Q57" s="6"/>
      <x:c r="R57" s="6"/>
      <x:c r="S57" s="6"/>
      <x:c r="T57" s="6"/>
      <x:c r="U57" s="6"/>
      <x:c r="V57" s="6"/>
      <x:c r="W57" s="6"/>
      <x:c r="X57" s="6"/>
      <x:c r="Y57" s="6"/>
      <x:c r="Z57" s="6"/>
    </x:row>
    <x:row r="58" s="1" customFormat="1" ht="14.25" hidden="0" customHeight="1">
      <x:c r="A58" s="360" t="s">
        <x:v>2246</x:v>
      </x:c>
      <x:c r="B58" s="361" t="s">
        <x:v>2247</x:v>
      </x:c>
      <x:c r="C58" s="363"/>
      <x:c r="D58" s="363"/>
      <x:c r="E58" s="363"/>
      <x:c r="F58" s="363"/>
      <x:c r="G58" s="363"/>
      <x:c r="H58" s="363"/>
      <x:c r="I58" s="363"/>
      <x:c r="J58" s="363"/>
      <x:c r="K58" s="6"/>
      <x:c r="L58" s="6"/>
      <x:c r="M58" s="6"/>
      <x:c r="N58" s="6"/>
      <x:c r="O58" s="6"/>
      <x:c r="P58" s="6"/>
      <x:c r="Q58" s="6"/>
      <x:c r="R58" s="6"/>
      <x:c r="S58" s="6"/>
      <x:c r="T58" s="6"/>
      <x:c r="U58" s="6"/>
      <x:c r="V58" s="6"/>
      <x:c r="W58" s="6"/>
      <x:c r="X58" s="6"/>
      <x:c r="Y58" s="6"/>
      <x:c r="Z58" s="6"/>
    </x:row>
    <x:row r="59" s="1" customFormat="1" ht="14.25" hidden="0" customHeight="1">
      <x:c r="A59" s="360" t="s">
        <x:v>2248</x:v>
      </x:c>
      <x:c r="B59" s="362" t="s">
        <x:v>2249</x:v>
      </x:c>
      <x:c r="C59" s="363"/>
      <x:c r="D59" s="363"/>
      <x:c r="E59" s="363"/>
      <x:c r="F59" s="363"/>
      <x:c r="G59" s="363"/>
      <x:c r="H59" s="363"/>
      <x:c r="I59" s="363"/>
      <x:c r="J59" s="363"/>
      <x:c r="K59" s="6"/>
      <x:c r="L59" s="6"/>
      <x:c r="M59" s="6"/>
      <x:c r="N59" s="6"/>
      <x:c r="O59" s="6"/>
      <x:c r="P59" s="6"/>
      <x:c r="Q59" s="6"/>
      <x:c r="R59" s="6"/>
      <x:c r="S59" s="6"/>
      <x:c r="T59" s="6"/>
      <x:c r="U59" s="6"/>
      <x:c r="V59" s="6"/>
      <x:c r="W59" s="6"/>
      <x:c r="X59" s="6"/>
      <x:c r="Y59" s="6"/>
      <x:c r="Z59" s="6"/>
    </x:row>
    <x:row r="60" s="1" customFormat="1" ht="90" hidden="0" customHeight="1">
      <x:c r="A60" s="360" t="s">
        <x:v>88</x:v>
      </x:c>
      <x:c r="B60" s="361" t="str">
        <x:v>Worked-run publishability is not ecosystem ProofPack readiness. This workbook instance is suitable to publish as a bounded worked-run exemplar. DETERMINISTIC_FRAMEWORK_SELECTION = NO because a computed uncertainty stress changes decisiveness. Option A is a separate accountable authority selection, while lawful execution authorization remains distinct. The workbook does not establish empirical validation, safe deployment, legal authority, or Tier-4 readiness.</x:v>
      </x:c>
      <x:c r="C60" s="363"/>
      <x:c r="D60" s="363"/>
      <x:c r="E60" s="363"/>
      <x:c r="F60" s="363"/>
      <x:c r="G60" s="363"/>
      <x:c r="H60" s="363"/>
      <x:c r="I60" s="363"/>
      <x:c r="J60" s="363"/>
      <x:c r="K60" s="6"/>
      <x:c r="L60" s="6"/>
      <x:c r="M60" s="6"/>
      <x:c r="N60" s="6"/>
      <x:c r="O60" s="6"/>
      <x:c r="P60" s="6"/>
      <x:c r="Q60" s="6"/>
      <x:c r="R60" s="6"/>
      <x:c r="S60" s="6"/>
      <x:c r="T60" s="6"/>
      <x:c r="U60" s="6"/>
      <x:c r="V60" s="6"/>
      <x:c r="W60" s="6"/>
      <x:c r="X60" s="6"/>
      <x:c r="Y60" s="6"/>
      <x:c r="Z60" s="6"/>
    </x:row>
    <x:row r="61" s="1" customFormat="1" ht="90" hidden="0" customHeight="1">
      <x:c r="A61" s="360" t="s">
        <x:v>2250</x:v>
      </x:c>
      <x:c r="B61" s="362" t="str">
        <x:v>Active ESCALATE and REVIEW flags require reviewer attention, explicit authority routing, and monitoring. They do not negate bounded worked-run publishability because no INVALID or sanity-failure condition is active.</x:v>
      </x:c>
      <x:c r="C61" s="363"/>
      <x:c r="D61" s="363"/>
      <x:c r="E61" s="363"/>
      <x:c r="F61" s="363"/>
      <x:c r="G61" s="363"/>
      <x:c r="H61" s="363"/>
      <x:c r="I61" s="363"/>
      <x:c r="J61" s="363"/>
      <x:c r="K61" s="6"/>
      <x:c r="L61" s="6"/>
      <x:c r="M61" s="6"/>
      <x:c r="N61" s="6"/>
      <x:c r="O61" s="6"/>
      <x:c r="P61" s="6"/>
      <x:c r="Q61" s="6"/>
      <x:c r="R61" s="6"/>
      <x:c r="S61" s="6"/>
      <x:c r="T61" s="6"/>
      <x:c r="U61" s="6"/>
      <x:c r="V61" s="6"/>
      <x:c r="W61" s="6"/>
      <x:c r="X61" s="6"/>
      <x:c r="Y61" s="6"/>
      <x:c r="Z61" s="6"/>
    </x:row>
    <x:row r="62" s="1" customFormat="1" ht="14.25" hidden="0" customHeight="1">
      <x:c r="A62" s="360" t="s">
        <x:v>2251</x:v>
      </x:c>
      <x:c r="B62" s="363"/>
      <x:c r="C62" s="363"/>
      <x:c r="D62" s="363"/>
      <x:c r="E62" s="363"/>
      <x:c r="F62" s="363"/>
      <x:c r="G62" s="363"/>
      <x:c r="H62" s="363"/>
      <x:c r="I62" s="363"/>
      <x:c r="J62" s="363"/>
      <x:c r="K62" s="6"/>
      <x:c r="L62" s="6"/>
      <x:c r="M62" s="6"/>
      <x:c r="N62" s="6"/>
      <x:c r="O62" s="6"/>
      <x:c r="P62" s="6"/>
      <x:c r="Q62" s="6"/>
      <x:c r="R62" s="6"/>
      <x:c r="S62" s="6"/>
      <x:c r="T62" s="6"/>
      <x:c r="U62" s="6"/>
      <x:c r="V62" s="6"/>
      <x:c r="W62" s="6"/>
      <x:c r="X62" s="6"/>
      <x:c r="Y62" s="6"/>
      <x:c r="Z62" s="6"/>
    </x:row>
    <x:row r="63" s="1" customFormat="1" ht="14.25" hidden="0" customHeight="1">
      <x:c r="A63" s="360" t="s">
        <x:v>2252</x:v>
      </x:c>
      <x:c r="B63" s="362" t="s">
        <x:v>2253</x:v>
      </x:c>
      <x:c r="C63" s="363"/>
      <x:c r="D63" s="363"/>
      <x:c r="E63" s="363"/>
      <x:c r="F63" s="363"/>
      <x:c r="G63" s="363"/>
      <x:c r="H63" s="363"/>
      <x:c r="I63" s="363"/>
      <x:c r="J63" s="363"/>
      <x:c r="K63" s="6"/>
      <x:c r="L63" s="6"/>
      <x:c r="M63" s="6"/>
      <x:c r="N63" s="6"/>
      <x:c r="O63" s="6"/>
      <x:c r="P63" s="6"/>
      <x:c r="Q63" s="6"/>
      <x:c r="R63" s="6"/>
      <x:c r="S63" s="6"/>
      <x:c r="T63" s="6"/>
      <x:c r="U63" s="6"/>
      <x:c r="V63" s="6"/>
      <x:c r="W63" s="6"/>
      <x:c r="X63" s="6"/>
      <x:c r="Y63" s="6"/>
      <x:c r="Z63" s="6"/>
    </x:row>
    <x:row r="64" s="1" customFormat="1" ht="24" hidden="0" customHeight="1">
      <x:c r="A64" s="360" t="s">
        <x:v>2254</x:v>
      </x:c>
      <x:c r="B64" s="361" t="s">
        <x:v>2255</x:v>
      </x:c>
      <x:c r="C64" s="363"/>
      <x:c r="D64" s="363"/>
      <x:c r="E64" s="363"/>
      <x:c r="F64" s="363"/>
      <x:c r="G64" s="363"/>
      <x:c r="H64" s="363"/>
      <x:c r="I64" s="363"/>
      <x:c r="J64" s="363"/>
      <x:c r="K64" s="6"/>
      <x:c r="L64" s="6"/>
      <x:c r="M64" s="6"/>
      <x:c r="N64" s="6"/>
      <x:c r="O64" s="6"/>
      <x:c r="P64" s="6"/>
      <x:c r="Q64" s="6"/>
      <x:c r="R64" s="6"/>
      <x:c r="S64" s="6"/>
      <x:c r="T64" s="6"/>
      <x:c r="U64" s="6"/>
      <x:c r="V64" s="6"/>
      <x:c r="W64" s="6"/>
      <x:c r="X64" s="6"/>
      <x:c r="Y64" s="6"/>
      <x:c r="Z64" s="6"/>
    </x:row>
    <x:row r="65" s="1" customFormat="1" ht="14.25" hidden="0" customHeight="1">
      <x:c r="A65" s="360" t="s">
        <x:v>1226</x:v>
      </x:c>
      <x:c r="B65" s="362" t="s">
        <x:v>1206</x:v>
      </x:c>
      <x:c r="C65" s="363"/>
      <x:c r="D65" s="363"/>
      <x:c r="E65" s="363"/>
      <x:c r="F65" s="363"/>
      <x:c r="G65" s="363"/>
      <x:c r="H65" s="363"/>
      <x:c r="I65" s="363"/>
      <x:c r="J65" s="363"/>
      <x:c r="K65" s="6"/>
      <x:c r="L65" s="6"/>
      <x:c r="M65" s="6"/>
      <x:c r="N65" s="6"/>
      <x:c r="O65" s="6"/>
      <x:c r="P65" s="6"/>
      <x:c r="Q65" s="6"/>
      <x:c r="R65" s="6"/>
      <x:c r="S65" s="6"/>
      <x:c r="T65" s="6"/>
      <x:c r="U65" s="6"/>
      <x:c r="V65" s="6"/>
      <x:c r="W65" s="6"/>
      <x:c r="X65" s="6"/>
      <x:c r="Y65" s="6"/>
      <x:c r="Z65" s="6"/>
    </x:row>
    <x:row r="66" s="1" customFormat="1" ht="14.25" hidden="0" customHeight="1">
      <x:c r="A66" s="360" t="s">
        <x:v>1474</x:v>
      </x:c>
      <x:c r="B66" s="361" t="s">
        <x:v>2256</x:v>
      </x:c>
      <x:c r="C66" s="363"/>
      <x:c r="D66" s="363"/>
      <x:c r="E66" s="363"/>
      <x:c r="F66" s="363"/>
      <x:c r="G66" s="363"/>
      <x:c r="H66" s="363"/>
      <x:c r="I66" s="363"/>
      <x:c r="J66" s="363"/>
      <x:c r="K66" s="6"/>
      <x:c r="L66" s="6"/>
      <x:c r="M66" s="6"/>
      <x:c r="N66" s="6"/>
      <x:c r="O66" s="6"/>
      <x:c r="P66" s="6"/>
      <x:c r="Q66" s="6"/>
      <x:c r="R66" s="6"/>
      <x:c r="S66" s="6"/>
      <x:c r="T66" s="6"/>
      <x:c r="U66" s="6"/>
      <x:c r="V66" s="6"/>
      <x:c r="W66" s="6"/>
      <x:c r="X66" s="6"/>
      <x:c r="Y66" s="6"/>
      <x:c r="Z66" s="6"/>
    </x:row>
    <x:row r="67" s="1" customFormat="1" ht="14.25" hidden="0" customHeight="1">
      <x:c r="A67" s="360" t="s">
        <x:v>2257</x:v>
      </x:c>
      <x:c r="B67" s="362" t="s">
        <x:v>292</x:v>
      </x:c>
      <x:c r="C67" s="363"/>
      <x:c r="D67" s="363"/>
      <x:c r="E67" s="363"/>
      <x:c r="F67" s="363"/>
      <x:c r="G67" s="363"/>
      <x:c r="H67" s="363"/>
      <x:c r="I67" s="363"/>
      <x:c r="J67" s="363"/>
      <x:c r="K67" s="6"/>
      <x:c r="L67" s="6"/>
      <x:c r="M67" s="6"/>
      <x:c r="N67" s="6"/>
      <x:c r="O67" s="6"/>
      <x:c r="P67" s="6"/>
      <x:c r="Q67" s="6"/>
      <x:c r="R67" s="6"/>
      <x:c r="S67" s="6"/>
      <x:c r="T67" s="6"/>
      <x:c r="U67" s="6"/>
      <x:c r="V67" s="6"/>
      <x:c r="W67" s="6"/>
      <x:c r="X67" s="6"/>
      <x:c r="Y67" s="6"/>
      <x:c r="Z67" s="6"/>
    </x:row>
    <x:row r="68" s="1" customFormat="1" ht="14.25" hidden="0" customHeight="1">
      <x:c r="A68" s="360" t="s">
        <x:v>2258</x:v>
      </x:c>
      <x:c r="B68" s="361" t="s">
        <x:v>685</x:v>
      </x:c>
      <x:c r="C68" s="363"/>
      <x:c r="D68" s="363"/>
      <x:c r="E68" s="363"/>
      <x:c r="F68" s="363"/>
      <x:c r="G68" s="363"/>
      <x:c r="H68" s="363"/>
      <x:c r="I68" s="363"/>
      <x:c r="J68" s="363"/>
      <x:c r="K68" s="6"/>
      <x:c r="L68" s="6"/>
      <x:c r="M68" s="6"/>
      <x:c r="N68" s="6"/>
      <x:c r="O68" s="6"/>
      <x:c r="P68" s="6"/>
      <x:c r="Q68" s="6"/>
      <x:c r="R68" s="6"/>
      <x:c r="S68" s="6"/>
      <x:c r="T68" s="6"/>
      <x:c r="U68" s="6"/>
      <x:c r="V68" s="6"/>
      <x:c r="W68" s="6"/>
      <x:c r="X68" s="6"/>
      <x:c r="Y68" s="6"/>
      <x:c r="Z68" s="6"/>
    </x:row>
    <x:row r="69" s="1" customFormat="1" ht="36" hidden="0" customHeight="1">
      <x:c r="A69" s="360" t="s">
        <x:v>2259</x:v>
      </x:c>
      <x:c r="B69" s="362" t="s">
        <x:v>2260</x:v>
      </x:c>
      <x:c r="C69" s="363"/>
      <x:c r="D69" s="363"/>
      <x:c r="E69" s="363"/>
      <x:c r="F69" s="363"/>
      <x:c r="G69" s="363"/>
      <x:c r="H69" s="363"/>
      <x:c r="I69" s="363"/>
      <x:c r="J69" s="363"/>
      <x:c r="K69" s="6"/>
      <x:c r="L69" s="6"/>
      <x:c r="M69" s="6"/>
      <x:c r="N69" s="6"/>
      <x:c r="O69" s="6"/>
      <x:c r="P69" s="6"/>
      <x:c r="Q69" s="6"/>
      <x:c r="R69" s="6"/>
      <x:c r="S69" s="6"/>
      <x:c r="T69" s="6"/>
      <x:c r="U69" s="6"/>
      <x:c r="V69" s="6"/>
      <x:c r="W69" s="6"/>
      <x:c r="X69" s="6"/>
      <x:c r="Y69" s="6"/>
      <x:c r="Z69" s="6"/>
    </x:row>
    <x:row r="70" s="1" customFormat="1" ht="24" hidden="0" customHeight="1">
      <x:c r="A70" s="360" t="s">
        <x:v>2261</x:v>
      </x:c>
      <x:c r="B70" s="361" t="s">
        <x:v>2262</x:v>
      </x:c>
      <x:c r="C70" s="363"/>
      <x:c r="D70" s="363"/>
      <x:c r="E70" s="363"/>
      <x:c r="F70" s="363"/>
      <x:c r="G70" s="363"/>
      <x:c r="H70" s="363"/>
      <x:c r="I70" s="363"/>
      <x:c r="J70" s="363"/>
      <x:c r="K70" s="6"/>
      <x:c r="L70" s="6"/>
      <x:c r="M70" s="6"/>
      <x:c r="N70" s="6"/>
      <x:c r="O70" s="6"/>
      <x:c r="P70" s="6"/>
      <x:c r="Q70" s="6"/>
      <x:c r="R70" s="6"/>
      <x:c r="S70" s="6"/>
      <x:c r="T70" s="6"/>
      <x:c r="U70" s="6"/>
      <x:c r="V70" s="6"/>
      <x:c r="W70" s="6"/>
      <x:c r="X70" s="6"/>
      <x:c r="Y70" s="6"/>
      <x:c r="Z70" s="6"/>
    </x:row>
    <x:row r="71" s="1" customFormat="1" ht="14.25" hidden="0" customHeight="1">
      <x:c r="A71" s="6"/>
      <x:c r="B71" s="6"/>
      <x:c r="C71" s="6"/>
      <x:c r="D71" s="6"/>
      <x:c r="E71" s="6"/>
      <x:c r="F71" s="6"/>
      <x:c r="G71" s="6"/>
      <x:c r="H71" s="6"/>
      <x:c r="I71" s="6"/>
      <x:c r="J71" s="6"/>
      <x:c r="K71" s="6"/>
      <x:c r="L71" s="6"/>
      <x:c r="M71" s="6"/>
      <x:c r="N71" s="6"/>
      <x:c r="O71" s="6"/>
      <x:c r="P71" s="6"/>
      <x:c r="Q71" s="6"/>
      <x:c r="R71" s="6"/>
      <x:c r="S71" s="6"/>
      <x:c r="T71" s="6"/>
      <x:c r="U71" s="6"/>
      <x:c r="V71" s="6"/>
      <x:c r="W71" s="6"/>
      <x:c r="X71" s="6"/>
      <x:c r="Y71" s="6"/>
      <x:c r="Z71" s="6"/>
    </x:row>
    <x:row r="72" s="1" customFormat="1" ht="14.25" hidden="0" customHeight="1">
      <x:c r="A72" s="6"/>
      <x:c r="B72" s="6"/>
      <x:c r="C72" s="6"/>
      <x:c r="D72" s="6"/>
      <x:c r="E72" s="6"/>
      <x:c r="F72" s="6"/>
      <x:c r="G72" s="6"/>
      <x:c r="H72" s="6"/>
      <x:c r="I72" s="6"/>
      <x:c r="J72" s="6"/>
      <x:c r="K72" s="6"/>
      <x:c r="L72" s="6"/>
      <x:c r="M72" s="6"/>
      <x:c r="N72" s="6"/>
      <x:c r="O72" s="6"/>
      <x:c r="P72" s="6"/>
      <x:c r="Q72" s="6"/>
      <x:c r="R72" s="6"/>
      <x:c r="S72" s="6"/>
      <x:c r="T72" s="6"/>
      <x:c r="U72" s="6"/>
      <x:c r="V72" s="6"/>
      <x:c r="W72" s="6"/>
      <x:c r="X72" s="6"/>
      <x:c r="Y72" s="6"/>
      <x:c r="Z72" s="6"/>
    </x:row>
    <x:row r="73" s="1" customFormat="1" ht="14.25" hidden="0" customHeight="1">
      <x:c r="A73" s="6"/>
      <x:c r="B73" s="6"/>
      <x:c r="C73" s="6"/>
      <x:c r="D73" s="6"/>
      <x:c r="E73" s="6"/>
      <x:c r="F73" s="6"/>
      <x:c r="G73" s="6"/>
      <x:c r="H73" s="6"/>
      <x:c r="I73" s="6"/>
      <x:c r="J73" s="6"/>
      <x:c r="K73" s="6"/>
      <x:c r="L73" s="6"/>
      <x:c r="M73" s="6"/>
      <x:c r="N73" s="6"/>
      <x:c r="O73" s="6"/>
      <x:c r="P73" s="6"/>
      <x:c r="Q73" s="6"/>
      <x:c r="R73" s="6"/>
      <x:c r="S73" s="6"/>
      <x:c r="T73" s="6"/>
      <x:c r="U73" s="6"/>
      <x:c r="V73" s="6"/>
      <x:c r="W73" s="6"/>
      <x:c r="X73" s="6"/>
      <x:c r="Y73" s="6"/>
      <x:c r="Z73" s="6"/>
    </x:row>
    <x:row r="74" s="1" customFormat="1" ht="14.25" hidden="0" customHeight="1">
      <x:c r="A74" s="6"/>
      <x:c r="B74" s="6"/>
      <x:c r="C74" s="6"/>
      <x:c r="D74" s="6"/>
      <x:c r="E74" s="6"/>
      <x:c r="F74" s="6"/>
      <x:c r="G74" s="6"/>
      <x:c r="H74" s="6"/>
      <x:c r="I74" s="6"/>
      <x:c r="J74" s="6"/>
      <x:c r="K74" s="6"/>
      <x:c r="L74" s="6"/>
      <x:c r="M74" s="6"/>
      <x:c r="N74" s="6"/>
      <x:c r="O74" s="6"/>
      <x:c r="P74" s="6"/>
      <x:c r="Q74" s="6"/>
      <x:c r="R74" s="6"/>
      <x:c r="S74" s="6"/>
      <x:c r="T74" s="6"/>
      <x:c r="U74" s="6"/>
      <x:c r="V74" s="6"/>
      <x:c r="W74" s="6"/>
      <x:c r="X74" s="6"/>
      <x:c r="Y74" s="6"/>
      <x:c r="Z74" s="6"/>
    </x:row>
    <x:row r="75" s="1" customFormat="1" ht="14.25" hidden="0" customHeight="1">
      <x:c r="A75" s="6"/>
      <x:c r="B75" s="6"/>
      <x:c r="C75" s="6"/>
      <x:c r="D75" s="6"/>
      <x:c r="E75" s="6"/>
      <x:c r="F75" s="6"/>
      <x:c r="G75" s="6"/>
      <x:c r="H75" s="6"/>
      <x:c r="I75" s="6"/>
      <x:c r="J75" s="6"/>
      <x:c r="K75" s="6"/>
      <x:c r="L75" s="6"/>
      <x:c r="M75" s="6"/>
      <x:c r="N75" s="6"/>
      <x:c r="O75" s="6"/>
      <x:c r="P75" s="6"/>
      <x:c r="Q75" s="6"/>
      <x:c r="R75" s="6"/>
      <x:c r="S75" s="6"/>
      <x:c r="T75" s="6"/>
      <x:c r="U75" s="6"/>
      <x:c r="V75" s="6"/>
      <x:c r="W75" s="6"/>
      <x:c r="X75" s="6"/>
      <x:c r="Y75" s="6"/>
      <x:c r="Z75" s="6"/>
    </x:row>
    <x:row r="76" s="1" customFormat="1" ht="14.25" hidden="0" customHeight="1">
      <x:c r="A76" s="6"/>
      <x:c r="B76" s="6"/>
      <x:c r="C76" s="6"/>
      <x:c r="D76" s="6"/>
      <x:c r="E76" s="6"/>
      <x:c r="F76" s="6"/>
      <x:c r="G76" s="6"/>
      <x:c r="H76" s="6"/>
      <x:c r="I76" s="6"/>
      <x:c r="J76" s="6"/>
      <x:c r="K76" s="6"/>
      <x:c r="L76" s="6"/>
      <x:c r="M76" s="6"/>
      <x:c r="N76" s="6"/>
      <x:c r="O76" s="6"/>
      <x:c r="P76" s="6"/>
      <x:c r="Q76" s="6"/>
      <x:c r="R76" s="6"/>
      <x:c r="S76" s="6"/>
      <x:c r="T76" s="6"/>
      <x:c r="U76" s="6"/>
      <x:c r="V76" s="6"/>
      <x:c r="W76" s="6"/>
      <x:c r="X76" s="6"/>
      <x:c r="Y76" s="6"/>
      <x:c r="Z76" s="6"/>
    </x:row>
    <x:row r="77" s="1" customFormat="1" ht="14.25" hidden="0" customHeight="1">
      <x:c r="A77" s="6"/>
      <x:c r="B77" s="6"/>
      <x:c r="C77" s="6"/>
      <x:c r="D77" s="6"/>
      <x:c r="E77" s="6"/>
      <x:c r="F77" s="6"/>
      <x:c r="G77" s="6"/>
      <x:c r="H77" s="6"/>
      <x:c r="I77" s="6"/>
      <x:c r="J77" s="6"/>
      <x:c r="K77" s="6"/>
      <x:c r="L77" s="6"/>
      <x:c r="M77" s="6"/>
      <x:c r="N77" s="6"/>
      <x:c r="O77" s="6"/>
      <x:c r="P77" s="6"/>
      <x:c r="Q77" s="6"/>
      <x:c r="R77" s="6"/>
      <x:c r="S77" s="6"/>
      <x:c r="T77" s="6"/>
      <x:c r="U77" s="6"/>
      <x:c r="V77" s="6"/>
      <x:c r="W77" s="6"/>
      <x:c r="X77" s="6"/>
      <x:c r="Y77" s="6"/>
      <x:c r="Z77" s="6"/>
    </x:row>
    <x:row r="78" s="1" customFormat="1" ht="14.25" hidden="0" customHeight="1">
      <x:c r="A78" s="6"/>
      <x:c r="B78" s="6"/>
      <x:c r="C78" s="6"/>
      <x:c r="D78" s="6"/>
      <x:c r="E78" s="6"/>
      <x:c r="F78" s="6"/>
      <x:c r="G78" s="6"/>
      <x:c r="H78" s="6"/>
      <x:c r="I78" s="6"/>
      <x:c r="J78" s="6"/>
      <x:c r="K78" s="6"/>
      <x:c r="L78" s="6"/>
      <x:c r="M78" s="6"/>
      <x:c r="N78" s="6"/>
      <x:c r="O78" s="6"/>
      <x:c r="P78" s="6"/>
      <x:c r="Q78" s="6"/>
      <x:c r="R78" s="6"/>
      <x:c r="S78" s="6"/>
      <x:c r="T78" s="6"/>
      <x:c r="U78" s="6"/>
      <x:c r="V78" s="6"/>
      <x:c r="W78" s="6"/>
      <x:c r="X78" s="6"/>
      <x:c r="Y78" s="6"/>
      <x:c r="Z78" s="6"/>
    </x:row>
    <x:row r="79" s="1" customFormat="1" ht="14.25" hidden="0" customHeight="1">
      <x:c r="A79" s="6"/>
      <x:c r="B79" s="6"/>
      <x:c r="C79" s="6"/>
      <x:c r="D79" s="6"/>
      <x:c r="E79" s="6"/>
      <x:c r="F79" s="6"/>
      <x:c r="G79" s="6"/>
      <x:c r="H79" s="6"/>
      <x:c r="I79" s="6"/>
      <x:c r="J79" s="6"/>
      <x:c r="K79" s="6"/>
      <x:c r="L79" s="6"/>
      <x:c r="M79" s="6"/>
      <x:c r="N79" s="6"/>
      <x:c r="O79" s="6"/>
      <x:c r="P79" s="6"/>
      <x:c r="Q79" s="6"/>
      <x:c r="R79" s="6"/>
      <x:c r="S79" s="6"/>
      <x:c r="T79" s="6"/>
      <x:c r="U79" s="6"/>
      <x:c r="V79" s="6"/>
      <x:c r="W79" s="6"/>
      <x:c r="X79" s="6"/>
      <x:c r="Y79" s="6"/>
      <x:c r="Z79" s="6"/>
    </x:row>
    <x:row r="80" s="1" customFormat="1" ht="14.25" hidden="0" customHeight="1">
      <x:c r="A80" s="6"/>
      <x:c r="B80" s="6"/>
      <x:c r="C80" s="6"/>
      <x:c r="D80" s="6"/>
      <x:c r="E80" s="6"/>
      <x:c r="F80" s="6"/>
      <x:c r="G80" s="6"/>
      <x:c r="H80" s="6"/>
      <x:c r="I80" s="6"/>
      <x:c r="J80" s="6"/>
      <x:c r="K80" s="6"/>
      <x:c r="L80" s="6"/>
      <x:c r="M80" s="6"/>
      <x:c r="N80" s="6"/>
      <x:c r="O80" s="6"/>
      <x:c r="P80" s="6"/>
      <x:c r="Q80" s="6"/>
      <x:c r="R80" s="6"/>
      <x:c r="S80" s="6"/>
      <x:c r="T80" s="6"/>
      <x:c r="U80" s="6"/>
      <x:c r="V80" s="6"/>
      <x:c r="W80" s="6"/>
      <x:c r="X80" s="6"/>
      <x:c r="Y80" s="6"/>
      <x:c r="Z80" s="6"/>
    </x:row>
    <x:row r="81" s="1" customFormat="1" ht="14.25" hidden="0" customHeight="1">
      <x:c r="A81" s="6"/>
      <x:c r="B81" s="6"/>
      <x:c r="C81" s="6"/>
      <x:c r="D81" s="6"/>
      <x:c r="E81" s="6"/>
      <x:c r="F81" s="6"/>
      <x:c r="G81" s="6"/>
      <x:c r="H81" s="6"/>
      <x:c r="I81" s="6"/>
      <x:c r="J81" s="6"/>
      <x:c r="K81" s="6"/>
      <x:c r="L81" s="6"/>
      <x:c r="M81" s="6"/>
      <x:c r="N81" s="6"/>
      <x:c r="O81" s="6"/>
      <x:c r="P81" s="6"/>
      <x:c r="Q81" s="6"/>
      <x:c r="R81" s="6"/>
      <x:c r="S81" s="6"/>
      <x:c r="T81" s="6"/>
      <x:c r="U81" s="6"/>
      <x:c r="V81" s="6"/>
      <x:c r="W81" s="6"/>
      <x:c r="X81" s="6"/>
      <x:c r="Y81" s="6"/>
      <x:c r="Z81" s="6"/>
    </x:row>
    <x:row r="82" s="1" customFormat="1" ht="14.25" hidden="0" customHeight="1">
      <x:c r="A82" s="6"/>
      <x:c r="B82" s="6"/>
      <x:c r="C82" s="6"/>
      <x:c r="D82" s="6"/>
      <x:c r="E82" s="6"/>
      <x:c r="F82" s="6"/>
      <x:c r="G82" s="6"/>
      <x:c r="H82" s="6"/>
      <x:c r="I82" s="6"/>
      <x:c r="J82" s="6"/>
      <x:c r="K82" s="6"/>
      <x:c r="L82" s="6"/>
      <x:c r="M82" s="6"/>
      <x:c r="N82" s="6"/>
      <x:c r="O82" s="6"/>
      <x:c r="P82" s="6"/>
      <x:c r="Q82" s="6"/>
      <x:c r="R82" s="6"/>
      <x:c r="S82" s="6"/>
      <x:c r="T82" s="6"/>
      <x:c r="U82" s="6"/>
      <x:c r="V82" s="6"/>
      <x:c r="W82" s="6"/>
      <x:c r="X82" s="6"/>
      <x:c r="Y82" s="6"/>
      <x:c r="Z82" s="6"/>
    </x:row>
    <x:row r="83" s="1" customFormat="1" ht="14.25" hidden="0" customHeight="1">
      <x:c r="A83" s="6"/>
      <x:c r="B83" s="6"/>
      <x:c r="C83" s="6"/>
      <x:c r="D83" s="6"/>
      <x:c r="E83" s="6"/>
      <x:c r="F83" s="6"/>
      <x:c r="G83" s="6"/>
      <x:c r="H83" s="6"/>
      <x:c r="I83" s="6"/>
      <x:c r="J83" s="6"/>
      <x:c r="K83" s="6"/>
      <x:c r="L83" s="6"/>
      <x:c r="M83" s="6"/>
      <x:c r="N83" s="6"/>
      <x:c r="O83" s="6"/>
      <x:c r="P83" s="6"/>
      <x:c r="Q83" s="6"/>
      <x:c r="R83" s="6"/>
      <x:c r="S83" s="6"/>
      <x:c r="T83" s="6"/>
      <x:c r="U83" s="6"/>
      <x:c r="V83" s="6"/>
      <x:c r="W83" s="6"/>
      <x:c r="X83" s="6"/>
      <x:c r="Y83" s="6"/>
      <x:c r="Z83" s="6"/>
    </x:row>
    <x:row r="84" s="1" customFormat="1" ht="14.25" hidden="0" customHeight="1">
      <x:c r="A84" s="6"/>
      <x:c r="B84" s="6"/>
      <x:c r="C84" s="6"/>
      <x:c r="D84" s="6"/>
      <x:c r="E84" s="6"/>
      <x:c r="F84" s="6"/>
      <x:c r="G84" s="6"/>
      <x:c r="H84" s="6"/>
      <x:c r="I84" s="6"/>
      <x:c r="J84" s="6"/>
      <x:c r="K84" s="6"/>
      <x:c r="L84" s="6"/>
      <x:c r="M84" s="6"/>
      <x:c r="N84" s="6"/>
      <x:c r="O84" s="6"/>
      <x:c r="P84" s="6"/>
      <x:c r="Q84" s="6"/>
      <x:c r="R84" s="6"/>
      <x:c r="S84" s="6"/>
      <x:c r="T84" s="6"/>
      <x:c r="U84" s="6"/>
      <x:c r="V84" s="6"/>
      <x:c r="W84" s="6"/>
      <x:c r="X84" s="6"/>
      <x:c r="Y84" s="6"/>
      <x:c r="Z84" s="6"/>
    </x:row>
    <x:row r="85" s="1" customFormat="1" ht="14.25" hidden="0" customHeight="1">
      <x:c r="A85" s="6"/>
      <x:c r="B85" s="6"/>
      <x:c r="C85" s="6"/>
      <x:c r="D85" s="6"/>
      <x:c r="E85" s="6"/>
      <x:c r="F85" s="6"/>
      <x:c r="G85" s="6"/>
      <x:c r="H85" s="6"/>
      <x:c r="I85" s="6"/>
      <x:c r="J85" s="6"/>
      <x:c r="K85" s="6"/>
      <x:c r="L85" s="6"/>
      <x:c r="M85" s="6"/>
      <x:c r="N85" s="6"/>
      <x:c r="O85" s="6"/>
      <x:c r="P85" s="6"/>
      <x:c r="Q85" s="6"/>
      <x:c r="R85" s="6"/>
      <x:c r="S85" s="6"/>
      <x:c r="T85" s="6"/>
      <x:c r="U85" s="6"/>
      <x:c r="V85" s="6"/>
      <x:c r="W85" s="6"/>
      <x:c r="X85" s="6"/>
      <x:c r="Y85" s="6"/>
      <x:c r="Z85" s="6"/>
    </x:row>
    <x:row r="86" s="1" customFormat="1" ht="14.25" hidden="0" customHeight="1">
      <x:c r="A86" s="6"/>
      <x:c r="B86" s="6"/>
      <x:c r="C86" s="6"/>
      <x:c r="D86" s="6"/>
      <x:c r="E86" s="6"/>
      <x:c r="F86" s="6"/>
      <x:c r="G86" s="6"/>
      <x:c r="H86" s="6"/>
      <x:c r="I86" s="6"/>
      <x:c r="J86" s="6"/>
      <x:c r="K86" s="6"/>
      <x:c r="L86" s="6"/>
      <x:c r="M86" s="6"/>
      <x:c r="N86" s="6"/>
      <x:c r="O86" s="6"/>
      <x:c r="P86" s="6"/>
      <x:c r="Q86" s="6"/>
      <x:c r="R86" s="6"/>
      <x:c r="S86" s="6"/>
      <x:c r="T86" s="6"/>
      <x:c r="U86" s="6"/>
      <x:c r="V86" s="6"/>
      <x:c r="W86" s="6"/>
      <x:c r="X86" s="6"/>
      <x:c r="Y86" s="6"/>
      <x:c r="Z86" s="6"/>
    </x:row>
    <x:row r="87" s="1" customFormat="1" ht="14.25" hidden="0" customHeight="1">
      <x:c r="A87" s="6"/>
      <x:c r="B87" s="6"/>
      <x:c r="C87" s="6"/>
      <x:c r="D87" s="6"/>
      <x:c r="E87" s="6"/>
      <x:c r="F87" s="6"/>
      <x:c r="G87" s="6"/>
      <x:c r="H87" s="6"/>
      <x:c r="I87" s="6"/>
      <x:c r="J87" s="6"/>
      <x:c r="K87" s="6"/>
      <x:c r="L87" s="6"/>
      <x:c r="M87" s="6"/>
      <x:c r="N87" s="6"/>
      <x:c r="O87" s="6"/>
      <x:c r="P87" s="6"/>
      <x:c r="Q87" s="6"/>
      <x:c r="R87" s="6"/>
      <x:c r="S87" s="6"/>
      <x:c r="T87" s="6"/>
      <x:c r="U87" s="6"/>
      <x:c r="V87" s="6"/>
      <x:c r="W87" s="6"/>
      <x:c r="X87" s="6"/>
      <x:c r="Y87" s="6"/>
      <x:c r="Z87" s="6"/>
    </x:row>
    <x:row r="88" s="1" customFormat="1" ht="14.25" hidden="0" customHeight="1">
      <x:c r="A88" s="6"/>
      <x:c r="B88" s="6"/>
      <x:c r="C88" s="6"/>
      <x:c r="D88" s="6"/>
      <x:c r="E88" s="6"/>
      <x:c r="F88" s="6"/>
      <x:c r="G88" s="6"/>
      <x:c r="H88" s="6"/>
      <x:c r="I88" s="6"/>
      <x:c r="J88" s="6"/>
      <x:c r="K88" s="6"/>
      <x:c r="L88" s="6"/>
      <x:c r="M88" s="6"/>
      <x:c r="N88" s="6"/>
      <x:c r="O88" s="6"/>
      <x:c r="P88" s="6"/>
      <x:c r="Q88" s="6"/>
      <x:c r="R88" s="6"/>
      <x:c r="S88" s="6"/>
      <x:c r="T88" s="6"/>
      <x:c r="U88" s="6"/>
      <x:c r="V88" s="6"/>
      <x:c r="W88" s="6"/>
      <x:c r="X88" s="6"/>
      <x:c r="Y88" s="6"/>
      <x:c r="Z88" s="6"/>
    </x:row>
    <x:row r="89" s="1" customFormat="1" ht="14.25" hidden="0" customHeight="1">
      <x:c r="A89" s="6"/>
      <x:c r="B89" s="6"/>
      <x:c r="C89" s="6"/>
      <x:c r="D89" s="6"/>
      <x:c r="E89" s="6"/>
      <x:c r="F89" s="6"/>
      <x:c r="G89" s="6"/>
      <x:c r="H89" s="6"/>
      <x:c r="I89" s="6"/>
      <x:c r="J89" s="6"/>
      <x:c r="K89" s="6"/>
      <x:c r="L89" s="6"/>
      <x:c r="M89" s="6"/>
      <x:c r="N89" s="6"/>
      <x:c r="O89" s="6"/>
      <x:c r="P89" s="6"/>
      <x:c r="Q89" s="6"/>
      <x:c r="R89" s="6"/>
      <x:c r="S89" s="6"/>
      <x:c r="T89" s="6"/>
      <x:c r="U89" s="6"/>
      <x:c r="V89" s="6"/>
      <x:c r="W89" s="6"/>
      <x:c r="X89" s="6"/>
      <x:c r="Y89" s="6"/>
      <x:c r="Z89" s="6"/>
    </x:row>
    <x:row r="90" s="1" customFormat="1" ht="14.25" hidden="0" customHeight="1">
      <x:c r="A90" s="6"/>
      <x:c r="B90" s="6"/>
      <x:c r="C90" s="6"/>
      <x:c r="D90" s="6"/>
      <x:c r="E90" s="6"/>
      <x:c r="F90" s="6"/>
      <x:c r="G90" s="6"/>
      <x:c r="H90" s="6"/>
      <x:c r="I90" s="6"/>
      <x:c r="J90" s="6"/>
      <x:c r="K90" s="6"/>
      <x:c r="L90" s="6"/>
      <x:c r="M90" s="6"/>
      <x:c r="N90" s="6"/>
      <x:c r="O90" s="6"/>
      <x:c r="P90" s="6"/>
      <x:c r="Q90" s="6"/>
      <x:c r="R90" s="6"/>
      <x:c r="S90" s="6"/>
      <x:c r="T90" s="6"/>
      <x:c r="U90" s="6"/>
      <x:c r="V90" s="6"/>
      <x:c r="W90" s="6"/>
      <x:c r="X90" s="6"/>
      <x:c r="Y90" s="6"/>
      <x:c r="Z90" s="6"/>
    </x:row>
    <x:row r="91" s="1" customFormat="1" ht="14.25" hidden="0" customHeight="1">
      <x:c r="A91" s="6"/>
      <x:c r="B91" s="6"/>
      <x:c r="C91" s="6"/>
      <x:c r="D91" s="6"/>
      <x:c r="E91" s="6"/>
      <x:c r="F91" s="6"/>
      <x:c r="G91" s="6"/>
      <x:c r="H91" s="6"/>
      <x:c r="I91" s="6"/>
      <x:c r="J91" s="6"/>
      <x:c r="K91" s="6"/>
      <x:c r="L91" s="6"/>
      <x:c r="M91" s="6"/>
      <x:c r="N91" s="6"/>
      <x:c r="O91" s="6"/>
      <x:c r="P91" s="6"/>
      <x:c r="Q91" s="6"/>
      <x:c r="R91" s="6"/>
      <x:c r="S91" s="6"/>
      <x:c r="T91" s="6"/>
      <x:c r="U91" s="6"/>
      <x:c r="V91" s="6"/>
      <x:c r="W91" s="6"/>
      <x:c r="X91" s="6"/>
      <x:c r="Y91" s="6"/>
      <x:c r="Z91" s="6"/>
    </x:row>
    <x:row r="92" s="1" customFormat="1" ht="14.25" hidden="0" customHeight="1">
      <x:c r="A92" s="6"/>
      <x:c r="B92" s="6"/>
      <x:c r="C92" s="6"/>
      <x:c r="D92" s="6"/>
      <x:c r="E92" s="6"/>
      <x:c r="F92" s="6"/>
      <x:c r="G92" s="6"/>
      <x:c r="H92" s="6"/>
      <x:c r="I92" s="6"/>
      <x:c r="J92" s="6"/>
      <x:c r="K92" s="6"/>
      <x:c r="L92" s="6"/>
      <x:c r="M92" s="6"/>
      <x:c r="N92" s="6"/>
      <x:c r="O92" s="6"/>
      <x:c r="P92" s="6"/>
      <x:c r="Q92" s="6"/>
      <x:c r="R92" s="6"/>
      <x:c r="S92" s="6"/>
      <x:c r="T92" s="6"/>
      <x:c r="U92" s="6"/>
      <x:c r="V92" s="6"/>
      <x:c r="W92" s="6"/>
      <x:c r="X92" s="6"/>
      <x:c r="Y92" s="6"/>
      <x:c r="Z92" s="6"/>
    </x:row>
    <x:row r="93" s="1" customFormat="1" ht="14.25" hidden="0" customHeight="1">
      <x:c r="A93" s="6"/>
      <x:c r="B93" s="6"/>
      <x:c r="C93" s="6"/>
      <x:c r="D93" s="6"/>
      <x:c r="E93" s="6"/>
      <x:c r="F93" s="6"/>
      <x:c r="G93" s="6"/>
      <x:c r="H93" s="6"/>
      <x:c r="I93" s="6"/>
      <x:c r="J93" s="6"/>
      <x:c r="K93" s="6"/>
      <x:c r="L93" s="6"/>
      <x:c r="M93" s="6"/>
      <x:c r="N93" s="6"/>
      <x:c r="O93" s="6"/>
      <x:c r="P93" s="6"/>
      <x:c r="Q93" s="6"/>
      <x:c r="R93" s="6"/>
      <x:c r="S93" s="6"/>
      <x:c r="T93" s="6"/>
      <x:c r="U93" s="6"/>
      <x:c r="V93" s="6"/>
      <x:c r="W93" s="6"/>
      <x:c r="X93" s="6"/>
      <x:c r="Y93" s="6"/>
      <x:c r="Z93" s="6"/>
    </x:row>
    <x:row r="94" s="1" customFormat="1" ht="14.25" hidden="0" customHeight="1">
      <x:c r="A94" s="6"/>
      <x:c r="B94" s="6"/>
      <x:c r="C94" s="6"/>
      <x:c r="D94" s="6"/>
      <x:c r="E94" s="6"/>
      <x:c r="F94" s="6"/>
      <x:c r="G94" s="6"/>
      <x:c r="H94" s="6"/>
      <x:c r="I94" s="6"/>
      <x:c r="J94" s="6"/>
      <x:c r="K94" s="6"/>
      <x:c r="L94" s="6"/>
      <x:c r="M94" s="6"/>
      <x:c r="N94" s="6"/>
      <x:c r="O94" s="6"/>
      <x:c r="P94" s="6"/>
      <x:c r="Q94" s="6"/>
      <x:c r="R94" s="6"/>
      <x:c r="S94" s="6"/>
      <x:c r="T94" s="6"/>
      <x:c r="U94" s="6"/>
      <x:c r="V94" s="6"/>
      <x:c r="W94" s="6"/>
      <x:c r="X94" s="6"/>
      <x:c r="Y94" s="6"/>
      <x:c r="Z94" s="6"/>
    </x:row>
    <x:row r="95" s="1" customFormat="1" ht="14.25" hidden="0" customHeight="1">
      <x:c r="A95" s="6"/>
      <x:c r="B95" s="6"/>
      <x:c r="C95" s="6"/>
      <x:c r="D95" s="6"/>
      <x:c r="E95" s="6"/>
      <x:c r="F95" s="6"/>
      <x:c r="G95" s="6"/>
      <x:c r="H95" s="6"/>
      <x:c r="I95" s="6"/>
      <x:c r="J95" s="6"/>
      <x:c r="K95" s="6"/>
      <x:c r="L95" s="6"/>
      <x:c r="M95" s="6"/>
      <x:c r="N95" s="6"/>
      <x:c r="O95" s="6"/>
      <x:c r="P95" s="6"/>
      <x:c r="Q95" s="6"/>
      <x:c r="R95" s="6"/>
      <x:c r="S95" s="6"/>
      <x:c r="T95" s="6"/>
      <x:c r="U95" s="6"/>
      <x:c r="V95" s="6"/>
      <x:c r="W95" s="6"/>
      <x:c r="X95" s="6"/>
      <x:c r="Y95" s="6"/>
      <x:c r="Z95" s="6"/>
    </x:row>
    <x:row r="96" s="1" customFormat="1" ht="14.25" hidden="0" customHeight="1">
      <x:c r="A96" s="6"/>
      <x:c r="B96" s="6"/>
      <x:c r="C96" s="6"/>
      <x:c r="D96" s="6"/>
      <x:c r="E96" s="6"/>
      <x:c r="F96" s="6"/>
      <x:c r="G96" s="6"/>
      <x:c r="H96" s="6"/>
      <x:c r="I96" s="6"/>
      <x:c r="J96" s="6"/>
      <x:c r="K96" s="6"/>
      <x:c r="L96" s="6"/>
      <x:c r="M96" s="6"/>
      <x:c r="N96" s="6"/>
      <x:c r="O96" s="6"/>
      <x:c r="P96" s="6"/>
      <x:c r="Q96" s="6"/>
      <x:c r="R96" s="6"/>
      <x:c r="S96" s="6"/>
      <x:c r="T96" s="6"/>
      <x:c r="U96" s="6"/>
      <x:c r="V96" s="6"/>
      <x:c r="W96" s="6"/>
      <x:c r="X96" s="6"/>
      <x:c r="Y96" s="6"/>
      <x:c r="Z96" s="6"/>
    </x:row>
    <x:row r="97" s="1" customFormat="1" ht="14.25" hidden="0" customHeight="1">
      <x:c r="A97" s="6"/>
      <x:c r="B97" s="6"/>
      <x:c r="C97" s="6"/>
      <x:c r="D97" s="6"/>
      <x:c r="E97" s="6"/>
      <x:c r="F97" s="6"/>
      <x:c r="G97" s="6"/>
      <x:c r="H97" s="6"/>
      <x:c r="I97" s="6"/>
      <x:c r="J97" s="6"/>
      <x:c r="K97" s="6"/>
      <x:c r="L97" s="6"/>
      <x:c r="M97" s="6"/>
      <x:c r="N97" s="6"/>
      <x:c r="O97" s="6"/>
      <x:c r="P97" s="6"/>
      <x:c r="Q97" s="6"/>
      <x:c r="R97" s="6"/>
      <x:c r="S97" s="6"/>
      <x:c r="T97" s="6"/>
      <x:c r="U97" s="6"/>
      <x:c r="V97" s="6"/>
      <x:c r="W97" s="6"/>
      <x:c r="X97" s="6"/>
      <x:c r="Y97" s="6"/>
      <x:c r="Z97" s="6"/>
    </x:row>
    <x:row r="98" s="1" customFormat="1" ht="14.25" hidden="0" customHeight="1">
      <x:c r="A98" s="6"/>
      <x:c r="B98" s="6"/>
      <x:c r="C98" s="6"/>
      <x:c r="D98" s="6"/>
      <x:c r="E98" s="6"/>
      <x:c r="F98" s="6"/>
      <x:c r="G98" s="6"/>
      <x:c r="H98" s="6"/>
      <x:c r="I98" s="6"/>
      <x:c r="J98" s="6"/>
      <x:c r="K98" s="6"/>
      <x:c r="L98" s="6"/>
      <x:c r="M98" s="6"/>
      <x:c r="N98" s="6"/>
      <x:c r="O98" s="6"/>
      <x:c r="P98" s="6"/>
      <x:c r="Q98" s="6"/>
      <x:c r="R98" s="6"/>
      <x:c r="S98" s="6"/>
      <x:c r="T98" s="6"/>
      <x:c r="U98" s="6"/>
      <x:c r="V98" s="6"/>
      <x:c r="W98" s="6"/>
      <x:c r="X98" s="6"/>
      <x:c r="Y98" s="6"/>
      <x:c r="Z98" s="6"/>
    </x:row>
    <x:row r="99" s="1" customFormat="1" ht="14.25" hidden="0" customHeight="1">
      <x:c r="A99" s="6"/>
      <x:c r="B99" s="6"/>
      <x:c r="C99" s="6"/>
      <x:c r="D99" s="6"/>
      <x:c r="E99" s="6"/>
      <x:c r="F99" s="6"/>
      <x:c r="G99" s="6"/>
      <x:c r="H99" s="6"/>
      <x:c r="I99" s="6"/>
      <x:c r="J99" s="6"/>
      <x:c r="K99" s="6"/>
      <x:c r="L99" s="6"/>
      <x:c r="M99" s="6"/>
      <x:c r="N99" s="6"/>
      <x:c r="O99" s="6"/>
      <x:c r="P99" s="6"/>
      <x:c r="Q99" s="6"/>
      <x:c r="R99" s="6"/>
      <x:c r="S99" s="6"/>
      <x:c r="T99" s="6"/>
      <x:c r="U99" s="6"/>
      <x:c r="V99" s="6"/>
      <x:c r="W99" s="6"/>
      <x:c r="X99" s="6"/>
      <x:c r="Y99" s="6"/>
      <x:c r="Z99" s="6"/>
    </x:row>
    <x:row r="100" s="1" customFormat="1" ht="14.25" hidden="0" customHeight="1">
      <x:c r="A100" s="6"/>
      <x:c r="B100" s="6"/>
      <x:c r="C100" s="6"/>
      <x:c r="D100" s="6"/>
      <x:c r="E100" s="6"/>
      <x:c r="F100" s="6"/>
      <x:c r="G100" s="6"/>
      <x:c r="H100" s="6"/>
      <x:c r="I100" s="6"/>
      <x:c r="J100" s="6"/>
      <x:c r="K100" s="6"/>
      <x:c r="L100" s="6"/>
      <x:c r="M100" s="6"/>
      <x:c r="N100" s="6"/>
      <x:c r="O100" s="6"/>
      <x:c r="P100" s="6"/>
      <x:c r="Q100" s="6"/>
      <x:c r="R100" s="6"/>
      <x:c r="S100" s="6"/>
      <x:c r="T100" s="6"/>
      <x:c r="U100" s="6"/>
      <x:c r="V100" s="6"/>
      <x:c r="W100" s="6"/>
      <x:c r="X100" s="6"/>
      <x:c r="Y100" s="6"/>
      <x:c r="Z100" s="6"/>
    </x:row>
  </x:sheetData>
  <x:mergeCells>
    <x:mergeCell ref="B4:H4"/>
  </x:mergeCells>
  <x:pageMargins left="0.7" right="0.7" top="0.75" bottom="0.75" header="0.3" footer="0.3"/>
</x:worksheet>
</file>

<file path=xl/worksheets/sheet31.xml><?xml version="1.0" encoding="utf-8"?>
<x:worksheet xmlns:x="http://schemas.openxmlformats.org/spreadsheetml/2006/main">
  <x:sheetViews>
    <x:sheetView showGridLines="1" workbookViewId="0"/>
  </x:sheetViews>
  <x:sheetFormatPr defaultColWidth="8.66796875" defaultRowHeight="14.25"/>
  <x:cols>
    <x:col min="1" max="5" width="36" style="53" hidden="0" customWidth="1"/>
    <x:col min="6" max="6" width="36" style="1" hidden="0" customWidth="1"/>
    <x:col min="7" max="8" width="23" style="1" hidden="0" customWidth="1"/>
    <x:col min="9" max="9" width="29" style="1" hidden="0" customWidth="1"/>
    <x:col min="10" max="10" width="33" style="1" hidden="0" customWidth="1"/>
    <x:col min="11" max="11" width="28" style="1" hidden="0" customWidth="1"/>
    <x:col min="12" max="12" width="36" style="1" hidden="0" customWidth="1"/>
  </x:cols>
  <x:sheetData>
    <x:row r="1" s="1" customFormat="1" ht="24" hidden="0" customHeight="1">
      <x:c r="A1" s="2" t="str">
        <x:v>AUDIT FLAGS - RELEASE-BUILD SSOT (v5.6)</x:v>
      </x:c>
      <x:c r="B1" s="54"/>
      <x:c r="C1" s="54"/>
      <x:c r="D1" s="54"/>
      <x:c r="E1" s="54"/>
      <x:c r="F1" s="54"/>
      <x:c r="G1" s="54"/>
      <x:c r="H1" s="54"/>
      <x:c r="I1" s="54"/>
      <x:c r="J1" s="54"/>
      <x:c r="K1" s="54"/>
      <x:c r="L1" s="54"/>
    </x:row>
    <x:row r="2" s="1" customFormat="1" ht="36" hidden="0" customHeight="1">
      <x:c r="A2" s="4" t="str">
        <x:v>Trigger cells B5:B17 and B25:B33 are release-build values. Summary counts B21:B24 reproduce the same frozen flag surface.</x:v>
      </x:c>
      <x:c r="B2" s="12"/>
      <x:c r="C2" s="12"/>
      <x:c r="D2" s="12"/>
      <x:c r="E2" s="12"/>
      <x:c r="F2" s="12"/>
      <x:c r="G2" s="12"/>
      <x:c r="H2" s="12"/>
      <x:c r="I2" s="12"/>
      <x:c r="J2" s="12"/>
      <x:c r="K2" s="12"/>
      <x:c r="L2" s="12"/>
    </x:row>
    <x:row r="3" s="1" customFormat="1" ht="36" hidden="0" customHeight="1">
      <x:c r="A3" s="7" t="str">
        <x:v>B18 records YES/NO token integrity across the release-build trigger surface.</x:v>
      </x:c>
      <x:c r="B3" s="87"/>
      <x:c r="C3" s="87"/>
      <x:c r="D3" s="87"/>
      <x:c r="E3" s="87"/>
      <x:c r="F3" s="12"/>
      <x:c r="G3" s="12"/>
      <x:c r="H3" s="12"/>
      <x:c r="I3" s="12"/>
      <x:c r="J3" s="12"/>
      <x:c r="K3" s="12"/>
      <x:c r="L3" s="12"/>
    </x:row>
    <x:row r="4" s="1" customFormat="1" ht="14.25" hidden="0" customHeight="1">
      <x:c r="A4" s="7" t="s">
        <x:v>2263</x:v>
      </x:c>
      <x:c r="B4" s="5" t="s">
        <x:v>2264</x:v>
      </x:c>
      <x:c r="C4" s="5" t="s">
        <x:v>2265</x:v>
      </x:c>
      <x:c r="D4" s="5" t="s">
        <x:v>1024</x:v>
      </x:c>
      <x:c r="E4" s="5" t="str">
        <x:v>Trigger logic</x:v>
      </x:c>
      <x:c r="F4" s="5" t="s">
        <x:v>458</x:v>
      </x:c>
      <x:c r="G4" s="5" t="s">
        <x:v>2266</x:v>
      </x:c>
      <x:c r="H4" s="5" t="s">
        <x:v>2267</x:v>
      </x:c>
      <x:c r="I4" s="12"/>
      <x:c r="J4" s="12"/>
      <x:c r="K4" s="12"/>
      <x:c r="L4" s="12"/>
    </x:row>
    <x:row r="5" s="1" customFormat="1" ht="144" hidden="0" customHeight="1">
      <x:c r="A5" s="7" t="s">
        <x:v>2268</x:v>
      </x:c>
      <x:c r="B5" s="56" t="s">
        <x:v>233</x:v>
      </x:c>
      <x:c r="C5" s="131" t="s">
        <x:v>2269</x:v>
      </x:c>
      <x:c r="D5" s="8" t="s">
        <x:v>2270</x:v>
      </x:c>
      <x:c r="E5" s="8" t="s">
        <x:v>233</x:v>
      </x:c>
      <x:c r="F5" s="8" t="s">
        <x:v>2271</x:v>
      </x:c>
      <x:c r="G5" s="8"/>
      <x:c r="H5" s="8"/>
      <x:c r="I5" s="8"/>
      <x:c r="J5" s="8"/>
      <x:c r="K5" s="8"/>
      <x:c r="L5" s="8"/>
    </x:row>
    <x:row r="6" s="1" customFormat="1" ht="60" hidden="0" customHeight="1">
      <x:c r="A6" s="7" t="s">
        <x:v>2272</x:v>
      </x:c>
      <x:c r="B6" s="5" t="s">
        <x:v>233</x:v>
      </x:c>
      <x:c r="C6" s="5" t="s">
        <x:v>1346</x:v>
      </x:c>
      <x:c r="D6" s="5" t="s">
        <x:v>2273</x:v>
      </x:c>
      <x:c r="E6" s="5" t="s">
        <x:v>233</x:v>
      </x:c>
      <x:c r="F6" s="5" t="s">
        <x:v>2274</x:v>
      </x:c>
      <x:c r="G6" s="5"/>
      <x:c r="H6" s="5"/>
      <x:c r="I6" s="5"/>
      <x:c r="J6" s="5"/>
      <x:c r="K6" s="5"/>
      <x:c r="L6" s="5"/>
    </x:row>
    <x:row r="7" s="1" customFormat="1" ht="36" hidden="0" customHeight="1">
      <x:c r="A7" s="7" t="s">
        <x:v>2275</x:v>
      </x:c>
      <x:c r="B7" s="56" t="s">
        <x:v>233</x:v>
      </x:c>
      <x:c r="C7" s="131" t="s">
        <x:v>2269</x:v>
      </x:c>
      <x:c r="D7" s="8" t="s">
        <x:v>2276</x:v>
      </x:c>
      <x:c r="E7" s="8" t="s">
        <x:v>2277</x:v>
      </x:c>
      <x:c r="F7" s="8" t="s">
        <x:v>2278</x:v>
      </x:c>
      <x:c r="G7" s="18"/>
      <x:c r="H7" s="18"/>
      <x:c r="I7" s="18"/>
      <x:c r="J7" s="18"/>
      <x:c r="K7" s="18"/>
      <x:c r="L7" s="18"/>
    </x:row>
    <x:row r="8" s="1" customFormat="1" ht="14.25" hidden="0" customHeight="1">
      <x:c r="A8" s="7" t="s">
        <x:v>2279</x:v>
      </x:c>
      <x:c r="B8" s="5" t="s">
        <x:v>233</x:v>
      </x:c>
      <x:c r="C8" s="5" t="s">
        <x:v>2269</x:v>
      </x:c>
      <x:c r="D8" s="5" t="s">
        <x:v>2280</x:v>
      </x:c>
      <x:c r="E8" s="5" t="s">
        <x:v>2281</x:v>
      </x:c>
      <x:c r="F8" s="5" t="s">
        <x:v>485</x:v>
      </x:c>
      <x:c r="G8" s="5"/>
      <x:c r="H8" s="5"/>
      <x:c r="I8" s="5"/>
      <x:c r="J8" s="5"/>
      <x:c r="K8" s="5"/>
      <x:c r="L8" s="5"/>
    </x:row>
    <x:row r="9" s="1" customFormat="1" ht="24" hidden="0" customHeight="1">
      <x:c r="A9" s="7" t="s">
        <x:v>2282</x:v>
      </x:c>
      <x:c r="B9" s="56" t="s">
        <x:v>233</x:v>
      </x:c>
      <x:c r="C9" s="132" t="s">
        <x:v>2269</x:v>
      </x:c>
      <x:c r="D9" s="8" t="s">
        <x:v>2283</x:v>
      </x:c>
      <x:c r="E9" s="8" t="s">
        <x:v>2284</x:v>
      </x:c>
      <x:c r="F9" s="8" t="s">
        <x:v>2285</x:v>
      </x:c>
      <x:c r="G9" s="8"/>
      <x:c r="H9" s="8"/>
      <x:c r="I9" s="8"/>
      <x:c r="J9" s="8"/>
      <x:c r="K9" s="8"/>
      <x:c r="L9" s="8"/>
    </x:row>
    <x:row r="10" s="1" customFormat="1" ht="72" hidden="0" customHeight="1">
      <x:c r="A10" s="7" t="s">
        <x:v>2286</x:v>
      </x:c>
      <x:c r="B10" s="5" t="s">
        <x:v>233</x:v>
      </x:c>
      <x:c r="C10" s="5" t="s">
        <x:v>1346</x:v>
      </x:c>
      <x:c r="D10" s="5" t="s">
        <x:v>2287</x:v>
      </x:c>
      <x:c r="E10" s="5" t="s">
        <x:v>2288</x:v>
      </x:c>
      <x:c r="F10" s="5" t="s">
        <x:v>2289</x:v>
      </x:c>
      <x:c r="G10" s="5"/>
      <x:c r="H10" s="5"/>
      <x:c r="I10" s="5"/>
      <x:c r="J10" s="5"/>
      <x:c r="K10" s="5"/>
      <x:c r="L10" s="5"/>
    </x:row>
    <x:row r="11" s="1" customFormat="1" ht="24" hidden="0" customHeight="1">
      <x:c r="A11" s="7" t="s">
        <x:v>2290</x:v>
      </x:c>
      <x:c r="B11" s="56" t="s">
        <x:v>233</x:v>
      </x:c>
      <x:c r="C11" s="132" t="s">
        <x:v>1346</x:v>
      </x:c>
      <x:c r="D11" s="8" t="s">
        <x:v>2291</x:v>
      </x:c>
      <x:c r="E11" s="8" t="s">
        <x:v>2292</x:v>
      </x:c>
      <x:c r="F11" s="8" t="s">
        <x:v>2293</x:v>
      </x:c>
      <x:c r="G11" s="8"/>
      <x:c r="H11" s="8"/>
      <x:c r="I11" s="8"/>
      <x:c r="J11" s="8"/>
      <x:c r="K11" s="8"/>
      <x:c r="L11" s="8"/>
    </x:row>
    <x:row r="12" s="1" customFormat="1" ht="14.25" hidden="0" customHeight="1">
      <x:c r="A12" s="7" t="s">
        <x:v>326</x:v>
      </x:c>
      <x:c r="B12" s="5" t="str">
        <x:v>YES</x:v>
      </x:c>
      <x:c r="C12" s="5" t="s">
        <x:v>1346</x:v>
      </x:c>
      <x:c r="D12" s="5" t="s">
        <x:v>2294</x:v>
      </x:c>
      <x:c r="E12" s="5" t="s">
        <x:v>2295</x:v>
      </x:c>
      <x:c r="F12" s="5" t="s">
        <x:v>2296</x:v>
      </x:c>
      <x:c r="G12" s="5"/>
      <x:c r="H12" s="5"/>
      <x:c r="I12" s="5"/>
      <x:c r="J12" s="5"/>
      <x:c r="K12" s="5"/>
      <x:c r="L12" s="5"/>
    </x:row>
    <x:row r="13" s="1" customFormat="1" ht="72" hidden="0" customHeight="1">
      <x:c r="A13" s="7" t="s">
        <x:v>2297</x:v>
      </x:c>
      <x:c r="B13" s="56" t="s">
        <x:v>233</x:v>
      </x:c>
      <x:c r="C13" s="133" t="s">
        <x:v>1346</x:v>
      </x:c>
      <x:c r="D13" s="8" t="s">
        <x:v>2298</x:v>
      </x:c>
      <x:c r="E13" s="8" t="s">
        <x:v>233</x:v>
      </x:c>
      <x:c r="F13" s="8" t="s">
        <x:v>2299</x:v>
      </x:c>
      <x:c r="G13" s="8"/>
      <x:c r="H13" s="8"/>
      <x:c r="I13" s="8"/>
      <x:c r="J13" s="8"/>
      <x:c r="K13" s="8"/>
      <x:c r="L13" s="8"/>
    </x:row>
    <x:row r="14" s="1" customFormat="1" ht="48" hidden="0" customHeight="1">
      <x:c r="A14" s="7" t="s">
        <x:v>2300</x:v>
      </x:c>
      <x:c r="B14" s="5" t="s">
        <x:v>233</x:v>
      </x:c>
      <x:c r="C14" s="5" t="s">
        <x:v>2301</x:v>
      </x:c>
      <x:c r="D14" s="5" t="s">
        <x:v>2302</x:v>
      </x:c>
      <x:c r="E14" s="5" t="s">
        <x:v>2303</x:v>
      </x:c>
      <x:c r="F14" s="5" t="s">
        <x:v>2304</x:v>
      </x:c>
      <x:c r="G14" s="5"/>
      <x:c r="H14" s="5"/>
      <x:c r="I14" s="5"/>
      <x:c r="J14" s="5"/>
      <x:c r="K14" s="5"/>
      <x:c r="L14" s="5"/>
    </x:row>
    <x:row r="15" s="1" customFormat="1" ht="108" hidden="0" customHeight="1">
      <x:c r="A15" s="7" t="s">
        <x:v>2305</x:v>
      </x:c>
      <x:c r="B15" s="56" t="str">
        <x:v>YES</x:v>
      </x:c>
      <x:c r="C15" s="133" t="s">
        <x:v>2301</x:v>
      </x:c>
      <x:c r="D15" s="8" t="str">
        <x:v>Canon §10.4A non-decisive framework status; separate authority selection, disclosure, and review are required.</x:v>
      </x:c>
      <x:c r="E15" s="8" t="str">
        <x:v>RLS is non-decisive because a computed governed uncertainty stress changes the classification.</x:v>
      </x:c>
      <x:c r="F15" s="8" t="str">
        <x:v>Canon §10.4A; CANON!B70; RLS!B40:B48; PCC!B64:B70</x:v>
      </x:c>
      <x:c r="G15" s="8"/>
      <x:c r="H15" s="8"/>
      <x:c r="I15" s="8"/>
      <x:c r="J15" s="8"/>
      <x:c r="K15" s="8"/>
      <x:c r="L15" s="8"/>
    </x:row>
    <x:row r="16" s="1" customFormat="1" ht="24" hidden="0" customHeight="1">
      <x:c r="A16" s="7" t="s">
        <x:v>2306</x:v>
      </x:c>
      <x:c r="B16" s="5" t="s">
        <x:v>233</x:v>
      </x:c>
      <x:c r="C16" s="5" t="s">
        <x:v>2301</x:v>
      </x:c>
      <x:c r="D16" s="5" t="s">
        <x:v>2307</x:v>
      </x:c>
      <x:c r="E16" s="5" t="s">
        <x:v>2308</x:v>
      </x:c>
      <x:c r="F16" s="5" t="s">
        <x:v>2309</x:v>
      </x:c>
      <x:c r="G16" s="5"/>
      <x:c r="H16" s="5"/>
      <x:c r="I16" s="5"/>
      <x:c r="J16" s="5"/>
      <x:c r="K16" s="5"/>
      <x:c r="L16" s="5"/>
    </x:row>
    <x:row r="17" s="1" customFormat="1" ht="24" hidden="0" customHeight="1">
      <x:c r="A17" s="7" t="s">
        <x:v>2310</x:v>
      </x:c>
      <x:c r="B17" s="56" t="s">
        <x:v>233</x:v>
      </x:c>
      <x:c r="C17" s="8" t="s">
        <x:v>2301</x:v>
      </x:c>
      <x:c r="D17" s="8" t="s">
        <x:v>2311</x:v>
      </x:c>
      <x:c r="E17" s="8" t="s">
        <x:v>2312</x:v>
      </x:c>
      <x:c r="F17" s="8" t="s">
        <x:v>2313</x:v>
      </x:c>
      <x:c r="G17" s="8"/>
      <x:c r="H17" s="8"/>
      <x:c r="I17" s="8"/>
      <x:c r="J17" s="8"/>
      <x:c r="K17" s="8"/>
      <x:c r="L17" s="8"/>
    </x:row>
    <x:row r="18" s="1" customFormat="1" ht="48" hidden="0" customHeight="1">
      <x:c r="A18" s="7" t="s">
        <x:v>2314</x:v>
      </x:c>
      <x:c r="B18" s="5" t="s">
        <x:v>233</x:v>
      </x:c>
      <x:c r="C18" s="5" t="s">
        <x:v>2269</x:v>
      </x:c>
      <x:c r="D18" s="5" t="str">
        <x:v>Potential manual replacement or invalid YES/NO token on the release-build flag surface. The release verifier independently checks the packaged workbook.</x:v>
      </x:c>
      <x:c r="E18" s="5" t="str">
        <x:v>Every trigger cell must contain YES or NO; the release verifier separately checks package integrity.</x:v>
      </x:c>
      <x:c r="F18" s="5" t="s">
        <x:v>2315</x:v>
      </x:c>
      <x:c r="G18" s="5"/>
      <x:c r="H18" s="5"/>
      <x:c r="I18" s="5"/>
      <x:c r="J18" s="5"/>
      <x:c r="K18" s="5"/>
      <x:c r="L18" s="5"/>
    </x:row>
    <x:row r="19" s="1" customFormat="1" ht="14.25" hidden="0" customHeight="1">
      <x:c r="A19" s="12"/>
      <x:c r="B19" s="12"/>
      <x:c r="C19" s="12"/>
      <x:c r="D19" s="12"/>
      <x:c r="E19" s="12"/>
      <x:c r="F19" s="12"/>
      <x:c r="G19" s="12"/>
      <x:c r="H19" s="12"/>
      <x:c r="I19" s="8" t="s">
        <x:v>2316</x:v>
      </x:c>
      <x:c r="J19" s="8" t="str">
        <x:v>ESCALATION_REQUIRED; NONDECISIVE_GAP_REVIEW; UNCERTAINTY_DECISIVENESS_SENSITIVE</x:v>
      </x:c>
      <x:c r="K19" s="12"/>
      <x:c r="L19" s="12"/>
    </x:row>
    <x:row r="20" s="1" customFormat="1" ht="24" hidden="0" customHeight="1">
      <x:c r="A20" s="7" t="str">
        <x:v>RELEASE-BUILD SUMMARY</x:v>
      </x:c>
      <x:c r="B20" s="12"/>
      <x:c r="C20" s="12"/>
      <x:c r="D20" s="12"/>
      <x:c r="E20" s="12"/>
      <x:c r="F20" s="12"/>
      <x:c r="G20" s="12"/>
      <x:c r="H20" s="12"/>
      <x:c r="I20" s="5" t="s">
        <x:v>2317</x:v>
      </x:c>
      <x:c r="J20" s="5" t="str">
        <x:v>(none)</x:v>
      </x:c>
      <x:c r="K20" s="12"/>
      <x:c r="L20" s="12"/>
    </x:row>
    <x:row r="21" s="1" customFormat="1" ht="14.25" hidden="0" customHeight="1">
      <x:c r="A21" s="7" t="s">
        <x:v>2318</x:v>
      </x:c>
      <x:c r="B21" s="43" t="n">
        <x:v>0</x:v>
      </x:c>
      <x:c r="C21" s="8" t="str">
        <x:v>Build-frozen</x:v>
      </x:c>
      <x:c r="D21" s="12"/>
      <x:c r="E21" s="12"/>
      <x:c r="F21" s="12"/>
      <x:c r="G21" s="12"/>
      <x:c r="H21" s="12"/>
      <x:c r="I21" s="8" t="s">
        <x:v>2319</x:v>
      </x:c>
      <x:c r="J21" s="8" t="str">
        <x:v>ESCALATION_REQUIRED; UNCERTAINTY_DECISIVENESS_SENSITIVE</x:v>
      </x:c>
      <x:c r="K21" s="12"/>
      <x:c r="L21" s="12"/>
    </x:row>
    <x:row r="22" s="1" customFormat="1" ht="14.25" hidden="0" customHeight="1">
      <x:c r="A22" s="7" t="s">
        <x:v>2320</x:v>
      </x:c>
      <x:c r="B22" s="5" t="n">
        <x:v>2</x:v>
      </x:c>
      <x:c r="C22" s="5" t="str">
        <x:v>Build-frozen</x:v>
      </x:c>
      <x:c r="D22" s="12"/>
      <x:c r="E22" s="12"/>
      <x:c r="F22" s="12"/>
      <x:c r="G22" s="12"/>
      <x:c r="H22" s="12"/>
      <x:c r="I22" s="5" t="s">
        <x:v>2321</x:v>
      </x:c>
      <x:c r="J22" s="5" t="str">
        <x:v>NONDECISIVE_GAP_REVIEW</x:v>
      </x:c>
      <x:c r="K22" s="12"/>
      <x:c r="L22" s="12"/>
    </x:row>
    <x:row r="23" s="1" customFormat="1" ht="14.25" hidden="0" customHeight="1">
      <x:c r="A23" s="7" t="s">
        <x:v>2322</x:v>
      </x:c>
      <x:c r="B23" s="43" t="n">
        <x:v>1</x:v>
      </x:c>
      <x:c r="C23" s="8" t="str">
        <x:v>Build-frozen</x:v>
      </x:c>
      <x:c r="D23" s="12"/>
      <x:c r="E23" s="12"/>
      <x:c r="F23" s="12"/>
      <x:c r="G23" s="12"/>
      <x:c r="H23" s="12"/>
      <x:c r="I23" s="12"/>
      <x:c r="J23" s="12"/>
      <x:c r="K23" s="12"/>
      <x:c r="L23" s="12"/>
    </x:row>
    <x:row r="24" s="1" customFormat="1" ht="14.25" hidden="0" customHeight="1">
      <x:c r="A24" s="7" t="s">
        <x:v>2323</x:v>
      </x:c>
      <x:c r="B24" s="5" t="n">
        <x:v>3</x:v>
      </x:c>
      <x:c r="C24" s="5" t="str">
        <x:v>Build-frozen</x:v>
      </x:c>
      <x:c r="D24" s="12"/>
      <x:c r="E24" s="12"/>
      <x:c r="F24" s="12"/>
      <x:c r="G24" s="12"/>
      <x:c r="H24" s="12"/>
      <x:c r="I24" s="12"/>
      <x:c r="J24" s="12"/>
      <x:c r="K24" s="12"/>
      <x:c r="L24" s="12"/>
    </x:row>
    <x:row r="25" s="1" customFormat="1" ht="60" hidden="0" customHeight="1">
      <x:c r="A25" s="7" t="s">
        <x:v>2324</x:v>
      </x:c>
      <x:c r="B25" s="48" t="s">
        <x:v>233</x:v>
      </x:c>
      <x:c r="C25" s="48" t="s">
        <x:v>2301</x:v>
      </x:c>
      <x:c r="D25" s="48" t="s">
        <x:v>2325</x:v>
      </x:c>
      <x:c r="E25" s="48" t="s">
        <x:v>2326</x:v>
      </x:c>
      <x:c r="F25" s="48" t="s">
        <x:v>2327</x:v>
      </x:c>
      <x:c r="G25" s="8"/>
      <x:c r="H25" s="8"/>
      <x:c r="I25" s="8"/>
      <x:c r="J25" s="8"/>
      <x:c r="K25" s="8"/>
      <x:c r="L25" s="8"/>
    </x:row>
    <x:row r="26" s="1" customFormat="1" ht="48" hidden="0" customHeight="1">
      <x:c r="A26" s="7" t="s">
        <x:v>2328</x:v>
      </x:c>
      <x:c r="B26" s="5" t="s">
        <x:v>233</x:v>
      </x:c>
      <x:c r="C26" s="5" t="s">
        <x:v>1346</x:v>
      </x:c>
      <x:c r="D26" s="5" t="s">
        <x:v>2329</x:v>
      </x:c>
      <x:c r="E26" s="5" t="s">
        <x:v>2330</x:v>
      </x:c>
      <x:c r="F26" s="5" t="s">
        <x:v>2331</x:v>
      </x:c>
      <x:c r="G26" s="5"/>
      <x:c r="H26" s="5"/>
      <x:c r="I26" s="5"/>
      <x:c r="J26" s="5"/>
      <x:c r="K26" s="5"/>
      <x:c r="L26" s="5"/>
    </x:row>
    <x:row r="27" s="1" customFormat="1" ht="48" hidden="0" customHeight="1">
      <x:c r="A27" s="7" t="s">
        <x:v>2332</x:v>
      </x:c>
      <x:c r="B27" s="48" t="s">
        <x:v>233</x:v>
      </x:c>
      <x:c r="C27" s="48" t="s">
        <x:v>2301</x:v>
      </x:c>
      <x:c r="D27" s="48" t="s">
        <x:v>2333</x:v>
      </x:c>
      <x:c r="E27" s="48" t="s">
        <x:v>2334</x:v>
      </x:c>
      <x:c r="F27" s="48" t="s">
        <x:v>2331</x:v>
      </x:c>
      <x:c r="G27" s="8"/>
      <x:c r="H27" s="8"/>
      <x:c r="I27" s="8"/>
      <x:c r="J27" s="8"/>
      <x:c r="K27" s="8"/>
      <x:c r="L27" s="8"/>
    </x:row>
    <x:row r="28" s="1" customFormat="1" ht="48" hidden="0" customHeight="1">
      <x:c r="A28" s="7" t="s">
        <x:v>2335</x:v>
      </x:c>
      <x:c r="B28" s="5" t="s">
        <x:v>233</x:v>
      </x:c>
      <x:c r="C28" s="5" t="s">
        <x:v>2269</x:v>
      </x:c>
      <x:c r="D28" s="5" t="s">
        <x:v>2336</x:v>
      </x:c>
      <x:c r="E28" s="5" t="s">
        <x:v>2337</x:v>
      </x:c>
      <x:c r="F28" s="5" t="s">
        <x:v>2338</x:v>
      </x:c>
      <x:c r="G28" s="5"/>
      <x:c r="H28" s="5"/>
      <x:c r="I28" s="5"/>
      <x:c r="J28" s="5"/>
      <x:c r="K28" s="5"/>
      <x:c r="L28" s="5"/>
    </x:row>
    <x:row r="29" s="1" customFormat="1" ht="48" hidden="0" customHeight="1">
      <x:c r="A29" s="7" t="s">
        <x:v>2339</x:v>
      </x:c>
      <x:c r="B29" s="8" t="s">
        <x:v>233</x:v>
      </x:c>
      <x:c r="C29" s="8" t="s">
        <x:v>2269</x:v>
      </x:c>
      <x:c r="D29" s="8" t="s">
        <x:v>2340</x:v>
      </x:c>
      <x:c r="E29" s="8" t="s">
        <x:v>2341</x:v>
      </x:c>
      <x:c r="F29" s="8" t="s">
        <x:v>2342</x:v>
      </x:c>
      <x:c r="G29" s="8"/>
      <x:c r="H29" s="8"/>
      <x:c r="I29" s="8"/>
      <x:c r="J29" s="8"/>
      <x:c r="K29" s="8"/>
      <x:c r="L29" s="8"/>
    </x:row>
    <x:row r="30" s="1" customFormat="1" ht="60" hidden="0" customHeight="1">
      <x:c r="A30" s="7" t="s">
        <x:v>2343</x:v>
      </x:c>
      <x:c r="B30" s="5" t="s">
        <x:v>233</x:v>
      </x:c>
      <x:c r="C30" s="5" t="s">
        <x:v>1346</x:v>
      </x:c>
      <x:c r="D30" s="5" t="s">
        <x:v>2344</x:v>
      </x:c>
      <x:c r="E30" s="5" t="s">
        <x:v>2345</x:v>
      </x:c>
      <x:c r="F30" s="5" t="s">
        <x:v>2346</x:v>
      </x:c>
      <x:c r="G30" s="5"/>
      <x:c r="H30" s="5"/>
      <x:c r="I30" s="5"/>
      <x:c r="J30" s="5"/>
      <x:c r="K30" s="5"/>
      <x:c r="L30" s="5"/>
    </x:row>
    <x:row r="31" s="1" customFormat="1" ht="60" hidden="0" customHeight="1">
      <x:c r="A31" s="7" t="s">
        <x:v>2347</x:v>
      </x:c>
      <x:c r="B31" s="8" t="s">
        <x:v>233</x:v>
      </x:c>
      <x:c r="C31" s="8" t="s">
        <x:v>2269</x:v>
      </x:c>
      <x:c r="D31" s="8" t="s">
        <x:v>2348</x:v>
      </x:c>
      <x:c r="E31" s="8" t="s">
        <x:v>2349</x:v>
      </x:c>
      <x:c r="F31" s="8" t="s">
        <x:v>2350</x:v>
      </x:c>
      <x:c r="G31" s="8"/>
      <x:c r="H31" s="8"/>
      <x:c r="I31" s="8"/>
      <x:c r="J31" s="8"/>
      <x:c r="K31" s="8"/>
      <x:c r="L31" s="8"/>
    </x:row>
    <x:row r="32" s="1" customFormat="1" ht="60" hidden="0" customHeight="1">
      <x:c r="A32" s="7" t="s">
        <x:v>255</x:v>
      </x:c>
      <x:c r="B32" s="5" t="str">
        <x:v>YES</x:v>
      </x:c>
      <x:c r="C32" s="5" t="s">
        <x:v>1346</x:v>
      </x:c>
      <x:c r="D32" s="5" t="str">
        <x:v>A computed governed uncertainty stress changes whether the lead is decisive; the run must be treated as non-decisive at any tier.</x:v>
      </x:c>
      <x:c r="E32" s="5" t="str">
        <x:v>Base Gap &gt; δ and σ×2 Gap &lt; δ; uncertainty calibration remains unvalidated.</x:v>
      </x:c>
      <x:c r="F32" s="5" t="str">
        <x:v>Canon §§10.3.2, 10.4A; RLS!B39:B48</x:v>
      </x:c>
      <x:c r="G32" s="5"/>
      <x:c r="H32" s="5"/>
      <x:c r="I32" s="5"/>
      <x:c r="J32" s="5"/>
      <x:c r="K32" s="5"/>
      <x:c r="L32" s="5"/>
    </x:row>
    <x:row r="33" s="1" customFormat="1" ht="108" hidden="0" customHeight="1">
      <x:c r="A33" s="7" t="s">
        <x:v>2351</x:v>
      </x:c>
      <x:c r="B33" s="8" t="s">
        <x:v>233</x:v>
      </x:c>
      <x:c r="C33" s="8" t="s">
        <x:v>2301</x:v>
      </x:c>
      <x:c r="D33" s="8" t="s">
        <x:v>2352</x:v>
      </x:c>
      <x:c r="E33" s="8" t="s">
        <x:v>2353</x:v>
      </x:c>
      <x:c r="F33" s="8" t="s">
        <x:v>2354</x:v>
      </x:c>
      <x:c r="G33" s="8"/>
      <x:c r="H33" s="8"/>
      <x:c r="I33" s="8"/>
      <x:c r="J33" s="8"/>
      <x:c r="K33" s="8"/>
      <x:c r="L33" s="8"/>
    </x:row>
    <x:row r="34" s="1" customFormat="1" ht="14.25" hidden="0" customHeight="1">
      <x:c r="A34" s="7" t="s">
        <x:v>2355</x:v>
      </x:c>
      <x:c r="B34" s="7"/>
      <x:c r="C34" s="7"/>
      <x:c r="D34" s="7"/>
      <x:c r="E34" s="7"/>
      <x:c r="F34" s="7"/>
      <x:c r="G34" s="12"/>
      <x:c r="H34" s="12"/>
      <x:c r="I34" s="12"/>
      <x:c r="J34" s="12"/>
      <x:c r="K34" s="12"/>
      <x:c r="L34" s="12"/>
    </x:row>
    <x:row r="35" s="1" customFormat="1" ht="14.25" hidden="0" customHeight="1">
      <x:c r="A35" s="7" t="s">
        <x:v>2356</x:v>
      </x:c>
      <x:c r="B35" s="7"/>
      <x:c r="C35" s="7"/>
      <x:c r="D35" s="7"/>
      <x:c r="E35" s="7"/>
      <x:c r="F35" s="7"/>
      <x:c r="G35" s="12"/>
      <x:c r="H35" s="12"/>
      <x:c r="I35" s="12"/>
      <x:c r="J35" s="12"/>
      <x:c r="K35" s="12"/>
      <x:c r="L35" s="12"/>
    </x:row>
    <x:row r="36" s="1" customFormat="1" ht="14.25" hidden="0" customHeight="1">
      <x:c r="A36" s="7" t="s">
        <x:v>2357</x:v>
      </x:c>
      <x:c r="B36" s="12"/>
      <x:c r="C36" s="12"/>
      <x:c r="D36" s="12"/>
      <x:c r="E36" s="12"/>
      <x:c r="F36" s="12"/>
      <x:c r="G36" s="12"/>
      <x:c r="H36" s="12"/>
      <x:c r="I36" s="12"/>
      <x:c r="J36" s="12"/>
      <x:c r="K36" s="12"/>
      <x:c r="L36" s="12"/>
    </x:row>
    <x:row r="37" s="1" customFormat="1" ht="14.25" hidden="0" customHeight="1">
      <x:c r="A37" s="12"/>
      <x:c r="B37" s="12"/>
      <x:c r="C37" s="12"/>
      <x:c r="D37" s="12"/>
      <x:c r="E37" s="12"/>
      <x:c r="F37" s="12"/>
      <x:c r="G37" s="12"/>
      <x:c r="H37" s="12"/>
      <x:c r="I37" s="12"/>
      <x:c r="J37" s="12"/>
      <x:c r="K37" s="12"/>
      <x:c r="L37" s="12"/>
    </x:row>
    <x:row r="38" s="1" customFormat="1" ht="14.25" hidden="0" customHeight="1">
      <x:c r="A38" s="7" t="s">
        <x:v>2358</x:v>
      </x:c>
      <x:c r="B38" s="12"/>
      <x:c r="C38" s="12"/>
      <x:c r="D38" s="12"/>
      <x:c r="E38" s="12"/>
      <x:c r="F38" s="12"/>
      <x:c r="G38" s="12"/>
      <x:c r="H38" s="12"/>
      <x:c r="I38" s="12"/>
      <x:c r="J38" s="12"/>
      <x:c r="K38" s="12"/>
      <x:c r="L38" s="12"/>
    </x:row>
    <x:row r="39" s="1" customFormat="1" ht="108" hidden="0" customHeight="1">
      <x:c r="A39" s="7" t="s">
        <x:v>2359</x:v>
      </x:c>
      <x:c r="B39" s="12"/>
      <x:c r="C39" s="12"/>
      <x:c r="D39" s="12"/>
      <x:c r="E39" s="12"/>
      <x:c r="F39" s="12"/>
      <x:c r="G39" s="12"/>
      <x:c r="H39" s="12"/>
      <x:c r="I39" s="12"/>
      <x:c r="J39" s="12"/>
      <x:c r="K39" s="12"/>
      <x:c r="L39" s="12"/>
    </x:row>
    <x:row r="40" s="1" customFormat="1" ht="14.25" hidden="0" customHeight="1">
      <x:c r="A40" s="7"/>
      <x:c r="B40" s="12"/>
      <x:c r="C40" s="12"/>
      <x:c r="D40" s="12"/>
      <x:c r="E40" s="12"/>
      <x:c r="F40" s="12"/>
      <x:c r="G40" s="12"/>
      <x:c r="H40" s="12"/>
      <x:c r="I40" s="12"/>
      <x:c r="J40" s="12"/>
      <x:c r="K40" s="12"/>
      <x:c r="L40" s="12"/>
    </x:row>
    <x:row r="41" s="1" customFormat="1" ht="14.25" hidden="0" customHeight="1">
      <x:c r="A41" s="12"/>
      <x:c r="B41" s="12"/>
      <x:c r="C41" s="12"/>
      <x:c r="D41" s="12"/>
      <x:c r="E41" s="12"/>
      <x:c r="F41" s="12"/>
      <x:c r="G41" s="12"/>
      <x:c r="H41" s="12"/>
      <x:c r="I41" s="12"/>
      <x:c r="J41" s="12"/>
      <x:c r="K41" s="12"/>
      <x:c r="L41" s="12"/>
    </x:row>
    <x:row r="42" s="1" customFormat="1" ht="24" hidden="0" customHeight="1">
      <x:c r="A42" s="7" t="s">
        <x:v>2263</x:v>
      </x:c>
      <x:c r="B42" s="5" t="s">
        <x:v>2360</x:v>
      </x:c>
      <x:c r="C42" s="5" t="s">
        <x:v>2361</x:v>
      </x:c>
      <x:c r="D42" s="5" t="s">
        <x:v>111</x:v>
      </x:c>
      <x:c r="E42" s="12"/>
      <x:c r="F42" s="12"/>
      <x:c r="G42" s="12"/>
      <x:c r="H42" s="12"/>
      <x:c r="I42" s="12"/>
      <x:c r="J42" s="12"/>
      <x:c r="K42" s="12"/>
      <x:c r="L42" s="12"/>
    </x:row>
    <x:row r="43" s="1" customFormat="1" ht="60" hidden="0" customHeight="1">
      <x:c r="A43" s="7" t="s">
        <x:v>2275</x:v>
      </x:c>
      <x:c r="B43" s="8" t="s">
        <x:v>2362</x:v>
      </x:c>
      <x:c r="C43" s="8" t="s">
        <x:v>2235</x:v>
      </x:c>
      <x:c r="D43" s="8" t="s">
        <x:v>2363</x:v>
      </x:c>
      <x:c r="E43" s="12"/>
      <x:c r="F43" s="12"/>
      <x:c r="G43" s="12"/>
      <x:c r="H43" s="12"/>
      <x:c r="I43" s="12"/>
      <x:c r="J43" s="12"/>
      <x:c r="K43" s="12"/>
      <x:c r="L43" s="12"/>
    </x:row>
    <x:row r="44" s="1" customFormat="1" ht="48" hidden="0" customHeight="1">
      <x:c r="A44" s="7" t="s">
        <x:v>2279</x:v>
      </x:c>
      <x:c r="B44" s="5" t="s">
        <x:v>2362</x:v>
      </x:c>
      <x:c r="C44" s="5" t="s">
        <x:v>2235</x:v>
      </x:c>
      <x:c r="D44" s="5" t="s">
        <x:v>2364</x:v>
      </x:c>
      <x:c r="E44" s="12"/>
      <x:c r="F44" s="12"/>
      <x:c r="G44" s="12"/>
      <x:c r="H44" s="12"/>
      <x:c r="I44" s="12"/>
      <x:c r="J44" s="12"/>
      <x:c r="K44" s="12"/>
      <x:c r="L44" s="12"/>
    </x:row>
    <x:row r="45" s="1" customFormat="1" ht="24" hidden="0" customHeight="1">
      <x:c r="A45" s="7" t="s">
        <x:v>2282</x:v>
      </x:c>
      <x:c r="B45" s="8" t="s">
        <x:v>2362</x:v>
      </x:c>
      <x:c r="C45" s="8" t="s">
        <x:v>2235</x:v>
      </x:c>
      <x:c r="D45" s="8" t="s">
        <x:v>2365</x:v>
      </x:c>
      <x:c r="E45" s="12"/>
      <x:c r="F45" s="12"/>
      <x:c r="G45" s="12"/>
      <x:c r="H45" s="12"/>
      <x:c r="I45" s="12"/>
      <x:c r="J45" s="12"/>
      <x:c r="K45" s="12"/>
      <x:c r="L45" s="12"/>
    </x:row>
    <x:row r="46" s="1" customFormat="1" ht="48" hidden="0" customHeight="1">
      <x:c r="A46" s="7" t="s">
        <x:v>2366</x:v>
      </x:c>
      <x:c r="B46" s="5" t="s">
        <x:v>2362</x:v>
      </x:c>
      <x:c r="C46" s="5" t="s">
        <x:v>2235</x:v>
      </x:c>
      <x:c r="D46" s="5" t="s">
        <x:v>2367</x:v>
      </x:c>
      <x:c r="E46" s="12"/>
      <x:c r="F46" s="12"/>
      <x:c r="G46" s="12"/>
      <x:c r="H46" s="12"/>
      <x:c r="I46" s="12"/>
      <x:c r="J46" s="12"/>
      <x:c r="K46" s="12"/>
      <x:c r="L46" s="12"/>
    </x:row>
    <x:row r="47" s="1" customFormat="1" ht="60" hidden="0" customHeight="1">
      <x:c r="A47" s="7" t="s">
        <x:v>2305</x:v>
      </x:c>
      <x:c r="B47" s="8" t="str">
        <x:v>CANON_ALIGNED</x:v>
      </x:c>
      <x:c r="C47" s="8" t="str">
        <x:v>Canon §10.4A: REVIEW / authority selection</x:v>
      </x:c>
      <x:c r="D47" s="8" t="str">
        <x:v>Non-decisive framework result requires transparent authority routing and cannot be presented as unique cascade selection.</x:v>
      </x:c>
      <x:c r="E47" s="12"/>
      <x:c r="F47" s="12"/>
      <x:c r="G47" s="12"/>
      <x:c r="H47" s="12"/>
      <x:c r="I47" s="12"/>
      <x:c r="J47" s="12"/>
      <x:c r="K47" s="12"/>
      <x:c r="L47" s="12"/>
    </x:row>
    <x:row r="48" s="1" customFormat="1" ht="48" hidden="0" customHeight="1">
      <x:c r="A48" s="7" t="s">
        <x:v>2306</x:v>
      </x:c>
      <x:c r="B48" s="5" t="s">
        <x:v>2362</x:v>
      </x:c>
      <x:c r="C48" s="5" t="s">
        <x:v>2368</x:v>
      </x:c>
      <x:c r="D48" s="5" t="s">
        <x:v>2369</x:v>
      </x:c>
      <x:c r="E48" s="12"/>
      <x:c r="F48" s="12"/>
      <x:c r="G48" s="12"/>
      <x:c r="H48" s="12"/>
      <x:c r="I48" s="12"/>
      <x:c r="J48" s="12"/>
      <x:c r="K48" s="12"/>
      <x:c r="L48" s="12"/>
    </x:row>
    <x:row r="49" s="1" customFormat="1" ht="48" hidden="0" customHeight="1">
      <x:c r="A49" s="7" t="s">
        <x:v>2310</x:v>
      </x:c>
      <x:c r="B49" s="8" t="s">
        <x:v>2362</x:v>
      </x:c>
      <x:c r="C49" s="8" t="s">
        <x:v>2370</x:v>
      </x:c>
      <x:c r="D49" s="8" t="s">
        <x:v>2371</x:v>
      </x:c>
      <x:c r="E49" s="12"/>
      <x:c r="F49" s="12"/>
      <x:c r="G49" s="12"/>
      <x:c r="H49" s="12"/>
      <x:c r="I49" s="12"/>
      <x:c r="J49" s="12"/>
      <x:c r="K49" s="12"/>
      <x:c r="L49" s="12"/>
    </x:row>
    <x:row r="50" s="1" customFormat="1" ht="36" hidden="0" customHeight="1">
      <x:c r="A50" s="7" t="s">
        <x:v>2324</x:v>
      </x:c>
      <x:c r="B50" s="5" t="s">
        <x:v>2362</x:v>
      </x:c>
      <x:c r="C50" s="5" t="s">
        <x:v>2372</x:v>
      </x:c>
      <x:c r="D50" s="5" t="s">
        <x:v>2373</x:v>
      </x:c>
      <x:c r="E50" s="12"/>
      <x:c r="F50" s="12"/>
      <x:c r="G50" s="12"/>
      <x:c r="H50" s="12"/>
      <x:c r="I50" s="12"/>
      <x:c r="J50" s="12"/>
      <x:c r="K50" s="12"/>
      <x:c r="L50" s="12"/>
    </x:row>
    <x:row r="51" s="1" customFormat="1" ht="14.25" hidden="0" customHeight="1">
      <x:c r="A51" s="12" t="s">
        <x:v>2374</x:v>
      </x:c>
      <x:c r="B51" s="12"/>
      <x:c r="C51" s="12"/>
      <x:c r="D51" s="12"/>
      <x:c r="E51" s="12"/>
      <x:c r="F51" s="12"/>
      <x:c r="G51" s="12"/>
      <x:c r="H51" s="12"/>
      <x:c r="I51" s="12"/>
      <x:c r="J51" s="12"/>
      <x:c r="K51" s="12"/>
      <x:c r="L51" s="12"/>
    </x:row>
    <x:row r="52" s="1" customFormat="1" ht="14.25" hidden="0" customHeight="1">
      <x:c r="A52" s="7" t="s">
        <x:v>2375</x:v>
      </x:c>
      <x:c r="B52" s="12"/>
      <x:c r="C52" s="12"/>
      <x:c r="D52" s="12"/>
      <x:c r="E52" s="12"/>
      <x:c r="F52" s="12"/>
      <x:c r="G52" s="12"/>
      <x:c r="H52" s="12"/>
      <x:c r="I52" s="12"/>
      <x:c r="J52" s="12"/>
      <x:c r="K52" s="12"/>
      <x:c r="L52" s="12"/>
    </x:row>
    <x:row r="53" s="1" customFormat="1" ht="144" hidden="0" customHeight="1">
      <x:c r="A53" s="7" t="s">
        <x:v>2376</x:v>
      </x:c>
      <x:c r="B53" s="8" t="s">
        <x:v>2377</x:v>
      </x:c>
      <x:c r="C53" s="8" t="s">
        <x:v>2378</x:v>
      </x:c>
      <x:c r="D53" s="8" t="s">
        <x:v>2379</x:v>
      </x:c>
      <x:c r="E53" s="12"/>
      <x:c r="F53" s="12"/>
      <x:c r="G53" s="12"/>
      <x:c r="H53" s="12"/>
      <x:c r="I53" s="12"/>
      <x:c r="J53" s="12"/>
      <x:c r="K53" s="12"/>
      <x:c r="L53" s="12"/>
    </x:row>
    <x:row r="54" s="1" customFormat="1" ht="144" hidden="0" customHeight="1">
      <x:c r="A54" s="7" t="s">
        <x:v>2380</x:v>
      </x:c>
      <x:c r="B54" s="5" t="s">
        <x:v>2377</x:v>
      </x:c>
      <x:c r="C54" s="5" t="s">
        <x:v>2381</x:v>
      </x:c>
      <x:c r="D54" s="5" t="s">
        <x:v>2382</x:v>
      </x:c>
      <x:c r="E54" s="12"/>
      <x:c r="F54" s="12"/>
      <x:c r="G54" s="12"/>
      <x:c r="H54" s="12"/>
      <x:c r="I54" s="12"/>
      <x:c r="J54" s="12"/>
      <x:c r="K54" s="12"/>
      <x:c r="L54" s="12"/>
    </x:row>
    <x:row r="55" s="1" customFormat="1" ht="84" hidden="0" customHeight="1">
      <x:c r="A55" s="7" t="s">
        <x:v>2383</x:v>
      </x:c>
      <x:c r="B55" s="8" t="s">
        <x:v>2377</x:v>
      </x:c>
      <x:c r="C55" s="8" t="s">
        <x:v>2384</x:v>
      </x:c>
      <x:c r="D55" s="8" t="s">
        <x:v>2385</x:v>
      </x:c>
      <x:c r="E55" s="12"/>
      <x:c r="F55" s="12"/>
      <x:c r="G55" s="12"/>
      <x:c r="H55" s="12"/>
      <x:c r="I55" s="12"/>
      <x:c r="J55" s="12"/>
      <x:c r="K55" s="12"/>
      <x:c r="L55" s="12"/>
    </x:row>
  </x:sheetData>
  <x:mergeCells>
    <x:mergeCell ref="A34:F34"/>
    <x:mergeCell ref="A35:F35"/>
  </x:mergeCells>
  <x:pageMargins left="0.7" right="0.7" top="0.75" bottom="0.75" header="0.3" footer="0.3"/>
</x:worksheet>
</file>

<file path=xl/worksheets/sheet32.xml><?xml version="1.0" encoding="utf-8"?>
<x:worksheet xmlns:x="http://schemas.openxmlformats.org/spreadsheetml/2006/main">
  <x:sheetViews>
    <x:sheetView showGridLines="1" workbookViewId="0"/>
  </x:sheetViews>
  <x:sheetFormatPr defaultColWidth="8.66796875" defaultRowHeight="12.75"/>
  <x:cols>
    <x:col min="1" max="3" width="36" style="1" hidden="0" customWidth="1"/>
    <x:col min="4" max="10" width="16" style="1" hidden="0" customWidth="1"/>
  </x:cols>
  <x:sheetData>
    <x:row r="1" s="1" customFormat="1" ht="14.25" hidden="0" customHeight="1">
      <x:c r="A1" s="2" t="s">
        <x:v>2386</x:v>
      </x:c>
      <x:c r="B1" s="2"/>
      <x:c r="C1" s="2"/>
      <x:c r="D1" s="2"/>
      <x:c r="E1" s="2"/>
      <x:c r="F1" s="2"/>
      <x:c r="G1" s="2"/>
      <x:c r="H1" s="2"/>
      <x:c r="I1" s="2"/>
      <x:c r="J1" s="2"/>
    </x:row>
    <x:row r="2" s="1" customFormat="1" ht="13.5" hidden="0" customHeight="1">
      <x:c r="A2" s="6"/>
      <x:c r="B2" s="6"/>
      <x:c r="C2" s="6"/>
      <x:c r="D2" s="6"/>
      <x:c r="E2" s="6"/>
      <x:c r="F2" s="6"/>
      <x:c r="G2" s="6"/>
      <x:c r="H2" s="6"/>
      <x:c r="I2" s="6"/>
      <x:c r="J2" s="6"/>
    </x:row>
    <x:row r="3" s="1" customFormat="1" ht="14.25" hidden="0" customHeight="1">
      <x:c r="A3" s="7" t="s">
        <x:v>2387</x:v>
      </x:c>
      <x:c r="B3" s="6"/>
      <x:c r="C3" s="6"/>
      <x:c r="D3" s="6"/>
      <x:c r="E3" s="6"/>
      <x:c r="F3" s="6"/>
      <x:c r="G3" s="6"/>
      <x:c r="H3" s="6"/>
      <x:c r="I3" s="6"/>
      <x:c r="J3" s="6"/>
    </x:row>
    <x:row r="4" s="1" customFormat="1" ht="14.25" hidden="0" customHeight="1">
      <x:c r="A4" s="7" t="s">
        <x:v>2388</x:v>
      </x:c>
      <x:c r="B4" s="5" t="s">
        <x:v>2389</x:v>
      </x:c>
      <x:c r="C4" s="6"/>
      <x:c r="D4" s="6"/>
      <x:c r="E4" s="6"/>
      <x:c r="F4" s="6"/>
      <x:c r="G4" s="6"/>
      <x:c r="H4" s="6"/>
      <x:c r="I4" s="6"/>
      <x:c r="J4" s="6"/>
    </x:row>
    <x:row r="5" s="1" customFormat="1" ht="14.25" hidden="0" customHeight="1">
      <x:c r="A5" s="7" t="s">
        <x:v>2390</x:v>
      </x:c>
      <x:c r="B5" s="8" t="s">
        <x:v>2170</x:v>
      </x:c>
      <x:c r="C5" s="6"/>
      <x:c r="D5" s="6"/>
      <x:c r="E5" s="6"/>
      <x:c r="F5" s="6"/>
      <x:c r="G5" s="6"/>
      <x:c r="H5" s="6"/>
      <x:c r="I5" s="6"/>
      <x:c r="J5" s="6"/>
    </x:row>
    <x:row r="6" s="1" customFormat="1" ht="14.25" hidden="0" customHeight="1">
      <x:c r="A6" s="7" t="s">
        <x:v>2391</x:v>
      </x:c>
      <x:c r="B6" s="5" t="s">
        <x:v>2173</x:v>
      </x:c>
      <x:c r="C6" s="6"/>
      <x:c r="D6" s="6"/>
      <x:c r="E6" s="6"/>
      <x:c r="F6" s="6"/>
      <x:c r="G6" s="6"/>
      <x:c r="H6" s="6"/>
      <x:c r="I6" s="6"/>
      <x:c r="J6" s="6"/>
    </x:row>
    <x:row r="7" s="1" customFormat="1" ht="14.25" hidden="0" customHeight="1">
      <x:c r="A7" s="7" t="s">
        <x:v>2069</x:v>
      </x:c>
      <x:c r="B7" s="8" t="s">
        <x:v>2392</x:v>
      </x:c>
      <x:c r="C7" s="6"/>
      <x:c r="D7" s="6"/>
      <x:c r="E7" s="6"/>
      <x:c r="F7" s="6"/>
      <x:c r="G7" s="6"/>
      <x:c r="H7" s="6"/>
      <x:c r="I7" s="6"/>
      <x:c r="J7" s="6"/>
    </x:row>
    <x:row r="8" s="1" customFormat="1" ht="14.25" hidden="0" customHeight="1">
      <x:c r="A8" s="7" t="s">
        <x:v>1944</x:v>
      </x:c>
      <x:c r="B8" s="5" t="s">
        <x:v>2393</x:v>
      </x:c>
      <x:c r="C8" s="6"/>
      <x:c r="D8" s="6"/>
      <x:c r="E8" s="6"/>
      <x:c r="F8" s="6"/>
      <x:c r="G8" s="6"/>
      <x:c r="H8" s="6"/>
      <x:c r="I8" s="6"/>
      <x:c r="J8" s="6"/>
    </x:row>
    <x:row r="9" s="1" customFormat="1" ht="14.25" hidden="0" customHeight="1">
      <x:c r="A9" s="7" t="s">
        <x:v>2394</x:v>
      </x:c>
      <x:c r="B9" s="8" t="s">
        <x:v>2175</x:v>
      </x:c>
      <x:c r="C9" s="6"/>
      <x:c r="D9" s="6"/>
      <x:c r="E9" s="6"/>
      <x:c r="F9" s="6"/>
      <x:c r="G9" s="6"/>
      <x:c r="H9" s="6"/>
      <x:c r="I9" s="6"/>
      <x:c r="J9" s="6"/>
    </x:row>
    <x:row r="10" s="1" customFormat="1" ht="14.25" hidden="0" customHeight="1">
      <x:c r="A10" s="7" t="s">
        <x:v>2395</x:v>
      </x:c>
      <x:c r="B10" s="5" t="s">
        <x:v>227</x:v>
      </x:c>
      <x:c r="C10" s="6"/>
      <x:c r="D10" s="6"/>
      <x:c r="E10" s="6"/>
      <x:c r="F10" s="6"/>
      <x:c r="G10" s="6"/>
      <x:c r="H10" s="6"/>
      <x:c r="I10" s="6"/>
      <x:c r="J10" s="6"/>
    </x:row>
    <x:row r="11" s="1" customFormat="1" ht="14.25" hidden="0" customHeight="1">
      <x:c r="A11" s="7" t="s">
        <x:v>2396</x:v>
      </x:c>
      <x:c r="B11" s="56" t="s">
        <x:v>43</x:v>
      </x:c>
      <x:c r="C11" s="6"/>
      <x:c r="D11" s="6"/>
      <x:c r="E11" s="6"/>
      <x:c r="F11" s="6"/>
      <x:c r="G11" s="6"/>
      <x:c r="H11" s="6"/>
      <x:c r="I11" s="6"/>
      <x:c r="J11" s="6"/>
    </x:row>
    <x:row r="12" s="1" customFormat="1" ht="14.25" hidden="0" customHeight="1">
      <x:c r="A12" s="7" t="s">
        <x:v>2397</x:v>
      </x:c>
      <x:c r="B12" s="5" t="s">
        <x:v>55</x:v>
      </x:c>
      <x:c r="C12" s="6"/>
      <x:c r="D12" s="6"/>
      <x:c r="E12" s="6"/>
      <x:c r="F12" s="6"/>
      <x:c r="G12" s="6"/>
      <x:c r="H12" s="6"/>
      <x:c r="I12" s="6"/>
      <x:c r="J12" s="6"/>
    </x:row>
    <x:row r="13" s="1" customFormat="1" ht="14.25" hidden="0" customHeight="1">
      <x:c r="A13" s="7" t="s">
        <x:v>2398</x:v>
      </x:c>
      <x:c r="B13" s="8" t="s">
        <x:v>210</x:v>
      </x:c>
      <x:c r="C13" s="6"/>
      <x:c r="D13" s="6"/>
      <x:c r="E13" s="6"/>
      <x:c r="F13" s="6"/>
      <x:c r="G13" s="6"/>
      <x:c r="H13" s="6"/>
      <x:c r="I13" s="6"/>
      <x:c r="J13" s="6"/>
    </x:row>
    <x:row r="14" s="1" customFormat="1" ht="14.25" hidden="0" customHeight="1">
      <x:c r="A14" s="6"/>
      <x:c r="B14" s="5" t="s">
        <x:v>292</x:v>
      </x:c>
      <x:c r="C14" s="6"/>
      <x:c r="D14" s="6"/>
      <x:c r="E14" s="6"/>
      <x:c r="F14" s="6"/>
      <x:c r="G14" s="6"/>
      <x:c r="H14" s="6"/>
      <x:c r="I14" s="6"/>
      <x:c r="J14" s="6"/>
    </x:row>
    <x:row r="15" s="1" customFormat="1" ht="14.25" hidden="0" customHeight="1">
      <x:c r="A15" s="7" t="s">
        <x:v>334</x:v>
      </x:c>
      <x:c r="B15" s="8" t="s">
        <x:v>2399</x:v>
      </x:c>
      <x:c r="C15" s="6"/>
      <x:c r="D15" s="6"/>
      <x:c r="E15" s="6"/>
      <x:c r="F15" s="6"/>
      <x:c r="G15" s="6"/>
      <x:c r="H15" s="6"/>
      <x:c r="I15" s="6"/>
      <x:c r="J15" s="6"/>
    </x:row>
    <x:row r="16" s="1" customFormat="1" ht="14.25" hidden="0" customHeight="1">
      <x:c r="A16" s="7" t="s">
        <x:v>2400</x:v>
      </x:c>
      <x:c r="B16" s="6"/>
      <x:c r="C16" s="6"/>
      <x:c r="D16" s="6"/>
      <x:c r="E16" s="6"/>
      <x:c r="F16" s="6"/>
      <x:c r="G16" s="6"/>
      <x:c r="H16" s="6"/>
      <x:c r="I16" s="6"/>
      <x:c r="J16" s="6"/>
    </x:row>
    <x:row r="17" s="1" customFormat="1" ht="14.25" hidden="0" customHeight="1">
      <x:c r="A17" s="7" t="s">
        <x:v>2401</x:v>
      </x:c>
      <x:c r="B17" s="8" t="s">
        <x:v>2402</x:v>
      </x:c>
      <x:c r="C17" s="6"/>
      <x:c r="D17" s="6"/>
      <x:c r="E17" s="6"/>
      <x:c r="F17" s="6"/>
      <x:c r="G17" s="6"/>
      <x:c r="H17" s="6"/>
      <x:c r="I17" s="6"/>
      <x:c r="J17" s="6"/>
    </x:row>
    <x:row r="18" s="1" customFormat="1" ht="14.25" hidden="0" customHeight="1">
      <x:c r="A18" s="7" t="s">
        <x:v>2403</x:v>
      </x:c>
      <x:c r="B18" s="5" t="s">
        <x:v>404</x:v>
      </x:c>
      <x:c r="C18" s="6"/>
      <x:c r="D18" s="6"/>
      <x:c r="E18" s="6"/>
      <x:c r="F18" s="6"/>
      <x:c r="G18" s="6"/>
      <x:c r="H18" s="6"/>
      <x:c r="I18" s="6"/>
      <x:c r="J18" s="6"/>
    </x:row>
    <x:row r="19" s="1" customFormat="1" ht="14.25" hidden="0" customHeight="1">
      <x:c r="A19" s="7" t="s">
        <x:v>2404</x:v>
      </x:c>
      <x:c r="B19" s="8" t="s">
        <x:v>2405</x:v>
      </x:c>
      <x:c r="C19" s="6"/>
      <x:c r="D19" s="6"/>
      <x:c r="E19" s="6"/>
      <x:c r="F19" s="6"/>
      <x:c r="G19" s="6"/>
      <x:c r="H19" s="6"/>
      <x:c r="I19" s="6"/>
      <x:c r="J19" s="6"/>
    </x:row>
    <x:row r="20" s="1" customFormat="1" ht="14.25" hidden="0" customHeight="1">
      <x:c r="A20" s="7" t="s">
        <x:v>2406</x:v>
      </x:c>
      <x:c r="B20" s="5" t="n">
        <x:v>2</x:v>
      </x:c>
      <x:c r="C20" s="6"/>
      <x:c r="D20" s="6"/>
      <x:c r="E20" s="116" t="s">
        <x:v>2407</x:v>
      </x:c>
      <x:c r="F20" s="31" t="s">
        <x:v>2179</x:v>
      </x:c>
      <x:c r="G20" s="32" t="s">
        <x:v>2213</x:v>
      </x:c>
      <x:c r="H20" s="6"/>
      <x:c r="I20" s="6"/>
      <x:c r="J20" s="6"/>
    </x:row>
    <x:row r="21" s="1" customFormat="1" ht="14.25" hidden="0" customHeight="1">
      <x:c r="A21" s="7" t="s">
        <x:v>2408</x:v>
      </x:c>
      <x:c r="B21" s="8" t="n">
        <x:v>2</x:v>
      </x:c>
      <x:c r="C21" s="6"/>
      <x:c r="D21" s="6"/>
      <x:c r="E21" s="120" t="s">
        <x:v>2184</x:v>
      </x:c>
      <x:c r="F21" s="6" t="s">
        <x:v>224</x:v>
      </x:c>
      <x:c r="G21" s="121" t="s">
        <x:v>2409</x:v>
      </x:c>
      <x:c r="H21" s="6"/>
      <x:c r="I21" s="6"/>
      <x:c r="J21" s="6"/>
    </x:row>
    <x:row r="22" s="1" customFormat="1" ht="14.25" hidden="0" customHeight="1">
      <x:c r="A22" s="7" t="s">
        <x:v>2410</x:v>
      </x:c>
      <x:c r="B22" s="5" t="n">
        <x:v>-0.1</x:v>
      </x:c>
      <x:c r="C22" s="6"/>
      <x:c r="D22" s="6"/>
      <x:c r="E22" s="120" t="s">
        <x:v>2188</x:v>
      </x:c>
      <x:c r="F22" s="6" t="s">
        <x:v>230</x:v>
      </x:c>
      <x:c r="G22" s="121" t="s">
        <x:v>2411</x:v>
      </x:c>
      <x:c r="H22" s="6"/>
      <x:c r="I22" s="6"/>
      <x:c r="J22" s="6"/>
    </x:row>
    <x:row r="23" s="1" customFormat="1" ht="14.25" hidden="0" customHeight="1">
      <x:c r="A23" s="7" t="s">
        <x:v>827</x:v>
      </x:c>
      <x:c r="B23" s="8" t="n">
        <x:v>0.05</x:v>
      </x:c>
      <x:c r="C23" s="6"/>
      <x:c r="D23" s="6"/>
      <x:c r="E23" s="120" t="s">
        <x:v>2191</x:v>
      </x:c>
      <x:c r="F23" s="40" t="n">
        <x:v>3.56551781265359</x:v>
      </x:c>
      <x:c r="G23" s="121" t="s">
        <x:v>2412</x:v>
      </x:c>
      <x:c r="H23" s="6"/>
      <x:c r="I23" s="6"/>
      <x:c r="J23" s="6"/>
    </x:row>
    <x:row r="24" s="1" customFormat="1" ht="14.25" hidden="0" customHeight="1">
      <x:c r="A24" s="7" t="s">
        <x:v>362</x:v>
      </x:c>
      <x:c r="B24" s="5" t="n">
        <x:v>25</x:v>
      </x:c>
      <x:c r="C24" s="6"/>
      <x:c r="D24" s="6"/>
      <x:c r="E24" s="124" t="s">
        <x:v>2413</x:v>
      </x:c>
      <x:c r="F24" s="125" t="s">
        <x:v>240</x:v>
      </x:c>
      <x:c r="G24" s="126" t="s">
        <x:v>2414</x:v>
      </x:c>
      <x:c r="H24" s="6"/>
      <x:c r="I24" s="6"/>
      <x:c r="J24" s="6"/>
    </x:row>
    <x:row r="25" s="1" customFormat="1" ht="14.25" hidden="0" customHeight="1">
      <x:c r="A25" s="7" t="s">
        <x:v>2415</x:v>
      </x:c>
      <x:c r="B25" s="8" t="n">
        <x:v>0.95</x:v>
      </x:c>
      <x:c r="C25" s="6"/>
      <x:c r="D25" s="6"/>
      <x:c r="E25" s="6" t="s">
        <x:v>2197</x:v>
      </x:c>
      <x:c r="F25" s="40" t="n">
        <x:v>1.81508102477079</x:v>
      </x:c>
      <x:c r="G25" s="6" t="s">
        <x:v>2416</x:v>
      </x:c>
      <x:c r="H25" s="6"/>
      <x:c r="I25" s="6"/>
      <x:c r="J25" s="6"/>
    </x:row>
    <x:row r="26" s="1" customFormat="1" ht="14.25" hidden="0" customHeight="1">
      <x:c r="A26" s="7" t="s">
        <x:v>2417</x:v>
      </x:c>
      <x:c r="B26" s="5" t="n">
        <x:v>0.2</x:v>
      </x:c>
      <x:c r="C26" s="6"/>
      <x:c r="D26" s="6"/>
      <x:c r="E26" s="6" t="s">
        <x:v>2200</x:v>
      </x:c>
      <x:c r="F26" s="40" t="n">
        <x:v>1.8126799195478</x:v>
      </x:c>
      <x:c r="G26" s="6" t="s">
        <x:v>2418</x:v>
      </x:c>
      <x:c r="H26" s="6"/>
      <x:c r="I26" s="6"/>
      <x:c r="J26" s="6"/>
    </x:row>
    <x:row r="27" s="1" customFormat="1" ht="13.5" hidden="0" customHeight="1">
      <x:c r="A27" s="7" t="s">
        <x:v>2419</x:v>
      </x:c>
      <x:c r="B27" s="8" t="s">
        <x:v>251</x:v>
      </x:c>
      <x:c r="C27" s="8" t="s">
        <x:v>2420</x:v>
      </x:c>
      <x:c r="D27" s="6"/>
      <x:c r="E27" s="6" t="s">
        <x:v>2203</x:v>
      </x:c>
      <x:c r="F27" s="6" t="s">
        <x:v>2204</x:v>
      </x:c>
      <x:c r="G27" s="6" t="s">
        <x:v>2421</x:v>
      </x:c>
      <x:c r="H27" s="6"/>
      <x:c r="I27" s="6"/>
      <x:c r="J27" s="6"/>
    </x:row>
    <x:row r="28" s="1" customFormat="1" ht="13.5" hidden="0" customHeight="1">
      <x:c r="A28" s="7" t="s">
        <x:v>2422</x:v>
      </x:c>
      <x:c r="B28" s="5" t="n">
        <x:v>0.02</x:v>
      </x:c>
      <x:c r="C28" s="5" t="s">
        <x:v>2423</x:v>
      </x:c>
      <x:c r="D28" s="6"/>
      <x:c r="E28" s="6"/>
      <x:c r="F28" s="6"/>
      <x:c r="G28" s="6"/>
      <x:c r="H28" s="6"/>
      <x:c r="I28" s="6"/>
      <x:c r="J28" s="6"/>
    </x:row>
    <x:row r="29" s="1" customFormat="1" ht="14.25" hidden="0" customHeight="1">
      <x:c r="A29" s="7" t="s">
        <x:v>2424</x:v>
      </x:c>
      <x:c r="B29" s="6"/>
      <x:c r="C29" s="6"/>
      <x:c r="D29" s="6"/>
      <x:c r="E29" s="6"/>
      <x:c r="F29" s="6"/>
      <x:c r="G29" s="6"/>
      <x:c r="H29" s="6"/>
      <x:c r="I29" s="6"/>
      <x:c r="J29" s="6"/>
    </x:row>
    <x:row r="30" s="1" customFormat="1" ht="14.25" hidden="0" customHeight="1">
      <x:c r="A30" s="7" t="s">
        <x:v>2425</x:v>
      </x:c>
      <x:c r="B30" s="5" t="s">
        <x:v>2426</x:v>
      </x:c>
      <x:c r="C30" s="6"/>
      <x:c r="D30" s="6"/>
      <x:c r="E30" s="6"/>
      <x:c r="F30" s="6"/>
      <x:c r="G30" s="6"/>
      <x:c r="H30" s="6"/>
      <x:c r="I30" s="6"/>
      <x:c r="J30" s="6"/>
    </x:row>
    <x:row r="31" s="1" customFormat="1" ht="14.25" hidden="0" customHeight="1">
      <x:c r="A31" s="7" t="s">
        <x:v>2427</x:v>
      </x:c>
      <x:c r="B31" s="8" t="s">
        <x:v>2428</x:v>
      </x:c>
      <x:c r="C31" s="6"/>
      <x:c r="D31" s="6"/>
      <x:c r="E31" s="6"/>
      <x:c r="F31" s="6"/>
      <x:c r="G31" s="6"/>
      <x:c r="H31" s="6"/>
      <x:c r="I31" s="6"/>
      <x:c r="J31" s="6"/>
    </x:row>
    <x:row r="32" s="1" customFormat="1" ht="14.25" hidden="0" customHeight="1">
      <x:c r="A32" s="7" t="s">
        <x:v>2429</x:v>
      </x:c>
      <x:c r="B32" s="5" t="n">
        <x:v>70</x:v>
      </x:c>
      <x:c r="C32" s="6"/>
      <x:c r="D32" s="6"/>
      <x:c r="E32" s="6"/>
      <x:c r="F32" s="6"/>
      <x:c r="G32" s="6"/>
      <x:c r="H32" s="6"/>
      <x:c r="I32" s="6"/>
      <x:c r="J32" s="6"/>
    </x:row>
    <x:row r="33" s="1" customFormat="1" ht="42" hidden="0" customHeight="1">
      <x:c r="A33" s="7" t="s">
        <x:v>2430</x:v>
      </x:c>
      <x:c r="B33" s="8" t="s">
        <x:v>2431</x:v>
      </x:c>
      <x:c r="C33" s="6"/>
      <x:c r="D33" s="6"/>
      <x:c r="E33" s="6"/>
      <x:c r="F33" s="6"/>
      <x:c r="G33" s="6"/>
      <x:c r="H33" s="6"/>
      <x:c r="I33" s="6"/>
      <x:c r="J33" s="6"/>
    </x:row>
    <x:row r="34" s="1" customFormat="1" ht="13.5" hidden="0" customHeight="1">
      <x:c r="A34" s="7" t="s">
        <x:v>2432</x:v>
      </x:c>
      <x:c r="B34" s="5" t="s">
        <x:v>2433</x:v>
      </x:c>
      <x:c r="C34" s="5" t="s">
        <x:v>2434</x:v>
      </x:c>
      <x:c r="D34" s="6"/>
      <x:c r="E34" s="6"/>
      <x:c r="F34" s="6"/>
      <x:c r="G34" s="6"/>
      <x:c r="H34" s="6"/>
      <x:c r="I34" s="6"/>
      <x:c r="J34" s="6"/>
    </x:row>
    <x:row r="35" s="1" customFormat="1" ht="13.5" hidden="0" customHeight="1">
      <x:c r="A35" s="7" t="s">
        <x:v>2435</x:v>
      </x:c>
      <x:c r="B35" s="8" t="s">
        <x:v>2436</x:v>
      </x:c>
      <x:c r="C35" s="8" t="s">
        <x:v>2437</x:v>
      </x:c>
      <x:c r="D35" s="6"/>
      <x:c r="E35" s="6"/>
      <x:c r="F35" s="6"/>
      <x:c r="G35" s="6"/>
      <x:c r="H35" s="6"/>
      <x:c r="I35" s="6"/>
      <x:c r="J35" s="6"/>
    </x:row>
    <x:row r="36" s="1" customFormat="1" ht="14.25" hidden="0" customHeight="1">
      <x:c r="A36" s="7" t="s">
        <x:v>2438</x:v>
      </x:c>
      <x:c r="B36" s="5" t="s">
        <x:v>2439</x:v>
      </x:c>
      <x:c r="C36" s="5" t="s">
        <x:v>2440</x:v>
      </x:c>
      <x:c r="D36" s="6"/>
      <x:c r="E36" s="6"/>
      <x:c r="F36" s="6"/>
      <x:c r="G36" s="6"/>
      <x:c r="H36" s="6"/>
      <x:c r="I36" s="6"/>
      <x:c r="J36" s="6"/>
    </x:row>
    <x:row r="37" s="1" customFormat="1" ht="14.25" hidden="0" customHeight="1">
      <x:c r="A37" s="7" t="s">
        <x:v>2441</x:v>
      </x:c>
      <x:c r="B37" s="8" t="s">
        <x:v>2442</x:v>
      </x:c>
      <x:c r="C37" s="8" t="s">
        <x:v>2443</x:v>
      </x:c>
      <x:c r="D37" s="6"/>
      <x:c r="E37" s="6"/>
      <x:c r="F37" s="6"/>
      <x:c r="G37" s="6"/>
      <x:c r="H37" s="6"/>
      <x:c r="I37" s="6"/>
      <x:c r="J37" s="6"/>
    </x:row>
    <x:row r="38" s="1" customFormat="1" ht="14.25" hidden="0" customHeight="1">
      <x:c r="A38" s="7" t="s">
        <x:v>2444</x:v>
      </x:c>
      <x:c r="B38" s="6"/>
      <x:c r="C38" s="6"/>
      <x:c r="D38" s="6"/>
      <x:c r="E38" s="6"/>
      <x:c r="F38" s="6"/>
      <x:c r="G38" s="6"/>
      <x:c r="H38" s="6"/>
      <x:c r="I38" s="6"/>
      <x:c r="J38" s="6"/>
    </x:row>
    <x:row r="39" s="1" customFormat="1" ht="14.25" hidden="0" customHeight="1">
      <x:c r="A39" s="7" t="s">
        <x:v>2445</x:v>
      </x:c>
      <x:c r="B39" s="8" t="s">
        <x:v>2446</x:v>
      </x:c>
      <x:c r="C39" s="6"/>
      <x:c r="D39" s="6"/>
      <x:c r="E39" s="6"/>
      <x:c r="F39" s="6"/>
      <x:c r="G39" s="6"/>
      <x:c r="H39" s="6"/>
      <x:c r="I39" s="6"/>
      <x:c r="J39" s="6"/>
    </x:row>
    <x:row r="40" s="1" customFormat="1" ht="14.25" hidden="0" customHeight="1">
      <x:c r="A40" s="7" t="s">
        <x:v>2447</x:v>
      </x:c>
      <x:c r="B40" s="5" t="s">
        <x:v>2448</x:v>
      </x:c>
      <x:c r="C40" s="6"/>
      <x:c r="D40" s="6"/>
      <x:c r="E40" s="6"/>
      <x:c r="F40" s="6"/>
      <x:c r="G40" s="6"/>
      <x:c r="H40" s="6"/>
      <x:c r="I40" s="6"/>
      <x:c r="J40" s="6"/>
    </x:row>
    <x:row r="41" s="1" customFormat="1" ht="14.25" hidden="0" customHeight="1">
      <x:c r="A41" s="7" t="s">
        <x:v>2449</x:v>
      </x:c>
      <x:c r="B41" s="8" t="s">
        <x:v>2450</x:v>
      </x:c>
      <x:c r="C41" s="6"/>
      <x:c r="D41" s="6"/>
      <x:c r="E41" s="6"/>
      <x:c r="F41" s="6"/>
      <x:c r="G41" s="6"/>
      <x:c r="H41" s="6"/>
      <x:c r="I41" s="6"/>
      <x:c r="J41" s="6"/>
    </x:row>
    <x:row r="42" s="1" customFormat="1" ht="14.25" hidden="0" customHeight="1">
      <x:c r="A42" s="7" t="s">
        <x:v>2451</x:v>
      </x:c>
      <x:c r="B42" s="5" t="s">
        <x:v>34</x:v>
      </x:c>
      <x:c r="C42" s="6"/>
      <x:c r="D42" s="6"/>
      <x:c r="E42" s="6"/>
      <x:c r="F42" s="6"/>
      <x:c r="G42" s="6"/>
      <x:c r="H42" s="6"/>
      <x:c r="I42" s="6"/>
      <x:c r="J42" s="6"/>
    </x:row>
    <x:row r="43" s="1" customFormat="1" ht="13.5" hidden="0" customHeight="1">
      <x:c r="A43" s="7" t="s">
        <x:v>2452</x:v>
      </x:c>
      <x:c r="B43" s="8" t="s">
        <x:v>2453</x:v>
      </x:c>
      <x:c r="C43" s="6"/>
      <x:c r="D43" s="6"/>
      <x:c r="E43" s="6"/>
      <x:c r="F43" s="6"/>
      <x:c r="G43" s="6"/>
      <x:c r="H43" s="6"/>
      <x:c r="I43" s="6"/>
      <x:c r="J43" s="6"/>
    </x:row>
    <x:row r="44" s="1" customFormat="1" ht="14.25" hidden="0" customHeight="1">
      <x:c r="A44" s="7" t="s">
        <x:v>2454</x:v>
      </x:c>
      <x:c r="B44" s="5" t="s">
        <x:v>292</x:v>
      </x:c>
      <x:c r="C44" s="6"/>
      <x:c r="D44" s="6"/>
      <x:c r="E44" s="6"/>
      <x:c r="F44" s="6"/>
      <x:c r="G44" s="6"/>
      <x:c r="H44" s="6"/>
      <x:c r="I44" s="6"/>
      <x:c r="J44" s="6"/>
    </x:row>
    <x:row r="45" s="1" customFormat="1" ht="12.75" hidden="0" customHeight="1">
      <x:c r="A45" s="6"/>
      <x:c r="B45" s="6"/>
      <x:c r="C45" s="6"/>
      <x:c r="D45" s="6"/>
      <x:c r="E45" s="6"/>
      <x:c r="F45" s="6"/>
      <x:c r="G45" s="6"/>
      <x:c r="H45" s="6"/>
      <x:c r="I45" s="6"/>
      <x:c r="J45" s="6"/>
    </x:row>
    <x:row r="46" s="1" customFormat="1" ht="14.25" hidden="0" customHeight="1">
      <x:c r="A46" s="6"/>
      <x:c r="B46" s="5" t="s">
        <x:v>351</x:v>
      </x:c>
      <x:c r="C46" s="6"/>
      <x:c r="D46" s="6"/>
      <x:c r="E46" s="6"/>
      <x:c r="F46" s="6"/>
      <x:c r="G46" s="6"/>
      <x:c r="H46" s="6"/>
      <x:c r="I46" s="6"/>
      <x:c r="J46" s="6"/>
    </x:row>
    <x:row r="47" s="1" customFormat="1" ht="14.25" hidden="0" customHeight="1">
      <x:c r="A47" s="7" t="s">
        <x:v>2455</x:v>
      </x:c>
      <x:c r="B47" s="8" t="s">
        <x:v>351</x:v>
      </x:c>
      <x:c r="C47" s="6"/>
      <x:c r="D47" s="6"/>
      <x:c r="E47" s="6"/>
      <x:c r="F47" s="6"/>
      <x:c r="G47" s="6"/>
      <x:c r="H47" s="6"/>
      <x:c r="I47" s="6"/>
      <x:c r="J47" s="6"/>
    </x:row>
    <x:row r="48" s="1" customFormat="1" ht="14.25" hidden="0" customHeight="1">
      <x:c r="A48" s="7" t="s">
        <x:v>2456</x:v>
      </x:c>
      <x:c r="B48" s="5" t="s">
        <x:v>300</x:v>
      </x:c>
      <x:c r="C48" s="6"/>
      <x:c r="D48" s="6"/>
      <x:c r="E48" s="6"/>
      <x:c r="F48" s="6"/>
      <x:c r="G48" s="6"/>
      <x:c r="H48" s="6"/>
      <x:c r="I48" s="6"/>
      <x:c r="J48" s="6"/>
    </x:row>
    <x:row r="49" s="1" customFormat="1" ht="14.25" hidden="0" customHeight="1">
      <x:c r="A49" s="7" t="s">
        <x:v>2457</x:v>
      </x:c>
      <x:c r="B49" s="45" t="s">
        <x:v>300</x:v>
      </x:c>
      <x:c r="C49" s="6"/>
      <x:c r="D49" s="6"/>
      <x:c r="E49" s="6"/>
      <x:c r="F49" s="6"/>
      <x:c r="G49" s="6"/>
      <x:c r="H49" s="6"/>
      <x:c r="I49" s="6"/>
      <x:c r="J49" s="6"/>
    </x:row>
    <x:row r="50" s="1" customFormat="1" ht="14.25" hidden="0" customHeight="1">
      <x:c r="A50" s="7" t="s">
        <x:v>2458</x:v>
      </x:c>
      <x:c r="B50" s="5" t="s">
        <x:v>2459</x:v>
      </x:c>
      <x:c r="C50" s="6"/>
      <x:c r="D50" s="6"/>
      <x:c r="E50" s="6"/>
      <x:c r="F50" s="6"/>
      <x:c r="G50" s="6"/>
      <x:c r="H50" s="6"/>
      <x:c r="I50" s="6"/>
      <x:c r="J50" s="6"/>
    </x:row>
    <x:row r="51" s="1" customFormat="1" ht="14.25" hidden="0" customHeight="1">
      <x:c r="A51" s="7" t="s">
        <x:v>302</x:v>
      </x:c>
      <x:c r="B51" s="134" t="n">
        <x:v>0.0219</x:v>
      </x:c>
      <x:c r="C51" s="6"/>
      <x:c r="D51" s="6"/>
      <x:c r="E51" s="6"/>
      <x:c r="F51" s="6"/>
      <x:c r="G51" s="6"/>
      <x:c r="H51" s="6"/>
      <x:c r="I51" s="6"/>
      <x:c r="J51" s="6"/>
    </x:row>
    <x:row r="52" s="1" customFormat="1" ht="14.25" hidden="0" customHeight="1">
      <x:c r="A52" s="7" t="s">
        <x:v>303</x:v>
      </x:c>
      <x:c r="B52" s="5" t="n">
        <x:v>0.0315</x:v>
      </x:c>
      <x:c r="C52" s="6"/>
      <x:c r="D52" s="6"/>
      <x:c r="E52" s="6"/>
      <x:c r="F52" s="6"/>
      <x:c r="G52" s="6"/>
      <x:c r="H52" s="6"/>
      <x:c r="I52" s="6"/>
      <x:c r="J52" s="6"/>
    </x:row>
    <x:row r="53" s="1" customFormat="1" ht="14.25" hidden="0" customHeight="1">
      <x:c r="A53" s="7" t="s">
        <x:v>2460</x:v>
      </x:c>
      <x:c r="B53" s="134" t="s">
        <x:v>2461</x:v>
      </x:c>
      <x:c r="C53" s="6"/>
      <x:c r="D53" s="6"/>
      <x:c r="E53" s="6"/>
      <x:c r="F53" s="6"/>
      <x:c r="G53" s="6"/>
      <x:c r="H53" s="6"/>
      <x:c r="I53" s="6"/>
      <x:c r="J53" s="6"/>
    </x:row>
    <x:row r="54" s="1" customFormat="1" ht="14.25" hidden="0" customHeight="1">
      <x:c r="A54" s="7" t="s">
        <x:v>2462</x:v>
      </x:c>
      <x:c r="B54" s="5" t="s">
        <x:v>233</x:v>
      </x:c>
      <x:c r="C54" s="6"/>
      <x:c r="D54" s="6"/>
      <x:c r="E54" s="6"/>
      <x:c r="F54" s="6"/>
      <x:c r="G54" s="6"/>
      <x:c r="H54" s="6"/>
      <x:c r="I54" s="6"/>
      <x:c r="J54" s="6"/>
    </x:row>
    <x:row r="55" s="1" customFormat="1" ht="54" hidden="0" customHeight="1">
      <x:c r="A55" s="7" t="s">
        <x:v>2463</x:v>
      </x:c>
      <x:c r="B55" s="45" t="s">
        <x:v>311</x:v>
      </x:c>
      <x:c r="C55" s="8" t="s">
        <x:v>2464</x:v>
      </x:c>
      <x:c r="D55" s="6"/>
      <x:c r="E55" s="6"/>
      <x:c r="F55" s="6"/>
      <x:c r="G55" s="6"/>
      <x:c r="H55" s="6"/>
      <x:c r="I55" s="6"/>
      <x:c r="J55" s="6"/>
    </x:row>
    <x:row r="56" s="1" customFormat="1" ht="54" hidden="0" customHeight="1">
      <x:c r="A56" s="7" t="s">
        <x:v>2465</x:v>
      </x:c>
      <x:c r="B56" s="5" t="s">
        <x:v>311</x:v>
      </x:c>
      <x:c r="C56" s="5" t="s">
        <x:v>2466</x:v>
      </x:c>
      <x:c r="D56" s="6"/>
      <x:c r="E56" s="6"/>
      <x:c r="F56" s="6"/>
      <x:c r="G56" s="6"/>
      <x:c r="H56" s="6"/>
      <x:c r="I56" s="6"/>
      <x:c r="J56" s="6"/>
    </x:row>
    <x:row r="57" s="1" customFormat="1" ht="14.25" hidden="0" customHeight="1">
      <x:c r="A57" s="7" t="s">
        <x:v>315</x:v>
      </x:c>
      <x:c r="B57" s="41" t="n">
        <x:v>0.0153129427168233</x:v>
      </x:c>
      <x:c r="C57" s="6"/>
      <x:c r="D57" s="6"/>
      <x:c r="E57" s="6"/>
      <x:c r="F57" s="6"/>
      <x:c r="G57" s="6"/>
      <x:c r="H57" s="6"/>
      <x:c r="I57" s="6"/>
      <x:c r="J57" s="6"/>
    </x:row>
    <x:row r="58" s="1" customFormat="1" ht="13.5" hidden="0" customHeight="1">
      <x:c r="A58" s="7" t="s">
        <x:v>316</x:v>
      </x:c>
      <x:c r="B58" s="42" t="n">
        <x:v>-0.00112238738505248</x:v>
      </x:c>
      <x:c r="C58" s="6"/>
      <x:c r="D58" s="6"/>
      <x:c r="E58" s="6"/>
      <x:c r="F58" s="6"/>
      <x:c r="G58" s="6"/>
      <x:c r="H58" s="6"/>
      <x:c r="I58" s="6"/>
      <x:c r="J58" s="6"/>
    </x:row>
    <x:row r="59" s="1" customFormat="1" ht="14.25" hidden="0" customHeight="1">
      <x:c r="A59" s="7" t="s">
        <x:v>2467</x:v>
      </x:c>
      <x:c r="B59" s="8" t="str">
        <x:v>NO</x:v>
      </x:c>
      <x:c r="C59" s="6"/>
      <x:c r="D59" s="6"/>
      <x:c r="E59" s="6"/>
      <x:c r="F59" s="6"/>
      <x:c r="G59" s="6"/>
      <x:c r="H59" s="6"/>
      <x:c r="I59" s="6"/>
      <x:c r="J59" s="6"/>
    </x:row>
    <x:row r="60" s="1" customFormat="1" ht="12.75" hidden="0" customHeight="1">
      <x:c r="A60" s="6"/>
      <x:c r="B60" s="6"/>
      <x:c r="C60" s="6"/>
      <x:c r="D60" s="6"/>
      <x:c r="E60" s="6"/>
      <x:c r="F60" s="6"/>
      <x:c r="G60" s="6"/>
      <x:c r="H60" s="6"/>
      <x:c r="I60" s="6"/>
      <x:c r="J60" s="6"/>
    </x:row>
    <x:row r="61" s="1" customFormat="1" ht="14.25" hidden="0" customHeight="1">
      <x:c r="A61" s="7" t="s">
        <x:v>2468</x:v>
      </x:c>
      <x:c r="B61" s="51"/>
      <x:c r="C61" s="6"/>
      <x:c r="D61" s="6"/>
      <x:c r="E61" s="6"/>
      <x:c r="F61" s="6"/>
      <x:c r="G61" s="6"/>
      <x:c r="H61" s="6"/>
      <x:c r="I61" s="6"/>
      <x:c r="J61" s="6"/>
    </x:row>
    <x:row r="62" s="1" customFormat="1" ht="14.25" hidden="0" customHeight="1">
      <x:c r="A62" s="90"/>
      <x:c r="B62" s="51"/>
      <x:c r="C62" s="6"/>
      <x:c r="D62" s="6"/>
      <x:c r="E62" s="6"/>
      <x:c r="F62" s="6"/>
      <x:c r="G62" s="6"/>
      <x:c r="H62" s="6"/>
      <x:c r="I62" s="6"/>
      <x:c r="J62" s="6"/>
    </x:row>
    <x:row r="63" s="1" customFormat="1" ht="14.25" hidden="0" customHeight="1">
      <x:c r="A63" s="360" t="s">
        <x:v>2469</x:v>
      </x:c>
      <x:c r="B63" s="383"/>
      <x:c r="C63" s="363"/>
      <x:c r="D63" s="6"/>
      <x:c r="E63" s="6"/>
      <x:c r="F63" s="6"/>
      <x:c r="G63" s="6"/>
      <x:c r="H63" s="6"/>
      <x:c r="I63" s="6"/>
      <x:c r="J63" s="6"/>
    </x:row>
    <x:row r="64" s="1" customFormat="1" ht="58" hidden="0" customHeight="1">
      <x:c r="A64" s="360" t="s">
        <x:v>2470</x:v>
      </x:c>
      <x:c r="B64" s="361" t="str">
        <x:v>REFUSE_DETERMINISTIC_SELECTION</x:v>
      </x:c>
      <x:c r="C64" s="361" t="str">
        <x:v>Both options qualify, but the computed σ×2 sensitivity changes decisiveness; Canon §10.4A requires a non-deterministic framework verdict.</x:v>
      </x:c>
      <x:c r="D64" s="6"/>
      <x:c r="E64" s="6"/>
      <x:c r="F64" s="6"/>
      <x:c r="G64" s="6"/>
      <x:c r="H64" s="6"/>
      <x:c r="I64" s="6"/>
      <x:c r="J64" s="6"/>
    </x:row>
    <x:row r="65" s="1" customFormat="1" ht="14.25" hidden="0" customHeight="1">
      <x:c r="A65" s="360" t="s">
        <x:v>2471</x:v>
      </x:c>
      <x:c r="B65" s="385" t="s">
        <x:v>2461</x:v>
      </x:c>
      <x:c r="C65" s="363"/>
      <x:c r="D65" s="6"/>
      <x:c r="E65" s="6"/>
      <x:c r="F65" s="6"/>
      <x:c r="G65" s="6"/>
      <x:c r="H65" s="6"/>
      <x:c r="I65" s="6"/>
      <x:c r="J65" s="6"/>
    </x:row>
    <x:row r="66" s="1" customFormat="1" ht="14.25" hidden="0" customHeight="1">
      <x:c r="A66" s="360" t="s">
        <x:v>2472</x:v>
      </x:c>
      <x:c r="B66" s="361" t="str">
        <x:v>NO</x:v>
      </x:c>
      <x:c r="C66" s="363"/>
      <x:c r="D66" s="6"/>
      <x:c r="E66" s="6"/>
      <x:c r="F66" s="6"/>
      <x:c r="G66" s="6"/>
      <x:c r="H66" s="6"/>
      <x:c r="I66" s="6"/>
      <x:c r="J66" s="6"/>
    </x:row>
    <x:row r="67" s="1" customFormat="1" ht="70" hidden="0" customHeight="1">
      <x:c r="A67" s="360" t="s">
        <x:v>1522</x:v>
      </x:c>
      <x:c r="B67" s="362" t="str">
        <x:v>Option A selected by accountable demonstration authority from {A, B}; not a unique framework selection and not execution authorization.</x:v>
      </x:c>
      <x:c r="C67" s="362" t="str">
        <x:v>Accountable authority selects A among qualified options; lawful mandate, responsibility, and execution authorization remain separate records.</x:v>
      </x:c>
      <x:c r="D67" s="6"/>
      <x:c r="E67" s="6"/>
      <x:c r="F67" s="6"/>
      <x:c r="G67" s="6"/>
      <x:c r="H67" s="6"/>
      <x:c r="I67" s="6"/>
      <x:c r="J67" s="6"/>
    </x:row>
    <x:row r="68" s="1" customFormat="1" ht="72" hidden="0" customHeight="1">
      <x:c r="A68" s="360" t="s">
        <x:v>2473</x:v>
      </x:c>
      <x:c r="B68" s="361" t="str">
        <x:v>Option A is the higher point-score option. Base Gap exceeds δ, but the σ×2 stress changes decisiveness and the Method C uncertainty calibration is unvalidated; the framework therefore remains non-decisive.</x:v>
      </x:c>
      <x:c r="C68" s="363"/>
      <x:c r="D68" s="6"/>
      <x:c r="E68" s="6"/>
      <x:c r="F68" s="6"/>
      <x:c r="G68" s="6"/>
      <x:c r="H68" s="6"/>
      <x:c r="I68" s="6"/>
      <x:c r="J68" s="6"/>
    </x:row>
    <x:row r="69" s="1" customFormat="1" ht="54" hidden="0" customHeight="1">
      <x:c r="A69" s="360" t="s">
        <x:v>2474</x:v>
      </x:c>
      <x:c r="B69" s="362" t="str">
        <x:v>YES — accountable authority review is required to choose among qualified non-decisive options.</x:v>
      </x:c>
      <x:c r="C69" s="363"/>
      <x:c r="D69" s="6"/>
      <x:c r="E69" s="6"/>
      <x:c r="F69" s="6"/>
      <x:c r="G69" s="6"/>
      <x:c r="H69" s="6"/>
      <x:c r="I69" s="6"/>
      <x:c r="J69" s="6"/>
    </x:row>
    <x:row r="70" s="1" customFormat="1" ht="72" hidden="0" customHeight="1">
      <x:c r="A70" s="360" t="s">
        <x:v>2475</x:v>
      </x:c>
      <x:c r="B70" s="361" t="str">
        <x:v>RippleLogic did not uniquely select an option. Both options qualify; Option A is a separate bounded authority selection for demonstration and still requires lawful mandate, controls, monitoring, and execution authorization.</x:v>
      </x:c>
      <x:c r="C70" s="363"/>
      <x:c r="D70" s="6"/>
      <x:c r="E70" s="6"/>
      <x:c r="F70" s="6"/>
      <x:c r="G70" s="6"/>
      <x:c r="H70" s="6"/>
      <x:c r="I70" s="6"/>
      <x:c r="J70" s="6"/>
    </x:row>
    <x:row r="71" s="1" customFormat="1" ht="14.25" hidden="0" customHeight="1">
      <x:c r="A71" s="360" t="s">
        <x:v>2476</x:v>
      </x:c>
      <x:c r="B71" s="362" t="s">
        <x:v>2461</x:v>
      </x:c>
      <x:c r="C71" s="363"/>
      <x:c r="D71" s="6"/>
      <x:c r="E71" s="6"/>
      <x:c r="F71" s="6"/>
      <x:c r="G71" s="6"/>
      <x:c r="H71" s="6"/>
      <x:c r="I71" s="6"/>
      <x:c r="J71" s="6"/>
    </x:row>
    <x:row r="72" s="1" customFormat="1" ht="14.25" hidden="0" customHeight="1">
      <x:c r="A72" s="363"/>
      <x:c r="B72" s="361" t="s">
        <x:v>292</x:v>
      </x:c>
      <x:c r="C72" s="363"/>
      <x:c r="D72" s="6"/>
      <x:c r="E72" s="6"/>
      <x:c r="F72" s="6"/>
      <x:c r="G72" s="6"/>
      <x:c r="H72" s="6"/>
      <x:c r="I72" s="6"/>
      <x:c r="J72" s="6"/>
    </x:row>
    <x:row r="73" s="1" customFormat="1" ht="14.25" hidden="0" customHeight="1">
      <x:c r="A73" s="360" t="s">
        <x:v>2477</x:v>
      </x:c>
      <x:c r="B73" s="363"/>
      <x:c r="C73" s="363"/>
      <x:c r="D73" s="6"/>
      <x:c r="E73" s="6"/>
      <x:c r="F73" s="6"/>
      <x:c r="G73" s="6"/>
      <x:c r="H73" s="6"/>
      <x:c r="I73" s="6"/>
      <x:c r="J73" s="6"/>
    </x:row>
    <x:row r="74" s="1" customFormat="1" ht="14.25" hidden="0" customHeight="1">
      <x:c r="A74" s="360" t="s">
        <x:v>2478</x:v>
      </x:c>
      <x:c r="B74" s="361" t="n">
        <x:v>0</x:v>
      </x:c>
      <x:c r="C74" s="363"/>
      <x:c r="D74" s="6"/>
      <x:c r="E74" s="6"/>
      <x:c r="F74" s="6"/>
      <x:c r="G74" s="6"/>
      <x:c r="H74" s="6"/>
      <x:c r="I74" s="6"/>
      <x:c r="J74" s="6"/>
    </x:row>
    <x:row r="75" s="1" customFormat="1" ht="14.25" hidden="0" customHeight="1">
      <x:c r="A75" s="360" t="s">
        <x:v>2479</x:v>
      </x:c>
      <x:c r="B75" s="362" t="n">
        <x:v>2</x:v>
      </x:c>
      <x:c r="C75" s="363"/>
      <x:c r="D75" s="6"/>
      <x:c r="E75" s="6"/>
      <x:c r="F75" s="6"/>
      <x:c r="G75" s="6"/>
      <x:c r="H75" s="6"/>
      <x:c r="I75" s="6"/>
      <x:c r="J75" s="6"/>
    </x:row>
    <x:row r="76" s="1" customFormat="1" ht="14.25" hidden="0" customHeight="1">
      <x:c r="A76" s="360" t="s">
        <x:v>2480</x:v>
      </x:c>
      <x:c r="B76" s="361" t="n">
        <x:v>1</x:v>
      </x:c>
      <x:c r="C76" s="361" t="s">
        <x:v>2481</x:v>
      </x:c>
      <x:c r="D76" s="6"/>
      <x:c r="E76" s="6"/>
      <x:c r="F76" s="6"/>
      <x:c r="G76" s="6"/>
      <x:c r="H76" s="6"/>
      <x:c r="I76" s="6"/>
      <x:c r="J76" s="6"/>
    </x:row>
    <x:row r="77" s="1" customFormat="1" ht="13.5" hidden="0" customHeight="1">
      <x:c r="A77" s="360" t="str">
        <x:v>Active Flags (tool-local sanity failures):</x:v>
      </x:c>
      <x:c r="B77" s="362" t="n">
        <x:v>0</x:v>
      </x:c>
      <x:c r="C77" s="363"/>
      <x:c r="D77" s="6"/>
      <x:c r="E77" s="6"/>
      <x:c r="F77" s="6"/>
      <x:c r="G77" s="6"/>
      <x:c r="H77" s="6"/>
      <x:c r="I77" s="6"/>
      <x:c r="J77" s="6"/>
    </x:row>
    <x:row r="78" s="1" customFormat="1" ht="70" hidden="0" customHeight="1">
      <x:c r="A78" s="360" t="s">
        <x:v>2482</x:v>
      </x:c>
      <x:c r="B78" s="361" t="str">
        <x:v>ESCALATE: ESCALATION_REQUIRED; UNCERTAINTY_DECISIVENESS_SENSITIVE. REVIEW: NONDECISIVE_GAP_REVIEW. No INVALID or tool-local sanity-failure flag is active.</x:v>
      </x:c>
      <x:c r="C78" s="363"/>
      <x:c r="D78" s="6"/>
      <x:c r="E78" s="6"/>
      <x:c r="F78" s="6"/>
      <x:c r="G78" s="6"/>
      <x:c r="H78" s="6"/>
      <x:c r="I78" s="6"/>
      <x:c r="J78" s="6"/>
    </x:row>
    <x:row r="79" s="1" customFormat="1" ht="48" hidden="0" customHeight="1">
      <x:c r="A79" s="363"/>
      <x:c r="B79" s="362" t="str">
        <x:v>Reviewer attention and explicit authority selection are required; no INVALID flag is active.</x:v>
      </x:c>
      <x:c r="C79" s="363"/>
      <x:c r="D79" s="6"/>
      <x:c r="E79" s="6"/>
      <x:c r="F79" s="6"/>
      <x:c r="G79" s="6"/>
      <x:c r="H79" s="6"/>
      <x:c r="I79" s="6"/>
      <x:c r="J79" s="6"/>
    </x:row>
    <x:row r="80" s="1" customFormat="1" ht="12.75" hidden="0" customHeight="1">
      <x:c r="A80" s="360" t="s">
        <x:v>2483</x:v>
      </x:c>
      <x:c r="B80" s="363"/>
      <x:c r="C80" s="363"/>
      <x:c r="D80" s="6"/>
      <x:c r="E80" s="6"/>
      <x:c r="F80" s="6"/>
      <x:c r="G80" s="6"/>
      <x:c r="H80" s="6"/>
      <x:c r="I80" s="6"/>
      <x:c r="J80" s="6"/>
    </x:row>
    <x:row r="81" s="1" customFormat="1" ht="52.5" hidden="0" customHeight="1">
      <x:c r="A81" s="360" t="s">
        <x:v>2484</x:v>
      </x:c>
      <x:c r="B81" s="362" t="s">
        <x:v>2485</x:v>
      </x:c>
      <x:c r="C81" s="363"/>
      <x:c r="D81" s="6"/>
      <x:c r="E81" s="6"/>
      <x:c r="F81" s="6"/>
      <x:c r="G81" s="6"/>
      <x:c r="H81" s="6"/>
      <x:c r="I81" s="6"/>
      <x:c r="J81" s="6"/>
    </x:row>
    <x:row r="82" s="1" customFormat="1" ht="39" hidden="0" customHeight="1">
      <x:c r="A82" s="360" t="s">
        <x:v>2486</x:v>
      </x:c>
      <x:c r="B82" s="361" t="s">
        <x:v>2487</x:v>
      </x:c>
      <x:c r="C82" s="363"/>
      <x:c r="D82" s="6"/>
      <x:c r="E82" s="6"/>
      <x:c r="F82" s="6"/>
      <x:c r="G82" s="6"/>
      <x:c r="H82" s="6"/>
      <x:c r="I82" s="6"/>
      <x:c r="J82" s="6"/>
    </x:row>
    <x:row r="83" s="1" customFormat="1" ht="39" hidden="0" customHeight="1">
      <x:c r="A83" s="360" t="s">
        <x:v>2488</x:v>
      </x:c>
      <x:c r="B83" s="362" t="s">
        <x:v>2489</x:v>
      </x:c>
      <x:c r="C83" s="363"/>
      <x:c r="D83" s="6"/>
      <x:c r="E83" s="6"/>
      <x:c r="F83" s="6"/>
      <x:c r="G83" s="6"/>
      <x:c r="H83" s="6"/>
      <x:c r="I83" s="6"/>
      <x:c r="J83" s="6"/>
    </x:row>
    <x:row r="84" s="1" customFormat="1" ht="70" hidden="0" customHeight="1">
      <x:c r="A84" s="360" t="s">
        <x:v>2490</x:v>
      </x:c>
      <x:c r="B84" s="361" t="str">
        <x:v>FrameworkVerdict = REFUSE_DETERMINISTIC_SELECTION. Option A remains the point-score leader and is selected only through the separate accountable AuthoritySelectionRecord; execution authority, controls, and monitoring remain distinct.</x:v>
      </x:c>
      <x:c r="C84" s="363"/>
      <x:c r="D84" s="6"/>
      <x:c r="E84" s="6"/>
      <x:c r="F84" s="6"/>
      <x:c r="G84" s="6"/>
      <x:c r="H84" s="6"/>
      <x:c r="I84" s="6"/>
      <x:c r="J84" s="6"/>
    </x:row>
    <x:row r="85" s="1" customFormat="1" ht="66" hidden="0" customHeight="1">
      <x:c r="A85" s="7" t="s">
        <x:v>2491</x:v>
      </x:c>
      <x:c r="B85" s="8" t="s">
        <x:v>2492</x:v>
      </x:c>
      <x:c r="C85" s="6"/>
      <x:c r="D85" s="6"/>
      <x:c r="E85" s="6"/>
      <x:c r="F85" s="6"/>
      <x:c r="G85" s="6"/>
      <x:c r="H85" s="6"/>
      <x:c r="I85" s="6"/>
      <x:c r="J85" s="6"/>
    </x:row>
    <x:row r="86" s="1" customFormat="1" ht="66" hidden="0" customHeight="1">
      <x:c r="A86" s="7" t="s">
        <x:v>2493</x:v>
      </x:c>
      <x:c r="B86" s="5" t="s">
        <x:v>2494</x:v>
      </x:c>
      <x:c r="C86" s="6"/>
      <x:c r="D86" s="6"/>
      <x:c r="E86" s="6"/>
      <x:c r="F86" s="6"/>
      <x:c r="G86" s="6"/>
      <x:c r="H86" s="6"/>
      <x:c r="I86" s="6"/>
      <x:c r="J86" s="6"/>
    </x:row>
    <x:row r="87" s="1" customFormat="1" ht="12.75" hidden="0" customHeight="1">
      <x:c r="A87" s="6"/>
      <x:c r="B87" s="6"/>
      <x:c r="C87" s="6"/>
      <x:c r="D87" s="6"/>
      <x:c r="E87" s="6"/>
      <x:c r="F87" s="6"/>
      <x:c r="G87" s="6"/>
      <x:c r="H87" s="6"/>
      <x:c r="I87" s="6"/>
      <x:c r="J87" s="6"/>
    </x:row>
    <x:row r="88" s="1" customFormat="1" ht="12.75" hidden="0" customHeight="1">
      <x:c r="A88" s="6"/>
      <x:c r="B88" s="6"/>
      <x:c r="C88" s="6"/>
      <x:c r="D88" s="6"/>
      <x:c r="E88" s="6"/>
      <x:c r="F88" s="6"/>
      <x:c r="G88" s="6"/>
      <x:c r="H88" s="6"/>
      <x:c r="I88" s="6"/>
      <x:c r="J88" s="6"/>
    </x:row>
    <x:row r="89" s="1" customFormat="1" ht="12.75" hidden="0" customHeight="1">
      <x:c r="A89" s="7" t="s">
        <x:v>2495</x:v>
      </x:c>
      <x:c r="B89" s="6"/>
      <x:c r="C89" s="6"/>
      <x:c r="D89" s="6"/>
      <x:c r="E89" s="6"/>
      <x:c r="F89" s="6"/>
      <x:c r="G89" s="6"/>
      <x:c r="H89" s="6"/>
      <x:c r="I89" s="6"/>
      <x:c r="J89" s="6"/>
    </x:row>
    <x:row r="90" s="1" customFormat="1" ht="26.25" hidden="0" customHeight="1">
      <x:c r="A90" s="7" t="s">
        <x:v>2496</x:v>
      </x:c>
      <x:c r="B90" s="6"/>
      <x:c r="C90" s="6"/>
      <x:c r="D90" s="6"/>
      <x:c r="E90" s="6"/>
      <x:c r="F90" s="6"/>
      <x:c r="G90" s="6"/>
      <x:c r="H90" s="6"/>
      <x:c r="I90" s="6"/>
      <x:c r="J90" s="6"/>
    </x:row>
    <x:row r="91" s="1" customFormat="1" ht="12.75" hidden="0" customHeight="1">
      <x:c r="A91" s="7" t="s">
        <x:v>2497</x:v>
      </x:c>
      <x:c r="B91" s="8" t="s">
        <x:v>2498</x:v>
      </x:c>
      <x:c r="C91" s="8" t="s">
        <x:v>2499</x:v>
      </x:c>
      <x:c r="D91" s="6"/>
      <x:c r="E91" s="6"/>
      <x:c r="F91" s="6"/>
      <x:c r="G91" s="6"/>
      <x:c r="H91" s="6"/>
      <x:c r="I91" s="6"/>
      <x:c r="J91" s="6"/>
    </x:row>
    <x:row r="92" s="1" customFormat="1" ht="12.75" hidden="0" customHeight="1">
      <x:c r="A92" s="7" t="s">
        <x:v>2500</x:v>
      </x:c>
      <x:c r="B92" s="5" t="s">
        <x:v>2501</x:v>
      </x:c>
      <x:c r="C92" s="5" t="s">
        <x:v>2499</x:v>
      </x:c>
      <x:c r="D92" s="6"/>
      <x:c r="E92" s="6"/>
      <x:c r="F92" s="6"/>
      <x:c r="G92" s="6"/>
      <x:c r="H92" s="6"/>
      <x:c r="I92" s="6"/>
      <x:c r="J92" s="6"/>
    </x:row>
    <x:row r="93" s="1" customFormat="1" ht="12.75" hidden="0" customHeight="1">
      <x:c r="A93" s="7" t="s">
        <x:v>2502</x:v>
      </x:c>
      <x:c r="B93" s="8" t="s">
        <x:v>2503</x:v>
      </x:c>
      <x:c r="C93" s="8" t="s">
        <x:v>2499</x:v>
      </x:c>
      <x:c r="D93" s="6"/>
      <x:c r="E93" s="6"/>
      <x:c r="F93" s="6"/>
      <x:c r="G93" s="6"/>
      <x:c r="H93" s="6"/>
      <x:c r="I93" s="6"/>
      <x:c r="J93" s="6"/>
    </x:row>
    <x:row r="94" s="1" customFormat="1" ht="12.75" hidden="0" customHeight="1">
      <x:c r="A94" s="7" t="s">
        <x:v>2504</x:v>
      </x:c>
      <x:c r="B94" s="5" t="s">
        <x:v>2505</x:v>
      </x:c>
      <x:c r="C94" s="5" t="s">
        <x:v>2499</x:v>
      </x:c>
      <x:c r="D94" s="6"/>
      <x:c r="E94" s="6"/>
      <x:c r="F94" s="6"/>
      <x:c r="G94" s="6"/>
      <x:c r="H94" s="6"/>
      <x:c r="I94" s="6"/>
      <x:c r="J94" s="6"/>
    </x:row>
    <x:row r="95" s="1" customFormat="1" ht="12.75" hidden="0" customHeight="1">
      <x:c r="A95" s="7" t="s">
        <x:v>2506</x:v>
      </x:c>
      <x:c r="B95" s="8" t="s">
        <x:v>2507</x:v>
      </x:c>
      <x:c r="C95" s="8" t="s">
        <x:v>2499</x:v>
      </x:c>
      <x:c r="D95" s="6"/>
      <x:c r="E95" s="6"/>
      <x:c r="F95" s="6"/>
      <x:c r="G95" s="6"/>
      <x:c r="H95" s="6"/>
      <x:c r="I95" s="6"/>
      <x:c r="J95" s="6"/>
    </x:row>
    <x:row r="96" s="1" customFormat="1" ht="12.75" hidden="0" customHeight="1">
      <x:c r="A96" s="7" t="s">
        <x:v>2508</x:v>
      </x:c>
      <x:c r="B96" s="5" t="s">
        <x:v>2509</x:v>
      </x:c>
      <x:c r="C96" s="5" t="s">
        <x:v>2510</x:v>
      </x:c>
      <x:c r="D96" s="5" t="n">
        <x:v>0.1781</x:v>
      </x:c>
      <x:c r="E96" s="6"/>
      <x:c r="F96" s="6"/>
      <x:c r="G96" s="6"/>
      <x:c r="H96" s="6"/>
      <x:c r="I96" s="6"/>
      <x:c r="J96" s="6"/>
    </x:row>
    <x:row r="97" s="1" customFormat="1" ht="26.25" hidden="0" customHeight="1">
      <x:c r="A97" s="7" t="s">
        <x:v>2511</x:v>
      </x:c>
      <x:c r="B97" s="8" t="n">
        <x:v>0</x:v>
      </x:c>
      <x:c r="C97" s="6"/>
      <x:c r="D97" s="6"/>
      <x:c r="E97" s="6"/>
      <x:c r="F97" s="6"/>
      <x:c r="G97" s="6"/>
      <x:c r="H97" s="6"/>
      <x:c r="I97" s="6"/>
      <x:c r="J97" s="6"/>
    </x:row>
    <x:row r="98" s="1" customFormat="1" ht="12.75" hidden="0" customHeight="1">
      <x:c r="A98" s="6"/>
      <x:c r="B98" s="6"/>
      <x:c r="C98" s="6"/>
      <x:c r="D98" s="6"/>
      <x:c r="E98" s="6"/>
      <x:c r="F98" s="6"/>
      <x:c r="G98" s="6"/>
      <x:c r="H98" s="6"/>
      <x:c r="I98" s="6"/>
      <x:c r="J98" s="6"/>
    </x:row>
    <x:row r="99" s="1" customFormat="1" ht="12.75" hidden="0" customHeight="1">
      <x:c r="A99" s="7" t="s">
        <x:v>2512</x:v>
      </x:c>
      <x:c r="B99" s="6"/>
      <x:c r="C99" s="6"/>
      <x:c r="D99" s="6"/>
      <x:c r="E99" s="6"/>
      <x:c r="F99" s="6"/>
      <x:c r="G99" s="6"/>
      <x:c r="H99" s="6"/>
      <x:c r="I99" s="6"/>
      <x:c r="J99" s="6"/>
    </x:row>
    <x:row r="100" s="1" customFormat="1" ht="12.75" hidden="0" customHeight="1">
      <x:c r="A100" s="7" t="s">
        <x:v>2513</x:v>
      </x:c>
      <x:c r="B100" s="6"/>
      <x:c r="C100" s="6"/>
      <x:c r="D100" s="6"/>
      <x:c r="E100" s="6"/>
      <x:c r="F100" s="6"/>
      <x:c r="G100" s="6"/>
      <x:c r="H100" s="6"/>
      <x:c r="I100" s="6"/>
      <x:c r="J100" s="6"/>
    </x:row>
    <x:row r="101" s="1" customFormat="1" ht="48" hidden="0" customHeight="1">
      <x:c r="A101" s="7" t="str">
        <x:v>Choose: Complete - Authority selected Option A after a non-decisive framework verdict; authority and execution remain separate.</x:v>
      </x:c>
      <x:c r="B101" s="8" t="str">
        <x:v>Authority selected Option A after the uncertainty-sensitive, non-deterministic framework result; not a unique cascade selection.</x:v>
      </x:c>
      <x:c r="C101" s="6"/>
      <x:c r="D101" s="6"/>
      <x:c r="E101" s="6"/>
      <x:c r="F101" s="6"/>
      <x:c r="G101" s="6"/>
      <x:c r="H101" s="6"/>
      <x:c r="I101" s="6"/>
      <x:c r="J101" s="6"/>
    </x:row>
    <x:row r="102" s="1" customFormat="1" ht="12.75" hidden="0" customHeight="1">
      <x:c r="A102" s="7" t="s">
        <x:v>2514</x:v>
      </x:c>
      <x:c r="B102" s="6"/>
      <x:c r="C102" s="6"/>
      <x:c r="D102" s="6"/>
      <x:c r="E102" s="6"/>
      <x:c r="F102" s="6"/>
      <x:c r="G102" s="6"/>
      <x:c r="H102" s="6"/>
      <x:c r="I102" s="6"/>
      <x:c r="J102" s="6"/>
    </x:row>
    <x:row r="103" s="1" customFormat="1" ht="12.75" hidden="0" customHeight="1">
      <x:c r="A103" s="7" t="s">
        <x:v>2240</x:v>
      </x:c>
      <x:c r="B103" s="6"/>
      <x:c r="C103" s="6"/>
      <x:c r="D103" s="6"/>
      <x:c r="E103" s="6"/>
      <x:c r="F103" s="6"/>
      <x:c r="G103" s="6"/>
      <x:c r="H103" s="6"/>
      <x:c r="I103" s="6"/>
      <x:c r="J103" s="6"/>
    </x:row>
    <x:row r="104" s="1" customFormat="1" ht="12.75" hidden="0" customHeight="1">
      <x:c r="A104" s="7" t="s">
        <x:v>2515</x:v>
      </x:c>
      <x:c r="B104" s="5" t="s">
        <x:v>2240</x:v>
      </x:c>
      <x:c r="C104" s="6"/>
      <x:c r="D104" s="6"/>
      <x:c r="E104" s="6"/>
      <x:c r="F104" s="6"/>
      <x:c r="G104" s="6"/>
      <x:c r="H104" s="6"/>
      <x:c r="I104" s="6"/>
      <x:c r="J104" s="6"/>
    </x:row>
    <x:row r="105" s="1" customFormat="1" ht="12.75" hidden="0" customHeight="1">
      <x:c r="A105" s="6"/>
      <x:c r="B105" s="6"/>
      <x:c r="C105" s="6"/>
      <x:c r="D105" s="6"/>
      <x:c r="E105" s="6"/>
      <x:c r="F105" s="6"/>
      <x:c r="G105" s="6"/>
      <x:c r="H105" s="6"/>
      <x:c r="I105" s="6"/>
      <x:c r="J105" s="6"/>
    </x:row>
    <x:row r="106" s="1" customFormat="1" ht="13.5" hidden="0" customHeight="1">
      <x:c r="A106" s="7" t="s">
        <x:v>2516</x:v>
      </x:c>
      <x:c r="B106" s="6"/>
      <x:c r="C106" s="6"/>
      <x:c r="D106" s="6"/>
      <x:c r="E106" s="6"/>
      <x:c r="F106" s="6"/>
      <x:c r="G106" s="6"/>
      <x:c r="H106" s="6"/>
      <x:c r="I106" s="6"/>
      <x:c r="J106" s="6"/>
    </x:row>
    <x:row r="107" s="1" customFormat="1" ht="30" hidden="0" customHeight="1">
      <x:c r="A107" s="7" t="s">
        <x:v>2517</x:v>
      </x:c>
      <x:c r="B107" s="8" t="s">
        <x:v>2518</x:v>
      </x:c>
      <x:c r="C107" s="8" t="s">
        <x:v>2519</x:v>
      </x:c>
      <x:c r="D107" s="6"/>
      <x:c r="E107" s="6"/>
      <x:c r="F107" s="6"/>
      <x:c r="G107" s="6"/>
      <x:c r="H107" s="6"/>
      <x:c r="I107" s="6"/>
      <x:c r="J107" s="6"/>
    </x:row>
    <x:row r="108" s="1" customFormat="1" ht="30" hidden="0" customHeight="1">
      <x:c r="A108" s="7" t="s">
        <x:v>2520</x:v>
      </x:c>
      <x:c r="B108" s="5" t="s">
        <x:v>2521</x:v>
      </x:c>
      <x:c r="C108" s="5" t="s">
        <x:v>2522</x:v>
      </x:c>
      <x:c r="D108" s="6"/>
      <x:c r="E108" s="6"/>
      <x:c r="F108" s="6"/>
      <x:c r="G108" s="6"/>
      <x:c r="H108" s="6"/>
      <x:c r="I108" s="6"/>
      <x:c r="J108" s="6"/>
    </x:row>
    <x:row r="109" s="1" customFormat="1" ht="15" hidden="0" customHeight="1">
      <x:c r="A109" s="7" t="s">
        <x:v>2523</x:v>
      </x:c>
      <x:c r="B109" s="8" t="s">
        <x:v>2524</x:v>
      </x:c>
      <x:c r="C109" s="6"/>
      <x:c r="D109" s="6"/>
      <x:c r="E109" s="6"/>
      <x:c r="F109" s="6"/>
      <x:c r="G109" s="6"/>
      <x:c r="H109" s="6"/>
      <x:c r="I109" s="6"/>
      <x:c r="J109" s="6"/>
    </x:row>
    <x:row r="110" s="1" customFormat="1" ht="13.5" hidden="0" customHeight="1">
      <x:c r="A110" s="6"/>
      <x:c r="B110" s="6"/>
      <x:c r="C110" s="6"/>
      <x:c r="D110" s="6"/>
      <x:c r="E110" s="6"/>
      <x:c r="F110" s="6"/>
      <x:c r="G110" s="6"/>
      <x:c r="H110" s="6"/>
      <x:c r="I110" s="6"/>
      <x:c r="J110" s="6"/>
    </x:row>
    <x:row r="111" s="1" customFormat="1" ht="13.5" hidden="0" customHeight="1">
      <x:c r="A111" s="7" t="s">
        <x:v>2525</x:v>
      </x:c>
      <x:c r="B111" s="6"/>
      <x:c r="C111" s="6"/>
      <x:c r="D111" s="6"/>
      <x:c r="E111" s="6"/>
      <x:c r="F111" s="6"/>
      <x:c r="G111" s="6"/>
      <x:c r="H111" s="6"/>
      <x:c r="I111" s="6"/>
      <x:c r="J111" s="6"/>
    </x:row>
    <x:row r="112" s="1" customFormat="1" ht="13.5" hidden="0" customHeight="1">
      <x:c r="A112" s="7" t="s">
        <x:v>2526</x:v>
      </x:c>
      <x:c r="B112" s="5" t="s">
        <x:v>399</x:v>
      </x:c>
      <x:c r="C112" s="5" t="s">
        <x:v>2527</x:v>
      </x:c>
      <x:c r="D112" s="6"/>
      <x:c r="E112" s="6"/>
      <x:c r="F112" s="6"/>
      <x:c r="G112" s="6"/>
      <x:c r="H112" s="6"/>
      <x:c r="I112" s="6"/>
      <x:c r="J112" s="6"/>
    </x:row>
    <x:row r="113" s="1" customFormat="1" ht="13.5" hidden="0" customHeight="1">
      <x:c r="A113" s="7" t="s">
        <x:v>2528</x:v>
      </x:c>
      <x:c r="B113" s="48" t="s">
        <x:v>402</x:v>
      </x:c>
      <x:c r="C113" s="47"/>
      <x:c r="D113" s="6"/>
      <x:c r="E113" s="6"/>
      <x:c r="F113" s="6"/>
      <x:c r="G113" s="6"/>
      <x:c r="H113" s="6"/>
      <x:c r="I113" s="6"/>
      <x:c r="J113" s="6"/>
    </x:row>
    <x:row r="114" s="1" customFormat="1" ht="13.5" hidden="0" customHeight="1">
      <x:c r="A114" s="7" t="s">
        <x:v>2529</x:v>
      </x:c>
      <x:c r="B114" s="5" t="s">
        <x:v>404</x:v>
      </x:c>
      <x:c r="C114" s="47"/>
      <x:c r="D114" s="6"/>
      <x:c r="E114" s="6"/>
      <x:c r="F114" s="6"/>
      <x:c r="G114" s="6"/>
      <x:c r="H114" s="6"/>
      <x:c r="I114" s="6"/>
      <x:c r="J114" s="6"/>
    </x:row>
    <x:row r="115" s="1" customFormat="1" ht="13.5" hidden="0" customHeight="1">
      <x:c r="A115" s="7" t="s">
        <x:v>2530</x:v>
      </x:c>
      <x:c r="B115" s="48" t="s">
        <x:v>2531</x:v>
      </x:c>
      <x:c r="C115" s="47"/>
      <x:c r="D115" s="6"/>
      <x:c r="E115" s="6"/>
      <x:c r="F115" s="6"/>
      <x:c r="G115" s="6"/>
      <x:c r="H115" s="6"/>
      <x:c r="I115" s="6"/>
      <x:c r="J115" s="6"/>
    </x:row>
    <x:row r="116" s="1" customFormat="1" ht="14.25" hidden="0" customHeight="1">
      <x:c r="A116" s="7" t="s">
        <x:v>2532</x:v>
      </x:c>
      <x:c r="B116" s="5" t="s">
        <x:v>2533</x:v>
      </x:c>
      <x:c r="C116" s="47"/>
      <x:c r="D116" s="6"/>
      <x:c r="E116" s="6"/>
      <x:c r="F116" s="6"/>
      <x:c r="G116" s="6"/>
      <x:c r="H116" s="6"/>
      <x:c r="I116" s="6"/>
      <x:c r="J116" s="6"/>
    </x:row>
    <x:row r="117" s="1" customFormat="1" ht="13.5" hidden="0" customHeight="1">
      <x:c r="A117" s="7" t="s">
        <x:v>2534</x:v>
      </x:c>
      <x:c r="B117" s="48" t="s">
        <x:v>2535</x:v>
      </x:c>
      <x:c r="C117" s="47"/>
      <x:c r="D117" s="6"/>
      <x:c r="E117" s="6"/>
      <x:c r="F117" s="6"/>
      <x:c r="G117" s="6"/>
      <x:c r="H117" s="6"/>
      <x:c r="I117" s="6"/>
      <x:c r="J117" s="6"/>
    </x:row>
    <x:row r="118" s="1" customFormat="1" ht="13.5" hidden="0" customHeight="1">
      <x:c r="A118" s="6"/>
      <x:c r="B118" s="6"/>
      <x:c r="C118" s="6"/>
      <x:c r="D118" s="6"/>
      <x:c r="E118" s="6"/>
      <x:c r="F118" s="6"/>
      <x:c r="G118" s="6"/>
      <x:c r="H118" s="6"/>
      <x:c r="I118" s="6"/>
      <x:c r="J118" s="6"/>
    </x:row>
    <x:row r="119" s="1" customFormat="1" ht="14.25" hidden="0" customHeight="1">
      <x:c r="A119" s="7" t="s">
        <x:v>2536</x:v>
      </x:c>
      <x:c r="B119" s="6"/>
      <x:c r="C119" s="6"/>
      <x:c r="D119" s="6"/>
      <x:c r="E119" s="6"/>
      <x:c r="F119" s="6"/>
      <x:c r="G119" s="6"/>
      <x:c r="H119" s="6"/>
      <x:c r="I119" s="6"/>
      <x:c r="J119" s="6"/>
    </x:row>
    <x:row r="120" s="1" customFormat="1" ht="15" hidden="0" customHeight="1">
      <x:c r="A120" s="7" t="s">
        <x:v>2537</x:v>
      </x:c>
      <x:c r="B120" s="6"/>
      <x:c r="C120" s="6"/>
      <x:c r="D120" s="6"/>
      <x:c r="E120" s="6"/>
      <x:c r="F120" s="6"/>
      <x:c r="G120" s="6"/>
      <x:c r="H120" s="6"/>
      <x:c r="I120" s="6"/>
      <x:c r="J120" s="6"/>
    </x:row>
    <x:row r="121" s="1" customFormat="1" ht="13.5" hidden="0" customHeight="1">
      <x:c r="A121" s="6"/>
      <x:c r="B121" s="6"/>
      <x:c r="C121" s="6"/>
      <x:c r="D121" s="6"/>
      <x:c r="E121" s="6"/>
      <x:c r="F121" s="6"/>
      <x:c r="G121" s="6"/>
      <x:c r="H121" s="6"/>
      <x:c r="I121" s="6"/>
      <x:c r="J121" s="6"/>
    </x:row>
    <x:row r="122" s="1" customFormat="1" ht="13.5" hidden="0" customHeight="1">
      <x:c r="A122" s="7" t="s">
        <x:v>2538</x:v>
      </x:c>
      <x:c r="B122" s="6"/>
      <x:c r="C122" s="6"/>
      <x:c r="D122" s="6"/>
      <x:c r="E122" s="6"/>
      <x:c r="F122" s="6"/>
      <x:c r="G122" s="6"/>
      <x:c r="H122" s="6"/>
      <x:c r="I122" s="6"/>
      <x:c r="J122" s="6"/>
    </x:row>
    <x:row r="123" s="1" customFormat="1" ht="14.25" hidden="0" customHeight="1">
      <x:c r="A123" s="7" t="s">
        <x:v>2539</x:v>
      </x:c>
      <x:c r="B123" s="8" t="s">
        <x:v>2539</x:v>
      </x:c>
      <x:c r="C123" s="6"/>
      <x:c r="D123" s="6"/>
      <x:c r="E123" s="6"/>
      <x:c r="F123" s="6"/>
      <x:c r="G123" s="6"/>
      <x:c r="H123" s="6"/>
      <x:c r="I123" s="6"/>
      <x:c r="J123" s="6"/>
    </x:row>
    <x:row r="124" s="1" customFormat="1" ht="13.5" hidden="0" customHeight="1">
      <x:c r="A124" s="7" t="s">
        <x:v>2540</x:v>
      </x:c>
      <x:c r="B124" s="6"/>
      <x:c r="C124" s="6"/>
      <x:c r="D124" s="6"/>
      <x:c r="E124" s="6"/>
      <x:c r="F124" s="6"/>
      <x:c r="G124" s="6"/>
      <x:c r="H124" s="6"/>
      <x:c r="I124" s="6"/>
      <x:c r="J124" s="6"/>
    </x:row>
    <x:row r="125" s="1" customFormat="1" ht="13.5" hidden="0" customHeight="1">
      <x:c r="A125" s="6"/>
      <x:c r="B125" s="6"/>
      <x:c r="C125" s="6"/>
      <x:c r="D125" s="6"/>
      <x:c r="E125" s="6"/>
      <x:c r="F125" s="6"/>
      <x:c r="G125" s="6"/>
      <x:c r="H125" s="6"/>
      <x:c r="I125" s="6"/>
      <x:c r="J125" s="6"/>
    </x:row>
    <x:row r="126" s="1" customFormat="1" ht="13.5" hidden="0" customHeight="1">
      <x:c r="A126" s="7" t="s">
        <x:v>2541</x:v>
      </x:c>
      <x:c r="B126" s="5" t="s">
        <x:v>2542</x:v>
      </x:c>
      <x:c r="C126" s="5" t="s">
        <x:v>2543</x:v>
      </x:c>
      <x:c r="D126" s="5" t="s">
        <x:v>2544</x:v>
      </x:c>
      <x:c r="E126" s="5" t="s">
        <x:v>2545</x:v>
      </x:c>
      <x:c r="F126" s="5" t="s">
        <x:v>2546</x:v>
      </x:c>
      <x:c r="G126" s="5" t="s">
        <x:v>2547</x:v>
      </x:c>
      <x:c r="H126" s="5" t="s">
        <x:v>2548</x:v>
      </x:c>
      <x:c r="I126" s="6"/>
      <x:c r="J126" s="6"/>
    </x:row>
    <x:row r="127" s="1" customFormat="1" ht="13.5" hidden="0" customHeight="1">
      <x:c r="A127" s="7" t="s">
        <x:v>2549</x:v>
      </x:c>
      <x:c r="B127" s="48" t="s">
        <x:v>2550</x:v>
      </x:c>
      <x:c r="C127" s="48" t="s">
        <x:v>2551</x:v>
      </x:c>
      <x:c r="D127" s="48" t="s">
        <x:v>2552</x:v>
      </x:c>
      <x:c r="E127" s="48" t="s">
        <x:v>2553</x:v>
      </x:c>
      <x:c r="F127" s="48" t="s">
        <x:v>2554</x:v>
      </x:c>
      <x:c r="G127" s="48" t="s">
        <x:v>2555</x:v>
      </x:c>
      <x:c r="H127" s="48" t="s">
        <x:v>1179</x:v>
      </x:c>
      <x:c r="I127" s="6"/>
      <x:c r="J127" s="6"/>
    </x:row>
    <x:row r="128" s="1" customFormat="1" ht="13.5" hidden="0" customHeight="1">
      <x:c r="A128" s="7" t="s">
        <x:v>2556</x:v>
      </x:c>
      <x:c r="B128" s="5" t="s">
        <x:v>2557</x:v>
      </x:c>
      <x:c r="C128" s="5" t="s">
        <x:v>2558</x:v>
      </x:c>
      <x:c r="D128" s="5" t="s">
        <x:v>2559</x:v>
      </x:c>
      <x:c r="E128" s="5" t="s">
        <x:v>964</x:v>
      </x:c>
      <x:c r="F128" s="5" t="s">
        <x:v>2560</x:v>
      </x:c>
      <x:c r="G128" s="5" t="s">
        <x:v>2561</x:v>
      </x:c>
      <x:c r="H128" s="5" t="s">
        <x:v>1179</x:v>
      </x:c>
      <x:c r="I128" s="6"/>
      <x:c r="J128" s="6"/>
    </x:row>
    <x:row r="129" s="1" customFormat="1" ht="13.5" hidden="0" customHeight="1">
      <x:c r="A129" s="7" t="s">
        <x:v>2562</x:v>
      </x:c>
      <x:c r="B129" s="48" t="s">
        <x:v>2563</x:v>
      </x:c>
      <x:c r="C129" s="48" t="s">
        <x:v>2564</x:v>
      </x:c>
      <x:c r="D129" s="48" t="s">
        <x:v>2565</x:v>
      </x:c>
      <x:c r="E129" s="48" t="s">
        <x:v>965</x:v>
      </x:c>
      <x:c r="F129" s="48" t="s">
        <x:v>2566</x:v>
      </x:c>
      <x:c r="G129" s="48" t="s">
        <x:v>2567</x:v>
      </x:c>
      <x:c r="H129" s="48" t="s">
        <x:v>1179</x:v>
      </x:c>
      <x:c r="I129" s="6"/>
      <x:c r="J129" s="6"/>
    </x:row>
    <x:row r="130" s="1" customFormat="1" ht="14.25" hidden="0" customHeight="1">
      <x:c r="A130" s="7" t="s">
        <x:v>2568</x:v>
      </x:c>
      <x:c r="B130" s="5" t="s">
        <x:v>2569</x:v>
      </x:c>
      <x:c r="C130" s="5" t="s">
        <x:v>2570</x:v>
      </x:c>
      <x:c r="D130" s="5" t="s">
        <x:v>2571</x:v>
      </x:c>
      <x:c r="E130" s="5" t="s">
        <x:v>966</x:v>
      </x:c>
      <x:c r="F130" s="5" t="s">
        <x:v>2572</x:v>
      </x:c>
      <x:c r="G130" s="5" t="s">
        <x:v>2573</x:v>
      </x:c>
      <x:c r="H130" s="5" t="s">
        <x:v>1179</x:v>
      </x:c>
      <x:c r="I130" s="6"/>
      <x:c r="J130" s="6"/>
    </x:row>
    <x:row r="131" s="1" customFormat="1" ht="13.5" hidden="0" customHeight="1">
      <x:c r="A131" s="7" t="s">
        <x:v>2574</x:v>
      </x:c>
      <x:c r="B131" s="48" t="s">
        <x:v>2575</x:v>
      </x:c>
      <x:c r="C131" s="48" t="s">
        <x:v>2564</x:v>
      </x:c>
      <x:c r="D131" s="48" t="s">
        <x:v>2576</x:v>
      </x:c>
      <x:c r="E131" s="48" t="s">
        <x:v>2577</x:v>
      </x:c>
      <x:c r="F131" s="48" t="s">
        <x:v>2578</x:v>
      </x:c>
      <x:c r="G131" s="48" t="s">
        <x:v>2579</x:v>
      </x:c>
      <x:c r="H131" s="48" t="s">
        <x:v>2580</x:v>
      </x:c>
      <x:c r="I131" s="6"/>
      <x:c r="J131" s="6"/>
    </x:row>
    <x:row r="132" s="1" customFormat="1" ht="13.5" hidden="0" customHeight="1">
      <x:c r="A132" s="6"/>
      <x:c r="B132" s="6"/>
      <x:c r="C132" s="6"/>
      <x:c r="D132" s="6"/>
      <x:c r="E132" s="6"/>
      <x:c r="F132" s="6"/>
      <x:c r="G132" s="6"/>
      <x:c r="H132" s="6"/>
      <x:c r="I132" s="6"/>
      <x:c r="J132" s="6"/>
    </x:row>
    <x:row r="133" s="1" customFormat="1" ht="14.25" hidden="0" customHeight="1">
      <x:c r="A133" s="7" t="s">
        <x:v>2581</x:v>
      </x:c>
      <x:c r="B133" s="6"/>
      <x:c r="C133" s="6"/>
      <x:c r="D133" s="6"/>
      <x:c r="E133" s="6"/>
      <x:c r="F133" s="6"/>
      <x:c r="G133" s="6"/>
      <x:c r="H133" s="6"/>
      <x:c r="I133" s="6"/>
      <x:c r="J133" s="6"/>
    </x:row>
    <x:row r="134" s="1" customFormat="1" ht="15" hidden="0" customHeight="1">
      <x:c r="A134" s="7" t="s">
        <x:v>2582</x:v>
      </x:c>
      <x:c r="B134" s="6"/>
      <x:c r="C134" s="6"/>
      <x:c r="D134" s="6"/>
      <x:c r="E134" s="6"/>
      <x:c r="F134" s="6"/>
      <x:c r="G134" s="6"/>
      <x:c r="H134" s="6"/>
      <x:c r="I134" s="6"/>
      <x:c r="J134" s="6"/>
    </x:row>
    <x:row r="135" s="1" customFormat="1" ht="13.5" hidden="0" customHeight="1">
      <x:c r="A135" s="6"/>
      <x:c r="B135" s="6"/>
      <x:c r="C135" s="6"/>
      <x:c r="D135" s="6"/>
      <x:c r="E135" s="6"/>
      <x:c r="F135" s="6"/>
      <x:c r="G135" s="6"/>
      <x:c r="H135" s="6"/>
      <x:c r="I135" s="6"/>
      <x:c r="J135" s="6"/>
    </x:row>
    <x:row r="136" s="1" customFormat="1" ht="13.5" hidden="0" customHeight="1">
      <x:c r="A136" s="7" t="s">
        <x:v>2583</x:v>
      </x:c>
      <x:c r="B136" s="6"/>
      <x:c r="C136" s="6"/>
      <x:c r="D136" s="6"/>
      <x:c r="E136" s="6"/>
      <x:c r="F136" s="6"/>
      <x:c r="G136" s="6"/>
      <x:c r="H136" s="6"/>
      <x:c r="I136" s="6"/>
      <x:c r="J136" s="6"/>
    </x:row>
    <x:row r="137" s="1" customFormat="1" ht="13.5" hidden="0" customHeight="1">
      <x:c r="A137" s="7" t="s">
        <x:v>2584</x:v>
      </x:c>
      <x:c r="B137" s="8" t="s">
        <x:v>2584</x:v>
      </x:c>
      <x:c r="C137" s="6"/>
      <x:c r="D137" s="6"/>
      <x:c r="E137" s="6"/>
      <x:c r="F137" s="6"/>
      <x:c r="G137" s="6"/>
      <x:c r="H137" s="6"/>
      <x:c r="I137" s="6"/>
      <x:c r="J137" s="6"/>
    </x:row>
    <x:row r="138" s="1" customFormat="1" ht="13.5" hidden="0" customHeight="1">
      <x:c r="A138" s="7" t="s">
        <x:v>2585</x:v>
      </x:c>
      <x:c r="B138" s="5" t="n">
        <x:v>1</x:v>
      </x:c>
      <x:c r="C138" s="5" t="s">
        <x:v>2586</x:v>
      </x:c>
      <x:c r="D138" s="6"/>
      <x:c r="E138" s="6"/>
      <x:c r="F138" s="6"/>
      <x:c r="G138" s="6"/>
      <x:c r="H138" s="6"/>
      <x:c r="I138" s="6"/>
      <x:c r="J138" s="6"/>
    </x:row>
    <x:row r="139" s="1" customFormat="1" ht="13.5" hidden="0" customHeight="1">
      <x:c r="A139" s="7" t="s">
        <x:v>2587</x:v>
      </x:c>
      <x:c r="B139" s="48" t="s">
        <x:v>394</x:v>
      </x:c>
      <x:c r="C139" s="47"/>
      <x:c r="D139" s="6"/>
      <x:c r="E139" s="6"/>
      <x:c r="F139" s="6"/>
      <x:c r="G139" s="6"/>
      <x:c r="H139" s="6"/>
      <x:c r="I139" s="6"/>
      <x:c r="J139" s="6"/>
    </x:row>
    <x:row r="140" s="1" customFormat="1" ht="13.5" hidden="0" customHeight="1">
      <x:c r="A140" s="7" t="s">
        <x:v>2588</x:v>
      </x:c>
      <x:c r="B140" s="5" t="s">
        <x:v>396</x:v>
      </x:c>
      <x:c r="C140" s="5" t="s">
        <x:v>2589</x:v>
      </x:c>
      <x:c r="D140" s="6"/>
      <x:c r="E140" s="6"/>
      <x:c r="F140" s="6"/>
      <x:c r="G140" s="6"/>
      <x:c r="H140" s="6"/>
      <x:c r="I140" s="6"/>
      <x:c r="J140" s="6"/>
    </x:row>
    <x:row r="141" s="1" customFormat="1" ht="14.25" hidden="0" customHeight="1">
      <x:c r="A141" s="7" t="s">
        <x:v>2590</x:v>
      </x:c>
      <x:c r="B141" s="48" t="s">
        <x:v>2591</x:v>
      </x:c>
      <x:c r="C141" s="47"/>
      <x:c r="D141" s="6"/>
      <x:c r="E141" s="6"/>
      <x:c r="F141" s="6"/>
      <x:c r="G141" s="6"/>
      <x:c r="H141" s="6"/>
      <x:c r="I141" s="6"/>
      <x:c r="J141" s="6"/>
    </x:row>
    <x:row r="142" s="1" customFormat="1" ht="15" hidden="0" customHeight="1">
      <x:c r="A142" s="7" t="s">
        <x:v>2592</x:v>
      </x:c>
      <x:c r="B142" s="5" t="s">
        <x:v>292</x:v>
      </x:c>
      <x:c r="C142" s="47"/>
      <x:c r="D142" s="6"/>
      <x:c r="E142" s="6"/>
      <x:c r="F142" s="6"/>
      <x:c r="G142" s="6"/>
      <x:c r="H142" s="6"/>
      <x:c r="I142" s="6"/>
      <x:c r="J142" s="6"/>
    </x:row>
    <x:row r="143" s="1" customFormat="1" ht="13.5" hidden="0" customHeight="1">
      <x:c r="A143" s="6"/>
      <x:c r="B143" s="6"/>
      <x:c r="C143" s="6"/>
      <x:c r="D143" s="6"/>
      <x:c r="E143" s="6"/>
      <x:c r="F143" s="6"/>
      <x:c r="G143" s="6"/>
      <x:c r="H143" s="6"/>
      <x:c r="I143" s="6"/>
      <x:c r="J143" s="6"/>
    </x:row>
    <x:row r="144" s="1" customFormat="1" ht="13.5" hidden="0" customHeight="1">
      <x:c r="A144" s="7" t="s">
        <x:v>2593</x:v>
      </x:c>
      <x:c r="B144" s="6"/>
      <x:c r="C144" s="6"/>
      <x:c r="D144" s="6"/>
      <x:c r="E144" s="6"/>
      <x:c r="F144" s="6"/>
      <x:c r="G144" s="6"/>
      <x:c r="H144" s="6"/>
      <x:c r="I144" s="6"/>
      <x:c r="J144" s="6"/>
    </x:row>
    <x:row r="145" s="1" customFormat="1" ht="13.5" hidden="0" customHeight="1">
      <x:c r="A145" s="7" t="s">
        <x:v>2594</x:v>
      </x:c>
      <x:c r="B145" s="6"/>
      <x:c r="C145" s="6"/>
      <x:c r="D145" s="6"/>
      <x:c r="E145" s="6"/>
      <x:c r="F145" s="6"/>
      <x:c r="G145" s="6"/>
      <x:c r="H145" s="6"/>
      <x:c r="I145" s="6"/>
      <x:c r="J145" s="6"/>
    </x:row>
    <x:row r="146" s="1" customFormat="1" ht="13.5" hidden="0" customHeight="1">
      <x:c r="A146" s="7" t="s">
        <x:v>2595</x:v>
      </x:c>
      <x:c r="B146" s="6"/>
      <x:c r="C146" s="6"/>
      <x:c r="D146" s="6"/>
      <x:c r="E146" s="6"/>
      <x:c r="F146" s="6"/>
      <x:c r="G146" s="6"/>
      <x:c r="H146" s="6"/>
      <x:c r="I146" s="6"/>
      <x:c r="J146" s="6"/>
    </x:row>
    <x:row r="147" s="1" customFormat="1" ht="13.5" hidden="0" customHeight="1">
      <x:c r="A147" s="7" t="s">
        <x:v>2596</x:v>
      </x:c>
      <x:c r="B147" s="6"/>
      <x:c r="C147" s="6"/>
      <x:c r="D147" s="6"/>
      <x:c r="E147" s="6"/>
      <x:c r="F147" s="6"/>
      <x:c r="G147" s="6"/>
      <x:c r="H147" s="6"/>
      <x:c r="I147" s="6"/>
      <x:c r="J147" s="6"/>
    </x:row>
    <x:row r="148" s="1" customFormat="1" ht="14.25" hidden="0" customHeight="1">
      <x:c r="A148" s="7" t="s">
        <x:v>2597</x:v>
      </x:c>
      <x:c r="B148" s="6"/>
      <x:c r="C148" s="6"/>
      <x:c r="D148" s="6"/>
      <x:c r="E148" s="6"/>
      <x:c r="F148" s="6"/>
      <x:c r="G148" s="6"/>
      <x:c r="H148" s="6"/>
      <x:c r="I148" s="6"/>
      <x:c r="J148" s="6"/>
    </x:row>
    <x:row r="149" s="1" customFormat="1" ht="14.25" hidden="0" customHeight="1">
      <x:c r="A149" s="7" t="s">
        <x:v>2598</x:v>
      </x:c>
      <x:c r="B149" s="6"/>
      <x:c r="C149" s="6"/>
      <x:c r="D149" s="6"/>
      <x:c r="E149" s="6"/>
      <x:c r="F149" s="6"/>
      <x:c r="G149" s="6"/>
      <x:c r="H149" s="6"/>
      <x:c r="I149" s="6"/>
      <x:c r="J149" s="6"/>
    </x:row>
    <x:row r="150" s="1" customFormat="1" ht="12.75" hidden="0" customHeight="1">
      <x:c r="A150" s="6"/>
      <x:c r="B150" s="6"/>
      <x:c r="C150" s="6"/>
      <x:c r="D150" s="6"/>
      <x:c r="E150" s="6"/>
      <x:c r="F150" s="6"/>
      <x:c r="G150" s="6"/>
      <x:c r="H150" s="6"/>
      <x:c r="I150" s="6"/>
      <x:c r="J150" s="6"/>
    </x:row>
    <x:row r="151" s="1" customFormat="1" ht="15" hidden="0" customHeight="1">
      <x:c r="A151" s="7" t="s">
        <x:v>2599</x:v>
      </x:c>
      <x:c r="B151" s="7"/>
      <x:c r="C151" s="6"/>
      <x:c r="D151" s="6"/>
      <x:c r="E151" s="6"/>
      <x:c r="F151" s="6"/>
      <x:c r="G151" s="6"/>
      <x:c r="H151" s="6"/>
      <x:c r="I151" s="6"/>
      <x:c r="J151" s="6"/>
    </x:row>
    <x:row r="152" s="1" customFormat="1" ht="31.5" hidden="0" customHeight="1">
      <x:c r="A152" s="7" t="s">
        <x:v>2600</x:v>
      </x:c>
      <x:c r="B152" s="5" t="s">
        <x:v>2601</x:v>
      </x:c>
      <x:c r="C152" s="6"/>
      <x:c r="D152" s="6"/>
      <x:c r="E152" s="6"/>
      <x:c r="F152" s="6"/>
      <x:c r="G152" s="6"/>
      <x:c r="H152" s="6"/>
      <x:c r="I152" s="6"/>
      <x:c r="J152" s="6"/>
    </x:row>
    <x:row r="153" s="1" customFormat="1" ht="31.5" hidden="0" customHeight="1">
      <x:c r="A153" s="7" t="s">
        <x:v>2602</x:v>
      </x:c>
      <x:c r="B153" s="48" t="s">
        <x:v>2603</x:v>
      </x:c>
      <x:c r="C153" s="6"/>
      <x:c r="D153" s="6"/>
      <x:c r="E153" s="6"/>
      <x:c r="F153" s="6"/>
      <x:c r="G153" s="6"/>
      <x:c r="H153" s="6"/>
      <x:c r="I153" s="6"/>
      <x:c r="J153" s="6"/>
    </x:row>
    <x:row r="154" s="1" customFormat="1" ht="31.5" hidden="0" customHeight="1">
      <x:c r="A154" s="7" t="s">
        <x:v>2604</x:v>
      </x:c>
      <x:c r="B154" s="5" t="s">
        <x:v>917</x:v>
      </x:c>
      <x:c r="C154" s="6"/>
      <x:c r="D154" s="6"/>
      <x:c r="E154" s="6"/>
      <x:c r="F154" s="6"/>
      <x:c r="G154" s="6"/>
      <x:c r="H154" s="6"/>
      <x:c r="I154" s="6"/>
      <x:c r="J154" s="6"/>
    </x:row>
    <x:row r="155" s="1" customFormat="1" ht="31.5" hidden="0" customHeight="1">
      <x:c r="A155" s="7" t="s">
        <x:v>2605</x:v>
      </x:c>
      <x:c r="B155" s="48" t="s">
        <x:v>919</x:v>
      </x:c>
      <x:c r="C155" s="6"/>
      <x:c r="D155" s="6"/>
      <x:c r="E155" s="6"/>
      <x:c r="F155" s="6"/>
      <x:c r="G155" s="6"/>
      <x:c r="H155" s="6"/>
      <x:c r="I155" s="6"/>
      <x:c r="J155" s="6"/>
    </x:row>
    <x:row r="156" s="1" customFormat="1" ht="31.5" hidden="0" customHeight="1">
      <x:c r="A156" s="7" t="s">
        <x:v>2606</x:v>
      </x:c>
      <x:c r="B156" s="5" t="s">
        <x:v>921</x:v>
      </x:c>
      <x:c r="C156" s="6"/>
      <x:c r="D156" s="6"/>
      <x:c r="E156" s="6"/>
      <x:c r="F156" s="6"/>
      <x:c r="G156" s="6"/>
      <x:c r="H156" s="6"/>
      <x:c r="I156" s="6"/>
      <x:c r="J156" s="6"/>
    </x:row>
    <x:row r="157" s="1" customFormat="1" ht="45.75" hidden="0" customHeight="1">
      <x:c r="A157" s="7" t="s">
        <x:v>2607</x:v>
      </x:c>
      <x:c r="B157" s="48" t="s">
        <x:v>923</x:v>
      </x:c>
      <x:c r="C157" s="6"/>
      <x:c r="D157" s="6"/>
      <x:c r="E157" s="6"/>
      <x:c r="F157" s="6"/>
      <x:c r="G157" s="6"/>
      <x:c r="H157" s="6"/>
      <x:c r="I157" s="6"/>
      <x:c r="J157" s="6"/>
    </x:row>
    <x:row r="158" s="1" customFormat="1" ht="31.5" hidden="0" customHeight="1">
      <x:c r="A158" s="7" t="s">
        <x:v>2608</x:v>
      </x:c>
      <x:c r="B158" s="5" t="s">
        <x:v>925</x:v>
      </x:c>
      <x:c r="C158" s="6"/>
      <x:c r="D158" s="6"/>
      <x:c r="E158" s="6"/>
      <x:c r="F158" s="6"/>
      <x:c r="G158" s="6"/>
      <x:c r="H158" s="6"/>
      <x:c r="I158" s="6"/>
      <x:c r="J158" s="6"/>
    </x:row>
    <x:row r="159" s="1" customFormat="1" ht="45.75" hidden="0" customHeight="1">
      <x:c r="A159" s="7" t="s">
        <x:v>2609</x:v>
      </x:c>
      <x:c r="B159" s="48" t="s">
        <x:v>2610</x:v>
      </x:c>
      <x:c r="C159" s="6"/>
      <x:c r="D159" s="6"/>
      <x:c r="E159" s="6"/>
      <x:c r="F159" s="6"/>
      <x:c r="G159" s="6"/>
      <x:c r="H159" s="6"/>
      <x:c r="I159" s="6"/>
      <x:c r="J159" s="6"/>
    </x:row>
    <x:row r="160" s="1" customFormat="1" ht="12.75" hidden="0" customHeight="1">
      <x:c r="A160" s="6"/>
      <x:c r="B160" s="6"/>
      <x:c r="C160" s="6"/>
      <x:c r="D160" s="6"/>
      <x:c r="E160" s="6"/>
      <x:c r="F160" s="6"/>
      <x:c r="G160" s="6"/>
      <x:c r="H160" s="6"/>
      <x:c r="I160" s="6"/>
      <x:c r="J160" s="6"/>
    </x:row>
    <x:row r="161" s="1" customFormat="1" ht="24" hidden="0" customHeight="1">
      <x:c r="A161" s="7" t="s">
        <x:v>2611</x:v>
      </x:c>
      <x:c r="B161" s="6"/>
      <x:c r="C161" s="6"/>
      <x:c r="D161" s="6"/>
      <x:c r="E161" s="6"/>
      <x:c r="F161" s="6"/>
      <x:c r="G161" s="6"/>
      <x:c r="H161" s="6"/>
      <x:c r="I161" s="6"/>
      <x:c r="J161" s="6"/>
    </x:row>
    <x:row r="162" s="1" customFormat="1" ht="21.75" hidden="0" customHeight="1">
      <x:c r="A162" s="7" t="s">
        <x:v>2612</x:v>
      </x:c>
      <x:c r="B162" s="5" t="s">
        <x:v>2613</x:v>
      </x:c>
      <x:c r="C162" s="5" t="s">
        <x:v>2614</x:v>
      </x:c>
      <x:c r="D162" s="6"/>
      <x:c r="E162" s="6"/>
      <x:c r="F162" s="6"/>
      <x:c r="G162" s="6"/>
      <x:c r="H162" s="6"/>
      <x:c r="I162" s="6"/>
      <x:c r="J162" s="6"/>
    </x:row>
    <x:row r="163" s="1" customFormat="1" ht="21.75" hidden="0" customHeight="1">
      <x:c r="A163" s="7" t="s">
        <x:v>2615</x:v>
      </x:c>
      <x:c r="B163" s="48" t="s">
        <x:v>2616</x:v>
      </x:c>
      <x:c r="C163" s="6"/>
      <x:c r="D163" s="6"/>
      <x:c r="E163" s="6"/>
      <x:c r="F163" s="6"/>
      <x:c r="G163" s="6"/>
      <x:c r="H163" s="6"/>
      <x:c r="I163" s="6"/>
      <x:c r="J163" s="6"/>
    </x:row>
    <x:row r="164" s="1" customFormat="1" ht="21.75" hidden="0" customHeight="1">
      <x:c r="A164" s="7" t="s">
        <x:v>2617</x:v>
      </x:c>
      <x:c r="B164" s="5" t="s">
        <x:v>2618</x:v>
      </x:c>
      <x:c r="C164" s="5" t="s">
        <x:v>2619</x:v>
      </x:c>
      <x:c r="D164" s="6"/>
      <x:c r="E164" s="6"/>
      <x:c r="F164" s="6"/>
      <x:c r="G164" s="6"/>
      <x:c r="H164" s="6"/>
      <x:c r="I164" s="6"/>
      <x:c r="J164" s="6"/>
    </x:row>
    <x:row r="165" s="1" customFormat="1" ht="21.75" hidden="0" customHeight="1">
      <x:c r="A165" s="7" t="s">
        <x:v>2620</x:v>
      </x:c>
      <x:c r="B165" s="48" t="s">
        <x:v>2621</x:v>
      </x:c>
      <x:c r="C165" s="8" t="s">
        <x:v>2622</x:v>
      </x:c>
      <x:c r="D165" s="6"/>
      <x:c r="E165" s="6"/>
      <x:c r="F165" s="6"/>
      <x:c r="G165" s="6"/>
      <x:c r="H165" s="6"/>
      <x:c r="I165" s="6"/>
      <x:c r="J165" s="6"/>
    </x:row>
    <x:row r="166" s="1" customFormat="1" ht="21.75" hidden="0" customHeight="1">
      <x:c r="A166" s="7" t="s">
        <x:v>2623</x:v>
      </x:c>
      <x:c r="B166" s="5" t="s">
        <x:v>2624</x:v>
      </x:c>
      <x:c r="C166" s="5" t="s">
        <x:v>2625</x:v>
      </x:c>
      <x:c r="D166" s="6"/>
      <x:c r="E166" s="6"/>
      <x:c r="F166" s="6"/>
      <x:c r="G166" s="6"/>
      <x:c r="H166" s="6"/>
      <x:c r="I166" s="6"/>
      <x:c r="J166" s="6"/>
    </x:row>
    <x:row r="167" s="1" customFormat="1" ht="21.75" hidden="0" customHeight="1">
      <x:c r="A167" s="7" t="s">
        <x:v>2626</x:v>
      </x:c>
      <x:c r="B167" s="48" t="s">
        <x:v>2627</x:v>
      </x:c>
      <x:c r="C167" s="8" t="s">
        <x:v>2628</x:v>
      </x:c>
      <x:c r="D167" s="6"/>
      <x:c r="E167" s="6"/>
      <x:c r="F167" s="6"/>
      <x:c r="G167" s="6"/>
      <x:c r="H167" s="6"/>
      <x:c r="I167" s="6"/>
      <x:c r="J167" s="6"/>
    </x:row>
    <x:row r="168" s="1" customFormat="1" ht="21.75" hidden="0" customHeight="1">
      <x:c r="A168" s="7" t="s">
        <x:v>2629</x:v>
      </x:c>
      <x:c r="B168" s="5" t="s">
        <x:v>2630</x:v>
      </x:c>
      <x:c r="C168" s="6"/>
      <x:c r="D168" s="6"/>
      <x:c r="E168" s="6"/>
      <x:c r="F168" s="6"/>
      <x:c r="G168" s="6"/>
      <x:c r="H168" s="6"/>
      <x:c r="I168" s="6"/>
      <x:c r="J168" s="6"/>
    </x:row>
    <x:row r="169" s="1" customFormat="1" ht="27.75" hidden="0" customHeight="1">
      <x:c r="A169" s="7" t="s">
        <x:v>2631</x:v>
      </x:c>
      <x:c r="B169" s="48" t="s">
        <x:v>2632</x:v>
      </x:c>
      <x:c r="C169" s="8" t="s">
        <x:v>2633</x:v>
      </x:c>
      <x:c r="D169" s="6"/>
      <x:c r="E169" s="6"/>
      <x:c r="F169" s="6"/>
      <x:c r="G169" s="6"/>
      <x:c r="H169" s="6"/>
      <x:c r="I169" s="6"/>
      <x:c r="J169" s="6"/>
    </x:row>
    <x:row r="170" s="1" customFormat="1" ht="27.75" hidden="0" customHeight="1">
      <x:c r="A170" s="7" t="s">
        <x:v>2634</x:v>
      </x:c>
      <x:c r="B170" s="5" t="s">
        <x:v>2635</x:v>
      </x:c>
      <x:c r="C170" s="5" t="s">
        <x:v>2636</x:v>
      </x:c>
      <x:c r="D170" s="6"/>
      <x:c r="E170" s="6"/>
      <x:c r="F170" s="6"/>
      <x:c r="G170" s="6"/>
      <x:c r="H170" s="6"/>
      <x:c r="I170" s="6"/>
      <x:c r="J170" s="6"/>
    </x:row>
    <x:row r="171" s="1" customFormat="1" ht="57" hidden="0" customHeight="1">
      <x:c r="A171" s="7" t="s">
        <x:v>2637</x:v>
      </x:c>
      <x:c r="B171" s="48" t="s">
        <x:v>2638</x:v>
      </x:c>
      <x:c r="C171" s="6"/>
      <x:c r="D171" s="6"/>
      <x:c r="E171" s="6"/>
      <x:c r="F171" s="6"/>
      <x:c r="G171" s="6"/>
      <x:c r="H171" s="6"/>
      <x:c r="I171" s="6"/>
      <x:c r="J171" s="6"/>
    </x:row>
    <x:row r="172" s="1" customFormat="1" ht="12.75" hidden="0" customHeight="1">
      <x:c r="A172" s="7" t="s">
        <x:v>2639</x:v>
      </x:c>
      <x:c r="B172" s="6"/>
      <x:c r="C172" s="6"/>
      <x:c r="D172" s="6"/>
      <x:c r="E172" s="6"/>
      <x:c r="F172" s="6"/>
      <x:c r="G172" s="6"/>
      <x:c r="H172" s="6"/>
      <x:c r="I172" s="6"/>
      <x:c r="J172" s="6"/>
    </x:row>
    <x:row r="173" s="1" customFormat="1" ht="12.75" hidden="0" customHeight="1">
      <x:c r="A173" s="7" t="s">
        <x:v>2640</x:v>
      </x:c>
      <x:c r="B173" s="8" t="s">
        <x:v>292</x:v>
      </x:c>
      <x:c r="C173" s="6"/>
      <x:c r="D173" s="6"/>
      <x:c r="E173" s="6"/>
      <x:c r="F173" s="6"/>
      <x:c r="G173" s="6"/>
      <x:c r="H173" s="6"/>
      <x:c r="I173" s="6"/>
      <x:c r="J173" s="6"/>
    </x:row>
    <x:row r="174" s="1" customFormat="1" ht="12.75" hidden="0" customHeight="1">
      <x:c r="A174" s="7" t="s">
        <x:v>2641</x:v>
      </x:c>
      <x:c r="B174" s="5" t="s">
        <x:v>2642</x:v>
      </x:c>
      <x:c r="C174" s="6"/>
      <x:c r="D174" s="6"/>
      <x:c r="E174" s="6"/>
      <x:c r="F174" s="6"/>
      <x:c r="G174" s="6"/>
      <x:c r="H174" s="6"/>
      <x:c r="I174" s="6"/>
      <x:c r="J174" s="6"/>
    </x:row>
    <x:row r="175" s="1" customFormat="1" ht="12.75" hidden="0" customHeight="1">
      <x:c r="A175" s="7" t="s">
        <x:v>2643</x:v>
      </x:c>
      <x:c r="B175" s="8" t="s">
        <x:v>2644</x:v>
      </x:c>
      <x:c r="C175" s="6"/>
      <x:c r="D175" s="6"/>
      <x:c r="E175" s="6"/>
      <x:c r="F175" s="6"/>
      <x:c r="G175" s="6"/>
      <x:c r="H175" s="6"/>
      <x:c r="I175" s="6"/>
      <x:c r="J175" s="6"/>
    </x:row>
    <x:row r="176" s="1" customFormat="1" ht="12.75" hidden="0" customHeight="1">
      <x:c r="A176" s="7" t="s">
        <x:v>2645</x:v>
      </x:c>
      <x:c r="B176" s="5" t="s">
        <x:v>2646</x:v>
      </x:c>
      <x:c r="C176" s="6"/>
      <x:c r="D176" s="6"/>
      <x:c r="E176" s="6"/>
      <x:c r="F176" s="6"/>
      <x:c r="G176" s="6"/>
      <x:c r="H176" s="6"/>
      <x:c r="I176" s="6"/>
      <x:c r="J176" s="6"/>
    </x:row>
    <x:row r="177" s="1" customFormat="1" ht="12.75" hidden="0" customHeight="1">
      <x:c r="A177" s="7" t="s">
        <x:v>2647</x:v>
      </x:c>
      <x:c r="B177" s="8" t="s">
        <x:v>2648</x:v>
      </x:c>
      <x:c r="C177" s="6"/>
      <x:c r="D177" s="6"/>
      <x:c r="E177" s="6"/>
      <x:c r="F177" s="6"/>
      <x:c r="G177" s="6"/>
      <x:c r="H177" s="6"/>
      <x:c r="I177" s="6"/>
      <x:c r="J177" s="6"/>
    </x:row>
    <x:row r="178" s="1" customFormat="1" ht="12.75" hidden="0" customHeight="1">
      <x:c r="A178" s="7" t="s">
        <x:v>2649</x:v>
      </x:c>
      <x:c r="B178" s="5" t="s">
        <x:v>2650</x:v>
      </x:c>
      <x:c r="C178" s="6"/>
      <x:c r="D178" s="6"/>
      <x:c r="E178" s="6"/>
      <x:c r="F178" s="6"/>
      <x:c r="G178" s="6"/>
      <x:c r="H178" s="6"/>
      <x:c r="I178" s="6"/>
      <x:c r="J178" s="6"/>
    </x:row>
    <x:row r="179" s="1" customFormat="1" ht="12.75" hidden="0" customHeight="1">
      <x:c r="A179" s="7" t="s">
        <x:v>2651</x:v>
      </x:c>
      <x:c r="B179" s="8" t="s">
        <x:v>2652</x:v>
      </x:c>
      <x:c r="C179" s="6"/>
      <x:c r="D179" s="6"/>
      <x:c r="E179" s="6"/>
      <x:c r="F179" s="6"/>
      <x:c r="G179" s="6"/>
      <x:c r="H179" s="6"/>
      <x:c r="I179" s="6"/>
      <x:c r="J179" s="6"/>
    </x:row>
    <x:row r="180" s="1" customFormat="1" ht="12.75" hidden="0" customHeight="1">
      <x:c r="A180" s="7" t="s">
        <x:v>2653</x:v>
      </x:c>
      <x:c r="B180" s="5" t="s">
        <x:v>2654</x:v>
      </x:c>
      <x:c r="C180" s="6"/>
      <x:c r="D180" s="6"/>
      <x:c r="E180" s="6"/>
      <x:c r="F180" s="6"/>
      <x:c r="G180" s="6"/>
      <x:c r="H180" s="6"/>
      <x:c r="I180" s="6"/>
      <x:c r="J180" s="6"/>
    </x:row>
    <x:row r="181" s="1" customFormat="1" ht="12.75" hidden="0" customHeight="1">
      <x:c r="A181" s="7" t="s">
        <x:v>2655</x:v>
      </x:c>
      <x:c r="B181" s="8" t="s">
        <x:v>2656</x:v>
      </x:c>
      <x:c r="C181" s="6"/>
      <x:c r="D181" s="6"/>
      <x:c r="E181" s="6"/>
      <x:c r="F181" s="6"/>
      <x:c r="G181" s="6"/>
      <x:c r="H181" s="6"/>
      <x:c r="I181" s="6"/>
      <x:c r="J181" s="6"/>
    </x:row>
    <x:row r="182" s="1" customFormat="1" ht="12.75" hidden="0" customHeight="1">
      <x:c r="A182" s="7" t="s">
        <x:v>2657</x:v>
      </x:c>
      <x:c r="B182" s="5" t="s">
        <x:v>2658</x:v>
      </x:c>
      <x:c r="C182" s="6"/>
      <x:c r="D182" s="6"/>
      <x:c r="E182" s="6"/>
      <x:c r="F182" s="6"/>
      <x:c r="G182" s="6"/>
      <x:c r="H182" s="6"/>
      <x:c r="I182" s="6"/>
      <x:c r="J182" s="6"/>
    </x:row>
    <x:row r="183" s="1" customFormat="1" ht="12.75" hidden="0" customHeight="1">
      <x:c r="A183" s="7" t="s">
        <x:v>2659</x:v>
      </x:c>
      <x:c r="B183" s="8" t="s">
        <x:v>2660</x:v>
      </x:c>
      <x:c r="C183" s="6"/>
      <x:c r="D183" s="6"/>
      <x:c r="E183" s="6"/>
      <x:c r="F183" s="6"/>
      <x:c r="G183" s="6"/>
      <x:c r="H183" s="6"/>
      <x:c r="I183" s="6"/>
      <x:c r="J183" s="6"/>
    </x:row>
    <x:row r="184" s="1" customFormat="1" ht="12.75" hidden="0" customHeight="1">
      <x:c r="A184" s="7" t="s">
        <x:v>2661</x:v>
      </x:c>
      <x:c r="B184" s="5" t="s">
        <x:v>2662</x:v>
      </x:c>
      <x:c r="C184" s="6"/>
      <x:c r="D184" s="6"/>
      <x:c r="E184" s="6"/>
      <x:c r="F184" s="6"/>
      <x:c r="G184" s="6"/>
      <x:c r="H184" s="6"/>
      <x:c r="I184" s="6"/>
      <x:c r="J184" s="6"/>
    </x:row>
    <x:row r="185" s="1" customFormat="1" ht="12.75" hidden="0" customHeight="1">
      <x:c r="A185" s="7" t="s">
        <x:v>2663</x:v>
      </x:c>
      <x:c r="B185" s="8" t="s">
        <x:v>2664</x:v>
      </x:c>
      <x:c r="C185" s="6"/>
      <x:c r="D185" s="6"/>
      <x:c r="E185" s="6"/>
      <x:c r="F185" s="6"/>
      <x:c r="G185" s="6"/>
      <x:c r="H185" s="6"/>
      <x:c r="I185" s="6"/>
      <x:c r="J185" s="6"/>
    </x:row>
    <x:row r="186" s="1" customFormat="1" ht="12.75" hidden="0" customHeight="1">
      <x:c r="A186" s="7" t="s">
        <x:v>2665</x:v>
      </x:c>
      <x:c r="B186" s="5" t="s">
        <x:v>2666</x:v>
      </x:c>
      <x:c r="C186" s="6"/>
      <x:c r="D186" s="6"/>
      <x:c r="E186" s="6"/>
      <x:c r="F186" s="6"/>
      <x:c r="G186" s="6"/>
      <x:c r="H186" s="6"/>
      <x:c r="I186" s="6"/>
      <x:c r="J186" s="6"/>
    </x:row>
    <x:row r="187" s="1" customFormat="1" ht="12.75" hidden="0" customHeight="1">
      <x:c r="A187" s="6"/>
      <x:c r="B187" s="6"/>
      <x:c r="C187" s="6"/>
      <x:c r="D187" s="6"/>
      <x:c r="E187" s="6"/>
      <x:c r="F187" s="6"/>
      <x:c r="G187" s="6"/>
      <x:c r="H187" s="6"/>
      <x:c r="I187" s="6"/>
      <x:c r="J187" s="6"/>
    </x:row>
    <x:row r="188" s="1" customFormat="1" ht="12.75" hidden="0" customHeight="1">
      <x:c r="A188" s="7" t="s">
        <x:v>2667</x:v>
      </x:c>
      <x:c r="B188" s="6"/>
      <x:c r="C188" s="6"/>
      <x:c r="D188" s="6"/>
      <x:c r="E188" s="6"/>
      <x:c r="F188" s="6"/>
      <x:c r="G188" s="6"/>
      <x:c r="H188" s="6"/>
      <x:c r="I188" s="6"/>
      <x:c r="J188" s="6"/>
    </x:row>
    <x:row r="189" s="1" customFormat="1" ht="12.75" hidden="0" customHeight="1">
      <x:c r="A189" s="7" t="s">
        <x:v>2668</x:v>
      </x:c>
      <x:c r="B189" s="8" t="s">
        <x:v>2669</x:v>
      </x:c>
      <x:c r="C189" s="6"/>
      <x:c r="D189" s="6"/>
      <x:c r="E189" s="6"/>
      <x:c r="F189" s="6"/>
      <x:c r="G189" s="6"/>
      <x:c r="H189" s="6"/>
      <x:c r="I189" s="6"/>
      <x:c r="J189" s="6"/>
    </x:row>
    <x:row r="190" s="1" customFormat="1" ht="12.75" hidden="0" customHeight="1">
      <x:c r="A190" s="7" t="s">
        <x:v>2670</x:v>
      </x:c>
      <x:c r="B190" s="6"/>
      <x:c r="C190" s="6"/>
      <x:c r="D190" s="6"/>
      <x:c r="E190" s="6"/>
      <x:c r="F190" s="6"/>
      <x:c r="G190" s="6"/>
      <x:c r="H190" s="6"/>
      <x:c r="I190" s="6"/>
      <x:c r="J190" s="6"/>
    </x:row>
    <x:row r="191" s="1" customFormat="1" ht="12.75" hidden="0" customHeight="1">
      <x:c r="A191" s="7" t="s">
        <x:v>2671</x:v>
      </x:c>
      <x:c r="B191" s="8" t="s">
        <x:v>2672</x:v>
      </x:c>
      <x:c r="C191" s="8" t="s">
        <x:v>2673</x:v>
      </x:c>
      <x:c r="D191" s="6"/>
      <x:c r="E191" s="6"/>
      <x:c r="F191" s="6"/>
      <x:c r="G191" s="6"/>
      <x:c r="H191" s="6"/>
      <x:c r="I191" s="6"/>
      <x:c r="J191" s="6"/>
    </x:row>
    <x:row r="192" s="1" customFormat="1" ht="12.75" hidden="0" customHeight="1">
      <x:c r="A192" s="7" t="s">
        <x:v>2674</x:v>
      </x:c>
      <x:c r="B192" s="5" t="s">
        <x:v>2675</x:v>
      </x:c>
      <x:c r="C192" s="5" t="s">
        <x:v>2676</x:v>
      </x:c>
      <x:c r="D192" s="6"/>
      <x:c r="E192" s="6"/>
      <x:c r="F192" s="6"/>
      <x:c r="G192" s="6"/>
      <x:c r="H192" s="6"/>
      <x:c r="I192" s="6"/>
      <x:c r="J192" s="6"/>
    </x:row>
    <x:row r="193" s="1" customFormat="1" ht="12.75" hidden="0" customHeight="1">
      <x:c r="A193" s="7" t="s">
        <x:v>2677</x:v>
      </x:c>
      <x:c r="B193" s="8" t="n">
        <x:v>0</x:v>
      </x:c>
      <x:c r="C193" s="8" t="s">
        <x:v>2678</x:v>
      </x:c>
      <x:c r="D193" s="6"/>
      <x:c r="E193" s="6"/>
      <x:c r="F193" s="6"/>
      <x:c r="G193" s="6"/>
      <x:c r="H193" s="6"/>
      <x:c r="I193" s="6"/>
      <x:c r="J193" s="6"/>
    </x:row>
    <x:row r="194" s="1" customFormat="1" ht="12.75" hidden="0" customHeight="1">
      <x:c r="A194" s="7" t="s">
        <x:v>2679</x:v>
      </x:c>
      <x:c r="B194" s="5" t="s">
        <x:v>2680</x:v>
      </x:c>
      <x:c r="C194" s="5" t="s">
        <x:v>2681</x:v>
      </x:c>
      <x:c r="D194" s="6"/>
      <x:c r="E194" s="6"/>
      <x:c r="F194" s="6"/>
      <x:c r="G194" s="6"/>
      <x:c r="H194" s="6"/>
      <x:c r="I194" s="6"/>
      <x:c r="J194" s="6"/>
    </x:row>
    <x:row r="195" s="1" customFormat="1" ht="12.75" hidden="0" customHeight="1">
      <x:c r="A195" s="7" t="s">
        <x:v>2682</x:v>
      </x:c>
      <x:c r="B195" s="8" t="s">
        <x:v>2683</x:v>
      </x:c>
      <x:c r="C195" s="8" t="s">
        <x:v>2684</x:v>
      </x:c>
      <x:c r="D195" s="6"/>
      <x:c r="E195" s="6"/>
      <x:c r="F195" s="6"/>
      <x:c r="G195" s="6"/>
      <x:c r="H195" s="6"/>
      <x:c r="I195" s="6"/>
      <x:c r="J195" s="6"/>
    </x:row>
    <x:row r="196" s="1" customFormat="1" ht="12.75" hidden="0" customHeight="1">
      <x:c r="A196" s="7" t="s">
        <x:v>2685</x:v>
      </x:c>
      <x:c r="B196" s="5" t="s">
        <x:v>351</x:v>
      </x:c>
      <x:c r="C196" s="5" t="s">
        <x:v>2686</x:v>
      </x:c>
      <x:c r="D196" s="6"/>
      <x:c r="E196" s="6"/>
      <x:c r="F196" s="6"/>
      <x:c r="G196" s="6"/>
      <x:c r="H196" s="6"/>
      <x:c r="I196" s="6"/>
      <x:c r="J196" s="6"/>
    </x:row>
    <x:row r="197" s="1" customFormat="1" ht="12.75" hidden="0" customHeight="1">
      <x:c r="A197" s="7" t="s">
        <x:v>2687</x:v>
      </x:c>
      <x:c r="B197" s="8" t="s">
        <x:v>2672</x:v>
      </x:c>
      <x:c r="C197" s="8" t="s">
        <x:v>2688</x:v>
      </x:c>
      <x:c r="D197" s="6"/>
      <x:c r="E197" s="6"/>
      <x:c r="F197" s="6"/>
      <x:c r="G197" s="6"/>
      <x:c r="H197" s="6"/>
      <x:c r="I197" s="6"/>
      <x:c r="J197" s="6"/>
    </x:row>
    <x:row r="198" s="1" customFormat="1" ht="12.75" hidden="0" customHeight="1">
      <x:c r="A198" s="7" t="s">
        <x:v>2689</x:v>
      </x:c>
      <x:c r="B198" s="5" t="s">
        <x:v>2672</x:v>
      </x:c>
      <x:c r="C198" s="5" t="s">
        <x:v>2690</x:v>
      </x:c>
      <x:c r="D198" s="6"/>
      <x:c r="E198" s="6"/>
      <x:c r="F198" s="6"/>
      <x:c r="G198" s="6"/>
      <x:c r="H198" s="6"/>
      <x:c r="I198" s="6"/>
      <x:c r="J198" s="6"/>
    </x:row>
    <x:row r="199" s="1" customFormat="1" ht="12.75" hidden="0" customHeight="1">
      <x:c r="A199" s="7" t="s">
        <x:v>2691</x:v>
      </x:c>
      <x:c r="B199" s="8" t="s">
        <x:v>351</x:v>
      </x:c>
      <x:c r="C199" s="8" t="s">
        <x:v>2692</x:v>
      </x:c>
      <x:c r="D199" s="6"/>
      <x:c r="E199" s="6"/>
      <x:c r="F199" s="6"/>
      <x:c r="G199" s="6"/>
      <x:c r="H199" s="6"/>
      <x:c r="I199" s="6"/>
      <x:c r="J199" s="6"/>
    </x:row>
    <x:row r="200" s="1" customFormat="1" ht="12.75" hidden="0" customHeight="1">
      <x:c r="A200" s="7" t="s">
        <x:v>2693</x:v>
      </x:c>
      <x:c r="B200" s="5" t="s">
        <x:v>2694</x:v>
      </x:c>
      <x:c r="C200" s="6"/>
      <x:c r="D200" s="6"/>
      <x:c r="E200" s="6"/>
      <x:c r="F200" s="6"/>
      <x:c r="G200" s="6"/>
      <x:c r="H200" s="6"/>
      <x:c r="I200" s="6"/>
      <x:c r="J200" s="6"/>
    </x:row>
    <x:row r="201" s="1" customFormat="1" ht="12.75" hidden="0" customHeight="1">
      <x:c r="A201" s="7" t="s">
        <x:v>2695</x:v>
      </x:c>
      <x:c r="B201" s="8" t="s">
        <x:v>2696</x:v>
      </x:c>
      <x:c r="C201" s="6"/>
      <x:c r="D201" s="6"/>
      <x:c r="E201" s="6"/>
      <x:c r="F201" s="6"/>
      <x:c r="G201" s="6"/>
      <x:c r="H201" s="6"/>
      <x:c r="I201" s="6"/>
      <x:c r="J201" s="6"/>
    </x:row>
    <x:row r="202" s="1" customFormat="1" ht="12.75" hidden="0" customHeight="1">
      <x:c r="A202" s="7" t="s">
        <x:v>2697</x:v>
      </x:c>
      <x:c r="B202" s="5" t="s">
        <x:v>601</x:v>
      </x:c>
      <x:c r="C202" s="6"/>
      <x:c r="D202" s="6"/>
      <x:c r="E202" s="6"/>
      <x:c r="F202" s="6"/>
      <x:c r="G202" s="6"/>
      <x:c r="H202" s="6"/>
      <x:c r="I202" s="6"/>
      <x:c r="J202" s="6"/>
    </x:row>
    <x:row r="203" s="1" customFormat="1" ht="12.75" hidden="0" customHeight="1">
      <x:c r="A203" s="7" t="s">
        <x:v>2698</x:v>
      </x:c>
      <x:c r="B203" s="8" t="s">
        <x:v>2699</x:v>
      </x:c>
      <x:c r="C203" s="6"/>
      <x:c r="D203" s="6"/>
      <x:c r="E203" s="6"/>
      <x:c r="F203" s="6"/>
      <x:c r="G203" s="6"/>
      <x:c r="H203" s="6"/>
      <x:c r="I203" s="6"/>
      <x:c r="J203" s="6"/>
    </x:row>
    <x:row r="204" s="1" customFormat="1" ht="12.75" hidden="0" customHeight="1">
      <x:c r="A204" s="7" t="s">
        <x:v>2700</x:v>
      </x:c>
      <x:c r="B204" s="5" t="s">
        <x:v>2701</x:v>
      </x:c>
      <x:c r="C204" s="6"/>
      <x:c r="D204" s="6"/>
      <x:c r="E204" s="6"/>
      <x:c r="F204" s="6"/>
      <x:c r="G204" s="6"/>
      <x:c r="H204" s="6"/>
      <x:c r="I204" s="6"/>
      <x:c r="J204" s="6"/>
    </x:row>
    <x:row r="205" s="1" customFormat="1" ht="12.75" hidden="0" customHeight="1">
      <x:c r="A205" s="7" t="s">
        <x:v>2702</x:v>
      </x:c>
      <x:c r="B205" s="6"/>
      <x:c r="C205" s="6"/>
      <x:c r="D205" s="6"/>
      <x:c r="E205" s="6"/>
      <x:c r="F205" s="6"/>
      <x:c r="G205" s="6"/>
      <x:c r="H205" s="6"/>
      <x:c r="I205" s="6"/>
      <x:c r="J205" s="6"/>
    </x:row>
    <x:row r="206" s="1" customFormat="1" ht="12.75" hidden="0" customHeight="1">
      <x:c r="A206" s="7" t="s">
        <x:v>2703</x:v>
      </x:c>
      <x:c r="B206" s="5" t="s">
        <x:v>2704</x:v>
      </x:c>
      <x:c r="C206" s="5" t="s">
        <x:v>619</x:v>
      </x:c>
      <x:c r="D206" s="6"/>
      <x:c r="E206" s="6"/>
      <x:c r="F206" s="6"/>
      <x:c r="G206" s="6"/>
      <x:c r="H206" s="6"/>
      <x:c r="I206" s="6"/>
      <x:c r="J206" s="6"/>
    </x:row>
    <x:row r="207" s="1" customFormat="1" ht="12.75" hidden="0" customHeight="1">
      <x:c r="A207" s="7" t="s">
        <x:v>2705</x:v>
      </x:c>
      <x:c r="B207" s="8" t="s">
        <x:v>421</x:v>
      </x:c>
      <x:c r="C207" s="8" t="s">
        <x:v>622</x:v>
      </x:c>
      <x:c r="D207" s="6"/>
      <x:c r="E207" s="6"/>
      <x:c r="F207" s="6"/>
      <x:c r="G207" s="6"/>
      <x:c r="H207" s="6"/>
      <x:c r="I207" s="6"/>
      <x:c r="J207" s="6"/>
    </x:row>
    <x:row r="208" s="1" customFormat="1" ht="12.75" hidden="0" customHeight="1">
      <x:c r="A208" s="7" t="s">
        <x:v>625</x:v>
      </x:c>
      <x:c r="B208" s="5" t="s">
        <x:v>424</x:v>
      </x:c>
      <x:c r="C208" s="5" t="s">
        <x:v>625</x:v>
      </x:c>
      <x:c r="D208" s="6"/>
      <x:c r="E208" s="6"/>
      <x:c r="F208" s="6"/>
      <x:c r="G208" s="6"/>
      <x:c r="H208" s="6"/>
      <x:c r="I208" s="6"/>
      <x:c r="J208" s="6"/>
    </x:row>
    <x:row r="209" s="1" customFormat="1" ht="12.75" hidden="0" customHeight="1">
      <x:c r="A209" s="7" t="s">
        <x:v>2706</x:v>
      </x:c>
      <x:c r="B209" s="8" t="s">
        <x:v>424</x:v>
      </x:c>
      <x:c r="C209" s="8" t="s">
        <x:v>628</x:v>
      </x:c>
      <x:c r="D209" s="6"/>
      <x:c r="E209" s="6"/>
      <x:c r="F209" s="6"/>
      <x:c r="G209" s="6"/>
      <x:c r="H209" s="6"/>
      <x:c r="I209" s="6"/>
      <x:c r="J209" s="6"/>
    </x:row>
    <x:row r="210" s="1" customFormat="1" ht="12.75" hidden="0" customHeight="1">
      <x:c r="A210" s="7" t="s">
        <x:v>2707</x:v>
      </x:c>
      <x:c r="B210" s="5" t="s">
        <x:v>2708</x:v>
      </x:c>
      <x:c r="C210" s="5" t="s">
        <x:v>631</x:v>
      </x:c>
      <x:c r="D210" s="6"/>
      <x:c r="E210" s="6"/>
      <x:c r="F210" s="6"/>
      <x:c r="G210" s="6"/>
      <x:c r="H210" s="6"/>
      <x:c r="I210" s="6"/>
      <x:c r="J210" s="6"/>
    </x:row>
    <x:row r="211" s="1" customFormat="1" ht="12.75" hidden="0" customHeight="1">
      <x:c r="A211" s="7" t="s">
        <x:v>2709</x:v>
      </x:c>
      <x:c r="B211" s="8" t="s">
        <x:v>432</x:v>
      </x:c>
      <x:c r="C211" s="8" t="s">
        <x:v>634</x:v>
      </x:c>
      <x:c r="D211" s="6"/>
      <x:c r="E211" s="6"/>
      <x:c r="F211" s="6"/>
      <x:c r="G211" s="6"/>
      <x:c r="H211" s="6"/>
      <x:c r="I211" s="6"/>
      <x:c r="J211" s="6"/>
    </x:row>
    <x:row r="212" s="1" customFormat="1" ht="12.75" hidden="0" customHeight="1">
      <x:c r="A212" s="7" t="s">
        <x:v>2710</x:v>
      </x:c>
      <x:c r="B212" s="5" t="s">
        <x:v>2711</x:v>
      </x:c>
      <x:c r="C212" s="6"/>
      <x:c r="D212" s="6"/>
      <x:c r="E212" s="6"/>
      <x:c r="F212" s="6"/>
      <x:c r="G212" s="6"/>
      <x:c r="H212" s="6"/>
      <x:c r="I212" s="6"/>
      <x:c r="J212" s="6"/>
    </x:row>
    <x:row r="213" s="1" customFormat="1" ht="12.75" hidden="0" customHeight="1">
      <x:c r="A213" s="6"/>
      <x:c r="B213" s="6"/>
      <x:c r="C213" s="6"/>
      <x:c r="D213" s="6"/>
      <x:c r="E213" s="6"/>
      <x:c r="F213" s="6"/>
      <x:c r="G213" s="6"/>
      <x:c r="H213" s="6"/>
      <x:c r="I213" s="6"/>
      <x:c r="J213" s="6"/>
    </x:row>
    <x:row r="214" s="1" customFormat="1" ht="26.25" hidden="0" customHeight="1">
      <x:c r="A214" s="7" t="s">
        <x:v>2712</x:v>
      </x:c>
      <x:c r="B214" s="135"/>
      <x:c r="C214" s="135"/>
      <x:c r="D214" s="135"/>
      <x:c r="E214" s="135"/>
      <x:c r="F214" s="135"/>
      <x:c r="G214" s="135"/>
      <x:c r="H214" s="135"/>
      <x:c r="I214" s="6"/>
      <x:c r="J214" s="6"/>
    </x:row>
    <x:row r="215" s="1" customFormat="1" ht="12.75" hidden="0" customHeight="1">
      <x:c r="A215" s="7" t="s">
        <x:v>2713</x:v>
      </x:c>
      <x:c r="B215" s="8" t="s">
        <x:v>424</x:v>
      </x:c>
      <x:c r="C215" s="8" t="s">
        <x:v>649</x:v>
      </x:c>
      <x:c r="D215" s="6"/>
      <x:c r="E215" s="6"/>
      <x:c r="F215" s="6"/>
      <x:c r="G215" s="6"/>
      <x:c r="H215" s="6"/>
      <x:c r="I215" s="6"/>
      <x:c r="J215" s="6"/>
    </x:row>
    <x:row r="216" s="1" customFormat="1" ht="12.75" hidden="0" customHeight="1">
      <x:c r="A216" s="7" t="s">
        <x:v>2714</x:v>
      </x:c>
      <x:c r="B216" s="5" t="s">
        <x:v>424</x:v>
      </x:c>
      <x:c r="C216" s="5" t="s">
        <x:v>649</x:v>
      </x:c>
      <x:c r="D216" s="6"/>
      <x:c r="E216" s="6"/>
      <x:c r="F216" s="6"/>
      <x:c r="G216" s="6"/>
      <x:c r="H216" s="6"/>
      <x:c r="I216" s="6"/>
      <x:c r="J216" s="6"/>
    </x:row>
    <x:row r="217" s="1" customFormat="1" ht="12.75" hidden="0" customHeight="1">
      <x:c r="A217" s="7" t="s">
        <x:v>2715</x:v>
      </x:c>
      <x:c r="B217" s="8" t="s">
        <x:v>2716</x:v>
      </x:c>
      <x:c r="C217" s="8" t="s">
        <x:v>649</x:v>
      </x:c>
      <x:c r="D217" s="6"/>
      <x:c r="E217" s="6"/>
      <x:c r="F217" s="6"/>
      <x:c r="G217" s="6"/>
      <x:c r="H217" s="6"/>
      <x:c r="I217" s="6"/>
      <x:c r="J217" s="6"/>
    </x:row>
    <x:row r="218" s="1" customFormat="1" ht="12.75" hidden="0" customHeight="1">
      <x:c r="A218" s="7" t="s">
        <x:v>2717</x:v>
      </x:c>
      <x:c r="B218" s="5" t="s">
        <x:v>2716</x:v>
      </x:c>
      <x:c r="C218" s="5" t="s">
        <x:v>649</x:v>
      </x:c>
      <x:c r="D218" s="6"/>
      <x:c r="E218" s="6"/>
      <x:c r="F218" s="6"/>
      <x:c r="G218" s="6"/>
      <x:c r="H218" s="6"/>
      <x:c r="I218" s="6"/>
      <x:c r="J218" s="6"/>
    </x:row>
    <x:row r="219" s="1" customFormat="1" ht="12.75" hidden="0" customHeight="1">
      <x:c r="A219" s="7" t="s">
        <x:v>2718</x:v>
      </x:c>
      <x:c r="B219" s="8" t="s">
        <x:v>2716</x:v>
      </x:c>
      <x:c r="C219" s="8" t="s">
        <x:v>649</x:v>
      </x:c>
      <x:c r="D219" s="6"/>
      <x:c r="E219" s="6"/>
      <x:c r="F219" s="6"/>
      <x:c r="G219" s="6"/>
      <x:c r="H219" s="6"/>
      <x:c r="I219" s="6"/>
      <x:c r="J219" s="6"/>
    </x:row>
    <x:row r="220" s="1" customFormat="1" ht="12.75" hidden="0" customHeight="1">
      <x:c r="A220" s="7" t="s">
        <x:v>2719</x:v>
      </x:c>
      <x:c r="B220" s="5" t="s">
        <x:v>2716</x:v>
      </x:c>
      <x:c r="C220" s="5" t="s">
        <x:v>649</x:v>
      </x:c>
      <x:c r="D220" s="6"/>
      <x:c r="E220" s="6"/>
      <x:c r="F220" s="6"/>
      <x:c r="G220" s="6"/>
      <x:c r="H220" s="6"/>
      <x:c r="I220" s="6"/>
      <x:c r="J220" s="6"/>
    </x:row>
    <x:row r="221" s="1" customFormat="1" ht="12.75" hidden="0" customHeight="1">
      <x:c r="A221" s="7" t="s">
        <x:v>2720</x:v>
      </x:c>
      <x:c r="B221" s="8" t="s">
        <x:v>2721</x:v>
      </x:c>
      <x:c r="C221" s="8" t="s">
        <x:v>649</x:v>
      </x:c>
      <x:c r="D221" s="6"/>
      <x:c r="E221" s="6"/>
      <x:c r="F221" s="6"/>
      <x:c r="G221" s="6"/>
      <x:c r="H221" s="6"/>
      <x:c r="I221" s="6"/>
      <x:c r="J221" s="6"/>
    </x:row>
    <x:row r="222" s="1" customFormat="1" ht="52.5" hidden="0" customHeight="1">
      <x:c r="A222" s="7" t="s">
        <x:v>2722</x:v>
      </x:c>
      <x:c r="B222" s="5" t="s">
        <x:v>2723</x:v>
      </x:c>
      <x:c r="C222" s="6"/>
      <x:c r="D222" s="6"/>
      <x:c r="E222" s="6"/>
      <x:c r="F222" s="6"/>
      <x:c r="G222" s="6"/>
      <x:c r="H222" s="6"/>
      <x:c r="I222" s="6"/>
      <x:c r="J222" s="6"/>
    </x:row>
    <x:row r="223" s="1" customFormat="1" ht="12.75" hidden="0" customHeight="1">
      <x:c r="A223" s="6"/>
      <x:c r="B223" s="6"/>
      <x:c r="C223" s="6"/>
      <x:c r="D223" s="6"/>
      <x:c r="E223" s="6"/>
      <x:c r="F223" s="6"/>
      <x:c r="G223" s="6"/>
      <x:c r="H223" s="6"/>
      <x:c r="I223" s="6"/>
      <x:c r="J223" s="6"/>
    </x:row>
    <x:row r="224" s="1" customFormat="1" ht="12.75" hidden="0" customHeight="1">
      <x:c r="A224" s="7" t="s">
        <x:v>2724</x:v>
      </x:c>
      <x:c r="B224" s="21"/>
      <x:c r="C224" s="21"/>
      <x:c r="D224" s="21"/>
      <x:c r="E224" s="21"/>
      <x:c r="F224" s="21"/>
      <x:c r="G224" s="21"/>
      <x:c r="H224" s="21"/>
      <x:c r="I224" s="6"/>
      <x:c r="J224" s="6"/>
    </x:row>
    <x:row r="225" s="1" customFormat="1" ht="12.75" hidden="0" customHeight="1">
      <x:c r="A225" s="7" t="s">
        <x:v>2725</x:v>
      </x:c>
      <x:c r="B225" s="8" t="s">
        <x:v>424</x:v>
      </x:c>
      <x:c r="C225" s="8" t="s">
        <x:v>637</x:v>
      </x:c>
      <x:c r="D225" s="6"/>
      <x:c r="E225" s="6"/>
      <x:c r="F225" s="6"/>
      <x:c r="G225" s="6"/>
      <x:c r="H225" s="6"/>
      <x:c r="I225" s="6"/>
      <x:c r="J225" s="6"/>
    </x:row>
    <x:row r="226" s="1" customFormat="1" ht="12.75" hidden="0" customHeight="1">
      <x:c r="A226" s="7" t="s">
        <x:v>2691</x:v>
      </x:c>
      <x:c r="B226" s="5" t="s">
        <x:v>2726</x:v>
      </x:c>
      <x:c r="C226" s="5" t="s">
        <x:v>2727</x:v>
      </x:c>
      <x:c r="D226" s="6"/>
      <x:c r="E226" s="6"/>
      <x:c r="F226" s="6"/>
      <x:c r="G226" s="6"/>
      <x:c r="H226" s="6"/>
      <x:c r="I226" s="6"/>
      <x:c r="J226" s="6"/>
    </x:row>
    <x:row r="227" s="1" customFormat="1" ht="12.75" hidden="0" customHeight="1">
      <x:c r="A227" s="7" t="s">
        <x:v>2728</x:v>
      </x:c>
      <x:c r="B227" s="8" t="s">
        <x:v>2729</x:v>
      </x:c>
      <x:c r="C227" s="8" t="s">
        <x:v>640</x:v>
      </x:c>
      <x:c r="D227" s="6"/>
      <x:c r="E227" s="6"/>
      <x:c r="F227" s="6"/>
      <x:c r="G227" s="6"/>
      <x:c r="H227" s="6"/>
      <x:c r="I227" s="6"/>
      <x:c r="J227" s="6"/>
    </x:row>
    <x:row r="228" s="1" customFormat="1" ht="12.75" hidden="0" customHeight="1">
      <x:c r="A228" s="7" t="s">
        <x:v>2730</x:v>
      </x:c>
      <x:c r="B228" s="5" t="s">
        <x:v>424</x:v>
      </x:c>
      <x:c r="C228" s="5" t="s">
        <x:v>643</x:v>
      </x:c>
      <x:c r="D228" s="6"/>
      <x:c r="E228" s="6"/>
      <x:c r="F228" s="6"/>
      <x:c r="G228" s="6"/>
      <x:c r="H228" s="6"/>
      <x:c r="I228" s="6"/>
      <x:c r="J228" s="6"/>
    </x:row>
    <x:row r="229" s="1" customFormat="1" ht="12.75" hidden="0" customHeight="1">
      <x:c r="A229" s="7" t="s">
        <x:v>2731</x:v>
      </x:c>
      <x:c r="B229" s="8" t="s">
        <x:v>2732</x:v>
      </x:c>
      <x:c r="C229" s="8" t="s">
        <x:v>646</x:v>
      </x:c>
      <x:c r="D229" s="6"/>
      <x:c r="E229" s="6"/>
      <x:c r="F229" s="6"/>
      <x:c r="G229" s="6"/>
      <x:c r="H229" s="6"/>
      <x:c r="I229" s="6"/>
      <x:c r="J229" s="6"/>
    </x:row>
    <x:row r="230" s="1" customFormat="1" ht="12.75" hidden="0" customHeight="1">
      <x:c r="A230" s="7" t="s">
        <x:v>2733</x:v>
      </x:c>
      <x:c r="B230" s="5" t="s">
        <x:v>2734</x:v>
      </x:c>
      <x:c r="C230" s="6"/>
      <x:c r="D230" s="6"/>
      <x:c r="E230" s="6"/>
      <x:c r="F230" s="6"/>
      <x:c r="G230" s="6"/>
      <x:c r="H230" s="6"/>
      <x:c r="I230" s="6"/>
      <x:c r="J230" s="6"/>
    </x:row>
    <x:row r="231" s="1" customFormat="1" ht="12.75" hidden="0" customHeight="1">
      <x:c r="A231" s="6"/>
      <x:c r="B231" s="6"/>
      <x:c r="C231" s="6"/>
      <x:c r="D231" s="6"/>
      <x:c r="E231" s="6"/>
      <x:c r="F231" s="6"/>
      <x:c r="G231" s="6"/>
      <x:c r="H231" s="6"/>
      <x:c r="I231" s="6"/>
      <x:c r="J231" s="6"/>
    </x:row>
    <x:row r="232" s="1" customFormat="1" ht="12.75" hidden="0" customHeight="1">
      <x:c r="A232" s="7" t="s">
        <x:v>2735</x:v>
      </x:c>
      <x:c r="B232" s="6"/>
      <x:c r="C232" s="6"/>
      <x:c r="D232" s="6"/>
      <x:c r="E232" s="6"/>
      <x:c r="F232" s="6"/>
      <x:c r="G232" s="6"/>
      <x:c r="H232" s="6"/>
      <x:c r="I232" s="6"/>
      <x:c r="J232" s="6"/>
    </x:row>
    <x:row r="233" s="1" customFormat="1" ht="12.75" hidden="0" customHeight="1">
      <x:c r="A233" s="7" t="s">
        <x:v>2736</x:v>
      </x:c>
      <x:c r="B233" s="8" t="s">
        <x:v>2389</x:v>
      </x:c>
      <x:c r="C233" s="8" t="s">
        <x:v>682</x:v>
      </x:c>
      <x:c r="D233" s="6"/>
      <x:c r="E233" s="6"/>
      <x:c r="F233" s="6"/>
      <x:c r="G233" s="6"/>
      <x:c r="H233" s="6"/>
      <x:c r="I233" s="6"/>
      <x:c r="J233" s="6"/>
    </x:row>
    <x:row r="234" s="1" customFormat="1" ht="12.75" hidden="0" customHeight="1">
      <x:c r="A234" s="7" t="s">
        <x:v>2737</x:v>
      </x:c>
      <x:c r="B234" s="5" t="s">
        <x:v>685</x:v>
      </x:c>
      <x:c r="C234" s="5" t="s">
        <x:v>686</x:v>
      </x:c>
      <x:c r="D234" s="6"/>
      <x:c r="E234" s="6"/>
      <x:c r="F234" s="6"/>
      <x:c r="G234" s="6"/>
      <x:c r="H234" s="6"/>
      <x:c r="I234" s="6"/>
      <x:c r="J234" s="6"/>
    </x:row>
    <x:row r="235" s="1" customFormat="1" ht="12.75" hidden="0" customHeight="1">
      <x:c r="A235" s="7" t="s">
        <x:v>2738</x:v>
      </x:c>
      <x:c r="B235" s="8" t="s">
        <x:v>2260</x:v>
      </x:c>
      <x:c r="C235" s="8" t="s">
        <x:v>2739</x:v>
      </x:c>
      <x:c r="D235" s="6"/>
      <x:c r="E235" s="6"/>
      <x:c r="F235" s="6"/>
      <x:c r="G235" s="6"/>
      <x:c r="H235" s="6"/>
      <x:c r="I235" s="6"/>
      <x:c r="J235" s="6"/>
    </x:row>
    <x:row r="236" s="1" customFormat="1" ht="12.75" hidden="0" customHeight="1">
      <x:c r="A236" s="7" t="s">
        <x:v>2740</x:v>
      </x:c>
      <x:c r="B236" s="5" t="s">
        <x:v>2741</x:v>
      </x:c>
      <x:c r="C236" s="5" t="s">
        <x:v>2742</x:v>
      </x:c>
      <x:c r="D236" s="6"/>
      <x:c r="E236" s="6"/>
      <x:c r="F236" s="6"/>
      <x:c r="G236" s="6"/>
      <x:c r="H236" s="6"/>
      <x:c r="I236" s="6"/>
      <x:c r="J236" s="6"/>
    </x:row>
    <x:row r="237" s="1" customFormat="1" ht="12.75" hidden="0" customHeight="1">
      <x:c r="A237" s="7" t="s">
        <x:v>2743</x:v>
      </x:c>
      <x:c r="B237" s="8" t="s">
        <x:v>2744</x:v>
      </x:c>
      <x:c r="C237" s="8" t="s">
        <x:v>2745</x:v>
      </x:c>
      <x:c r="D237" s="6"/>
      <x:c r="E237" s="6"/>
      <x:c r="F237" s="6"/>
      <x:c r="G237" s="6"/>
      <x:c r="H237" s="6"/>
      <x:c r="I237" s="6"/>
      <x:c r="J237" s="6"/>
    </x:row>
    <x:row r="238" s="1" customFormat="1" ht="12.75" hidden="0" customHeight="1">
      <x:c r="A238" s="7" t="s">
        <x:v>2746</x:v>
      </x:c>
      <x:c r="B238" s="5" t="s">
        <x:v>2747</x:v>
      </x:c>
      <x:c r="C238" s="5" t="s">
        <x:v>2748</x:v>
      </x:c>
      <x:c r="D238" s="6"/>
      <x:c r="E238" s="6"/>
      <x:c r="F238" s="6"/>
      <x:c r="G238" s="6"/>
      <x:c r="H238" s="6"/>
      <x:c r="I238" s="6"/>
      <x:c r="J238" s="6"/>
    </x:row>
    <x:row r="239" s="1" customFormat="1" ht="12.75" hidden="0" customHeight="1">
      <x:c r="A239" s="7" t="s">
        <x:v>2749</x:v>
      </x:c>
      <x:c r="B239" s="8" t="s">
        <x:v>2750</x:v>
      </x:c>
      <x:c r="C239" s="6"/>
      <x:c r="D239" s="6"/>
      <x:c r="E239" s="6"/>
      <x:c r="F239" s="6"/>
      <x:c r="G239" s="6"/>
      <x:c r="H239" s="6"/>
      <x:c r="I239" s="6"/>
      <x:c r="J239" s="6"/>
    </x:row>
    <x:row r="240" s="1" customFormat="1" ht="68.25" hidden="0" customHeight="1">
      <x:c r="A240" s="7" t="s">
        <x:v>2751</x:v>
      </x:c>
      <x:c r="B240" s="5" t="s">
        <x:v>2752</x:v>
      </x:c>
      <x:c r="C240" s="5" t="s">
        <x:v>2753</x:v>
      </x:c>
      <x:c r="D240" s="6"/>
      <x:c r="E240" s="6"/>
      <x:c r="F240" s="6"/>
      <x:c r="G240" s="6"/>
      <x:c r="H240" s="6"/>
      <x:c r="I240" s="6"/>
      <x:c r="J240" s="6"/>
    </x:row>
    <x:row r="242" ht="35.04999923706055" hidden="0">
      <x:c r="A242" s="13" t="s">
        <x:v>2754</x:v>
      </x:c>
      <x:c r="B242" s="13"/>
      <x:c r="C242" s="13"/>
      <x:c r="D242" s="13"/>
      <x:c r="E242" s="13"/>
      <x:c r="F242" s="13"/>
      <x:c r="G242" s="13"/>
      <x:c r="H242" s="13"/>
    </x:row>
    <x:row r="243" ht="12.75" hidden="0">
      <x:c r="A243" s="14" t="s">
        <x:v>2755</x:v>
      </x:c>
      <x:c r="B243" s="14" t="s">
        <x:v>424</x:v>
      </x:c>
      <x:c r="C243" s="14" t="s">
        <x:v>2756</x:v>
      </x:c>
      <x:c r="D243" s="14"/>
      <x:c r="E243" s="14"/>
      <x:c r="F243" s="14"/>
      <x:c r="G243" s="14"/>
      <x:c r="H243" s="14"/>
    </x:row>
    <x:row r="244" ht="12.75" hidden="0">
      <x:c r="A244" s="14" t="s">
        <x:v>2757</x:v>
      </x:c>
      <x:c r="B244" s="14" t="s">
        <x:v>2758</x:v>
      </x:c>
      <x:c r="C244" s="14" t="s">
        <x:v>2759</x:v>
      </x:c>
      <x:c r="D244" s="14"/>
      <x:c r="E244" s="14"/>
      <x:c r="F244" s="14"/>
      <x:c r="G244" s="14"/>
      <x:c r="H244" s="14"/>
    </x:row>
    <x:row r="245" ht="12.75" hidden="0">
      <x:c r="A245" s="14" t="s">
        <x:v>2760</x:v>
      </x:c>
      <x:c r="B245" s="14" t="s">
        <x:v>424</x:v>
      </x:c>
      <x:c r="C245" s="14" t="s">
        <x:v>2761</x:v>
      </x:c>
      <x:c r="D245" s="14"/>
      <x:c r="E245" s="14"/>
      <x:c r="F245" s="14"/>
      <x:c r="G245" s="14"/>
      <x:c r="H245" s="14"/>
    </x:row>
    <x:row r="246" ht="12.75" hidden="0">
      <x:c r="A246" s="14" t="s">
        <x:v>2762</x:v>
      </x:c>
      <x:c r="B246" s="14" t="s">
        <x:v>424</x:v>
      </x:c>
      <x:c r="C246" s="14" t="s">
        <x:v>2763</x:v>
      </x:c>
      <x:c r="D246" s="14"/>
      <x:c r="E246" s="14"/>
      <x:c r="F246" s="14"/>
      <x:c r="G246" s="14"/>
      <x:c r="H246" s="14"/>
    </x:row>
    <x:row r="247" ht="12.75" hidden="0">
      <x:c r="A247" s="14" t="s">
        <x:v>2764</x:v>
      </x:c>
      <x:c r="B247" s="14" t="s">
        <x:v>2765</x:v>
      </x:c>
      <x:c r="C247" s="14" t="s">
        <x:v>2766</x:v>
      </x:c>
      <x:c r="D247" s="14"/>
      <x:c r="E247" s="14"/>
      <x:c r="F247" s="14"/>
      <x:c r="G247" s="14"/>
      <x:c r="H247" s="14"/>
    </x:row>
    <x:row r="248" ht="23.850000381469727" hidden="0">
      <x:c r="A248" s="14" t="s">
        <x:v>2767</x:v>
      </x:c>
      <x:c r="B248" s="14" t="s">
        <x:v>748</x:v>
      </x:c>
      <x:c r="C248" s="14" t="s">
        <x:v>2768</x:v>
      </x:c>
      <x:c r="D248" s="14"/>
      <x:c r="E248" s="14"/>
      <x:c r="F248" s="14"/>
      <x:c r="G248" s="14"/>
      <x:c r="H248" s="14"/>
    </x:row>
    <x:row r="249" ht="46.25" hidden="0">
      <x:c r="A249" s="14" t="s">
        <x:v>2769</x:v>
      </x:c>
      <x:c r="B249" s="14" t="s">
        <x:v>2770</x:v>
      </x:c>
      <x:c r="C249" s="14"/>
      <x:c r="D249" s="14"/>
      <x:c r="E249" s="14"/>
      <x:c r="F249" s="14"/>
      <x:c r="G249" s="14"/>
      <x:c r="H249" s="14"/>
    </x:row>
  </x:sheetData>
  <x:mergeCells>
    <x:mergeCell ref="A1:J1"/>
    <x:mergeCell ref="A151:B151"/>
  </x:mergeCells>
  <x:pageMargins left="0.7" right="0.7" top="0.75" bottom="0.75" header="0.3" footer="0.3"/>
</x:worksheet>
</file>

<file path=xl/worksheets/sheet33.xml><?xml version="1.0" encoding="utf-8"?>
<x:worksheet xmlns:x="http://schemas.openxmlformats.org/spreadsheetml/2006/main">
  <x:sheetViews>
    <x:sheetView showGridLines="1" workbookViewId="0"/>
  </x:sheetViews>
  <x:sheetFormatPr defaultColWidth="8.66796875" defaultRowHeight="14.25"/>
  <x:cols>
    <x:col min="1" max="3" width="36" style="53" hidden="0" customWidth="1"/>
    <x:col min="4" max="4" width="23" style="53" hidden="0" customWidth="1"/>
    <x:col min="5" max="6" width="36" style="53" hidden="0" customWidth="1"/>
    <x:col min="7" max="8" width="16" style="1" hidden="0" customWidth="1"/>
    <x:col min="9" max="19" width="16" style="53" hidden="0" customWidth="1"/>
  </x:cols>
  <x:sheetData>
    <x:row r="1" s="1" customFormat="1" ht="14.25" hidden="0" customHeight="1">
      <x:c r="A1" s="2" t="s">
        <x:v>2771</x:v>
      </x:c>
      <x:c r="B1" s="3"/>
      <x:c r="C1" s="3"/>
      <x:c r="D1" s="3"/>
      <x:c r="E1" s="3"/>
      <x:c r="F1" s="3"/>
      <x:c r="G1" s="3"/>
      <x:c r="H1" s="3"/>
      <x:c r="I1" s="3"/>
      <x:c r="J1" s="3"/>
      <x:c r="K1" s="3"/>
      <x:c r="L1" s="3"/>
      <x:c r="M1" s="3"/>
      <x:c r="N1" s="3"/>
      <x:c r="O1" s="3"/>
      <x:c r="P1" s="3"/>
      <x:c r="Q1" s="3"/>
      <x:c r="R1" s="3"/>
      <x:c r="S1" s="3"/>
    </x:row>
    <x:row r="2" s="1" customFormat="1" ht="13.5" hidden="0" customHeight="1">
      <x:c r="A2" s="6"/>
      <x:c r="B2" s="6"/>
      <x:c r="C2" s="6"/>
      <x:c r="D2" s="6"/>
      <x:c r="E2" s="6"/>
      <x:c r="F2" s="6"/>
      <x:c r="G2" s="6"/>
      <x:c r="H2" s="6"/>
      <x:c r="I2" s="6"/>
      <x:c r="J2" s="6"/>
      <x:c r="K2" s="6"/>
      <x:c r="L2" s="6"/>
      <x:c r="M2" s="6"/>
      <x:c r="N2" s="6"/>
      <x:c r="O2" s="6"/>
      <x:c r="P2" s="6"/>
      <x:c r="Q2" s="6"/>
      <x:c r="R2" s="6"/>
      <x:c r="S2" s="6"/>
    </x:row>
    <x:row r="3" s="1" customFormat="1" ht="14.25" hidden="0" customHeight="1">
      <x:c r="A3" s="7" t="s">
        <x:v>2772</x:v>
      </x:c>
      <x:c r="B3" s="123" t="s">
        <x:v>2773</x:v>
      </x:c>
      <x:c r="C3" s="6"/>
      <x:c r="D3" s="6"/>
      <x:c r="E3" s="6"/>
      <x:c r="F3" s="6"/>
      <x:c r="G3" s="6"/>
      <x:c r="H3" s="6"/>
      <x:c r="I3" s="6"/>
      <x:c r="J3" s="6"/>
      <x:c r="K3" s="6"/>
      <x:c r="L3" s="6"/>
      <x:c r="M3" s="6"/>
      <x:c r="N3" s="6"/>
      <x:c r="O3" s="6"/>
      <x:c r="P3" s="6"/>
      <x:c r="Q3" s="6"/>
      <x:c r="R3" s="6"/>
      <x:c r="S3" s="6"/>
    </x:row>
    <x:row r="4" s="1" customFormat="1" ht="14.25" hidden="0" customHeight="1">
      <x:c r="A4" s="7" t="s">
        <x:v>2774</x:v>
      </x:c>
      <x:c r="B4" s="5" t="s">
        <x:v>2775</x:v>
      </x:c>
      <x:c r="C4" s="6"/>
      <x:c r="D4" s="6"/>
      <x:c r="E4" s="6"/>
      <x:c r="F4" s="6"/>
      <x:c r="G4" s="6"/>
      <x:c r="H4" s="6"/>
      <x:c r="I4" s="6"/>
      <x:c r="J4" s="6"/>
      <x:c r="K4" s="6"/>
      <x:c r="L4" s="6"/>
      <x:c r="M4" s="6"/>
      <x:c r="N4" s="6"/>
      <x:c r="O4" s="6"/>
      <x:c r="P4" s="6"/>
      <x:c r="Q4" s="6"/>
      <x:c r="R4" s="6"/>
      <x:c r="S4" s="6"/>
    </x:row>
    <x:row r="5" s="1" customFormat="1" ht="14.25" hidden="0" customHeight="1">
      <x:c r="A5" s="7" t="s">
        <x:v>2776</x:v>
      </x:c>
      <x:c r="B5" s="8" t="str">
        <x:f aca="0">"SENSITIVITY_NOT_RUN = "&amp;IF(B3="NOT PERFORMED","YES","NO")&amp;" (REVIEW severity)"</x:f>
        <x:v>SENSITIVITY_NOT_RUN = NO (REVIEW severity)</x:v>
      </x:c>
      <x:c r="C5" s="6"/>
      <x:c r="D5" s="6"/>
      <x:c r="E5" s="6"/>
      <x:c r="F5" s="6"/>
      <x:c r="G5" s="6"/>
      <x:c r="H5" s="6"/>
      <x:c r="I5" s="6"/>
      <x:c r="J5" s="6"/>
      <x:c r="K5" s="6"/>
      <x:c r="L5" s="6"/>
      <x:c r="M5" s="6"/>
      <x:c r="N5" s="6"/>
      <x:c r="O5" s="6"/>
      <x:c r="P5" s="6"/>
      <x:c r="Q5" s="6"/>
      <x:c r="R5" s="6"/>
      <x:c r="S5" s="6"/>
    </x:row>
    <x:row r="6" s="1" customFormat="1" ht="13.5" hidden="0" customHeight="1">
      <x:c r="A6" s="6"/>
      <x:c r="B6" s="6"/>
      <x:c r="C6" s="6"/>
      <x:c r="D6" s="6"/>
      <x:c r="E6" s="6"/>
      <x:c r="F6" s="6"/>
      <x:c r="G6" s="6"/>
      <x:c r="H6" s="6"/>
      <x:c r="I6" s="6"/>
      <x:c r="J6" s="6"/>
      <x:c r="K6" s="6"/>
      <x:c r="L6" s="6"/>
      <x:c r="M6" s="6"/>
      <x:c r="N6" s="6"/>
      <x:c r="O6" s="6"/>
      <x:c r="P6" s="6"/>
      <x:c r="Q6" s="6"/>
      <x:c r="R6" s="6"/>
      <x:c r="S6" s="6"/>
    </x:row>
    <x:row r="7" s="1" customFormat="1" ht="14.25" hidden="0" customHeight="1">
      <x:c r="A7" s="7" t="s">
        <x:v>2777</x:v>
      </x:c>
      <x:c r="B7" s="6"/>
      <x:c r="C7" s="6"/>
      <x:c r="D7" s="6"/>
      <x:c r="E7" s="6"/>
      <x:c r="F7" s="6"/>
      <x:c r="G7" s="6"/>
      <x:c r="H7" s="6"/>
      <x:c r="I7" s="6"/>
      <x:c r="J7" s="6"/>
      <x:c r="K7" s="6"/>
      <x:c r="L7" s="6"/>
      <x:c r="M7" s="6"/>
      <x:c r="N7" s="6"/>
      <x:c r="O7" s="6"/>
      <x:c r="P7" s="6"/>
      <x:c r="Q7" s="6"/>
      <x:c r="R7" s="6"/>
      <x:c r="S7" s="6"/>
    </x:row>
    <x:row r="8" s="1" customFormat="1" ht="14.25" hidden="0" customHeight="1">
      <x:c r="A8" s="7" t="s">
        <x:v>2778</x:v>
      </x:c>
      <x:c r="B8" s="5" t="s">
        <x:v>2779</x:v>
      </x:c>
      <x:c r="C8" s="5" t="s">
        <x:v>2780</x:v>
      </x:c>
      <x:c r="D8" s="5" t="s">
        <x:v>2680</x:v>
      </x:c>
      <x:c r="E8" s="5" t="s">
        <x:v>2781</x:v>
      </x:c>
      <x:c r="F8" s="5" t="s">
        <x:v>1203</x:v>
      </x:c>
      <x:c r="G8" s="6"/>
      <x:c r="H8" s="6"/>
      <x:c r="I8" s="6"/>
      <x:c r="J8" s="6"/>
      <x:c r="K8" s="6"/>
      <x:c r="L8" s="6"/>
      <x:c r="M8" s="6"/>
      <x:c r="N8" s="6"/>
      <x:c r="O8" s="6"/>
      <x:c r="P8" s="6"/>
      <x:c r="Q8" s="6"/>
      <x:c r="R8" s="6"/>
      <x:c r="S8" s="6"/>
    </x:row>
    <x:row r="9" s="1" customFormat="1" ht="14.25" hidden="0" customHeight="1">
      <x:c r="A9" s="7" t="s">
        <x:v>2782</x:v>
      </x:c>
      <x:c r="B9" s="8" t="s">
        <x:v>2783</x:v>
      </x:c>
      <x:c r="C9" s="8" t="s">
        <x:v>2784</x:v>
      </x:c>
      <x:c r="D9" s="8" t="str">
        <x:f aca="0">D34</x:f>
        <x:v>A</x:v>
      </x:c>
      <x:c r="E9" s="8" t="str">
        <x:f aca="0">IF(D9=$D$14,"YES","NO")</x:f>
        <x:v>YES</x:v>
      </x:c>
      <x:c r="F9" s="8" t="s">
        <x:v>2785</x:v>
      </x:c>
      <x:c r="G9" s="6"/>
      <x:c r="H9" s="6"/>
      <x:c r="I9" s="6"/>
      <x:c r="J9" s="6"/>
      <x:c r="K9" s="6"/>
      <x:c r="L9" s="6"/>
      <x:c r="M9" s="6"/>
      <x:c r="N9" s="6"/>
      <x:c r="O9" s="6"/>
      <x:c r="P9" s="6"/>
      <x:c r="Q9" s="6"/>
      <x:c r="R9" s="6"/>
      <x:c r="S9" s="6"/>
    </x:row>
    <x:row r="10" s="1" customFormat="1" ht="14.25" hidden="0" customHeight="1">
      <x:c r="A10" s="7" t="s">
        <x:v>2786</x:v>
      </x:c>
      <x:c r="B10" s="5" t="s">
        <x:v>2787</x:v>
      </x:c>
      <x:c r="C10" s="5" t="s">
        <x:v>2784</x:v>
      </x:c>
      <x:c r="D10" s="5" t="str">
        <x:f aca="0">D35</x:f>
        <x:v>A</x:v>
      </x:c>
      <x:c r="E10" s="5" t="str">
        <x:f aca="0">IF(D10=$D$14,"YES","NO")</x:f>
        <x:v>YES</x:v>
      </x:c>
      <x:c r="F10" s="5" t="s">
        <x:v>2785</x:v>
      </x:c>
      <x:c r="G10" s="6"/>
      <x:c r="H10" s="6"/>
      <x:c r="I10" s="6"/>
      <x:c r="J10" s="6"/>
      <x:c r="K10" s="6"/>
      <x:c r="L10" s="6"/>
      <x:c r="M10" s="6"/>
      <x:c r="N10" s="6"/>
      <x:c r="O10" s="6"/>
      <x:c r="P10" s="6"/>
      <x:c r="Q10" s="6"/>
      <x:c r="R10" s="6"/>
      <x:c r="S10" s="6"/>
    </x:row>
    <x:row r="11" s="1" customFormat="1" ht="14.25" hidden="0" customHeight="1">
      <x:c r="A11" s="7" t="s">
        <x:v>2788</x:v>
      </x:c>
      <x:c r="B11" s="8" t="s">
        <x:v>2789</x:v>
      </x:c>
      <x:c r="C11" s="8" t="s">
        <x:v>2784</x:v>
      </x:c>
      <x:c r="D11" s="8" t="str">
        <x:f aca="0">D36</x:f>
        <x:v>A</x:v>
      </x:c>
      <x:c r="E11" s="8" t="str">
        <x:f aca="0">IF(D11=$D$14,"YES","NO")</x:f>
        <x:v>YES</x:v>
      </x:c>
      <x:c r="F11" s="8" t="s">
        <x:v>2785</x:v>
      </x:c>
      <x:c r="G11" s="6"/>
      <x:c r="H11" s="6"/>
      <x:c r="I11" s="6"/>
      <x:c r="J11" s="6"/>
      <x:c r="K11" s="6"/>
      <x:c r="L11" s="6"/>
      <x:c r="M11" s="6"/>
      <x:c r="N11" s="6"/>
      <x:c r="O11" s="6"/>
      <x:c r="P11" s="6"/>
      <x:c r="Q11" s="6"/>
      <x:c r="R11" s="6"/>
      <x:c r="S11" s="6"/>
    </x:row>
    <x:row r="12" s="1" customFormat="1" ht="14.25" hidden="0" customHeight="1">
      <x:c r="A12" s="7" t="s">
        <x:v>2790</x:v>
      </x:c>
      <x:c r="B12" s="5" t="s">
        <x:v>2791</x:v>
      </x:c>
      <x:c r="C12" s="5" t="s">
        <x:v>2792</x:v>
      </x:c>
      <x:c r="D12" s="5" t="str">
        <x:f aca="0">N122&amp;", "&amp;N123</x:f>
        <x:v>PASS, PASS</x:v>
      </x:c>
      <x:c r="E12" s="5" t="str">
        <x:f aca="0">IF(AND(N122="PASS",N123="PASS"),"YES","NO")</x:f>
        <x:v>YES</x:v>
      </x:c>
      <x:c r="F12" s="5" t="s">
        <x:v>2793</x:v>
      </x:c>
      <x:c r="G12" s="6"/>
      <x:c r="H12" s="6"/>
      <x:c r="I12" s="6"/>
      <x:c r="J12" s="6"/>
      <x:c r="K12" s="6"/>
      <x:c r="L12" s="6"/>
      <x:c r="M12" s="6"/>
      <x:c r="N12" s="6"/>
      <x:c r="O12" s="6"/>
      <x:c r="P12" s="6"/>
      <x:c r="Q12" s="6"/>
      <x:c r="R12" s="6"/>
      <x:c r="S12" s="6"/>
    </x:row>
    <x:row r="13" s="1" customFormat="1" ht="14.25" hidden="0" customHeight="1">
      <x:c r="A13" s="7" t="s">
        <x:v>2794</x:v>
      </x:c>
      <x:c r="B13" s="8" t="s">
        <x:v>315</x:v>
      </x:c>
      <x:c r="C13" s="8" t="s">
        <x:v>316</x:v>
      </x:c>
      <x:c r="D13" s="8" t="s">
        <x:v>2795</x:v>
      </x:c>
      <x:c r="E13" s="8" t="s">
        <x:v>2042</x:v>
      </x:c>
      <x:c r="F13" s="6"/>
      <x:c r="G13" s="6"/>
      <x:c r="H13" s="6"/>
      <x:c r="I13" s="6"/>
      <x:c r="J13" s="6"/>
      <x:c r="K13" s="6"/>
      <x:c r="L13" s="6"/>
      <x:c r="M13" s="6"/>
      <x:c r="N13" s="6"/>
      <x:c r="O13" s="6"/>
      <x:c r="P13" s="6"/>
      <x:c r="Q13" s="6"/>
      <x:c r="R13" s="6"/>
      <x:c r="S13" s="6"/>
    </x:row>
    <x:row r="14" s="1" customFormat="1" ht="14.25" hidden="0" customHeight="1">
      <x:c r="A14" s="7" t="s">
        <x:v>2796</x:v>
      </x:c>
      <x:c r="B14" s="71" t="n">
        <x:f aca="0">RLS!B61</x:f>
        <x:v>0.0153129427168233</x:v>
      </x:c>
      <x:c r="C14" s="71" t="n">
        <x:f aca="0">RLS!B62</x:f>
        <x:v>-0.00112238738505248</x:v>
      </x:c>
      <x:c r="D14" s="5" t="str">
        <x:f aca="0">IF(B14&gt;=C14,"A","B")</x:f>
        <x:v>A</x:v>
      </x:c>
      <x:c r="E14" s="5" t="n">
        <x:f aca="0">B14-C14</x:f>
        <x:v>0.01643533010187578</x:v>
      </x:c>
      <x:c r="F14" s="6"/>
      <x:c r="G14" s="6"/>
      <x:c r="H14" s="6"/>
      <x:c r="I14" s="6"/>
      <x:c r="J14" s="6"/>
      <x:c r="K14" s="6"/>
      <x:c r="L14" s="6"/>
      <x:c r="M14" s="6"/>
      <x:c r="N14" s="6"/>
      <x:c r="O14" s="6"/>
      <x:c r="P14" s="6"/>
      <x:c r="Q14" s="6"/>
      <x:c r="R14" s="6"/>
      <x:c r="S14" s="6"/>
    </x:row>
    <x:row r="15" s="1" customFormat="1" ht="14.25" hidden="0" customHeight="1">
      <x:c r="A15" s="7" t="s">
        <x:v>2797</x:v>
      </x:c>
      <x:c r="B15" s="6"/>
      <x:c r="C15" s="6"/>
      <x:c r="D15" s="6"/>
      <x:c r="E15" s="6"/>
      <x:c r="F15" s="6"/>
      <x:c r="G15" s="6"/>
      <x:c r="H15" s="6"/>
      <x:c r="I15" s="6"/>
      <x:c r="J15" s="6"/>
      <x:c r="K15" s="6"/>
      <x:c r="L15" s="6"/>
      <x:c r="M15" s="6"/>
      <x:c r="N15" s="6"/>
      <x:c r="O15" s="6"/>
      <x:c r="P15" s="6"/>
      <x:c r="Q15" s="6"/>
      <x:c r="R15" s="6"/>
      <x:c r="S15" s="6"/>
    </x:row>
    <x:row r="16" s="1" customFormat="1" ht="14.25" hidden="0" customHeight="1">
      <x:c r="A16" s="7" t="s">
        <x:v>74</x:v>
      </x:c>
      <x:c r="B16" s="51" t="s">
        <x:v>2798</x:v>
      </x:c>
      <x:c r="C16" s="6"/>
      <x:c r="D16" s="6"/>
      <x:c r="E16" s="6"/>
      <x:c r="F16" s="6"/>
      <x:c r="G16" s="6"/>
      <x:c r="H16" s="6"/>
      <x:c r="I16" s="6"/>
      <x:c r="J16" s="6"/>
      <x:c r="K16" s="6"/>
      <x:c r="L16" s="6"/>
      <x:c r="M16" s="6"/>
      <x:c r="N16" s="6"/>
      <x:c r="O16" s="6"/>
      <x:c r="P16" s="6"/>
      <x:c r="Q16" s="6"/>
      <x:c r="R16" s="6"/>
      <x:c r="S16" s="6"/>
    </x:row>
    <x:row r="17" s="1" customFormat="1" ht="13.5" hidden="0" customHeight="1">
      <x:c r="A17" s="7" t="s">
        <x:v>2799</x:v>
      </x:c>
      <x:c r="B17" s="8" t="s">
        <x:v>2800</x:v>
      </x:c>
      <x:c r="C17" s="6"/>
      <x:c r="D17" s="6"/>
      <x:c r="E17" s="6"/>
      <x:c r="F17" s="6"/>
      <x:c r="G17" s="6"/>
      <x:c r="H17" s="6"/>
      <x:c r="I17" s="6"/>
      <x:c r="J17" s="6"/>
      <x:c r="K17" s="6"/>
      <x:c r="L17" s="6"/>
      <x:c r="M17" s="6"/>
      <x:c r="N17" s="6"/>
      <x:c r="O17" s="6"/>
      <x:c r="P17" s="6"/>
      <x:c r="Q17" s="6"/>
      <x:c r="R17" s="6"/>
      <x:c r="S17" s="6"/>
    </x:row>
    <x:row r="18" s="1" customFormat="1" ht="14.25" hidden="0" customHeight="1">
      <x:c r="A18" s="44" t="s">
        <x:v>2801</x:v>
      </x:c>
      <x:c r="B18" s="6" t="s">
        <x:v>2802</x:v>
      </x:c>
      <x:c r="C18" s="6" t="s">
        <x:v>2803</x:v>
      </x:c>
      <x:c r="D18" s="6" t="str">
        <x:f aca="0">"SENSITIVE"</x:f>
        <x:v>SENSITIVE</x:v>
      </x:c>
      <x:c r="E18" s="6" t="str">
        <x:f aca="0">"NO"</x:f>
        <x:v>NO</x:v>
      </x:c>
      <x:c r="F18" s="6" t="s">
        <x:v>2804</x:v>
      </x:c>
      <x:c r="G18" s="6"/>
      <x:c r="H18" s="6"/>
      <x:c r="I18" s="6"/>
      <x:c r="J18" s="6"/>
      <x:c r="K18" s="6"/>
      <x:c r="L18" s="6"/>
      <x:c r="M18" s="6"/>
      <x:c r="N18" s="6"/>
      <x:c r="O18" s="6"/>
      <x:c r="P18" s="6"/>
      <x:c r="Q18" s="6"/>
      <x:c r="R18" s="6"/>
      <x:c r="S18" s="6"/>
    </x:row>
    <x:row r="19" s="1" customFormat="1" ht="13.5" hidden="0" customHeight="1">
      <x:c r="A19" s="6" t="s">
        <x:v>2805</x:v>
      </x:c>
      <x:c r="B19" s="6" t="s">
        <x:v>2806</x:v>
      </x:c>
      <x:c r="C19" s="6" t="s">
        <x:v>2046</x:v>
      </x:c>
      <x:c r="D19" s="40" t="n">
        <x:f aca="0">RLS!B46</x:f>
        <x:v>1.81508102477079</x:v>
      </x:c>
      <x:c r="E19" s="6"/>
      <x:c r="F19" s="6" t="s">
        <x:v>2807</x:v>
      </x:c>
      <x:c r="G19" s="6"/>
      <x:c r="H19" s="6"/>
      <x:c r="I19" s="6"/>
      <x:c r="J19" s="6"/>
      <x:c r="K19" s="6"/>
      <x:c r="L19" s="6"/>
      <x:c r="M19" s="6"/>
      <x:c r="N19" s="6"/>
      <x:c r="O19" s="6"/>
      <x:c r="P19" s="6"/>
      <x:c r="Q19" s="6"/>
      <x:c r="R19" s="6"/>
      <x:c r="S19" s="6"/>
    </x:row>
    <x:row r="20" s="1" customFormat="1" ht="14.25" hidden="0" customHeight="1">
      <x:c r="A20" s="90" t="s">
        <x:v>2808</x:v>
      </x:c>
      <x:c r="B20" s="6" t="s">
        <x:v>2809</x:v>
      </x:c>
      <x:c r="C20" s="6" t="s">
        <x:v>2810</x:v>
      </x:c>
      <x:c r="D20" s="40" t="n">
        <x:f aca="0">RLS!B47</x:f>
        <x:v>1.8126799195478</x:v>
      </x:c>
      <x:c r="E20" s="6"/>
      <x:c r="F20" s="6" t="s">
        <x:v>2811</x:v>
      </x:c>
      <x:c r="G20" s="6"/>
      <x:c r="H20" s="6"/>
      <x:c r="I20" s="6"/>
      <x:c r="J20" s="6"/>
      <x:c r="K20" s="5" t="s">
        <x:v>973</x:v>
      </x:c>
      <x:c r="L20" s="5" t="s">
        <x:v>963</x:v>
      </x:c>
      <x:c r="M20" s="5" t="s">
        <x:v>972</x:v>
      </x:c>
      <x:c r="N20" s="5" t="s">
        <x:v>974</x:v>
      </x:c>
      <x:c r="O20" s="5" t="s">
        <x:v>971</x:v>
      </x:c>
      <x:c r="P20" s="5" t="s">
        <x:v>1099</x:v>
      </x:c>
      <x:c r="Q20" s="5" t="s">
        <x:v>969</x:v>
      </x:c>
      <x:c r="R20" s="6"/>
      <x:c r="S20" s="6"/>
    </x:row>
    <x:row r="21" s="1" customFormat="1" ht="14.25" hidden="0" customHeight="1">
      <x:c r="A21" s="6"/>
      <x:c r="B21" s="6"/>
      <x:c r="C21" s="6"/>
      <x:c r="D21" s="6"/>
      <x:c r="E21" s="6"/>
      <x:c r="F21" s="6"/>
      <x:c r="G21" s="6"/>
      <x:c r="H21" s="6"/>
      <x:c r="I21" s="6"/>
      <x:c r="J21" s="8" t="s">
        <x:v>2812</x:v>
      </x:c>
      <x:c r="K21" s="60" t="n">
        <x:f aca="0">Parameters!$B$48</x:f>
        <x:v>0.142857142857143</x:v>
      </x:c>
      <x:c r="L21" s="60" t="n">
        <x:f aca="0">Parameters!$B$49</x:f>
        <x:v>0.142857142857143</x:v>
      </x:c>
      <x:c r="M21" s="60" t="n">
        <x:f aca="0">Parameters!$B$50</x:f>
        <x:v>0.142857142857143</x:v>
      </x:c>
      <x:c r="N21" s="60" t="n">
        <x:f aca="0">Parameters!$B$51</x:f>
        <x:v>0.142857142857143</x:v>
      </x:c>
      <x:c r="O21" s="60" t="n">
        <x:f aca="0">Parameters!$B$52</x:f>
        <x:v>0.142857142857143</x:v>
      </x:c>
      <x:c r="P21" s="60" t="n">
        <x:f aca="0">Parameters!$B$53</x:f>
        <x:v>0.142857142857143</x:v>
      </x:c>
      <x:c r="Q21" s="60" t="n">
        <x:f aca="0">Parameters!$B$54</x:f>
        <x:v>0.142857142857143</x:v>
      </x:c>
      <x:c r="R21" s="6"/>
      <x:c r="S21" s="6"/>
    </x:row>
    <x:row r="22" s="1" customFormat="1" ht="14.25" hidden="0" customHeight="1">
      <x:c r="A22" s="6"/>
      <x:c r="B22" s="6"/>
      <x:c r="C22" s="6"/>
      <x:c r="D22" s="6"/>
      <x:c r="E22" s="6"/>
      <x:c r="F22" s="6"/>
      <x:c r="G22" s="6"/>
      <x:c r="H22" s="6"/>
      <x:c r="I22" s="6"/>
      <x:c r="J22" s="5" t="s">
        <x:v>2813</x:v>
      </x:c>
      <x:c r="K22" s="5" t="n">
        <x:v>1.1</x:v>
      </x:c>
      <x:c r="L22" s="5" t="n">
        <x:v>1</x:v>
      </x:c>
      <x:c r="M22" s="5" t="n">
        <x:v>1</x:v>
      </x:c>
      <x:c r="N22" s="5" t="n">
        <x:v>1</x:v>
      </x:c>
      <x:c r="O22" s="5" t="n">
        <x:v>1</x:v>
      </x:c>
      <x:c r="P22" s="5" t="n">
        <x:v>1</x:v>
      </x:c>
      <x:c r="Q22" s="5" t="n">
        <x:v>1</x:v>
      </x:c>
      <x:c r="R22" s="6"/>
      <x:c r="S22" s="6"/>
    </x:row>
    <x:row r="23" s="1" customFormat="1" ht="14.25" hidden="0" customHeight="1">
      <x:c r="A23" s="6"/>
      <x:c r="B23" s="6"/>
      <x:c r="C23" s="6"/>
      <x:c r="D23" s="6"/>
      <x:c r="E23" s="6"/>
      <x:c r="F23" s="6"/>
      <x:c r="G23" s="6"/>
      <x:c r="H23" s="6"/>
      <x:c r="I23" s="6"/>
      <x:c r="J23" s="8" t="s">
        <x:v>2814</x:v>
      </x:c>
      <x:c r="K23" s="8" t="n">
        <x:f aca="0">K$21*K$22/SUMPRODUCT($K$21:$Q$21,$K$22:$Q$22)</x:f>
        <x:v>0.15492957746478872</x:v>
      </x:c>
      <x:c r="L23" s="8" t="n">
        <x:f aca="0">L$21*L$22/SUMPRODUCT($K$21:$Q$21,$K$22:$Q$22)</x:f>
        <x:v>0.1408450704225352</x:v>
      </x:c>
      <x:c r="M23" s="8" t="n">
        <x:f aca="0">M$21*M$22/SUMPRODUCT($K$21:$Q$21,$K$22:$Q$22)</x:f>
        <x:v>0.1408450704225352</x:v>
      </x:c>
      <x:c r="N23" s="8" t="n">
        <x:f aca="0">N$21*N$22/SUMPRODUCT($K$21:$Q$21,$K$22:$Q$22)</x:f>
        <x:v>0.1408450704225352</x:v>
      </x:c>
      <x:c r="O23" s="8" t="n">
        <x:f aca="0">O$21*O$22/SUMPRODUCT($K$21:$Q$21,$K$22:$Q$22)</x:f>
        <x:v>0.1408450704225352</x:v>
      </x:c>
      <x:c r="P23" s="8" t="n">
        <x:f aca="0">P$21*P$22/SUMPRODUCT($K$21:$Q$21,$K$22:$Q$22)</x:f>
        <x:v>0.1408450704225352</x:v>
      </x:c>
      <x:c r="Q23" s="8" t="n">
        <x:f aca="0">Q$21*Q$22/SUMPRODUCT($K$21:$Q$21,$K$22:$Q$22)</x:f>
        <x:v>0.1408450704225352</x:v>
      </x:c>
      <x:c r="R23" s="6"/>
      <x:c r="S23" s="6"/>
    </x:row>
    <x:row r="24" s="1" customFormat="1" ht="14.25" hidden="0" customHeight="1">
      <x:c r="A24" s="6"/>
      <x:c r="B24" s="6"/>
      <x:c r="C24" s="6"/>
      <x:c r="D24" s="6"/>
      <x:c r="E24" s="6"/>
      <x:c r="F24" s="6"/>
      <x:c r="G24" s="6"/>
      <x:c r="H24" s="6"/>
      <x:c r="I24" s="6"/>
      <x:c r="J24" s="5" t="s">
        <x:v>2815</x:v>
      </x:c>
      <x:c r="K24" s="5" t="n">
        <x:v>1</x:v>
      </x:c>
      <x:c r="L24" s="5" t="n">
        <x:v>1</x:v>
      </x:c>
      <x:c r="M24" s="5" t="n">
        <x:v>1</x:v>
      </x:c>
      <x:c r="N24" s="5" t="n">
        <x:v>1</x:v>
      </x:c>
      <x:c r="O24" s="5" t="n">
        <x:v>1</x:v>
      </x:c>
      <x:c r="P24" s="5" t="n">
        <x:v>1</x:v>
      </x:c>
      <x:c r="Q24" s="5" t="n">
        <x:v>1.1</x:v>
      </x:c>
      <x:c r="R24" s="6"/>
      <x:c r="S24" s="6"/>
    </x:row>
    <x:row r="25" s="1" customFormat="1" ht="14.25" hidden="0" customHeight="1">
      <x:c r="A25" s="7" t="s">
        <x:v>2816</x:v>
      </x:c>
      <x:c r="B25" s="6"/>
      <x:c r="C25" s="6"/>
      <x:c r="D25" s="6"/>
      <x:c r="E25" s="6"/>
      <x:c r="F25" s="6"/>
      <x:c r="G25" s="6"/>
      <x:c r="H25" s="6"/>
      <x:c r="I25" s="6"/>
      <x:c r="J25" s="8" t="s">
        <x:v>2817</x:v>
      </x:c>
      <x:c r="K25" s="8" t="n">
        <x:f aca="0">K$21*K$24/SUMPRODUCT($K$21:$Q$21,$K$24:$Q$24)</x:f>
        <x:v>0.1408450704225352</x:v>
      </x:c>
      <x:c r="L25" s="8" t="n">
        <x:f aca="0">L$21*L$24/SUMPRODUCT($K$21:$Q$21,$K$24:$Q$24)</x:f>
        <x:v>0.1408450704225352</x:v>
      </x:c>
      <x:c r="M25" s="8" t="n">
        <x:f aca="0">M$21*M$24/SUMPRODUCT($K$21:$Q$21,$K$24:$Q$24)</x:f>
        <x:v>0.1408450704225352</x:v>
      </x:c>
      <x:c r="N25" s="8" t="n">
        <x:f aca="0">N$21*N$24/SUMPRODUCT($K$21:$Q$21,$K$24:$Q$24)</x:f>
        <x:v>0.1408450704225352</x:v>
      </x:c>
      <x:c r="O25" s="8" t="n">
        <x:f aca="0">O$21*O$24/SUMPRODUCT($K$21:$Q$21,$K$24:$Q$24)</x:f>
        <x:v>0.1408450704225352</x:v>
      </x:c>
      <x:c r="P25" s="8" t="n">
        <x:f aca="0">P$21*P$24/SUMPRODUCT($K$21:$Q$21,$K$24:$Q$24)</x:f>
        <x:v>0.1408450704225352</x:v>
      </x:c>
      <x:c r="Q25" s="8" t="n">
        <x:f aca="0">Q$21*Q$24/SUMPRODUCT($K$21:$Q$21,$K$24:$Q$24)</x:f>
        <x:v>0.15492957746478872</x:v>
      </x:c>
      <x:c r="R25" s="6"/>
      <x:c r="S25" s="6"/>
    </x:row>
    <x:row r="26" s="1" customFormat="1" ht="13.5" hidden="0" customHeight="1">
      <x:c r="A26" s="6"/>
      <x:c r="B26" s="6"/>
      <x:c r="C26" s="6"/>
      <x:c r="D26" s="6"/>
      <x:c r="E26" s="6"/>
      <x:c r="F26" s="6"/>
      <x:c r="G26" s="6"/>
      <x:c r="H26" s="6"/>
      <x:c r="I26" s="6"/>
      <x:c r="J26" s="5" t="s">
        <x:v>2818</x:v>
      </x:c>
      <x:c r="K26" s="5" t="n">
        <x:v>1</x:v>
      </x:c>
      <x:c r="L26" s="5" t="n">
        <x:v>1</x:v>
      </x:c>
      <x:c r="M26" s="5" t="n">
        <x:v>1.1</x:v>
      </x:c>
      <x:c r="N26" s="5" t="n">
        <x:v>1</x:v>
      </x:c>
      <x:c r="O26" s="5" t="n">
        <x:v>1.1</x:v>
      </x:c>
      <x:c r="P26" s="5" t="n">
        <x:v>1</x:v>
      </x:c>
      <x:c r="Q26" s="5" t="n">
        <x:v>1</x:v>
      </x:c>
      <x:c r="R26" s="6"/>
      <x:c r="S26" s="6"/>
    </x:row>
    <x:row r="27" s="1" customFormat="1" ht="14.25" hidden="0" customHeight="1">
      <x:c r="A27" s="7" t="s">
        <x:v>2819</x:v>
      </x:c>
      <x:c r="B27" s="6"/>
      <x:c r="C27" s="6"/>
      <x:c r="D27" s="6"/>
      <x:c r="E27" s="6"/>
      <x:c r="F27" s="6"/>
      <x:c r="G27" s="6"/>
      <x:c r="H27" s="6"/>
      <x:c r="I27" s="6"/>
      <x:c r="J27" s="8" t="s">
        <x:v>2820</x:v>
      </x:c>
      <x:c r="K27" s="8" t="n">
        <x:f aca="0">K$21*K$26/SUMPRODUCT($K$21:$Q$21,$K$26:$Q$26)</x:f>
        <x:v>0.13888888888888887</x:v>
      </x:c>
      <x:c r="L27" s="8" t="n">
        <x:f aca="0">L$21*L$26/SUMPRODUCT($K$21:$Q$21,$K$26:$Q$26)</x:f>
        <x:v>0.13888888888888887</x:v>
      </x:c>
      <x:c r="M27" s="8" t="n">
        <x:f aca="0">M$21*M$26/SUMPRODUCT($K$21:$Q$21,$K$26:$Q$26)</x:f>
        <x:v>0.1527777777777778</x:v>
      </x:c>
      <x:c r="N27" s="8" t="n">
        <x:f aca="0">N$21*N$26/SUMPRODUCT($K$21:$Q$21,$K$26:$Q$26)</x:f>
        <x:v>0.13888888888888887</x:v>
      </x:c>
      <x:c r="O27" s="8" t="n">
        <x:f aca="0">O$21*O$26/SUMPRODUCT($K$21:$Q$21,$K$26:$Q$26)</x:f>
        <x:v>0.1527777777777778</x:v>
      </x:c>
      <x:c r="P27" s="8" t="n">
        <x:f aca="0">P$21*P$26/SUMPRODUCT($K$21:$Q$21,$K$26:$Q$26)</x:f>
        <x:v>0.13888888888888887</x:v>
      </x:c>
      <x:c r="Q27" s="8" t="n">
        <x:f aca="0">Q$21*Q$26/SUMPRODUCT($K$21:$Q$21,$K$26:$Q$26)</x:f>
        <x:v>0.13888888888888887</x:v>
      </x:c>
      <x:c r="R27" s="6"/>
      <x:c r="S27" s="6"/>
    </x:row>
    <x:row r="28" s="1" customFormat="1" ht="14.25" hidden="0" customHeight="1">
      <x:c r="A28" s="7" t="s">
        <x:v>2821</x:v>
      </x:c>
      <x:c r="B28" s="6"/>
      <x:c r="C28" s="6"/>
      <x:c r="D28" s="6"/>
      <x:c r="E28" s="6"/>
      <x:c r="F28" s="6"/>
      <x:c r="G28" s="6"/>
      <x:c r="H28" s="6"/>
      <x:c r="I28" s="6"/>
      <x:c r="J28" s="6"/>
      <x:c r="K28" s="6"/>
      <x:c r="L28" s="6"/>
      <x:c r="M28" s="6"/>
      <x:c r="N28" s="6"/>
      <x:c r="O28" s="6"/>
      <x:c r="P28" s="6"/>
      <x:c r="Q28" s="6"/>
      <x:c r="R28" s="6"/>
      <x:c r="S28" s="6"/>
    </x:row>
    <x:row r="29" s="1" customFormat="1" ht="14.25" hidden="0" customHeight="1">
      <x:c r="A29" s="7" t="s">
        <x:v>2822</x:v>
      </x:c>
      <x:c r="B29" s="6"/>
      <x:c r="C29" s="6"/>
      <x:c r="D29" s="6"/>
      <x:c r="E29" s="6"/>
      <x:c r="F29" s="6"/>
      <x:c r="G29" s="6"/>
      <x:c r="H29" s="6"/>
      <x:c r="I29" s="6"/>
      <x:c r="J29" s="8" t="s">
        <x:v>2823</x:v>
      </x:c>
      <x:c r="K29" s="6"/>
      <x:c r="L29" s="6"/>
      <x:c r="M29" s="6"/>
      <x:c r="N29" s="6"/>
      <x:c r="O29" s="6"/>
      <x:c r="P29" s="6"/>
      <x:c r="Q29" s="6"/>
      <x:c r="R29" s="6"/>
      <x:c r="S29" s="6"/>
    </x:row>
    <x:row r="30" s="1" customFormat="1" ht="14.25" hidden="0" customHeight="1">
      <x:c r="A30" s="6"/>
      <x:c r="B30" s="6"/>
      <x:c r="C30" s="6"/>
      <x:c r="D30" s="6"/>
      <x:c r="E30" s="6"/>
      <x:c r="F30" s="6"/>
      <x:c r="G30" s="6"/>
      <x:c r="H30" s="6"/>
      <x:c r="I30" s="5" t="s">
        <x:v>962</x:v>
      </x:c>
      <x:c r="J30" s="61" t="n">
        <x:f aca="0">Parameters!$B$38</x:f>
        <x:v>0.75</x:v>
      </x:c>
      <x:c r="K30" s="5" t="n">
        <x:f aca="0">$J30*K$23</x:f>
        <x:v>0.11619718309859153</x:v>
      </x:c>
      <x:c r="L30" s="5" t="n">
        <x:f aca="0">$J30*L$23</x:f>
        <x:v>0.10563380281690139</x:v>
      </x:c>
      <x:c r="M30" s="5" t="n">
        <x:f aca="0">$J30*M$23</x:f>
        <x:v>0.10563380281690139</x:v>
      </x:c>
      <x:c r="N30" s="5" t="n">
        <x:f aca="0">$J30*N$23</x:f>
        <x:v>0.10563380281690139</x:v>
      </x:c>
      <x:c r="O30" s="5" t="n">
        <x:f aca="0">$J30*O$23</x:f>
        <x:v>0.10563380281690139</x:v>
      </x:c>
      <x:c r="P30" s="5" t="n">
        <x:f aca="0">$J30*P$23</x:f>
        <x:v>0.10563380281690139</x:v>
      </x:c>
      <x:c r="Q30" s="5" t="n">
        <x:f aca="0">$J30*Q$23</x:f>
        <x:v>0.10563380281690139</x:v>
      </x:c>
      <x:c r="R30" s="6"/>
      <x:c r="S30" s="6"/>
    </x:row>
    <x:row r="31" s="1" customFormat="1" ht="13.5" hidden="0" customHeight="1">
      <x:c r="A31" s="6"/>
      <x:c r="B31" s="6"/>
      <x:c r="C31" s="6"/>
      <x:c r="D31" s="6"/>
      <x:c r="E31" s="6"/>
      <x:c r="F31" s="6"/>
      <x:c r="G31" s="6"/>
      <x:c r="H31" s="6"/>
      <x:c r="I31" s="8" t="s">
        <x:v>964</x:v>
      </x:c>
      <x:c r="J31" s="60" t="n">
        <x:f aca="0">Parameters!$B$39</x:f>
        <x:v>1.25</x:v>
      </x:c>
      <x:c r="K31" s="8" t="n">
        <x:f aca="0">$J31*K$23</x:f>
        <x:v>0.1936619718309859</x:v>
      </x:c>
      <x:c r="L31" s="8" t="n">
        <x:f aca="0">$J31*L$23</x:f>
        <x:v>0.176056338028169</x:v>
      </x:c>
      <x:c r="M31" s="8" t="n">
        <x:f aca="0">$J31*M$23</x:f>
        <x:v>0.176056338028169</x:v>
      </x:c>
      <x:c r="N31" s="8" t="n">
        <x:f aca="0">$J31*N$23</x:f>
        <x:v>0.176056338028169</x:v>
      </x:c>
      <x:c r="O31" s="8" t="n">
        <x:f aca="0">$J31*O$23</x:f>
        <x:v>0.176056338028169</x:v>
      </x:c>
      <x:c r="P31" s="8" t="n">
        <x:f aca="0">$J31*P$23</x:f>
        <x:v>0.176056338028169</x:v>
      </x:c>
      <x:c r="Q31" s="8" t="n">
        <x:f aca="0">$J31*Q$23</x:f>
        <x:v>0.176056338028169</x:v>
      </x:c>
      <x:c r="R31" s="6"/>
      <x:c r="S31" s="6"/>
    </x:row>
    <x:row r="32" s="1" customFormat="1" ht="14.25" hidden="0" customHeight="1">
      <x:c r="A32" s="7" t="s">
        <x:v>2824</x:v>
      </x:c>
      <x:c r="B32" s="6"/>
      <x:c r="C32" s="6"/>
      <x:c r="D32" s="6"/>
      <x:c r="E32" s="6"/>
      <x:c r="F32" s="6"/>
      <x:c r="G32" s="6"/>
      <x:c r="H32" s="6"/>
      <x:c r="I32" s="5" t="s">
        <x:v>965</x:v>
      </x:c>
      <x:c r="J32" s="61" t="n">
        <x:f aca="0">Parameters!$B$40</x:f>
        <x:v>0.083</x:v>
      </x:c>
      <x:c r="K32" s="5" t="n">
        <x:f aca="0">$J32*K$23</x:f>
        <x:v>0.012859154929577465</x:v>
      </x:c>
      <x:c r="L32" s="5" t="n">
        <x:f aca="0">$J32*L$23</x:f>
        <x:v>0.011690140845070422</x:v>
      </x:c>
      <x:c r="M32" s="5" t="n">
        <x:f aca="0">$J32*M$23</x:f>
        <x:v>0.011690140845070422</x:v>
      </x:c>
      <x:c r="N32" s="5" t="n">
        <x:f aca="0">$J32*N$23</x:f>
        <x:v>0.011690140845070422</x:v>
      </x:c>
      <x:c r="O32" s="5" t="n">
        <x:f aca="0">$J32*O$23</x:f>
        <x:v>0.011690140845070422</x:v>
      </x:c>
      <x:c r="P32" s="5" t="n">
        <x:f aca="0">$J32*P$23</x:f>
        <x:v>0.011690140845070422</x:v>
      </x:c>
      <x:c r="Q32" s="5" t="n">
        <x:f aca="0">$J32*Q$23</x:f>
        <x:v>0.011690140845070422</x:v>
      </x:c>
      <x:c r="R32" s="6"/>
      <x:c r="S32" s="6"/>
    </x:row>
    <x:row r="33" s="1" customFormat="1" ht="14.25" hidden="0" customHeight="1">
      <x:c r="A33" s="7" t="s">
        <x:v>2825</x:v>
      </x:c>
      <x:c r="B33" s="136"/>
      <x:c r="C33" s="136"/>
      <x:c r="D33" s="136"/>
      <x:c r="E33" s="136"/>
      <x:c r="F33" s="6"/>
      <x:c r="G33" s="6"/>
      <x:c r="H33" s="6"/>
      <x:c r="I33" s="8" t="s">
        <x:v>966</x:v>
      </x:c>
      <x:c r="J33" s="60" t="n">
        <x:f aca="0">Parameters!$B$41</x:f>
        <x:v>0.116666666666667</x:v>
      </x:c>
      <x:c r="K33" s="8" t="n">
        <x:f aca="0">$J33*K$23</x:f>
        <x:v>0.01807511737089207</x:v>
      </x:c>
      <x:c r="L33" s="8" t="n">
        <x:f aca="0">$J33*L$23</x:f>
        <x:v>0.016431924882629154</x:v>
      </x:c>
      <x:c r="M33" s="8" t="n">
        <x:f aca="0">$J33*M$23</x:f>
        <x:v>0.016431924882629154</x:v>
      </x:c>
      <x:c r="N33" s="8" t="n">
        <x:f aca="0">$J33*N$23</x:f>
        <x:v>0.016431924882629154</x:v>
      </x:c>
      <x:c r="O33" s="8" t="n">
        <x:f aca="0">$J33*O$23</x:f>
        <x:v>0.016431924882629154</x:v>
      </x:c>
      <x:c r="P33" s="8" t="n">
        <x:f aca="0">$J33*P$23</x:f>
        <x:v>0.016431924882629154</x:v>
      </x:c>
      <x:c r="Q33" s="8" t="n">
        <x:f aca="0">$J33*Q$23</x:f>
        <x:v>0.016431924882629154</x:v>
      </x:c>
      <x:c r="R33" s="6"/>
      <x:c r="S33" s="6"/>
    </x:row>
    <x:row r="34" s="1" customFormat="1" ht="14.25" hidden="0" customHeight="1">
      <x:c r="A34" s="7" t="s">
        <x:v>2826</x:v>
      </x:c>
      <x:c r="B34" s="5" t="n">
        <x:f aca="0">SUMPRODUCT(I_prop!$B$7:$H$13,$K$30:$Q$36)</x:f>
        <x:v>0.04785228381776438</x:v>
      </x:c>
      <x:c r="C34" s="5" t="n">
        <x:f aca="0">SUMPRODUCT(I_prop!$B$18:$H$24,$K$30:$Q$36)</x:f>
        <x:v>-0.007546141963502458</x:v>
      </x:c>
      <x:c r="D34" s="5" t="str">
        <x:f aca="0">IF(B34&gt;=C34,"A","B")</x:f>
        <x:v>A</x:v>
      </x:c>
      <x:c r="E34" s="5" t="n">
        <x:f aca="0">B34-C34</x:f>
        <x:v>0.05539842578126684</x:v>
      </x:c>
      <x:c r="F34" s="6"/>
      <x:c r="G34" s="6"/>
      <x:c r="H34" s="6"/>
      <x:c r="I34" s="5" t="s">
        <x:v>967</x:v>
      </x:c>
      <x:c r="J34" s="61" t="n">
        <x:f aca="0">Parameters!$B$42</x:f>
        <x:v>0.0913333333333333</x:v>
      </x:c>
      <x:c r="K34" s="5" t="n">
        <x:f aca="0">$J34*K$23</x:f>
        <x:v>0.014150234741784031</x:v>
      </x:c>
      <x:c r="L34" s="5" t="n">
        <x:f aca="0">$J34*L$23</x:f>
        <x:v>0.01286384976525821</x:v>
      </x:c>
      <x:c r="M34" s="5" t="n">
        <x:f aca="0">$J34*M$23</x:f>
        <x:v>0.01286384976525821</x:v>
      </x:c>
      <x:c r="N34" s="5" t="n">
        <x:f aca="0">$J34*N$23</x:f>
        <x:v>0.01286384976525821</x:v>
      </x:c>
      <x:c r="O34" s="5" t="n">
        <x:f aca="0">$J34*O$23</x:f>
        <x:v>0.01286384976525821</x:v>
      </x:c>
      <x:c r="P34" s="5" t="n">
        <x:f aca="0">$J34*P$23</x:f>
        <x:v>0.01286384976525821</x:v>
      </x:c>
      <x:c r="Q34" s="5" t="n">
        <x:f aca="0">$J34*Q$23</x:f>
        <x:v>0.01286384976525821</x:v>
      </x:c>
      <x:c r="R34" s="6"/>
      <x:c r="S34" s="6"/>
    </x:row>
    <x:row r="35" s="1" customFormat="1" ht="14.25" hidden="0" customHeight="1">
      <x:c r="A35" s="7" t="s">
        <x:v>2827</x:v>
      </x:c>
      <x:c r="B35" s="8" t="n">
        <x:f aca="0">SUMPRODUCT(I_prop!$B$7:$H$13,$K$40:$Q$46)</x:f>
        <x:v>0.047225378995422895</x:v>
      </x:c>
      <x:c r="C35" s="8" t="n">
        <x:f aca="0">SUMPRODUCT(I_prop!$B$18:$H$24,$K$40:$Q$46)</x:f>
        <x:v>-0.007267778167435364</x:v>
      </x:c>
      <x:c r="D35" s="8" t="str">
        <x:f aca="0">IF(B35&gt;=C35,"A","B")</x:f>
        <x:v>A</x:v>
      </x:c>
      <x:c r="E35" s="8" t="n">
        <x:f aca="0">B35-C35</x:f>
        <x:v>0.05449315716285826</x:v>
      </x:c>
      <x:c r="F35" s="6"/>
      <x:c r="G35" s="6"/>
      <x:c r="H35" s="6"/>
      <x:c r="I35" s="8" t="s">
        <x:v>968</x:v>
      </x:c>
      <x:c r="J35" s="60" t="n">
        <x:f aca="0">Parameters!$B$43</x:f>
        <x:v>0.1034</x:v>
      </x:c>
      <x:c r="K35" s="8" t="n">
        <x:f aca="0">$J35*K$23</x:f>
        <x:v>0.016019718309859154</x:v>
      </x:c>
      <x:c r="L35" s="8" t="n">
        <x:f aca="0">$J35*L$23</x:f>
        <x:v>0.014563380281690139</x:v>
      </x:c>
      <x:c r="M35" s="8" t="n">
        <x:f aca="0">$J35*M$23</x:f>
        <x:v>0.014563380281690139</x:v>
      </x:c>
      <x:c r="N35" s="8" t="n">
        <x:f aca="0">$J35*N$23</x:f>
        <x:v>0.014563380281690139</x:v>
      </x:c>
      <x:c r="O35" s="8" t="n">
        <x:f aca="0">$J35*O$23</x:f>
        <x:v>0.014563380281690139</x:v>
      </x:c>
      <x:c r="P35" s="8" t="n">
        <x:f aca="0">$J35*P$23</x:f>
        <x:v>0.014563380281690139</x:v>
      </x:c>
      <x:c r="Q35" s="8" t="n">
        <x:f aca="0">$J35*Q$23</x:f>
        <x:v>0.014563380281690139</x:v>
      </x:c>
      <x:c r="R35" s="6"/>
      <x:c r="S35" s="6"/>
    </x:row>
    <x:row r="36" s="1" customFormat="1" ht="13.5" hidden="0" customHeight="1">
      <x:c r="A36" s="7" t="s">
        <x:v>2828</x:v>
      </x:c>
      <x:c r="B36" s="5" t="n">
        <x:f aca="0">SUMPRODUCT(I_prop!$B$7:$H$13,$K$50:$Q$56)</x:f>
        <x:v>0.04904848917608978</x:v>
      </x:c>
      <x:c r="C36" s="5" t="n">
        <x:f aca="0">SUMPRODUCT(I_prop!$B$18:$H$24,$K$50:$Q$56)</x:f>
        <x:v>-0.0075640603002663535</x:v>
      </x:c>
      <x:c r="D36" s="5" t="str">
        <x:f aca="0">IF(B36&gt;=C36,"A","B")</x:f>
        <x:v>A</x:v>
      </x:c>
      <x:c r="E36" s="5" t="n">
        <x:f aca="0">B36-C36</x:f>
        <x:v>0.05661254947635613</x:v>
      </x:c>
      <x:c r="F36" s="6"/>
      <x:c r="G36" s="6"/>
      <x:c r="H36" s="6"/>
      <x:c r="I36" s="5" t="s">
        <x:v>970</x:v>
      </x:c>
      <x:c r="J36" s="61" t="n">
        <x:f aca="0">Parameters!$B$44</x:f>
        <x:v>0.102266666666667</x:v>
      </x:c>
      <x:c r="K36" s="5" t="n">
        <x:f aca="0">$J36*K$23</x:f>
        <x:v>0.01584413145539911</x:v>
      </x:c>
      <x:c r="L36" s="5" t="n">
        <x:f aca="0">$J36*L$23</x:f>
        <x:v>0.014403755868544647</x:v>
      </x:c>
      <x:c r="M36" s="5" t="n">
        <x:f aca="0">$J36*M$23</x:f>
        <x:v>0.014403755868544647</x:v>
      </x:c>
      <x:c r="N36" s="5" t="n">
        <x:f aca="0">$J36*N$23</x:f>
        <x:v>0.014403755868544647</x:v>
      </x:c>
      <x:c r="O36" s="5" t="n">
        <x:f aca="0">$J36*O$23</x:f>
        <x:v>0.014403755868544647</x:v>
      </x:c>
      <x:c r="P36" s="5" t="n">
        <x:f aca="0">$J36*P$23</x:f>
        <x:v>0.014403755868544647</x:v>
      </x:c>
      <x:c r="Q36" s="5" t="n">
        <x:f aca="0">$J36*Q$23</x:f>
        <x:v>0.014403755868544647</x:v>
      </x:c>
      <x:c r="R36" s="6"/>
      <x:c r="S36" s="6"/>
    </x:row>
    <x:row r="37" s="1" customFormat="1" ht="14.25" hidden="0" customHeight="1">
      <x:c r="A37" s="7" t="s">
        <x:v>2829</x:v>
      </x:c>
      <x:c r="B37" s="6"/>
      <x:c r="C37" s="6"/>
      <x:c r="D37" s="6"/>
      <x:c r="E37" s="6"/>
      <x:c r="F37" s="6"/>
      <x:c r="G37" s="6"/>
      <x:c r="H37" s="6"/>
      <x:c r="I37" s="6"/>
      <x:c r="J37" s="6"/>
      <x:c r="K37" s="6"/>
      <x:c r="L37" s="6"/>
      <x:c r="M37" s="6"/>
      <x:c r="N37" s="6"/>
      <x:c r="O37" s="6"/>
      <x:c r="P37" s="6"/>
      <x:c r="Q37" s="6"/>
      <x:c r="R37" s="6"/>
      <x:c r="S37" s="6"/>
    </x:row>
    <x:row r="38" s="1" customFormat="1" ht="13.5" hidden="0" customHeight="1">
      <x:c r="A38" s="6"/>
      <x:c r="B38" s="6"/>
      <x:c r="C38" s="6"/>
      <x:c r="D38" s="6"/>
      <x:c r="E38" s="6"/>
      <x:c r="F38" s="6"/>
      <x:c r="G38" s="6"/>
      <x:c r="H38" s="6"/>
      <x:c r="I38" s="6"/>
      <x:c r="J38" s="6"/>
      <x:c r="K38" s="6"/>
      <x:c r="L38" s="6"/>
      <x:c r="M38" s="6"/>
      <x:c r="N38" s="6"/>
      <x:c r="O38" s="6"/>
      <x:c r="P38" s="6"/>
      <x:c r="Q38" s="6"/>
      <x:c r="R38" s="6"/>
      <x:c r="S38" s="6"/>
    </x:row>
    <x:row r="39" s="1" customFormat="1" ht="13.5" hidden="0" customHeight="1">
      <x:c r="A39" s="6"/>
      <x:c r="B39" s="6"/>
      <x:c r="C39" s="6"/>
      <x:c r="D39" s="6"/>
      <x:c r="E39" s="6"/>
      <x:c r="F39" s="6"/>
      <x:c r="G39" s="6"/>
      <x:c r="H39" s="6"/>
      <x:c r="I39" s="6"/>
      <x:c r="J39" s="6"/>
      <x:c r="K39" s="6"/>
      <x:c r="L39" s="6"/>
      <x:c r="M39" s="6"/>
      <x:c r="N39" s="6"/>
      <x:c r="O39" s="6"/>
      <x:c r="P39" s="6"/>
      <x:c r="Q39" s="6"/>
      <x:c r="R39" s="6"/>
      <x:c r="S39" s="6"/>
    </x:row>
    <x:row r="40" s="1" customFormat="1" ht="13.5" hidden="0" customHeight="1">
      <x:c r="A40" s="6"/>
      <x:c r="B40" s="6"/>
      <x:c r="C40" s="6"/>
      <x:c r="D40" s="6"/>
      <x:c r="E40" s="6"/>
      <x:c r="F40" s="6"/>
      <x:c r="G40" s="6"/>
      <x:c r="H40" s="6"/>
      <x:c r="I40" s="5" t="s">
        <x:v>962</x:v>
      </x:c>
      <x:c r="J40" s="61" t="n">
        <x:f aca="0">Parameters!$B$38</x:f>
        <x:v>0.75</x:v>
      </x:c>
      <x:c r="K40" s="5" t="n">
        <x:f aca="0">$J40*K$25</x:f>
        <x:v>0.10563380281690139</x:v>
      </x:c>
      <x:c r="L40" s="5" t="n">
        <x:f aca="0">$J40*L$25</x:f>
        <x:v>0.10563380281690139</x:v>
      </x:c>
      <x:c r="M40" s="5" t="n">
        <x:f aca="0">$J40*M$25</x:f>
        <x:v>0.10563380281690139</x:v>
      </x:c>
      <x:c r="N40" s="5" t="n">
        <x:f aca="0">$J40*N$25</x:f>
        <x:v>0.10563380281690139</x:v>
      </x:c>
      <x:c r="O40" s="5" t="n">
        <x:f aca="0">$J40*O$25</x:f>
        <x:v>0.10563380281690139</x:v>
      </x:c>
      <x:c r="P40" s="5" t="n">
        <x:f aca="0">$J40*P$25</x:f>
        <x:v>0.10563380281690139</x:v>
      </x:c>
      <x:c r="Q40" s="5" t="n">
        <x:f aca="0">$J40*Q$25</x:f>
        <x:v>0.11619718309859153</x:v>
      </x:c>
      <x:c r="R40" s="6"/>
      <x:c r="S40" s="6"/>
    </x:row>
    <x:row r="41" s="1" customFormat="1" ht="13.5" hidden="0" customHeight="1">
      <x:c r="A41" s="6"/>
      <x:c r="B41" s="6"/>
      <x:c r="C41" s="6"/>
      <x:c r="D41" s="6"/>
      <x:c r="E41" s="6"/>
      <x:c r="F41" s="6"/>
      <x:c r="G41" s="6"/>
      <x:c r="H41" s="6"/>
      <x:c r="I41" s="8" t="s">
        <x:v>964</x:v>
      </x:c>
      <x:c r="J41" s="60" t="n">
        <x:f aca="0">Parameters!$B$39</x:f>
        <x:v>1.25</x:v>
      </x:c>
      <x:c r="K41" s="8" t="n">
        <x:f aca="0">$J41*K$25</x:f>
        <x:v>0.176056338028169</x:v>
      </x:c>
      <x:c r="L41" s="8" t="n">
        <x:f aca="0">$J41*L$25</x:f>
        <x:v>0.176056338028169</x:v>
      </x:c>
      <x:c r="M41" s="8" t="n">
        <x:f aca="0">$J41*M$25</x:f>
        <x:v>0.176056338028169</x:v>
      </x:c>
      <x:c r="N41" s="8" t="n">
        <x:f aca="0">$J41*N$25</x:f>
        <x:v>0.176056338028169</x:v>
      </x:c>
      <x:c r="O41" s="8" t="n">
        <x:f aca="0">$J41*O$25</x:f>
        <x:v>0.176056338028169</x:v>
      </x:c>
      <x:c r="P41" s="8" t="n">
        <x:f aca="0">$J41*P$25</x:f>
        <x:v>0.176056338028169</x:v>
      </x:c>
      <x:c r="Q41" s="8" t="n">
        <x:f aca="0">$J41*Q$25</x:f>
        <x:v>0.1936619718309859</x:v>
      </x:c>
      <x:c r="R41" s="6"/>
      <x:c r="S41" s="6"/>
    </x:row>
    <x:row r="42" s="1" customFormat="1" ht="13.5" hidden="0" customHeight="1">
      <x:c r="A42" s="6"/>
      <x:c r="B42" s="6"/>
      <x:c r="C42" s="6"/>
      <x:c r="D42" s="6"/>
      <x:c r="E42" s="6"/>
      <x:c r="F42" s="6"/>
      <x:c r="G42" s="6"/>
      <x:c r="H42" s="6"/>
      <x:c r="I42" s="5" t="s">
        <x:v>965</x:v>
      </x:c>
      <x:c r="J42" s="61" t="n">
        <x:f aca="0">Parameters!$B$40</x:f>
        <x:v>0.083</x:v>
      </x:c>
      <x:c r="K42" s="5" t="n">
        <x:f aca="0">$J42*K$25</x:f>
        <x:v>0.011690140845070422</x:v>
      </x:c>
      <x:c r="L42" s="5" t="n">
        <x:f aca="0">$J42*L$25</x:f>
        <x:v>0.011690140845070422</x:v>
      </x:c>
      <x:c r="M42" s="5" t="n">
        <x:f aca="0">$J42*M$25</x:f>
        <x:v>0.011690140845070422</x:v>
      </x:c>
      <x:c r="N42" s="5" t="n">
        <x:f aca="0">$J42*N$25</x:f>
        <x:v>0.011690140845070422</x:v>
      </x:c>
      <x:c r="O42" s="5" t="n">
        <x:f aca="0">$J42*O$25</x:f>
        <x:v>0.011690140845070422</x:v>
      </x:c>
      <x:c r="P42" s="5" t="n">
        <x:f aca="0">$J42*P$25</x:f>
        <x:v>0.011690140845070422</x:v>
      </x:c>
      <x:c r="Q42" s="5" t="n">
        <x:f aca="0">$J42*Q$25</x:f>
        <x:v>0.012859154929577465</x:v>
      </x:c>
      <x:c r="R42" s="6"/>
      <x:c r="S42" s="6"/>
    </x:row>
    <x:row r="43" s="1" customFormat="1" ht="13.5" hidden="0" customHeight="1">
      <x:c r="A43" s="6"/>
      <x:c r="B43" s="6"/>
      <x:c r="C43" s="6"/>
      <x:c r="D43" s="6"/>
      <x:c r="E43" s="6"/>
      <x:c r="F43" s="6"/>
      <x:c r="G43" s="6"/>
      <x:c r="H43" s="6"/>
      <x:c r="I43" s="8" t="s">
        <x:v>966</x:v>
      </x:c>
      <x:c r="J43" s="60" t="n">
        <x:f aca="0">Parameters!$B$41</x:f>
        <x:v>0.116666666666667</x:v>
      </x:c>
      <x:c r="K43" s="8" t="n">
        <x:f aca="0">$J43*K$25</x:f>
        <x:v>0.016431924882629154</x:v>
      </x:c>
      <x:c r="L43" s="8" t="n">
        <x:f aca="0">$J43*L$25</x:f>
        <x:v>0.016431924882629154</x:v>
      </x:c>
      <x:c r="M43" s="8" t="n">
        <x:f aca="0">$J43*M$25</x:f>
        <x:v>0.016431924882629154</x:v>
      </x:c>
      <x:c r="N43" s="8" t="n">
        <x:f aca="0">$J43*N$25</x:f>
        <x:v>0.016431924882629154</x:v>
      </x:c>
      <x:c r="O43" s="8" t="n">
        <x:f aca="0">$J43*O$25</x:f>
        <x:v>0.016431924882629154</x:v>
      </x:c>
      <x:c r="P43" s="8" t="n">
        <x:f aca="0">$J43*P$25</x:f>
        <x:v>0.016431924882629154</x:v>
      </x:c>
      <x:c r="Q43" s="8" t="n">
        <x:f aca="0">$J43*Q$25</x:f>
        <x:v>0.01807511737089207</x:v>
      </x:c>
      <x:c r="R43" s="6"/>
      <x:c r="S43" s="6"/>
    </x:row>
    <x:row r="44" s="1" customFormat="1" ht="13.5" hidden="0" customHeight="1">
      <x:c r="A44" s="6"/>
      <x:c r="B44" s="6"/>
      <x:c r="C44" s="6"/>
      <x:c r="D44" s="6"/>
      <x:c r="E44" s="6"/>
      <x:c r="F44" s="6"/>
      <x:c r="G44" s="6"/>
      <x:c r="H44" s="6"/>
      <x:c r="I44" s="5" t="s">
        <x:v>967</x:v>
      </x:c>
      <x:c r="J44" s="61" t="n">
        <x:f aca="0">Parameters!$B$42</x:f>
        <x:v>0.0913333333333333</x:v>
      </x:c>
      <x:c r="K44" s="5" t="n">
        <x:f aca="0">$J44*K$25</x:f>
        <x:v>0.01286384976525821</x:v>
      </x:c>
      <x:c r="L44" s="5" t="n">
        <x:f aca="0">$J44*L$25</x:f>
        <x:v>0.01286384976525821</x:v>
      </x:c>
      <x:c r="M44" s="5" t="n">
        <x:f aca="0">$J44*M$25</x:f>
        <x:v>0.01286384976525821</x:v>
      </x:c>
      <x:c r="N44" s="5" t="n">
        <x:f aca="0">$J44*N$25</x:f>
        <x:v>0.01286384976525821</x:v>
      </x:c>
      <x:c r="O44" s="5" t="n">
        <x:f aca="0">$J44*O$25</x:f>
        <x:v>0.01286384976525821</x:v>
      </x:c>
      <x:c r="P44" s="5" t="n">
        <x:f aca="0">$J44*P$25</x:f>
        <x:v>0.01286384976525821</x:v>
      </x:c>
      <x:c r="Q44" s="5" t="n">
        <x:f aca="0">$J44*Q$25</x:f>
        <x:v>0.014150234741784031</x:v>
      </x:c>
      <x:c r="R44" s="6"/>
      <x:c r="S44" s="6"/>
    </x:row>
    <x:row r="45" s="1" customFormat="1" ht="13.5" hidden="0" customHeight="1">
      <x:c r="A45" s="6"/>
      <x:c r="B45" s="6"/>
      <x:c r="C45" s="6"/>
      <x:c r="D45" s="6"/>
      <x:c r="E45" s="6"/>
      <x:c r="F45" s="6"/>
      <x:c r="G45" s="6"/>
      <x:c r="H45" s="6"/>
      <x:c r="I45" s="8" t="s">
        <x:v>968</x:v>
      </x:c>
      <x:c r="J45" s="60" t="n">
        <x:f aca="0">Parameters!$B$43</x:f>
        <x:v>0.1034</x:v>
      </x:c>
      <x:c r="K45" s="8" t="n">
        <x:f aca="0">$J45*K$25</x:f>
        <x:v>0.014563380281690139</x:v>
      </x:c>
      <x:c r="L45" s="8" t="n">
        <x:f aca="0">$J45*L$25</x:f>
        <x:v>0.014563380281690139</x:v>
      </x:c>
      <x:c r="M45" s="8" t="n">
        <x:f aca="0">$J45*M$25</x:f>
        <x:v>0.014563380281690139</x:v>
      </x:c>
      <x:c r="N45" s="8" t="n">
        <x:f aca="0">$J45*N$25</x:f>
        <x:v>0.014563380281690139</x:v>
      </x:c>
      <x:c r="O45" s="8" t="n">
        <x:f aca="0">$J45*O$25</x:f>
        <x:v>0.014563380281690139</x:v>
      </x:c>
      <x:c r="P45" s="8" t="n">
        <x:f aca="0">$J45*P$25</x:f>
        <x:v>0.014563380281690139</x:v>
      </x:c>
      <x:c r="Q45" s="8" t="n">
        <x:f aca="0">$J45*Q$25</x:f>
        <x:v>0.016019718309859154</x:v>
      </x:c>
      <x:c r="R45" s="6"/>
      <x:c r="S45" s="6"/>
    </x:row>
    <x:row r="46" s="1" customFormat="1" ht="13.5" hidden="0" customHeight="1">
      <x:c r="A46" s="6"/>
      <x:c r="B46" s="6"/>
      <x:c r="C46" s="6"/>
      <x:c r="D46" s="6"/>
      <x:c r="E46" s="6"/>
      <x:c r="F46" s="6"/>
      <x:c r="G46" s="6"/>
      <x:c r="H46" s="6"/>
      <x:c r="I46" s="5" t="s">
        <x:v>970</x:v>
      </x:c>
      <x:c r="J46" s="61" t="n">
        <x:f aca="0">Parameters!$B$44</x:f>
        <x:v>0.102266666666667</x:v>
      </x:c>
      <x:c r="K46" s="5" t="n">
        <x:f aca="0">$J46*K$25</x:f>
        <x:v>0.014403755868544647</x:v>
      </x:c>
      <x:c r="L46" s="5" t="n">
        <x:f aca="0">$J46*L$25</x:f>
        <x:v>0.014403755868544647</x:v>
      </x:c>
      <x:c r="M46" s="5" t="n">
        <x:f aca="0">$J46*M$25</x:f>
        <x:v>0.014403755868544647</x:v>
      </x:c>
      <x:c r="N46" s="5" t="n">
        <x:f aca="0">$J46*N$25</x:f>
        <x:v>0.014403755868544647</x:v>
      </x:c>
      <x:c r="O46" s="5" t="n">
        <x:f aca="0">$J46*O$25</x:f>
        <x:v>0.014403755868544647</x:v>
      </x:c>
      <x:c r="P46" s="5" t="n">
        <x:f aca="0">$J46*P$25</x:f>
        <x:v>0.014403755868544647</x:v>
      </x:c>
      <x:c r="Q46" s="5" t="n">
        <x:f aca="0">$J46*Q$25</x:f>
        <x:v>0.01584413145539911</x:v>
      </x:c>
      <x:c r="R46" s="6"/>
      <x:c r="S46" s="6"/>
    </x:row>
    <x:row r="47" s="1" customFormat="1" ht="13.5" hidden="0" customHeight="1">
      <x:c r="A47" s="6"/>
      <x:c r="B47" s="6"/>
      <x:c r="C47" s="6"/>
      <x:c r="D47" s="6"/>
      <x:c r="E47" s="6"/>
      <x:c r="F47" s="6"/>
      <x:c r="G47" s="6"/>
      <x:c r="H47" s="6"/>
      <x:c r="I47" s="6"/>
      <x:c r="J47" s="6"/>
      <x:c r="K47" s="6"/>
      <x:c r="L47" s="6"/>
      <x:c r="M47" s="6"/>
      <x:c r="N47" s="6"/>
      <x:c r="O47" s="6"/>
      <x:c r="P47" s="6"/>
      <x:c r="Q47" s="6"/>
      <x:c r="R47" s="6"/>
      <x:c r="S47" s="6"/>
    </x:row>
    <x:row r="48" s="1" customFormat="1" ht="13.5" hidden="0" customHeight="1">
      <x:c r="A48" s="6"/>
      <x:c r="B48" s="6"/>
      <x:c r="C48" s="6"/>
      <x:c r="D48" s="6"/>
      <x:c r="E48" s="6"/>
      <x:c r="F48" s="6"/>
      <x:c r="G48" s="6"/>
      <x:c r="H48" s="6"/>
      <x:c r="I48" s="6"/>
      <x:c r="J48" s="6"/>
      <x:c r="K48" s="6"/>
      <x:c r="L48" s="6"/>
      <x:c r="M48" s="6"/>
      <x:c r="N48" s="6"/>
      <x:c r="O48" s="6"/>
      <x:c r="P48" s="6"/>
      <x:c r="Q48" s="6"/>
      <x:c r="R48" s="6"/>
      <x:c r="S48" s="6"/>
    </x:row>
    <x:row r="49" s="1" customFormat="1" ht="13.5" hidden="0" customHeight="1">
      <x:c r="A49" s="6"/>
      <x:c r="B49" s="6"/>
      <x:c r="C49" s="6"/>
      <x:c r="D49" s="6"/>
      <x:c r="E49" s="6"/>
      <x:c r="F49" s="6"/>
      <x:c r="G49" s="6"/>
      <x:c r="H49" s="6"/>
      <x:c r="I49" s="6"/>
      <x:c r="J49" s="6"/>
      <x:c r="K49" s="6"/>
      <x:c r="L49" s="6"/>
      <x:c r="M49" s="6"/>
      <x:c r="N49" s="6"/>
      <x:c r="O49" s="6"/>
      <x:c r="P49" s="6"/>
      <x:c r="Q49" s="6"/>
      <x:c r="R49" s="6"/>
      <x:c r="S49" s="6"/>
    </x:row>
    <x:row r="50" s="1" customFormat="1" ht="13.5" hidden="0" customHeight="1">
      <x:c r="A50" s="6"/>
      <x:c r="B50" s="6"/>
      <x:c r="C50" s="6"/>
      <x:c r="D50" s="6"/>
      <x:c r="E50" s="6"/>
      <x:c r="F50" s="6"/>
      <x:c r="G50" s="6"/>
      <x:c r="H50" s="6"/>
      <x:c r="I50" s="5" t="s">
        <x:v>962</x:v>
      </x:c>
      <x:c r="J50" s="61" t="n">
        <x:f aca="0">Parameters!$B$38</x:f>
        <x:v>0.75</x:v>
      </x:c>
      <x:c r="K50" s="5" t="n">
        <x:f aca="0">$J50*K$27</x:f>
        <x:v>0.10416666666666666</x:v>
      </x:c>
      <x:c r="L50" s="5" t="n">
        <x:f aca="0">$J50*L$27</x:f>
        <x:v>0.10416666666666666</x:v>
      </x:c>
      <x:c r="M50" s="5" t="n">
        <x:f aca="0">$J50*M$27</x:f>
        <x:v>0.11458333333333334</x:v>
      </x:c>
      <x:c r="N50" s="5" t="n">
        <x:f aca="0">$J50*N$27</x:f>
        <x:v>0.10416666666666666</x:v>
      </x:c>
      <x:c r="O50" s="5" t="n">
        <x:f aca="0">$J50*O$27</x:f>
        <x:v>0.11458333333333334</x:v>
      </x:c>
      <x:c r="P50" s="5" t="n">
        <x:f aca="0">$J50*P$27</x:f>
        <x:v>0.10416666666666666</x:v>
      </x:c>
      <x:c r="Q50" s="5" t="n">
        <x:f aca="0">$J50*Q$27</x:f>
        <x:v>0.10416666666666666</x:v>
      </x:c>
      <x:c r="R50" s="6"/>
      <x:c r="S50" s="6"/>
    </x:row>
    <x:row r="51" s="1" customFormat="1" ht="13.5" hidden="0" customHeight="1">
      <x:c r="A51" s="6"/>
      <x:c r="B51" s="6"/>
      <x:c r="C51" s="6"/>
      <x:c r="D51" s="6"/>
      <x:c r="E51" s="6"/>
      <x:c r="F51" s="6"/>
      <x:c r="G51" s="6"/>
      <x:c r="H51" s="6"/>
      <x:c r="I51" s="8" t="s">
        <x:v>964</x:v>
      </x:c>
      <x:c r="J51" s="60" t="n">
        <x:f aca="0">Parameters!$B$39</x:f>
        <x:v>1.25</x:v>
      </x:c>
      <x:c r="K51" s="8" t="n">
        <x:f aca="0">$J51*K$27</x:f>
        <x:v>0.17361111111111108</x:v>
      </x:c>
      <x:c r="L51" s="8" t="n">
        <x:f aca="0">$J51*L$27</x:f>
        <x:v>0.17361111111111108</x:v>
      </x:c>
      <x:c r="M51" s="8" t="n">
        <x:f aca="0">$J51*M$27</x:f>
        <x:v>0.19097222222222224</x:v>
      </x:c>
      <x:c r="N51" s="8" t="n">
        <x:f aca="0">$J51*N$27</x:f>
        <x:v>0.17361111111111108</x:v>
      </x:c>
      <x:c r="O51" s="8" t="n">
        <x:f aca="0">$J51*O$27</x:f>
        <x:v>0.19097222222222224</x:v>
      </x:c>
      <x:c r="P51" s="8" t="n">
        <x:f aca="0">$J51*P$27</x:f>
        <x:v>0.17361111111111108</x:v>
      </x:c>
      <x:c r="Q51" s="8" t="n">
        <x:f aca="0">$J51*Q$27</x:f>
        <x:v>0.17361111111111108</x:v>
      </x:c>
      <x:c r="R51" s="6"/>
      <x:c r="S51" s="6"/>
    </x:row>
    <x:row r="52" s="1" customFormat="1" ht="13.5" hidden="0" customHeight="1">
      <x:c r="A52" s="6"/>
      <x:c r="B52" s="6"/>
      <x:c r="C52" s="6"/>
      <x:c r="D52" s="6"/>
      <x:c r="E52" s="6"/>
      <x:c r="F52" s="6"/>
      <x:c r="G52" s="6"/>
      <x:c r="H52" s="6"/>
      <x:c r="I52" s="5" t="s">
        <x:v>965</x:v>
      </x:c>
      <x:c r="J52" s="61" t="n">
        <x:f aca="0">Parameters!$B$40</x:f>
        <x:v>0.083</x:v>
      </x:c>
      <x:c r="K52" s="5" t="n">
        <x:f aca="0">$J52*K$27</x:f>
        <x:v>0.011527777777777777</x:v>
      </x:c>
      <x:c r="L52" s="5" t="n">
        <x:f aca="0">$J52*L$27</x:f>
        <x:v>0.011527777777777777</x:v>
      </x:c>
      <x:c r="M52" s="5" t="n">
        <x:f aca="0">$J52*M$27</x:f>
        <x:v>0.012680555555555558</x:v>
      </x:c>
      <x:c r="N52" s="5" t="n">
        <x:f aca="0">$J52*N$27</x:f>
        <x:v>0.011527777777777777</x:v>
      </x:c>
      <x:c r="O52" s="5" t="n">
        <x:f aca="0">$J52*O$27</x:f>
        <x:v>0.012680555555555558</x:v>
      </x:c>
      <x:c r="P52" s="5" t="n">
        <x:f aca="0">$J52*P$27</x:f>
        <x:v>0.011527777777777777</x:v>
      </x:c>
      <x:c r="Q52" s="5" t="n">
        <x:f aca="0">$J52*Q$27</x:f>
        <x:v>0.011527777777777777</x:v>
      </x:c>
      <x:c r="R52" s="6"/>
      <x:c r="S52" s="6"/>
    </x:row>
    <x:row r="53" s="1" customFormat="1" ht="13.5" hidden="0" customHeight="1">
      <x:c r="A53" s="6"/>
      <x:c r="B53" s="6"/>
      <x:c r="C53" s="6"/>
      <x:c r="D53" s="6"/>
      <x:c r="E53" s="6"/>
      <x:c r="F53" s="6"/>
      <x:c r="G53" s="6"/>
      <x:c r="H53" s="6"/>
      <x:c r="I53" s="8" t="s">
        <x:v>966</x:v>
      </x:c>
      <x:c r="J53" s="60" t="n">
        <x:f aca="0">Parameters!$B$41</x:f>
        <x:v>0.116666666666667</x:v>
      </x:c>
      <x:c r="K53" s="8" t="n">
        <x:f aca="0">$J53*K$27</x:f>
        <x:v>0.016203703703703748</x:v>
      </x:c>
      <x:c r="L53" s="8" t="n">
        <x:f aca="0">$J53*L$27</x:f>
        <x:v>0.016203703703703748</x:v>
      </x:c>
      <x:c r="M53" s="8" t="n">
        <x:f aca="0">$J53*M$27</x:f>
        <x:v>0.017824074074074128</x:v>
      </x:c>
      <x:c r="N53" s="8" t="n">
        <x:f aca="0">$J53*N$27</x:f>
        <x:v>0.016203703703703748</x:v>
      </x:c>
      <x:c r="O53" s="8" t="n">
        <x:f aca="0">$J53*O$27</x:f>
        <x:v>0.017824074074074128</x:v>
      </x:c>
      <x:c r="P53" s="8" t="n">
        <x:f aca="0">$J53*P$27</x:f>
        <x:v>0.016203703703703748</x:v>
      </x:c>
      <x:c r="Q53" s="8" t="n">
        <x:f aca="0">$J53*Q$27</x:f>
        <x:v>0.016203703703703748</x:v>
      </x:c>
      <x:c r="R53" s="6"/>
      <x:c r="S53" s="6"/>
    </x:row>
    <x:row r="54" s="1" customFormat="1" ht="13.5" hidden="0" customHeight="1">
      <x:c r="A54" s="6"/>
      <x:c r="B54" s="6"/>
      <x:c r="C54" s="6"/>
      <x:c r="D54" s="6"/>
      <x:c r="E54" s="6"/>
      <x:c r="F54" s="6"/>
      <x:c r="G54" s="6"/>
      <x:c r="H54" s="6"/>
      <x:c r="I54" s="5" t="s">
        <x:v>967</x:v>
      </x:c>
      <x:c r="J54" s="61" t="n">
        <x:f aca="0">Parameters!$B$42</x:f>
        <x:v>0.0913333333333333</x:v>
      </x:c>
      <x:c r="K54" s="5" t="n">
        <x:f aca="0">$J54*K$27</x:f>
        <x:v>0.012685185185185178</x:v>
      </x:c>
      <x:c r="L54" s="5" t="n">
        <x:f aca="0">$J54*L$27</x:f>
        <x:v>0.012685185185185178</x:v>
      </x:c>
      <x:c r="M54" s="5" t="n">
        <x:f aca="0">$J54*M$27</x:f>
        <x:v>0.013953703703703699</x:v>
      </x:c>
      <x:c r="N54" s="5" t="n">
        <x:f aca="0">$J54*N$27</x:f>
        <x:v>0.012685185185185178</x:v>
      </x:c>
      <x:c r="O54" s="5" t="n">
        <x:f aca="0">$J54*O$27</x:f>
        <x:v>0.013953703703703699</x:v>
      </x:c>
      <x:c r="P54" s="5" t="n">
        <x:f aca="0">$J54*P$27</x:f>
        <x:v>0.012685185185185178</x:v>
      </x:c>
      <x:c r="Q54" s="5" t="n">
        <x:f aca="0">$J54*Q$27</x:f>
        <x:v>0.012685185185185178</x:v>
      </x:c>
      <x:c r="R54" s="6"/>
      <x:c r="S54" s="6"/>
    </x:row>
    <x:row r="55" s="1" customFormat="1" ht="13.5" hidden="0" customHeight="1">
      <x:c r="A55" s="6"/>
      <x:c r="B55" s="6"/>
      <x:c r="C55" s="6"/>
      <x:c r="D55" s="6"/>
      <x:c r="E55" s="6"/>
      <x:c r="F55" s="6"/>
      <x:c r="G55" s="6"/>
      <x:c r="H55" s="6"/>
      <x:c r="I55" s="8" t="s">
        <x:v>968</x:v>
      </x:c>
      <x:c r="J55" s="60" t="n">
        <x:f aca="0">Parameters!$B$43</x:f>
        <x:v>0.1034</x:v>
      </x:c>
      <x:c r="K55" s="8" t="n">
        <x:f aca="0">$J55*K$27</x:f>
        <x:v>0.01436111111111111</x:v>
      </x:c>
      <x:c r="L55" s="8" t="n">
        <x:f aca="0">$J55*L$27</x:f>
        <x:v>0.01436111111111111</x:v>
      </x:c>
      <x:c r="M55" s="8" t="n">
        <x:f aca="0">$J55*M$27</x:f>
        <x:v>0.015797222222222223</x:v>
      </x:c>
      <x:c r="N55" s="8" t="n">
        <x:f aca="0">$J55*N$27</x:f>
        <x:v>0.01436111111111111</x:v>
      </x:c>
      <x:c r="O55" s="8" t="n">
        <x:f aca="0">$J55*O$27</x:f>
        <x:v>0.015797222222222223</x:v>
      </x:c>
      <x:c r="P55" s="8" t="n">
        <x:f aca="0">$J55*P$27</x:f>
        <x:v>0.01436111111111111</x:v>
      </x:c>
      <x:c r="Q55" s="8" t="n">
        <x:f aca="0">$J55*Q$27</x:f>
        <x:v>0.01436111111111111</x:v>
      </x:c>
      <x:c r="R55" s="6"/>
      <x:c r="S55" s="6"/>
    </x:row>
    <x:row r="56" s="1" customFormat="1" ht="13.5" hidden="0" customHeight="1">
      <x:c r="A56" s="6"/>
      <x:c r="B56" s="6"/>
      <x:c r="C56" s="6"/>
      <x:c r="D56" s="6"/>
      <x:c r="E56" s="6"/>
      <x:c r="F56" s="6"/>
      <x:c r="G56" s="6"/>
      <x:c r="H56" s="6"/>
      <x:c r="I56" s="5" t="s">
        <x:v>970</x:v>
      </x:c>
      <x:c r="J56" s="61" t="n">
        <x:f aca="0">Parameters!$B$44</x:f>
        <x:v>0.102266666666667</x:v>
      </x:c>
      <x:c r="K56" s="5" t="n">
        <x:f aca="0">$J56*K$27</x:f>
        <x:v>0.014203703703703748</x:v>
      </x:c>
      <x:c r="L56" s="5" t="n">
        <x:f aca="0">$J56*L$27</x:f>
        <x:v>0.014203703703703748</x:v>
      </x:c>
      <x:c r="M56" s="5" t="n">
        <x:f aca="0">$J56*M$27</x:f>
        <x:v>0.015624074074074127</x:v>
      </x:c>
      <x:c r="N56" s="5" t="n">
        <x:f aca="0">$J56*N$27</x:f>
        <x:v>0.014203703703703748</x:v>
      </x:c>
      <x:c r="O56" s="5" t="n">
        <x:f aca="0">$J56*O$27</x:f>
        <x:v>0.015624074074074127</x:v>
      </x:c>
      <x:c r="P56" s="5" t="n">
        <x:f aca="0">$J56*P$27</x:f>
        <x:v>0.014203703703703748</x:v>
      </x:c>
      <x:c r="Q56" s="5" t="n">
        <x:f aca="0">$J56*Q$27</x:f>
        <x:v>0.014203703703703748</x:v>
      </x:c>
      <x:c r="R56" s="6"/>
      <x:c r="S56" s="6"/>
    </x:row>
    <x:row r="57" s="1" customFormat="1" ht="13.5" hidden="0" customHeight="1">
      <x:c r="A57" s="6"/>
      <x:c r="B57" s="6"/>
      <x:c r="C57" s="6"/>
      <x:c r="D57" s="6"/>
      <x:c r="E57" s="6"/>
      <x:c r="F57" s="6"/>
      <x:c r="G57" s="6"/>
      <x:c r="H57" s="6"/>
      <x:c r="I57" s="6"/>
      <x:c r="J57" s="6"/>
      <x:c r="K57" s="6"/>
      <x:c r="L57" s="6"/>
      <x:c r="M57" s="6"/>
      <x:c r="N57" s="6"/>
      <x:c r="O57" s="6"/>
      <x:c r="P57" s="6"/>
      <x:c r="Q57" s="6"/>
      <x:c r="R57" s="6"/>
      <x:c r="S57" s="6"/>
    </x:row>
    <x:row r="58" s="1" customFormat="1" ht="13.5" hidden="0" customHeight="1">
      <x:c r="A58" s="6"/>
      <x:c r="B58" s="6"/>
      <x:c r="C58" s="6"/>
      <x:c r="D58" s="6"/>
      <x:c r="E58" s="6"/>
      <x:c r="F58" s="6"/>
      <x:c r="G58" s="6"/>
      <x:c r="H58" s="6"/>
      <x:c r="I58" s="6"/>
      <x:c r="J58" s="6"/>
      <x:c r="K58" s="6"/>
      <x:c r="L58" s="6"/>
      <x:c r="M58" s="6"/>
      <x:c r="N58" s="6"/>
      <x:c r="O58" s="6"/>
      <x:c r="P58" s="6"/>
      <x:c r="Q58" s="6"/>
      <x:c r="R58" s="6"/>
      <x:c r="S58" s="6"/>
    </x:row>
    <x:row r="59" s="1" customFormat="1" ht="13.5" hidden="0" customHeight="1">
      <x:c r="A59" s="6"/>
      <x:c r="B59" s="6"/>
      <x:c r="C59" s="6"/>
      <x:c r="D59" s="6"/>
      <x:c r="E59" s="6"/>
      <x:c r="F59" s="6"/>
      <x:c r="G59" s="6"/>
      <x:c r="H59" s="6"/>
      <x:c r="I59" s="6"/>
      <x:c r="J59" s="6"/>
      <x:c r="K59" s="6"/>
      <x:c r="L59" s="6"/>
      <x:c r="M59" s="6"/>
      <x:c r="N59" s="6"/>
      <x:c r="O59" s="6"/>
      <x:c r="P59" s="6"/>
      <x:c r="Q59" s="6"/>
      <x:c r="R59" s="6"/>
      <x:c r="S59" s="6"/>
    </x:row>
    <x:row r="60" s="1" customFormat="1" ht="13.5" hidden="0" customHeight="1">
      <x:c r="A60" s="6"/>
      <x:c r="B60" s="6"/>
      <x:c r="C60" s="6"/>
      <x:c r="D60" s="6"/>
      <x:c r="E60" s="6"/>
      <x:c r="F60" s="6"/>
      <x:c r="G60" s="6"/>
      <x:c r="H60" s="6"/>
      <x:c r="I60" s="6"/>
      <x:c r="J60" s="6"/>
      <x:c r="K60" s="6"/>
      <x:c r="L60" s="6"/>
      <x:c r="M60" s="6"/>
      <x:c r="N60" s="6"/>
      <x:c r="O60" s="6"/>
      <x:c r="P60" s="6"/>
      <x:c r="Q60" s="6"/>
      <x:c r="R60" s="6"/>
      <x:c r="S60" s="6"/>
    </x:row>
    <x:row r="61" s="1" customFormat="1" ht="13.5" hidden="0" customHeight="1">
      <x:c r="A61" s="6"/>
      <x:c r="B61" s="6"/>
      <x:c r="C61" s="6"/>
      <x:c r="D61" s="6"/>
      <x:c r="E61" s="6"/>
      <x:c r="F61" s="6"/>
      <x:c r="G61" s="6"/>
      <x:c r="H61" s="6"/>
      <x:c r="I61" s="6"/>
      <x:c r="J61" s="6"/>
      <x:c r="K61" s="6"/>
      <x:c r="L61" s="6"/>
      <x:c r="M61" s="6"/>
      <x:c r="N61" s="6"/>
      <x:c r="O61" s="6"/>
      <x:c r="P61" s="6"/>
      <x:c r="Q61" s="6"/>
      <x:c r="R61" s="6"/>
      <x:c r="S61" s="6"/>
    </x:row>
    <x:row r="62" s="1" customFormat="1" ht="13.5" hidden="0" customHeight="1">
      <x:c r="A62" s="6"/>
      <x:c r="B62" s="6"/>
      <x:c r="C62" s="6"/>
      <x:c r="D62" s="6"/>
      <x:c r="E62" s="6"/>
      <x:c r="F62" s="6"/>
      <x:c r="G62" s="6"/>
      <x:c r="H62" s="6"/>
      <x:c r="I62" s="6"/>
      <x:c r="J62" s="6"/>
      <x:c r="K62" s="6"/>
      <x:c r="L62" s="6"/>
      <x:c r="M62" s="6"/>
      <x:c r="N62" s="6"/>
      <x:c r="O62" s="6"/>
      <x:c r="P62" s="6"/>
      <x:c r="Q62" s="6"/>
      <x:c r="R62" s="6"/>
      <x:c r="S62" s="6"/>
    </x:row>
    <x:row r="63" s="1" customFormat="1" ht="13.5" hidden="0" customHeight="1">
      <x:c r="A63" s="6"/>
      <x:c r="B63" s="6"/>
      <x:c r="C63" s="6"/>
      <x:c r="D63" s="6"/>
      <x:c r="E63" s="6"/>
      <x:c r="F63" s="6"/>
      <x:c r="G63" s="6"/>
      <x:c r="H63" s="6"/>
      <x:c r="I63" s="6"/>
      <x:c r="J63" s="6"/>
      <x:c r="K63" s="6"/>
      <x:c r="L63" s="6"/>
      <x:c r="M63" s="6"/>
      <x:c r="N63" s="6"/>
      <x:c r="O63" s="6"/>
      <x:c r="P63" s="6"/>
      <x:c r="Q63" s="6"/>
      <x:c r="R63" s="6"/>
      <x:c r="S63" s="6"/>
    </x:row>
    <x:row r="64" s="1" customFormat="1" ht="13.5" hidden="0" customHeight="1">
      <x:c r="A64" s="6"/>
      <x:c r="B64" s="6"/>
      <x:c r="C64" s="6"/>
      <x:c r="D64" s="6"/>
      <x:c r="E64" s="6"/>
      <x:c r="F64" s="6"/>
      <x:c r="G64" s="6"/>
      <x:c r="H64" s="6"/>
      <x:c r="I64" s="6"/>
      <x:c r="J64" s="6"/>
      <x:c r="K64" s="6"/>
      <x:c r="L64" s="6"/>
      <x:c r="M64" s="6"/>
      <x:c r="N64" s="6"/>
      <x:c r="O64" s="6"/>
      <x:c r="P64" s="6"/>
      <x:c r="Q64" s="6"/>
      <x:c r="R64" s="6"/>
      <x:c r="S64" s="6"/>
    </x:row>
    <x:row r="65" s="1" customFormat="1" ht="13.5" hidden="0" customHeight="1">
      <x:c r="A65" s="6"/>
      <x:c r="B65" s="6"/>
      <x:c r="C65" s="6"/>
      <x:c r="D65" s="6"/>
      <x:c r="E65" s="6"/>
      <x:c r="F65" s="6"/>
      <x:c r="G65" s="6"/>
      <x:c r="H65" s="6"/>
      <x:c r="I65" s="6"/>
      <x:c r="J65" s="6"/>
      <x:c r="K65" s="6"/>
      <x:c r="L65" s="6"/>
      <x:c r="M65" s="6"/>
      <x:c r="N65" s="6"/>
      <x:c r="O65" s="6"/>
      <x:c r="P65" s="6"/>
      <x:c r="Q65" s="6"/>
      <x:c r="R65" s="6"/>
      <x:c r="S65" s="6"/>
    </x:row>
    <x:row r="66" s="1" customFormat="1" ht="13.5" hidden="0" customHeight="1">
      <x:c r="A66" s="6"/>
      <x:c r="B66" s="6"/>
      <x:c r="C66" s="6"/>
      <x:c r="D66" s="6"/>
      <x:c r="E66" s="6"/>
      <x:c r="F66" s="6"/>
      <x:c r="G66" s="6"/>
      <x:c r="H66" s="6"/>
      <x:c r="I66" s="6"/>
      <x:c r="J66" s="6"/>
      <x:c r="K66" s="6"/>
      <x:c r="L66" s="6"/>
      <x:c r="M66" s="6"/>
      <x:c r="N66" s="6"/>
      <x:c r="O66" s="6"/>
      <x:c r="P66" s="6"/>
      <x:c r="Q66" s="6"/>
      <x:c r="R66" s="6"/>
      <x:c r="S66" s="6"/>
    </x:row>
    <x:row r="67" s="1" customFormat="1" ht="13.5" hidden="0" customHeight="1">
      <x:c r="A67" s="6"/>
      <x:c r="B67" s="6"/>
      <x:c r="C67" s="6"/>
      <x:c r="D67" s="6"/>
      <x:c r="E67" s="6"/>
      <x:c r="F67" s="6"/>
      <x:c r="G67" s="6"/>
      <x:c r="H67" s="6"/>
      <x:c r="I67" s="6"/>
      <x:c r="J67" s="6"/>
      <x:c r="K67" s="6"/>
      <x:c r="L67" s="6"/>
      <x:c r="M67" s="6"/>
      <x:c r="N67" s="6"/>
      <x:c r="O67" s="6"/>
      <x:c r="P67" s="6"/>
      <x:c r="Q67" s="6"/>
      <x:c r="R67" s="6"/>
      <x:c r="S67" s="6"/>
    </x:row>
    <x:row r="68" s="1" customFormat="1" ht="13.5" hidden="0" customHeight="1">
      <x:c r="A68" s="6"/>
      <x:c r="B68" s="6"/>
      <x:c r="C68" s="6"/>
      <x:c r="D68" s="6"/>
      <x:c r="E68" s="6"/>
      <x:c r="F68" s="6"/>
      <x:c r="G68" s="6"/>
      <x:c r="H68" s="6"/>
      <x:c r="I68" s="6"/>
      <x:c r="J68" s="6"/>
      <x:c r="K68" s="6"/>
      <x:c r="L68" s="6"/>
      <x:c r="M68" s="6"/>
      <x:c r="N68" s="6"/>
      <x:c r="O68" s="6"/>
      <x:c r="P68" s="6"/>
      <x:c r="Q68" s="6"/>
      <x:c r="R68" s="6"/>
      <x:c r="S68" s="6"/>
    </x:row>
    <x:row r="69" s="1" customFormat="1" ht="13.5" hidden="0" customHeight="1">
      <x:c r="A69" s="6"/>
      <x:c r="B69" s="6"/>
      <x:c r="C69" s="6"/>
      <x:c r="D69" s="6"/>
      <x:c r="E69" s="6"/>
      <x:c r="F69" s="6"/>
      <x:c r="G69" s="6"/>
      <x:c r="H69" s="6"/>
      <x:c r="I69" s="6"/>
      <x:c r="J69" s="6"/>
      <x:c r="K69" s="6"/>
      <x:c r="L69" s="6"/>
      <x:c r="M69" s="6"/>
      <x:c r="N69" s="6"/>
      <x:c r="O69" s="6"/>
      <x:c r="P69" s="6"/>
      <x:c r="Q69" s="6"/>
      <x:c r="R69" s="6"/>
      <x:c r="S69" s="6"/>
    </x:row>
    <x:row r="70" s="1" customFormat="1" ht="13.5" hidden="0" customHeight="1">
      <x:c r="A70" s="6"/>
      <x:c r="B70" s="6"/>
      <x:c r="C70" s="6"/>
      <x:c r="D70" s="6"/>
      <x:c r="E70" s="6"/>
      <x:c r="F70" s="6"/>
      <x:c r="G70" s="6"/>
      <x:c r="H70" s="6"/>
      <x:c r="I70" s="6"/>
      <x:c r="J70" s="6"/>
      <x:c r="K70" s="6"/>
      <x:c r="L70" s="6"/>
      <x:c r="M70" s="6"/>
      <x:c r="N70" s="6"/>
      <x:c r="O70" s="6"/>
      <x:c r="P70" s="6"/>
      <x:c r="Q70" s="6"/>
      <x:c r="R70" s="6"/>
      <x:c r="S70" s="6"/>
    </x:row>
    <x:row r="71" s="1" customFormat="1" ht="13.5" hidden="0" customHeight="1">
      <x:c r="A71" s="6"/>
      <x:c r="B71" s="6"/>
      <x:c r="C71" s="6"/>
      <x:c r="D71" s="6"/>
      <x:c r="E71" s="6"/>
      <x:c r="F71" s="6"/>
      <x:c r="G71" s="6"/>
      <x:c r="H71" s="6"/>
      <x:c r="I71" s="6"/>
      <x:c r="J71" s="6"/>
      <x:c r="K71" s="6"/>
      <x:c r="L71" s="6"/>
      <x:c r="M71" s="6"/>
      <x:c r="N71" s="6"/>
      <x:c r="O71" s="6"/>
      <x:c r="P71" s="6"/>
      <x:c r="Q71" s="6"/>
      <x:c r="R71" s="6"/>
      <x:c r="S71" s="6"/>
    </x:row>
    <x:row r="72" s="1" customFormat="1" ht="13.5" hidden="0" customHeight="1">
      <x:c r="A72" s="6"/>
      <x:c r="B72" s="6"/>
      <x:c r="C72" s="6"/>
      <x:c r="D72" s="6"/>
      <x:c r="E72" s="6"/>
      <x:c r="F72" s="6"/>
      <x:c r="G72" s="6"/>
      <x:c r="H72" s="6"/>
      <x:c r="I72" s="6"/>
      <x:c r="J72" s="6"/>
      <x:c r="K72" s="6"/>
      <x:c r="L72" s="6"/>
      <x:c r="M72" s="6"/>
      <x:c r="N72" s="6"/>
      <x:c r="O72" s="6"/>
      <x:c r="P72" s="6"/>
      <x:c r="Q72" s="6"/>
      <x:c r="R72" s="6"/>
      <x:c r="S72" s="6"/>
    </x:row>
    <x:row r="73" s="1" customFormat="1" ht="13.5" hidden="0" customHeight="1">
      <x:c r="A73" s="6"/>
      <x:c r="B73" s="6"/>
      <x:c r="C73" s="6"/>
      <x:c r="D73" s="6"/>
      <x:c r="E73" s="6"/>
      <x:c r="F73" s="6"/>
      <x:c r="G73" s="6"/>
      <x:c r="H73" s="6"/>
      <x:c r="I73" s="6"/>
      <x:c r="J73" s="6"/>
      <x:c r="K73" s="6"/>
      <x:c r="L73" s="6"/>
      <x:c r="M73" s="6"/>
      <x:c r="N73" s="6"/>
      <x:c r="O73" s="6"/>
      <x:c r="P73" s="6"/>
      <x:c r="Q73" s="6"/>
      <x:c r="R73" s="6"/>
      <x:c r="S73" s="6"/>
    </x:row>
    <x:row r="74" s="1" customFormat="1" ht="13.5" hidden="0" customHeight="1">
      <x:c r="A74" s="6"/>
      <x:c r="B74" s="6"/>
      <x:c r="C74" s="6"/>
      <x:c r="D74" s="6"/>
      <x:c r="E74" s="6"/>
      <x:c r="F74" s="6"/>
      <x:c r="G74" s="6"/>
      <x:c r="H74" s="6"/>
      <x:c r="I74" s="6"/>
      <x:c r="J74" s="6"/>
      <x:c r="K74" s="6"/>
      <x:c r="L74" s="6"/>
      <x:c r="M74" s="6"/>
      <x:c r="N74" s="6"/>
      <x:c r="O74" s="6"/>
      <x:c r="P74" s="6"/>
      <x:c r="Q74" s="6"/>
      <x:c r="R74" s="6"/>
      <x:c r="S74" s="6"/>
    </x:row>
    <x:row r="75" s="1" customFormat="1" ht="13.5" hidden="0" customHeight="1">
      <x:c r="A75" s="6"/>
      <x:c r="B75" s="6"/>
      <x:c r="C75" s="6"/>
      <x:c r="D75" s="6"/>
      <x:c r="E75" s="6"/>
      <x:c r="F75" s="6"/>
      <x:c r="G75" s="6"/>
      <x:c r="H75" s="6"/>
      <x:c r="I75" s="6"/>
      <x:c r="J75" s="6"/>
      <x:c r="K75" s="6"/>
      <x:c r="L75" s="6"/>
      <x:c r="M75" s="6"/>
      <x:c r="N75" s="6"/>
      <x:c r="O75" s="6"/>
      <x:c r="P75" s="6"/>
      <x:c r="Q75" s="6"/>
      <x:c r="R75" s="6"/>
      <x:c r="S75" s="6"/>
    </x:row>
    <x:row r="76" s="1" customFormat="1" ht="13.5" hidden="0" customHeight="1">
      <x:c r="A76" s="6"/>
      <x:c r="B76" s="6"/>
      <x:c r="C76" s="6"/>
      <x:c r="D76" s="6"/>
      <x:c r="E76" s="6"/>
      <x:c r="F76" s="6"/>
      <x:c r="G76" s="6"/>
      <x:c r="H76" s="6"/>
      <x:c r="I76" s="6"/>
      <x:c r="J76" s="6"/>
      <x:c r="K76" s="6"/>
      <x:c r="L76" s="6"/>
      <x:c r="M76" s="6"/>
      <x:c r="N76" s="6"/>
      <x:c r="O76" s="6"/>
      <x:c r="P76" s="6"/>
      <x:c r="Q76" s="6"/>
      <x:c r="R76" s="6"/>
      <x:c r="S76" s="6"/>
    </x:row>
    <x:row r="77" s="1" customFormat="1" ht="13.5" hidden="0" customHeight="1">
      <x:c r="A77" s="6"/>
      <x:c r="B77" s="6"/>
      <x:c r="C77" s="6"/>
      <x:c r="D77" s="6"/>
      <x:c r="E77" s="6"/>
      <x:c r="F77" s="6"/>
      <x:c r="G77" s="6"/>
      <x:c r="H77" s="6"/>
      <x:c r="I77" s="6"/>
      <x:c r="J77" s="6"/>
      <x:c r="K77" s="6"/>
      <x:c r="L77" s="6"/>
      <x:c r="M77" s="6"/>
      <x:c r="N77" s="6"/>
      <x:c r="O77" s="6"/>
      <x:c r="P77" s="6"/>
      <x:c r="Q77" s="6"/>
      <x:c r="R77" s="6"/>
      <x:c r="S77" s="6"/>
    </x:row>
    <x:row r="78" s="1" customFormat="1" ht="13.5" hidden="0" customHeight="1">
      <x:c r="A78" s="6"/>
      <x:c r="B78" s="6"/>
      <x:c r="C78" s="6"/>
      <x:c r="D78" s="6"/>
      <x:c r="E78" s="6"/>
      <x:c r="F78" s="6"/>
      <x:c r="G78" s="6"/>
      <x:c r="H78" s="6"/>
      <x:c r="I78" s="6"/>
      <x:c r="J78" s="6"/>
      <x:c r="K78" s="6"/>
      <x:c r="L78" s="6"/>
      <x:c r="M78" s="6"/>
      <x:c r="N78" s="6"/>
      <x:c r="O78" s="6"/>
      <x:c r="P78" s="6"/>
      <x:c r="Q78" s="6"/>
      <x:c r="R78" s="6"/>
      <x:c r="S78" s="6"/>
    </x:row>
    <x:row r="79" s="1" customFormat="1" ht="13.5" hidden="0" customHeight="1">
      <x:c r="A79" s="6"/>
      <x:c r="B79" s="6"/>
      <x:c r="C79" s="6"/>
      <x:c r="D79" s="6"/>
      <x:c r="E79" s="6"/>
      <x:c r="F79" s="6"/>
      <x:c r="G79" s="6"/>
      <x:c r="H79" s="6"/>
      <x:c r="I79" s="6"/>
      <x:c r="J79" s="6"/>
      <x:c r="K79" s="6"/>
      <x:c r="L79" s="6"/>
      <x:c r="M79" s="6"/>
      <x:c r="N79" s="6"/>
      <x:c r="O79" s="6"/>
      <x:c r="P79" s="6"/>
      <x:c r="Q79" s="6"/>
      <x:c r="R79" s="6"/>
      <x:c r="S79" s="6"/>
    </x:row>
    <x:row r="80" s="1" customFormat="1" ht="13.5" hidden="0" customHeight="1">
      <x:c r="A80" s="6"/>
      <x:c r="B80" s="6"/>
      <x:c r="C80" s="6"/>
      <x:c r="D80" s="6"/>
      <x:c r="E80" s="6"/>
      <x:c r="F80" s="6"/>
      <x:c r="G80" s="6"/>
      <x:c r="H80" s="6"/>
      <x:c r="I80" s="6"/>
      <x:c r="J80" s="6"/>
      <x:c r="K80" s="6"/>
      <x:c r="L80" s="6"/>
      <x:c r="M80" s="6"/>
      <x:c r="N80" s="6"/>
      <x:c r="O80" s="6"/>
      <x:c r="P80" s="6"/>
      <x:c r="Q80" s="6"/>
      <x:c r="R80" s="6"/>
      <x:c r="S80" s="6"/>
    </x:row>
    <x:row r="81" s="1" customFormat="1" ht="13.5" hidden="0" customHeight="1">
      <x:c r="A81" s="6"/>
      <x:c r="B81" s="6"/>
      <x:c r="C81" s="6"/>
      <x:c r="D81" s="6"/>
      <x:c r="E81" s="6"/>
      <x:c r="F81" s="6"/>
      <x:c r="G81" s="6"/>
      <x:c r="H81" s="6"/>
      <x:c r="I81" s="6"/>
      <x:c r="J81" s="6"/>
      <x:c r="K81" s="6"/>
      <x:c r="L81" s="6"/>
      <x:c r="M81" s="6"/>
      <x:c r="N81" s="6"/>
      <x:c r="O81" s="6"/>
      <x:c r="P81" s="6"/>
      <x:c r="Q81" s="6"/>
      <x:c r="R81" s="6"/>
      <x:c r="S81" s="6"/>
    </x:row>
    <x:row r="82" s="1" customFormat="1" ht="13.5" hidden="0" customHeight="1">
      <x:c r="A82" s="6"/>
      <x:c r="B82" s="6"/>
      <x:c r="C82" s="6"/>
      <x:c r="D82" s="6"/>
      <x:c r="E82" s="6"/>
      <x:c r="F82" s="6"/>
      <x:c r="G82" s="6"/>
      <x:c r="H82" s="6"/>
      <x:c r="I82" s="6"/>
      <x:c r="J82" s="6"/>
      <x:c r="K82" s="6"/>
      <x:c r="L82" s="6"/>
      <x:c r="M82" s="6"/>
      <x:c r="N82" s="6"/>
      <x:c r="O82" s="6"/>
      <x:c r="P82" s="6"/>
      <x:c r="Q82" s="6"/>
      <x:c r="R82" s="6"/>
      <x:c r="S82" s="6"/>
    </x:row>
    <x:row r="83" s="1" customFormat="1" ht="13.5" hidden="0" customHeight="1">
      <x:c r="A83" s="6"/>
      <x:c r="B83" s="6"/>
      <x:c r="C83" s="6"/>
      <x:c r="D83" s="6"/>
      <x:c r="E83" s="6"/>
      <x:c r="F83" s="6"/>
      <x:c r="G83" s="6"/>
      <x:c r="H83" s="6"/>
      <x:c r="I83" s="6"/>
      <x:c r="J83" s="6"/>
      <x:c r="K83" s="6"/>
      <x:c r="L83" s="6"/>
      <x:c r="M83" s="6"/>
      <x:c r="N83" s="6"/>
      <x:c r="O83" s="6"/>
      <x:c r="P83" s="6"/>
      <x:c r="Q83" s="6"/>
      <x:c r="R83" s="6"/>
      <x:c r="S83" s="6"/>
    </x:row>
    <x:row r="84" s="1" customFormat="1" ht="13.5" hidden="0" customHeight="1">
      <x:c r="A84" s="6"/>
      <x:c r="B84" s="6"/>
      <x:c r="C84" s="6"/>
      <x:c r="D84" s="6"/>
      <x:c r="E84" s="6"/>
      <x:c r="F84" s="6"/>
      <x:c r="G84" s="6"/>
      <x:c r="H84" s="6"/>
      <x:c r="I84" s="6"/>
      <x:c r="J84" s="6"/>
      <x:c r="K84" s="6"/>
      <x:c r="L84" s="6"/>
      <x:c r="M84" s="6"/>
      <x:c r="N84" s="6"/>
      <x:c r="O84" s="6"/>
      <x:c r="P84" s="6"/>
      <x:c r="Q84" s="6"/>
      <x:c r="R84" s="6"/>
      <x:c r="S84" s="6"/>
    </x:row>
    <x:row r="85" s="1" customFormat="1" ht="13.5" hidden="0" customHeight="1">
      <x:c r="A85" s="6"/>
      <x:c r="B85" s="6"/>
      <x:c r="C85" s="6"/>
      <x:c r="D85" s="6"/>
      <x:c r="E85" s="6"/>
      <x:c r="F85" s="6"/>
      <x:c r="G85" s="6"/>
      <x:c r="H85" s="6"/>
      <x:c r="I85" s="6"/>
      <x:c r="J85" s="6"/>
      <x:c r="K85" s="6"/>
      <x:c r="L85" s="6"/>
      <x:c r="M85" s="6"/>
      <x:c r="N85" s="6"/>
      <x:c r="O85" s="6"/>
      <x:c r="P85" s="6"/>
      <x:c r="Q85" s="6"/>
      <x:c r="R85" s="6"/>
      <x:c r="S85" s="6"/>
    </x:row>
    <x:row r="86" s="1" customFormat="1" ht="13.5" hidden="0" customHeight="1">
      <x:c r="A86" s="6"/>
      <x:c r="B86" s="6"/>
      <x:c r="C86" s="6"/>
      <x:c r="D86" s="6"/>
      <x:c r="E86" s="6"/>
      <x:c r="F86" s="6"/>
      <x:c r="G86" s="6"/>
      <x:c r="H86" s="6"/>
      <x:c r="I86" s="6"/>
      <x:c r="J86" s="6"/>
      <x:c r="K86" s="6"/>
      <x:c r="L86" s="6"/>
      <x:c r="M86" s="6"/>
      <x:c r="N86" s="6"/>
      <x:c r="O86" s="6"/>
      <x:c r="P86" s="6"/>
      <x:c r="Q86" s="6"/>
      <x:c r="R86" s="6"/>
      <x:c r="S86" s="6"/>
    </x:row>
    <x:row r="87" s="1" customFormat="1" ht="13.5" hidden="0" customHeight="1">
      <x:c r="A87" s="6"/>
      <x:c r="B87" s="6"/>
      <x:c r="C87" s="6"/>
      <x:c r="D87" s="6"/>
      <x:c r="E87" s="6"/>
      <x:c r="F87" s="6"/>
      <x:c r="G87" s="6"/>
      <x:c r="H87" s="6"/>
      <x:c r="I87" s="6"/>
      <x:c r="J87" s="6"/>
      <x:c r="K87" s="6"/>
      <x:c r="L87" s="6"/>
      <x:c r="M87" s="6"/>
      <x:c r="N87" s="6"/>
      <x:c r="O87" s="6"/>
      <x:c r="P87" s="6"/>
      <x:c r="Q87" s="6"/>
      <x:c r="R87" s="6"/>
      <x:c r="S87" s="6"/>
    </x:row>
    <x:row r="88" s="1" customFormat="1" ht="13.5" hidden="0" customHeight="1">
      <x:c r="A88" s="6"/>
      <x:c r="B88" s="6"/>
      <x:c r="C88" s="6"/>
      <x:c r="D88" s="6"/>
      <x:c r="E88" s="6"/>
      <x:c r="F88" s="6"/>
      <x:c r="G88" s="6"/>
      <x:c r="H88" s="6"/>
      <x:c r="I88" s="6"/>
      <x:c r="J88" s="6"/>
      <x:c r="K88" s="6"/>
      <x:c r="L88" s="6"/>
      <x:c r="M88" s="6"/>
      <x:c r="N88" s="6"/>
      <x:c r="O88" s="6"/>
      <x:c r="P88" s="6"/>
      <x:c r="Q88" s="6"/>
      <x:c r="R88" s="6"/>
      <x:c r="S88" s="6"/>
    </x:row>
    <x:row r="89" s="1" customFormat="1" ht="13.5" hidden="0" customHeight="1">
      <x:c r="A89" s="6"/>
      <x:c r="B89" s="6"/>
      <x:c r="C89" s="6"/>
      <x:c r="D89" s="6"/>
      <x:c r="E89" s="6"/>
      <x:c r="F89" s="6"/>
      <x:c r="G89" s="6"/>
      <x:c r="H89" s="6"/>
      <x:c r="I89" s="6"/>
      <x:c r="J89" s="6"/>
      <x:c r="K89" s="6"/>
      <x:c r="L89" s="6"/>
      <x:c r="M89" s="6"/>
      <x:c r="N89" s="6"/>
      <x:c r="O89" s="6"/>
      <x:c r="P89" s="6"/>
      <x:c r="Q89" s="6"/>
      <x:c r="R89" s="6"/>
      <x:c r="S89" s="6"/>
    </x:row>
    <x:row r="90" s="1" customFormat="1" ht="13.5" hidden="0" customHeight="1">
      <x:c r="A90" s="6"/>
      <x:c r="B90" s="6"/>
      <x:c r="C90" s="6"/>
      <x:c r="D90" s="6"/>
      <x:c r="E90" s="6"/>
      <x:c r="F90" s="6"/>
      <x:c r="G90" s="6"/>
      <x:c r="H90" s="6"/>
      <x:c r="I90" s="6"/>
      <x:c r="J90" s="6"/>
      <x:c r="K90" s="6"/>
      <x:c r="L90" s="6"/>
      <x:c r="M90" s="6"/>
      <x:c r="N90" s="6"/>
      <x:c r="O90" s="6"/>
      <x:c r="P90" s="6"/>
      <x:c r="Q90" s="6"/>
      <x:c r="R90" s="6"/>
      <x:c r="S90" s="6"/>
    </x:row>
    <x:row r="91" s="1" customFormat="1" ht="13.5" hidden="0" customHeight="1">
      <x:c r="A91" s="6"/>
      <x:c r="B91" s="6"/>
      <x:c r="C91" s="6"/>
      <x:c r="D91" s="6"/>
      <x:c r="E91" s="6"/>
      <x:c r="F91" s="6"/>
      <x:c r="G91" s="6"/>
      <x:c r="H91" s="6"/>
      <x:c r="I91" s="6"/>
      <x:c r="J91" s="6"/>
      <x:c r="K91" s="6"/>
      <x:c r="L91" s="6"/>
      <x:c r="M91" s="6"/>
      <x:c r="N91" s="6"/>
      <x:c r="O91" s="6"/>
      <x:c r="P91" s="6"/>
      <x:c r="Q91" s="6"/>
      <x:c r="R91" s="6"/>
      <x:c r="S91" s="6"/>
    </x:row>
    <x:row r="92" s="1" customFormat="1" ht="13.5" hidden="0" customHeight="1">
      <x:c r="A92" s="6"/>
      <x:c r="B92" s="6"/>
      <x:c r="C92" s="6"/>
      <x:c r="D92" s="6"/>
      <x:c r="E92" s="6"/>
      <x:c r="F92" s="6"/>
      <x:c r="G92" s="6"/>
      <x:c r="H92" s="6"/>
      <x:c r="I92" s="6"/>
      <x:c r="J92" s="6"/>
      <x:c r="K92" s="6"/>
      <x:c r="L92" s="6"/>
      <x:c r="M92" s="6"/>
      <x:c r="N92" s="6"/>
      <x:c r="O92" s="6"/>
      <x:c r="P92" s="6"/>
      <x:c r="Q92" s="6"/>
      <x:c r="R92" s="6"/>
      <x:c r="S92" s="6"/>
    </x:row>
    <x:row r="93" s="1" customFormat="1" ht="13.5" hidden="0" customHeight="1">
      <x:c r="A93" s="6"/>
      <x:c r="B93" s="6"/>
      <x:c r="C93" s="6"/>
      <x:c r="D93" s="6"/>
      <x:c r="E93" s="6"/>
      <x:c r="F93" s="6"/>
      <x:c r="G93" s="6"/>
      <x:c r="H93" s="6"/>
      <x:c r="I93" s="6"/>
      <x:c r="J93" s="6"/>
      <x:c r="K93" s="6"/>
      <x:c r="L93" s="6"/>
      <x:c r="M93" s="6"/>
      <x:c r="N93" s="6"/>
      <x:c r="O93" s="6"/>
      <x:c r="P93" s="6"/>
      <x:c r="Q93" s="6"/>
      <x:c r="R93" s="6"/>
      <x:c r="S93" s="6"/>
    </x:row>
    <x:row r="94" s="1" customFormat="1" ht="13.5" hidden="0" customHeight="1">
      <x:c r="A94" s="6"/>
      <x:c r="B94" s="6"/>
      <x:c r="C94" s="6"/>
      <x:c r="D94" s="6"/>
      <x:c r="E94" s="6"/>
      <x:c r="F94" s="6"/>
      <x:c r="G94" s="6"/>
      <x:c r="H94" s="6"/>
      <x:c r="I94" s="6"/>
      <x:c r="J94" s="6"/>
      <x:c r="K94" s="6"/>
      <x:c r="L94" s="6"/>
      <x:c r="M94" s="6"/>
      <x:c r="N94" s="6"/>
      <x:c r="O94" s="6"/>
      <x:c r="P94" s="6"/>
      <x:c r="Q94" s="6"/>
      <x:c r="R94" s="6"/>
      <x:c r="S94" s="6"/>
    </x:row>
    <x:row r="95" s="1" customFormat="1" ht="13.5" hidden="0" customHeight="1">
      <x:c r="A95" s="6"/>
      <x:c r="B95" s="6"/>
      <x:c r="C95" s="6"/>
      <x:c r="D95" s="6"/>
      <x:c r="E95" s="6"/>
      <x:c r="F95" s="6"/>
      <x:c r="G95" s="6"/>
      <x:c r="H95" s="6"/>
      <x:c r="I95" s="6"/>
      <x:c r="J95" s="6"/>
      <x:c r="K95" s="6"/>
      <x:c r="L95" s="6"/>
      <x:c r="M95" s="6"/>
      <x:c r="N95" s="6"/>
      <x:c r="O95" s="6"/>
      <x:c r="P95" s="6"/>
      <x:c r="Q95" s="6"/>
      <x:c r="R95" s="6"/>
      <x:c r="S95" s="6"/>
    </x:row>
    <x:row r="96" s="1" customFormat="1" ht="13.5" hidden="0" customHeight="1">
      <x:c r="A96" s="6"/>
      <x:c r="B96" s="6"/>
      <x:c r="C96" s="6"/>
      <x:c r="D96" s="6"/>
      <x:c r="E96" s="6"/>
      <x:c r="F96" s="6"/>
      <x:c r="G96" s="6"/>
      <x:c r="H96" s="6"/>
      <x:c r="I96" s="6"/>
      <x:c r="J96" s="6"/>
      <x:c r="K96" s="6"/>
      <x:c r="L96" s="6"/>
      <x:c r="M96" s="6"/>
      <x:c r="N96" s="6"/>
      <x:c r="O96" s="6"/>
      <x:c r="P96" s="6"/>
      <x:c r="Q96" s="6"/>
      <x:c r="R96" s="6"/>
      <x:c r="S96" s="6"/>
    </x:row>
    <x:row r="97" s="1" customFormat="1" ht="13.5" hidden="0" customHeight="1">
      <x:c r="A97" s="6"/>
      <x:c r="B97" s="6"/>
      <x:c r="C97" s="6"/>
      <x:c r="D97" s="6"/>
      <x:c r="E97" s="6"/>
      <x:c r="F97" s="6"/>
      <x:c r="G97" s="6"/>
      <x:c r="H97" s="6"/>
      <x:c r="I97" s="6"/>
      <x:c r="J97" s="6"/>
      <x:c r="K97" s="6"/>
      <x:c r="L97" s="6"/>
      <x:c r="M97" s="6"/>
      <x:c r="N97" s="6"/>
      <x:c r="O97" s="6"/>
      <x:c r="P97" s="6"/>
      <x:c r="Q97" s="6"/>
      <x:c r="R97" s="6"/>
      <x:c r="S97" s="6"/>
    </x:row>
    <x:row r="98" s="1" customFormat="1" ht="13.5" hidden="0" customHeight="1">
      <x:c r="A98" s="6"/>
      <x:c r="B98" s="6"/>
      <x:c r="C98" s="6"/>
      <x:c r="D98" s="6"/>
      <x:c r="E98" s="6"/>
      <x:c r="F98" s="6"/>
      <x:c r="G98" s="6"/>
      <x:c r="H98" s="6"/>
      <x:c r="I98" s="6"/>
      <x:c r="J98" s="6"/>
      <x:c r="K98" s="6"/>
      <x:c r="L98" s="6"/>
      <x:c r="M98" s="6"/>
      <x:c r="N98" s="6"/>
      <x:c r="O98" s="6"/>
      <x:c r="P98" s="6"/>
      <x:c r="Q98" s="6"/>
      <x:c r="R98" s="6"/>
      <x:c r="S98" s="6"/>
    </x:row>
    <x:row r="99" s="1" customFormat="1" ht="13.5" hidden="0" customHeight="1">
      <x:c r="A99" s="6"/>
      <x:c r="B99" s="6"/>
      <x:c r="C99" s="6"/>
      <x:c r="D99" s="6"/>
      <x:c r="E99" s="6"/>
      <x:c r="F99" s="6"/>
      <x:c r="G99" s="6"/>
      <x:c r="H99" s="6"/>
      <x:c r="I99" s="6"/>
      <x:c r="J99" s="6"/>
      <x:c r="K99" s="6"/>
      <x:c r="L99" s="6"/>
      <x:c r="M99" s="6"/>
      <x:c r="N99" s="6"/>
      <x:c r="O99" s="6"/>
      <x:c r="P99" s="6"/>
      <x:c r="Q99" s="6"/>
      <x:c r="R99" s="6"/>
      <x:c r="S99" s="6"/>
    </x:row>
    <x:row r="100" s="1" customFormat="1" ht="13.5" hidden="0" customHeight="1">
      <x:c r="A100" s="6"/>
      <x:c r="B100" s="6"/>
      <x:c r="C100" s="6"/>
      <x:c r="D100" s="6"/>
      <x:c r="E100" s="6"/>
      <x:c r="F100" s="6"/>
      <x:c r="G100" s="6"/>
      <x:c r="H100" s="6"/>
      <x:c r="I100" s="6"/>
      <x:c r="J100" s="5" t="s">
        <x:v>1135</x:v>
      </x:c>
      <x:c r="K100" s="5" t="s">
        <x:v>2830</x:v>
      </x:c>
      <x:c r="L100" s="5" t="s">
        <x:v>2831</x:v>
      </x:c>
      <x:c r="M100" s="5" t="s">
        <x:v>2832</x:v>
      </x:c>
      <x:c r="N100" s="5" t="s">
        <x:v>2833</x:v>
      </x:c>
      <x:c r="O100" s="5" t="s">
        <x:v>2834</x:v>
      </x:c>
      <x:c r="P100" s="6"/>
      <x:c r="Q100" s="6"/>
      <x:c r="R100" s="6"/>
      <x:c r="S100" s="6"/>
    </x:row>
    <x:row r="101" s="1" customFormat="1" ht="13.5" hidden="0" customHeight="1">
      <x:c r="A101" s="6"/>
      <x:c r="B101" s="6"/>
      <x:c r="C101" s="6"/>
      <x:c r="D101" s="6"/>
      <x:c r="E101" s="6"/>
      <x:c r="F101" s="6"/>
      <x:c r="G101" s="6"/>
      <x:c r="H101" s="6"/>
      <x:c r="I101" s="6"/>
      <x:c r="J101" s="8" t="str">
        <x:f aca="0">TRC!B15</x:f>
        <x:v>S06</x:v>
      </x:c>
      <x:c r="K101" s="8" t="n">
        <x:f aca="0">TRC!D15</x:f>
        <x:v>0.03</x:v>
      </x:c>
      <x:c r="L101" s="8" t="n">
        <x:f aca="0">IF(OR(J101="S06",J101="S04",J101="S03"),1.2,1)</x:f>
        <x:v>1.2</x:v>
      </x:c>
      <x:c r="M101" s="8" t="n">
        <x:f aca="0">K101*L101/SUMPRODUCT($K$101:$K$107,$L$101:$L$107)</x:f>
        <x:v>0.03474903474903474</x:v>
      </x:c>
      <x:c r="N101" s="8" t="n">
        <x:f aca="0">IF(OR(J101="S06",J101="S04",J101="S03"),0.8,1)</x:f>
        <x:v>0.8</x:v>
      </x:c>
      <x:c r="O101" s="8" t="n">
        <x:f aca="0">K101*N101/SUMPRODUCT($K$101:$K$107,$N$101:$N$107)</x:f>
        <x:v>0.024896265560165977</x:v>
      </x:c>
      <x:c r="P101" s="6"/>
      <x:c r="Q101" s="6"/>
      <x:c r="R101" s="6"/>
      <x:c r="S101" s="6"/>
    </x:row>
    <x:row r="102" s="1" customFormat="1" ht="13.5" hidden="0" customHeight="1">
      <x:c r="A102" s="6"/>
      <x:c r="B102" s="6"/>
      <x:c r="C102" s="6"/>
      <x:c r="D102" s="6"/>
      <x:c r="E102" s="6"/>
      <x:c r="F102" s="6"/>
      <x:c r="G102" s="6"/>
      <x:c r="H102" s="6"/>
      <x:c r="I102" s="6"/>
      <x:c r="J102" s="5" t="str">
        <x:f aca="0">TRC!B16</x:f>
        <x:v>S04</x:v>
      </x:c>
      <x:c r="K102" s="5" t="n">
        <x:f aca="0">TRC!D16</x:f>
        <x:v>0.07</x:v>
      </x:c>
      <x:c r="L102" s="5" t="n">
        <x:f aca="0">IF(OR(J102="S06",J102="S04",J102="S03"),1.2,1)</x:f>
        <x:v>1.2</x:v>
      </x:c>
      <x:c r="M102" s="5" t="n">
        <x:f aca="0">K102*L102/SUMPRODUCT($K$101:$K$107,$L$101:$L$107)</x:f>
        <x:v>0.08108108108108109</x:v>
      </x:c>
      <x:c r="N102" s="5" t="n">
        <x:f aca="0">IF(OR(J102="S06",J102="S04",J102="S03"),0.8,1)</x:f>
        <x:v>0.8</x:v>
      </x:c>
      <x:c r="O102" s="5" t="n">
        <x:f aca="0">K102*N102/SUMPRODUCT($K$101:$K$107,$N$101:$N$107)</x:f>
        <x:v>0.05809128630705395</x:v>
      </x:c>
      <x:c r="P102" s="6"/>
      <x:c r="Q102" s="6"/>
      <x:c r="R102" s="6"/>
      <x:c r="S102" s="6"/>
    </x:row>
    <x:row r="103" s="1" customFormat="1" ht="13.5" hidden="0" customHeight="1">
      <x:c r="A103" s="6"/>
      <x:c r="B103" s="6"/>
      <x:c r="C103" s="6"/>
      <x:c r="D103" s="6"/>
      <x:c r="E103" s="6"/>
      <x:c r="F103" s="6"/>
      <x:c r="G103" s="6"/>
      <x:c r="H103" s="6"/>
      <x:c r="I103" s="6"/>
      <x:c r="J103" s="8" t="str">
        <x:f aca="0">TRC!B17</x:f>
        <x:v>S03</x:v>
      </x:c>
      <x:c r="K103" s="8" t="n">
        <x:f aca="0">TRC!D17</x:f>
        <x:v>0.08</x:v>
      </x:c>
      <x:c r="L103" s="8" t="n">
        <x:f aca="0">IF(OR(J103="S06",J103="S04",J103="S03"),1.2,1)</x:f>
        <x:v>1.2</x:v>
      </x:c>
      <x:c r="M103" s="8" t="n">
        <x:f aca="0">K103*L103/SUMPRODUCT($K$101:$K$107,$L$101:$L$107)</x:f>
        <x:v>0.09266409266409266</x:v>
      </x:c>
      <x:c r="N103" s="8" t="n">
        <x:f aca="0">IF(OR(J103="S06",J103="S04",J103="S03"),0.8,1)</x:f>
        <x:v>0.8</x:v>
      </x:c>
      <x:c r="O103" s="8" t="n">
        <x:f aca="0">K103*N103/SUMPRODUCT($K$101:$K$107,$N$101:$N$107)</x:f>
        <x:v>0.06639004149377593</x:v>
      </x:c>
      <x:c r="P103" s="6"/>
      <x:c r="Q103" s="6"/>
      <x:c r="R103" s="6"/>
      <x:c r="S103" s="6"/>
    </x:row>
    <x:row r="104" s="1" customFormat="1" ht="13.5" hidden="0" customHeight="1">
      <x:c r="A104" s="6"/>
      <x:c r="B104" s="6"/>
      <x:c r="C104" s="6"/>
      <x:c r="D104" s="6"/>
      <x:c r="E104" s="6"/>
      <x:c r="F104" s="6"/>
      <x:c r="G104" s="6"/>
      <x:c r="H104" s="6"/>
      <x:c r="I104" s="6"/>
      <x:c r="J104" s="5" t="str">
        <x:f aca="0">TRC!B18</x:f>
        <x:v>S05</x:v>
      </x:c>
      <x:c r="K104" s="5" t="n">
        <x:f aca="0">TRC!D18</x:f>
        <x:v>0.05</x:v>
      </x:c>
      <x:c r="L104" s="5" t="n">
        <x:f aca="0">IF(OR(J104="S06",J104="S04",J104="S03"),1.2,1)</x:f>
        <x:v>1</x:v>
      </x:c>
      <x:c r="M104" s="5" t="n">
        <x:f aca="0">K104*L104/SUMPRODUCT($K$101:$K$107,$L$101:$L$107)</x:f>
        <x:v>0.04826254826254826</x:v>
      </x:c>
      <x:c r="N104" s="5" t="n">
        <x:f aca="0">IF(OR(J104="S06",J104="S04",J104="S03"),0.8,1)</x:f>
        <x:v>1</x:v>
      </x:c>
      <x:c r="O104" s="5" t="n">
        <x:f aca="0">K104*N104/SUMPRODUCT($K$101:$K$107,$N$101:$N$107)</x:f>
        <x:v>0.05186721991701245</x:v>
      </x:c>
      <x:c r="P104" s="6"/>
      <x:c r="Q104" s="6"/>
      <x:c r="R104" s="6"/>
      <x:c r="S104" s="6"/>
    </x:row>
    <x:row r="105" s="1" customFormat="1" ht="13.5" hidden="0" customHeight="1">
      <x:c r="A105" s="6"/>
      <x:c r="B105" s="6"/>
      <x:c r="C105" s="6"/>
      <x:c r="D105" s="6"/>
      <x:c r="E105" s="6"/>
      <x:c r="F105" s="6"/>
      <x:c r="G105" s="6"/>
      <x:c r="H105" s="6"/>
      <x:c r="I105" s="6"/>
      <x:c r="J105" s="8" t="str">
        <x:f aca="0">TRC!B19</x:f>
        <x:v>S07</x:v>
      </x:c>
      <x:c r="K105" s="8" t="n">
        <x:f aca="0">TRC!D19</x:f>
        <x:v>0.02</x:v>
      </x:c>
      <x:c r="L105" s="8" t="n">
        <x:f aca="0">IF(OR(J105="S06",J105="S04",J105="S03"),1.2,1)</x:f>
        <x:v>1</x:v>
      </x:c>
      <x:c r="M105" s="8" t="n">
        <x:f aca="0">K105*L105/SUMPRODUCT($K$101:$K$107,$L$101:$L$107)</x:f>
        <x:v>0.019305019305019305</x:v>
      </x:c>
      <x:c r="N105" s="8" t="n">
        <x:f aca="0">IF(OR(J105="S06",J105="S04",J105="S03"),0.8,1)</x:f>
        <x:v>1</x:v>
      </x:c>
      <x:c r="O105" s="8" t="n">
        <x:f aca="0">K105*N105/SUMPRODUCT($K$101:$K$107,$N$101:$N$107)</x:f>
        <x:v>0.020746887966804982</x:v>
      </x:c>
      <x:c r="P105" s="6"/>
      <x:c r="Q105" s="6"/>
      <x:c r="R105" s="6"/>
      <x:c r="S105" s="6"/>
    </x:row>
    <x:row r="106" s="1" customFormat="1" ht="13.5" hidden="0" customHeight="1">
      <x:c r="A106" s="6"/>
      <x:c r="B106" s="6"/>
      <x:c r="C106" s="6"/>
      <x:c r="D106" s="6"/>
      <x:c r="E106" s="6"/>
      <x:c r="F106" s="6"/>
      <x:c r="G106" s="6"/>
      <x:c r="H106" s="6"/>
      <x:c r="I106" s="6"/>
      <x:c r="J106" s="5" t="str">
        <x:f aca="0">TRC!B20</x:f>
        <x:v>S02</x:v>
      </x:c>
      <x:c r="K106" s="5" t="n">
        <x:f aca="0">TRC!D20</x:f>
        <x:v>0.15</x:v>
      </x:c>
      <x:c r="L106" s="5" t="n">
        <x:f aca="0">IF(OR(J106="S06",J106="S04",J106="S03"),1.2,1)</x:f>
        <x:v>1</x:v>
      </x:c>
      <x:c r="M106" s="5" t="n">
        <x:f aca="0">K106*L106/SUMPRODUCT($K$101:$K$107,$L$101:$L$107)</x:f>
        <x:v>0.14478764478764478</x:v>
      </x:c>
      <x:c r="N106" s="5" t="n">
        <x:f aca="0">IF(OR(J106="S06",J106="S04",J106="S03"),0.8,1)</x:f>
        <x:v>1</x:v>
      </x:c>
      <x:c r="O106" s="5" t="n">
        <x:f aca="0">K106*N106/SUMPRODUCT($K$101:$K$107,$N$101:$N$107)</x:f>
        <x:v>0.15560165975103735</x:v>
      </x:c>
      <x:c r="P106" s="6"/>
      <x:c r="Q106" s="6"/>
      <x:c r="R106" s="6"/>
      <x:c r="S106" s="6"/>
    </x:row>
    <x:row r="107" s="1" customFormat="1" ht="13.5" hidden="0" customHeight="1">
      <x:c r="A107" s="6"/>
      <x:c r="B107" s="6"/>
      <x:c r="C107" s="6"/>
      <x:c r="D107" s="6"/>
      <x:c r="E107" s="6"/>
      <x:c r="F107" s="6"/>
      <x:c r="G107" s="6"/>
      <x:c r="H107" s="6"/>
      <x:c r="I107" s="6"/>
      <x:c r="J107" s="8" t="str">
        <x:f aca="0">TRC!B21</x:f>
        <x:v>S01</x:v>
      </x:c>
      <x:c r="K107" s="8" t="n">
        <x:f aca="0">TRC!D21</x:f>
        <x:v>0.6</x:v>
      </x:c>
      <x:c r="L107" s="8" t="n">
        <x:f aca="0">IF(OR(J107="S06",J107="S04",J107="S03"),1.2,1)</x:f>
        <x:v>1</x:v>
      </x:c>
      <x:c r="M107" s="8" t="n">
        <x:f aca="0">K107*L107/SUMPRODUCT($K$101:$K$107,$L$101:$L$107)</x:f>
        <x:v>0.5791505791505791</x:v>
      </x:c>
      <x:c r="N107" s="8" t="n">
        <x:f aca="0">IF(OR(J107="S06",J107="S04",J107="S03"),0.8,1)</x:f>
        <x:v>1</x:v>
      </x:c>
      <x:c r="O107" s="8" t="n">
        <x:f aca="0">K107*N107/SUMPRODUCT($K$101:$K$107,$N$101:$N$107)</x:f>
        <x:v>0.6224066390041494</x:v>
      </x:c>
      <x:c r="P107" s="6"/>
      <x:c r="Q107" s="6"/>
      <x:c r="R107" s="6"/>
      <x:c r="S107" s="6"/>
    </x:row>
    <x:row r="108" s="1" customFormat="1" ht="13.5" hidden="0" customHeight="1">
      <x:c r="A108" s="6"/>
      <x:c r="B108" s="6"/>
      <x:c r="C108" s="6"/>
      <x:c r="D108" s="6"/>
      <x:c r="E108" s="6"/>
      <x:c r="F108" s="6"/>
      <x:c r="G108" s="6"/>
      <x:c r="H108" s="6"/>
      <x:c r="I108" s="6"/>
      <x:c r="J108" s="6"/>
      <x:c r="K108" s="6"/>
      <x:c r="L108" s="6"/>
      <x:c r="M108" s="6"/>
      <x:c r="N108" s="6"/>
      <x:c r="O108" s="6"/>
      <x:c r="P108" s="6"/>
      <x:c r="Q108" s="6"/>
      <x:c r="R108" s="6"/>
      <x:c r="S108" s="6"/>
    </x:row>
    <x:row r="109" s="1" customFormat="1" ht="13.5" hidden="0" customHeight="1">
      <x:c r="A109" s="6"/>
      <x:c r="B109" s="6"/>
      <x:c r="C109" s="6"/>
      <x:c r="D109" s="6"/>
      <x:c r="E109" s="6"/>
      <x:c r="F109" s="6"/>
      <x:c r="G109" s="6"/>
      <x:c r="H109" s="6"/>
      <x:c r="I109" s="6"/>
      <x:c r="J109" s="8" t="s">
        <x:v>2835</x:v>
      </x:c>
      <x:c r="K109" s="6"/>
      <x:c r="L109" s="6"/>
      <x:c r="M109" s="6"/>
      <x:c r="N109" s="6"/>
      <x:c r="O109" s="6"/>
      <x:c r="P109" s="6"/>
      <x:c r="Q109" s="6"/>
      <x:c r="R109" s="6"/>
      <x:c r="S109" s="6"/>
    </x:row>
    <x:row r="110" s="1" customFormat="1" ht="13.5" hidden="0" customHeight="1">
      <x:c r="A110" s="6"/>
      <x:c r="B110" s="6"/>
      <x:c r="C110" s="6"/>
      <x:c r="D110" s="6"/>
      <x:c r="E110" s="6"/>
      <x:c r="F110" s="6"/>
      <x:c r="G110" s="6"/>
      <x:c r="H110" s="6"/>
      <x:c r="I110" s="6"/>
      <x:c r="J110" s="5" t="s">
        <x:v>1765</x:v>
      </x:c>
      <x:c r="K110" s="5" t="s">
        <x:v>1135</x:v>
      </x:c>
      <x:c r="L110" s="5" t="s">
        <x:v>1137</x:v>
      </x:c>
      <x:c r="M110" s="5" t="s">
        <x:v>2836</x:v>
      </x:c>
      <x:c r="N110" s="5" t="s">
        <x:v>1767</x:v>
      </x:c>
      <x:c r="O110" s="5" t="s">
        <x:v>1768</x:v>
      </x:c>
      <x:c r="P110" s="5" t="s">
        <x:v>1072</x:v>
      </x:c>
      <x:c r="Q110" s="6"/>
      <x:c r="R110" s="5" t="s">
        <x:v>2837</x:v>
      </x:c>
      <x:c r="S110" s="5" t="n">
        <x:f aca="0">TRC!B8</x:f>
        <x:v>0.05</x:v>
      </x:c>
    </x:row>
    <x:row r="111" s="1" customFormat="1" ht="13.5" hidden="0" customHeight="1">
      <x:c r="A111" s="6"/>
      <x:c r="B111" s="6"/>
      <x:c r="C111" s="6"/>
      <x:c r="D111" s="6"/>
      <x:c r="E111" s="6"/>
      <x:c r="F111" s="6"/>
      <x:c r="G111" s="6"/>
      <x:c r="H111" s="6"/>
      <x:c r="I111" s="6"/>
      <x:c r="J111" s="8" t="n">
        <x:v>1</x:v>
      </x:c>
      <x:c r="K111" s="8" t="str">
        <x:f aca="0">TRC!B15</x:f>
        <x:v>S06</x:v>
      </x:c>
      <x:c r="L111" s="8" t="n">
        <x:f aca="0">TRC!C15</x:f>
        <x:v>0.0235</x:v>
      </x:c>
      <x:c r="M111" s="8" t="n">
        <x:f aca="0">VLOOKUP(K111,$J$101:$M$107,4,FALSE())</x:f>
        <x:v>0.03474903474903474</x:v>
      </x:c>
      <x:c r="N111" s="8" t="n">
        <x:f aca="0">M111</x:f>
        <x:v>0.03474903474903474</x:v>
      </x:c>
      <x:c r="O111" s="8" t="n">
        <x:f aca="0">MIN(M111,$S$110)</x:f>
        <x:v>0.03474903474903474</x:v>
      </x:c>
      <x:c r="P111" s="8" t="n">
        <x:f aca="0">O111*L111</x:f>
        <x:v>0.0008166023166023165</x:v>
      </x:c>
      <x:c r="Q111" s="6"/>
      <x:c r="R111" s="8" t="s">
        <x:v>2417</x:v>
      </x:c>
      <x:c r="S111" s="8" t="n">
        <x:f aca="0">TRC!B9</x:f>
        <x:v>0.2</x:v>
      </x:c>
    </x:row>
    <x:row r="112" s="1" customFormat="1" ht="13.5" hidden="0" customHeight="1">
      <x:c r="A112" s="6"/>
      <x:c r="B112" s="6"/>
      <x:c r="C112" s="6"/>
      <x:c r="D112" s="6"/>
      <x:c r="E112" s="6"/>
      <x:c r="F112" s="6"/>
      <x:c r="G112" s="6"/>
      <x:c r="H112" s="6"/>
      <x:c r="I112" s="6"/>
      <x:c r="J112" s="5" t="n">
        <x:v>2</x:v>
      </x:c>
      <x:c r="K112" s="5" t="str">
        <x:f aca="0">TRC!B16</x:f>
        <x:v>S04</x:v>
      </x:c>
      <x:c r="L112" s="5" t="n">
        <x:f aca="0">TRC!C16</x:f>
        <x:v>0.0195</x:v>
      </x:c>
      <x:c r="M112" s="5" t="n">
        <x:f aca="0">VLOOKUP(K112,$J$101:$M$107,4,FALSE())</x:f>
        <x:v>0.08108108108108109</x:v>
      </x:c>
      <x:c r="N112" s="5" t="n">
        <x:f aca="0">N111+M112</x:f>
        <x:v>0.11583011583011582</x:v>
      </x:c>
      <x:c r="O112" s="5" t="n">
        <x:f aca="0">MAX(0,MIN(M112,$S$110-N111))</x:f>
        <x:v>0.01525096525096526</x:v>
      </x:c>
      <x:c r="P112" s="5" t="n">
        <x:f aca="0">O112*L112</x:f>
        <x:v>0.0002973938223938226</x:v>
      </x:c>
      <x:c r="Q112" s="6"/>
      <x:c r="R112" s="6"/>
      <x:c r="S112" s="6"/>
    </x:row>
    <x:row r="113" s="1" customFormat="1" ht="13.5" hidden="0" customHeight="1">
      <x:c r="A113" s="6"/>
      <x:c r="B113" s="6"/>
      <x:c r="C113" s="6"/>
      <x:c r="D113" s="6"/>
      <x:c r="E113" s="6"/>
      <x:c r="F113" s="6"/>
      <x:c r="G113" s="6"/>
      <x:c r="H113" s="6"/>
      <x:c r="I113" s="6"/>
      <x:c r="J113" s="8" t="n">
        <x:v>3</x:v>
      </x:c>
      <x:c r="K113" s="8" t="str">
        <x:f aca="0">TRC!B17</x:f>
        <x:v>S03</x:v>
      </x:c>
      <x:c r="L113" s="8" t="n">
        <x:f aca="0">TRC!C17</x:f>
        <x:v>0.0175</x:v>
      </x:c>
      <x:c r="M113" s="8" t="n">
        <x:f aca="0">VLOOKUP(K113,$J$101:$M$107,4,FALSE())</x:f>
        <x:v>0.09266409266409266</x:v>
      </x:c>
      <x:c r="N113" s="8" t="n">
        <x:f aca="0">N112+M113</x:f>
        <x:v>0.20849420849420847</x:v>
      </x:c>
      <x:c r="O113" s="8" t="n">
        <x:f aca="0">MAX(0,MIN(M113,$S$110-N112))</x:f>
        <x:v>0</x:v>
      </x:c>
      <x:c r="P113" s="8" t="n">
        <x:f aca="0">O113*L113</x:f>
        <x:v>0</x:v>
      </x:c>
      <x:c r="Q113" s="6"/>
      <x:c r="R113" s="6"/>
      <x:c r="S113" s="6"/>
    </x:row>
    <x:row r="114" s="1" customFormat="1" ht="13.5" hidden="0" customHeight="1">
      <x:c r="A114" s="6"/>
      <x:c r="B114" s="6"/>
      <x:c r="C114" s="6"/>
      <x:c r="D114" s="6"/>
      <x:c r="E114" s="6"/>
      <x:c r="F114" s="6"/>
      <x:c r="G114" s="6"/>
      <x:c r="H114" s="6"/>
      <x:c r="I114" s="6"/>
      <x:c r="J114" s="5" t="n">
        <x:v>4</x:v>
      </x:c>
      <x:c r="K114" s="5" t="str">
        <x:f aca="0">TRC!B18</x:f>
        <x:v>S05</x:v>
      </x:c>
      <x:c r="L114" s="5" t="n">
        <x:f aca="0">TRC!C18</x:f>
        <x:v>0.0135</x:v>
      </x:c>
      <x:c r="M114" s="5" t="n">
        <x:f aca="0">VLOOKUP(K114,$J$101:$M$107,4,FALSE())</x:f>
        <x:v>0.04826254826254826</x:v>
      </x:c>
      <x:c r="N114" s="5" t="n">
        <x:f aca="0">N113+M114</x:f>
        <x:v>0.25675675675675674</x:v>
      </x:c>
      <x:c r="O114" s="5" t="n">
        <x:f aca="0">MAX(0,MIN(M114,$S$110-N113))</x:f>
        <x:v>0</x:v>
      </x:c>
      <x:c r="P114" s="5" t="n">
        <x:f aca="0">O114*L114</x:f>
        <x:v>0</x:v>
      </x:c>
      <x:c r="Q114" s="6"/>
      <x:c r="R114" s="6"/>
      <x:c r="S114" s="6"/>
    </x:row>
    <x:row r="115" s="1" customFormat="1" ht="13.5" hidden="0" customHeight="1">
      <x:c r="A115" s="6"/>
      <x:c r="B115" s="6"/>
      <x:c r="C115" s="6"/>
      <x:c r="D115" s="6"/>
      <x:c r="E115" s="6"/>
      <x:c r="F115" s="6"/>
      <x:c r="G115" s="6"/>
      <x:c r="H115" s="6"/>
      <x:c r="I115" s="6"/>
      <x:c r="J115" s="8" t="n">
        <x:v>5</x:v>
      </x:c>
      <x:c r="K115" s="8" t="str">
        <x:f aca="0">TRC!B19</x:f>
        <x:v>S07</x:v>
      </x:c>
      <x:c r="L115" s="8" t="n">
        <x:f aca="0">TRC!C19</x:f>
        <x:v>0.01</x:v>
      </x:c>
      <x:c r="M115" s="8" t="n">
        <x:f aca="0">VLOOKUP(K115,$J$101:$M$107,4,FALSE())</x:f>
        <x:v>0.019305019305019305</x:v>
      </x:c>
      <x:c r="N115" s="8" t="n">
        <x:f aca="0">N114+M115</x:f>
        <x:v>0.27606177606177607</x:v>
      </x:c>
      <x:c r="O115" s="8" t="n">
        <x:f aca="0">MAX(0,MIN(M115,$S$110-N114))</x:f>
        <x:v>0</x:v>
      </x:c>
      <x:c r="P115" s="8" t="n">
        <x:f aca="0">O115*L115</x:f>
        <x:v>0</x:v>
      </x:c>
      <x:c r="Q115" s="6"/>
      <x:c r="R115" s="6"/>
      <x:c r="S115" s="6"/>
    </x:row>
    <x:row r="116" s="1" customFormat="1" ht="13.5" hidden="0" customHeight="1">
      <x:c r="A116" s="6"/>
      <x:c r="B116" s="6"/>
      <x:c r="C116" s="6"/>
      <x:c r="D116" s="6"/>
      <x:c r="E116" s="6"/>
      <x:c r="F116" s="6"/>
      <x:c r="G116" s="6"/>
      <x:c r="H116" s="6"/>
      <x:c r="I116" s="6"/>
      <x:c r="J116" s="5" t="n">
        <x:v>6</x:v>
      </x:c>
      <x:c r="K116" s="5" t="str">
        <x:f aca="0">TRC!B20</x:f>
        <x:v>S02</x:v>
      </x:c>
      <x:c r="L116" s="5" t="n">
        <x:f aca="0">TRC!C20</x:f>
        <x:v>0.007</x:v>
      </x:c>
      <x:c r="M116" s="5" t="n">
        <x:f aca="0">VLOOKUP(K116,$J$101:$M$107,4,FALSE())</x:f>
        <x:v>0.14478764478764478</x:v>
      </x:c>
      <x:c r="N116" s="5" t="n">
        <x:f aca="0">N115+M116</x:f>
        <x:v>0.42084942084942084</x:v>
      </x:c>
      <x:c r="O116" s="5" t="n">
        <x:f aca="0">MAX(0,MIN(M116,$S$110-N115))</x:f>
        <x:v>0</x:v>
      </x:c>
      <x:c r="P116" s="5" t="n">
        <x:f aca="0">O116*L116</x:f>
        <x:v>0</x:v>
      </x:c>
      <x:c r="Q116" s="6"/>
      <x:c r="R116" s="6"/>
      <x:c r="S116" s="6"/>
    </x:row>
    <x:row r="117" s="1" customFormat="1" ht="13.5" hidden="0" customHeight="1">
      <x:c r="A117" s="6"/>
      <x:c r="B117" s="6"/>
      <x:c r="C117" s="6"/>
      <x:c r="D117" s="6"/>
      <x:c r="E117" s="6"/>
      <x:c r="F117" s="6"/>
      <x:c r="G117" s="6"/>
      <x:c r="H117" s="6"/>
      <x:c r="I117" s="6"/>
      <x:c r="J117" s="8" t="n">
        <x:v>7</x:v>
      </x:c>
      <x:c r="K117" s="8" t="str">
        <x:f aca="0">TRC!B21</x:f>
        <x:v>S01</x:v>
      </x:c>
      <x:c r="L117" s="8" t="n">
        <x:f aca="0">TRC!C21</x:f>
        <x:v>0</x:v>
      </x:c>
      <x:c r="M117" s="8" t="n">
        <x:f aca="0">VLOOKUP(K117,$J$101:$M$107,4,FALSE())</x:f>
        <x:v>0.5791505791505791</x:v>
      </x:c>
      <x:c r="N117" s="8" t="n">
        <x:f aca="0">N116+M117</x:f>
        <x:v>1</x:v>
      </x:c>
      <x:c r="O117" s="8" t="n">
        <x:f aca="0">MAX(0,MIN(M117,$S$110-N116))</x:f>
        <x:v>0</x:v>
      </x:c>
      <x:c r="P117" s="8" t="n">
        <x:f aca="0">O117*L117</x:f>
        <x:v>0</x:v>
      </x:c>
      <x:c r="Q117" s="6"/>
      <x:c r="R117" s="6"/>
      <x:c r="S117" s="6"/>
    </x:row>
    <x:row r="118" s="1" customFormat="1" ht="13.5" hidden="0" customHeight="1">
      <x:c r="A118" s="6"/>
      <x:c r="B118" s="6"/>
      <x:c r="C118" s="6"/>
      <x:c r="D118" s="6"/>
      <x:c r="E118" s="6"/>
      <x:c r="F118" s="6"/>
      <x:c r="G118" s="6"/>
      <x:c r="H118" s="6"/>
      <x:c r="I118" s="6"/>
      <x:c r="J118" s="6"/>
      <x:c r="K118" s="6"/>
      <x:c r="L118" s="6"/>
      <x:c r="M118" s="6"/>
      <x:c r="N118" s="6"/>
      <x:c r="O118" s="6"/>
      <x:c r="P118" s="6"/>
      <x:c r="Q118" s="6"/>
      <x:c r="R118" s="6"/>
      <x:c r="S118" s="6"/>
    </x:row>
    <x:row r="119" s="1" customFormat="1" ht="13.5" hidden="0" customHeight="1">
      <x:c r="A119" s="6"/>
      <x:c r="B119" s="6"/>
      <x:c r="C119" s="6"/>
      <x:c r="D119" s="6"/>
      <x:c r="E119" s="6"/>
      <x:c r="F119" s="6"/>
      <x:c r="G119" s="6"/>
      <x:c r="H119" s="6"/>
      <x:c r="I119" s="6"/>
      <x:c r="J119" s="6"/>
      <x:c r="K119" s="6"/>
      <x:c r="L119" s="6"/>
      <x:c r="M119" s="6"/>
      <x:c r="N119" s="6"/>
      <x:c r="O119" s="6"/>
      <x:c r="P119" s="6"/>
      <x:c r="Q119" s="6"/>
      <x:c r="R119" s="8" t="s">
        <x:v>2838</x:v>
      </x:c>
      <x:c r="S119" s="8" t="n">
        <x:f aca="0">SUM(P111:P117)/$S$110</x:f>
        <x:v>0.022279922779922783</x:v>
      </x:c>
    </x:row>
    <x:row r="120" s="1" customFormat="1" ht="13.5" hidden="0" customHeight="1">
      <x:c r="A120" s="6"/>
      <x:c r="B120" s="6"/>
      <x:c r="C120" s="6"/>
      <x:c r="D120" s="6"/>
      <x:c r="E120" s="6"/>
      <x:c r="F120" s="6"/>
      <x:c r="G120" s="6"/>
      <x:c r="H120" s="6"/>
      <x:c r="I120" s="6"/>
      <x:c r="J120" s="6"/>
      <x:c r="K120" s="6"/>
      <x:c r="L120" s="6"/>
      <x:c r="M120" s="6"/>
      <x:c r="N120" s="6"/>
      <x:c r="O120" s="6"/>
      <x:c r="P120" s="6"/>
      <x:c r="Q120" s="6"/>
      <x:c r="R120" s="5" t="s">
        <x:v>2839</x:v>
      </x:c>
      <x:c r="S120" s="5" t="str">
        <x:f aca="0">IF(S119&lt;=$S$111,"PASS","FAIL")</x:f>
        <x:v>PASS</x:v>
      </x:c>
    </x:row>
    <x:row r="121" s="1" customFormat="1" ht="13.5" hidden="0" customHeight="1">
      <x:c r="A121" s="6"/>
      <x:c r="B121" s="6"/>
      <x:c r="C121" s="6"/>
      <x:c r="D121" s="6"/>
      <x:c r="E121" s="6"/>
      <x:c r="F121" s="6"/>
      <x:c r="G121" s="6"/>
      <x:c r="H121" s="6"/>
      <x:c r="I121" s="6"/>
      <x:c r="J121" s="6"/>
      <x:c r="K121" s="6"/>
      <x:c r="L121" s="6"/>
      <x:c r="M121" s="8" t="s">
        <x:v>2840</x:v>
      </x:c>
      <x:c r="N121" s="8" t="s">
        <x:v>953</x:v>
      </x:c>
      <x:c r="O121" s="8" t="s">
        <x:v>1108</x:v>
      </x:c>
      <x:c r="P121" s="6"/>
      <x:c r="Q121" s="6"/>
      <x:c r="R121" s="6"/>
      <x:c r="S121" s="6"/>
    </x:row>
    <x:row r="122" s="1" customFormat="1" ht="13.5" hidden="0" customHeight="1">
      <x:c r="A122" s="6"/>
      <x:c r="B122" s="6"/>
      <x:c r="C122" s="6"/>
      <x:c r="D122" s="6"/>
      <x:c r="E122" s="6"/>
      <x:c r="F122" s="6"/>
      <x:c r="G122" s="6"/>
      <x:c r="H122" s="6"/>
      <x:c r="I122" s="6"/>
      <x:c r="J122" s="6"/>
      <x:c r="K122" s="6"/>
      <x:c r="L122" s="6"/>
      <x:c r="M122" s="5" t="s">
        <x:v>2841</x:v>
      </x:c>
      <x:c r="N122" s="5" t="str">
        <x:f aca="0">S120</x:f>
        <x:v>PASS</x:v>
      </x:c>
      <x:c r="O122" s="5" t="str">
        <x:f aca="0">S142</x:f>
        <x:v>PASS</x:v>
      </x:c>
      <x:c r="P122" s="6"/>
      <x:c r="Q122" s="6"/>
      <x:c r="R122" s="6"/>
      <x:c r="S122" s="6"/>
    </x:row>
    <x:row r="123" s="1" customFormat="1" ht="13.5" hidden="0" customHeight="1">
      <x:c r="A123" s="6"/>
      <x:c r="B123" s="6"/>
      <x:c r="C123" s="6"/>
      <x:c r="D123" s="6"/>
      <x:c r="E123" s="6"/>
      <x:c r="F123" s="6"/>
      <x:c r="G123" s="6"/>
      <x:c r="H123" s="6"/>
      <x:c r="I123" s="6"/>
      <x:c r="J123" s="6"/>
      <x:c r="K123" s="6"/>
      <x:c r="L123" s="6"/>
      <x:c r="M123" s="6"/>
      <x:c r="N123" s="8" t="str">
        <x:f aca="0">S162</x:f>
        <x:v>PASS</x:v>
      </x:c>
      <x:c r="O123" s="8" t="str">
        <x:f aca="0">S175</x:f>
        <x:v>PASS</x:v>
      </x:c>
      <x:c r="P123" s="6"/>
      <x:c r="Q123" s="6"/>
      <x:c r="R123" s="6"/>
      <x:c r="S123" s="6"/>
    </x:row>
    <x:row r="124" s="1" customFormat="1" ht="13.5" hidden="0" customHeight="1">
      <x:c r="A124" s="6"/>
      <x:c r="B124" s="6"/>
      <x:c r="C124" s="6"/>
      <x:c r="D124" s="6"/>
      <x:c r="E124" s="6"/>
      <x:c r="F124" s="6"/>
      <x:c r="G124" s="6"/>
      <x:c r="H124" s="6"/>
      <x:c r="I124" s="6"/>
      <x:c r="J124" s="6"/>
      <x:c r="K124" s="6"/>
      <x:c r="L124" s="6"/>
      <x:c r="M124" s="6"/>
      <x:c r="N124" s="6"/>
      <x:c r="O124" s="6"/>
      <x:c r="P124" s="6"/>
      <x:c r="Q124" s="6"/>
      <x:c r="R124" s="6"/>
      <x:c r="S124" s="6"/>
    </x:row>
    <x:row r="125" s="1" customFormat="1" ht="13.5" hidden="0" customHeight="1">
      <x:c r="A125" s="6"/>
      <x:c r="B125" s="6"/>
      <x:c r="C125" s="6"/>
      <x:c r="D125" s="6"/>
      <x:c r="E125" s="6"/>
      <x:c r="F125" s="6"/>
      <x:c r="G125" s="6"/>
      <x:c r="H125" s="6"/>
      <x:c r="I125" s="6"/>
      <x:c r="J125" s="6"/>
      <x:c r="K125" s="6"/>
      <x:c r="L125" s="6"/>
      <x:c r="M125" s="6"/>
      <x:c r="N125" s="6"/>
      <x:c r="O125" s="6"/>
      <x:c r="P125" s="6"/>
      <x:c r="Q125" s="6"/>
      <x:c r="R125" s="6"/>
      <x:c r="S125" s="6"/>
    </x:row>
    <x:row r="126" s="1" customFormat="1" ht="13.5" hidden="0" customHeight="1">
      <x:c r="A126" s="6"/>
      <x:c r="B126" s="6"/>
      <x:c r="C126" s="6"/>
      <x:c r="D126" s="6"/>
      <x:c r="E126" s="6"/>
      <x:c r="F126" s="6"/>
      <x:c r="G126" s="6"/>
      <x:c r="H126" s="6"/>
      <x:c r="I126" s="6"/>
      <x:c r="J126" s="6"/>
      <x:c r="K126" s="6"/>
      <x:c r="L126" s="6"/>
      <x:c r="M126" s="6"/>
      <x:c r="N126" s="6"/>
      <x:c r="O126" s="6"/>
      <x:c r="P126" s="6"/>
      <x:c r="Q126" s="6"/>
      <x:c r="R126" s="6"/>
      <x:c r="S126" s="6"/>
    </x:row>
    <x:row r="127" s="1" customFormat="1" ht="13.5" hidden="0" customHeight="1">
      <x:c r="A127" s="6"/>
      <x:c r="B127" s="6"/>
      <x:c r="C127" s="6"/>
      <x:c r="D127" s="6"/>
      <x:c r="E127" s="6"/>
      <x:c r="F127" s="6"/>
      <x:c r="G127" s="6"/>
      <x:c r="H127" s="6"/>
      <x:c r="I127" s="6"/>
      <x:c r="J127" s="6"/>
      <x:c r="K127" s="6"/>
      <x:c r="L127" s="6"/>
      <x:c r="M127" s="6"/>
      <x:c r="N127" s="6"/>
      <x:c r="O127" s="6"/>
      <x:c r="P127" s="6"/>
      <x:c r="Q127" s="6"/>
      <x:c r="R127" s="6"/>
      <x:c r="S127" s="6"/>
    </x:row>
    <x:row r="128" s="1" customFormat="1" ht="13.5" hidden="0" customHeight="1">
      <x:c r="A128" s="6"/>
      <x:c r="B128" s="6"/>
      <x:c r="C128" s="6"/>
      <x:c r="D128" s="6"/>
      <x:c r="E128" s="6"/>
      <x:c r="F128" s="6"/>
      <x:c r="G128" s="6"/>
      <x:c r="H128" s="6"/>
      <x:c r="I128" s="6"/>
      <x:c r="J128" s="6"/>
      <x:c r="K128" s="6"/>
      <x:c r="L128" s="6"/>
      <x:c r="M128" s="6"/>
      <x:c r="N128" s="6"/>
      <x:c r="O128" s="6"/>
      <x:c r="P128" s="6"/>
      <x:c r="Q128" s="6"/>
      <x:c r="R128" s="6"/>
      <x:c r="S128" s="6"/>
    </x:row>
    <x:row r="129" s="1" customFormat="1" ht="13.5" hidden="0" customHeight="1">
      <x:c r="A129" s="6"/>
      <x:c r="B129" s="6"/>
      <x:c r="C129" s="6"/>
      <x:c r="D129" s="6"/>
      <x:c r="E129" s="6"/>
      <x:c r="F129" s="6"/>
      <x:c r="G129" s="6"/>
      <x:c r="H129" s="6"/>
      <x:c r="I129" s="6"/>
      <x:c r="J129" s="6"/>
      <x:c r="K129" s="6"/>
      <x:c r="L129" s="6"/>
      <x:c r="M129" s="6"/>
      <x:c r="N129" s="6"/>
      <x:c r="O129" s="6"/>
      <x:c r="P129" s="6"/>
      <x:c r="Q129" s="6"/>
      <x:c r="R129" s="6"/>
      <x:c r="S129" s="6"/>
    </x:row>
    <x:row r="130" s="1" customFormat="1" ht="13.5" hidden="0" customHeight="1">
      <x:c r="A130" s="6"/>
      <x:c r="B130" s="6"/>
      <x:c r="C130" s="6"/>
      <x:c r="D130" s="6"/>
      <x:c r="E130" s="6"/>
      <x:c r="F130" s="6"/>
      <x:c r="G130" s="6"/>
      <x:c r="H130" s="6"/>
      <x:c r="I130" s="6"/>
      <x:c r="J130" s="6"/>
      <x:c r="K130" s="6"/>
      <x:c r="L130" s="6"/>
      <x:c r="M130" s="6"/>
      <x:c r="N130" s="6"/>
      <x:c r="O130" s="6"/>
      <x:c r="P130" s="6"/>
      <x:c r="Q130" s="6"/>
      <x:c r="R130" s="6"/>
      <x:c r="S130" s="6"/>
    </x:row>
    <x:row r="131" s="1" customFormat="1" ht="13.5" hidden="0" customHeight="1">
      <x:c r="A131" s="6"/>
      <x:c r="B131" s="6"/>
      <x:c r="C131" s="6"/>
      <x:c r="D131" s="6"/>
      <x:c r="E131" s="6"/>
      <x:c r="F131" s="6"/>
      <x:c r="G131" s="6"/>
      <x:c r="H131" s="6"/>
      <x:c r="I131" s="6"/>
      <x:c r="J131" s="8" t="s">
        <x:v>2842</x:v>
      </x:c>
      <x:c r="K131" s="6"/>
      <x:c r="L131" s="6"/>
      <x:c r="M131" s="6"/>
      <x:c r="N131" s="6"/>
      <x:c r="O131" s="6"/>
      <x:c r="P131" s="6"/>
      <x:c r="Q131" s="6"/>
      <x:c r="R131" s="6"/>
      <x:c r="S131" s="6"/>
    </x:row>
    <x:row r="132" s="1" customFormat="1" ht="13.5" hidden="0" customHeight="1">
      <x:c r="A132" s="6"/>
      <x:c r="B132" s="6"/>
      <x:c r="C132" s="6"/>
      <x:c r="D132" s="6"/>
      <x:c r="E132" s="6"/>
      <x:c r="F132" s="6"/>
      <x:c r="G132" s="6"/>
      <x:c r="H132" s="6"/>
      <x:c r="I132" s="6"/>
      <x:c r="J132" s="5" t="s">
        <x:v>1765</x:v>
      </x:c>
      <x:c r="K132" s="5" t="s">
        <x:v>1135</x:v>
      </x:c>
      <x:c r="L132" s="5" t="s">
        <x:v>1137</x:v>
      </x:c>
      <x:c r="M132" s="5" t="s">
        <x:v>2836</x:v>
      </x:c>
      <x:c r="N132" s="5" t="s">
        <x:v>1767</x:v>
      </x:c>
      <x:c r="O132" s="5" t="s">
        <x:v>1768</x:v>
      </x:c>
      <x:c r="P132" s="5" t="s">
        <x:v>1072</x:v>
      </x:c>
      <x:c r="Q132" s="6"/>
      <x:c r="R132" s="6"/>
      <x:c r="S132" s="6"/>
    </x:row>
    <x:row r="133" s="1" customFormat="1" ht="13.5" hidden="0" customHeight="1">
      <x:c r="A133" s="6"/>
      <x:c r="B133" s="6"/>
      <x:c r="C133" s="6"/>
      <x:c r="D133" s="6"/>
      <x:c r="E133" s="6"/>
      <x:c r="F133" s="6"/>
      <x:c r="G133" s="6"/>
      <x:c r="H133" s="6"/>
      <x:c r="I133" s="6"/>
      <x:c r="J133" s="8" t="n">
        <x:v>1</x:v>
      </x:c>
      <x:c r="K133" s="8" t="str">
        <x:f aca="0">TRC!B31</x:f>
        <x:v>S03</x:v>
      </x:c>
      <x:c r="L133" s="8" t="n">
        <x:f aca="0">TRC!C31</x:f>
        <x:v>0.0315</x:v>
      </x:c>
      <x:c r="M133" s="8" t="n">
        <x:f aca="0">VLOOKUP(K133,$J$101:$M$107,4,FALSE())</x:f>
        <x:v>0.09266409266409266</x:v>
      </x:c>
      <x:c r="N133" s="8" t="n">
        <x:f aca="0">M133</x:f>
        <x:v>0.09266409266409266</x:v>
      </x:c>
      <x:c r="O133" s="8" t="n">
        <x:f aca="0">MIN(M133,$S$110)</x:f>
        <x:v>0.05</x:v>
      </x:c>
      <x:c r="P133" s="8" t="n">
        <x:f aca="0">O133*L133</x:f>
        <x:v>0.001575</x:v>
      </x:c>
      <x:c r="Q133" s="6"/>
      <x:c r="R133" s="6"/>
      <x:c r="S133" s="6"/>
    </x:row>
    <x:row r="134" s="1" customFormat="1" ht="13.5" hidden="0" customHeight="1">
      <x:c r="A134" s="6"/>
      <x:c r="B134" s="6"/>
      <x:c r="C134" s="6"/>
      <x:c r="D134" s="6"/>
      <x:c r="E134" s="6"/>
      <x:c r="F134" s="6"/>
      <x:c r="G134" s="6"/>
      <x:c r="H134" s="6"/>
      <x:c r="I134" s="6"/>
      <x:c r="J134" s="5" t="n">
        <x:v>2</x:v>
      </x:c>
      <x:c r="K134" s="5" t="str">
        <x:f aca="0">TRC!B32</x:f>
        <x:v>S04</x:v>
      </x:c>
      <x:c r="L134" s="5" t="n">
        <x:f aca="0">TRC!C32</x:f>
        <x:v>0.0235</x:v>
      </x:c>
      <x:c r="M134" s="5" t="n">
        <x:f aca="0">VLOOKUP(K134,$J$101:$M$107,4,FALSE())</x:f>
        <x:v>0.08108108108108109</x:v>
      </x:c>
      <x:c r="N134" s="5" t="n">
        <x:f aca="0">N133+M134</x:f>
        <x:v>0.17374517374517373</x:v>
      </x:c>
      <x:c r="O134" s="5" t="n">
        <x:f aca="0">MAX(0,MIN(M134,$S$110-N133))</x:f>
        <x:v>0</x:v>
      </x:c>
      <x:c r="P134" s="5" t="n">
        <x:f aca="0">O134*L134</x:f>
        <x:v>0</x:v>
      </x:c>
      <x:c r="Q134" s="6"/>
      <x:c r="R134" s="6"/>
      <x:c r="S134" s="6"/>
    </x:row>
    <x:row r="135" s="1" customFormat="1" ht="13.5" hidden="0" customHeight="1">
      <x:c r="A135" s="6"/>
      <x:c r="B135" s="6"/>
      <x:c r="C135" s="6"/>
      <x:c r="D135" s="6"/>
      <x:c r="E135" s="6"/>
      <x:c r="F135" s="6"/>
      <x:c r="G135" s="6"/>
      <x:c r="H135" s="6"/>
      <x:c r="I135" s="6"/>
      <x:c r="J135" s="8" t="n">
        <x:v>3</x:v>
      </x:c>
      <x:c r="K135" s="8" t="str">
        <x:f aca="0">TRC!B33</x:f>
        <x:v>S06</x:v>
      </x:c>
      <x:c r="L135" s="8" t="n">
        <x:f aca="0">TRC!C33</x:f>
        <x:v>0.02175</x:v>
      </x:c>
      <x:c r="M135" s="8" t="n">
        <x:f aca="0">VLOOKUP(K135,$J$101:$M$107,4,FALSE())</x:f>
        <x:v>0.03474903474903474</x:v>
      </x:c>
      <x:c r="N135" s="8" t="n">
        <x:f aca="0">N134+M135</x:f>
        <x:v>0.20849420849420847</x:v>
      </x:c>
      <x:c r="O135" s="8" t="n">
        <x:f aca="0">MAX(0,MIN(M135,$S$110-N134))</x:f>
        <x:v>0</x:v>
      </x:c>
      <x:c r="P135" s="8" t="n">
        <x:f aca="0">O135*L135</x:f>
        <x:v>0</x:v>
      </x:c>
      <x:c r="Q135" s="6"/>
      <x:c r="R135" s="6"/>
      <x:c r="S135" s="6"/>
    </x:row>
    <x:row r="136" s="1" customFormat="1" ht="13.5" hidden="0" customHeight="1">
      <x:c r="A136" s="6"/>
      <x:c r="B136" s="6"/>
      <x:c r="C136" s="6"/>
      <x:c r="D136" s="6"/>
      <x:c r="E136" s="6"/>
      <x:c r="F136" s="6"/>
      <x:c r="G136" s="6"/>
      <x:c r="H136" s="6"/>
      <x:c r="I136" s="6"/>
      <x:c r="J136" s="5" t="n">
        <x:v>4</x:v>
      </x:c>
      <x:c r="K136" s="5" t="str">
        <x:f aca="0">TRC!B34</x:f>
        <x:v>S05</x:v>
      </x:c>
      <x:c r="L136" s="5" t="n">
        <x:f aca="0">TRC!C34</x:f>
        <x:v>0.0135</x:v>
      </x:c>
      <x:c r="M136" s="5" t="n">
        <x:f aca="0">VLOOKUP(K136,$J$101:$M$107,4,FALSE())</x:f>
        <x:v>0.04826254826254826</x:v>
      </x:c>
      <x:c r="N136" s="5" t="n">
        <x:f aca="0">N135+M136</x:f>
        <x:v>0.25675675675675674</x:v>
      </x:c>
      <x:c r="O136" s="5" t="n">
        <x:f aca="0">MAX(0,MIN(M136,$S$110-N135))</x:f>
        <x:v>0</x:v>
      </x:c>
      <x:c r="P136" s="5" t="n">
        <x:f aca="0">O136*L136</x:f>
        <x:v>0</x:v>
      </x:c>
      <x:c r="Q136" s="6"/>
      <x:c r="R136" s="6"/>
      <x:c r="S136" s="6"/>
    </x:row>
    <x:row r="137" s="1" customFormat="1" ht="13.5" hidden="0" customHeight="1">
      <x:c r="A137" s="6"/>
      <x:c r="B137" s="6"/>
      <x:c r="C137" s="6"/>
      <x:c r="D137" s="6"/>
      <x:c r="E137" s="6"/>
      <x:c r="F137" s="6"/>
      <x:c r="G137" s="6"/>
      <x:c r="H137" s="6"/>
      <x:c r="I137" s="6"/>
      <x:c r="J137" s="8" t="n">
        <x:v>5</x:v>
      </x:c>
      <x:c r="K137" s="8" t="str">
        <x:f aca="0">TRC!B35</x:f>
        <x:v>S02</x:v>
      </x:c>
      <x:c r="L137" s="8" t="n">
        <x:f aca="0">TRC!C35</x:f>
        <x:v>0.0105</x:v>
      </x:c>
      <x:c r="M137" s="8" t="n">
        <x:f aca="0">VLOOKUP(K137,$J$101:$M$107,4,FALSE())</x:f>
        <x:v>0.14478764478764478</x:v>
      </x:c>
      <x:c r="N137" s="8" t="n">
        <x:f aca="0">N136+M137</x:f>
        <x:v>0.4015444015444015</x:v>
      </x:c>
      <x:c r="O137" s="8" t="n">
        <x:f aca="0">MAX(0,MIN(M137,$S$110-N136))</x:f>
        <x:v>0</x:v>
      </x:c>
      <x:c r="P137" s="8" t="n">
        <x:f aca="0">O137*L137</x:f>
        <x:v>0</x:v>
      </x:c>
      <x:c r="Q137" s="6"/>
      <x:c r="R137" s="6"/>
      <x:c r="S137" s="6"/>
    </x:row>
    <x:row r="138" s="1" customFormat="1" ht="13.5" hidden="0" customHeight="1">
      <x:c r="A138" s="6"/>
      <x:c r="B138" s="6"/>
      <x:c r="C138" s="6"/>
      <x:c r="D138" s="6"/>
      <x:c r="E138" s="6"/>
      <x:c r="F138" s="6"/>
      <x:c r="G138" s="6"/>
      <x:c r="H138" s="6"/>
      <x:c r="I138" s="6"/>
      <x:c r="J138" s="5" t="n">
        <x:v>6</x:v>
      </x:c>
      <x:c r="K138" s="5" t="str">
        <x:f aca="0">TRC!B36</x:f>
        <x:v>S07</x:v>
      </x:c>
      <x:c r="L138" s="5" t="n">
        <x:f aca="0">TRC!C36</x:f>
        <x:v>0.007</x:v>
      </x:c>
      <x:c r="M138" s="5" t="n">
        <x:f aca="0">VLOOKUP(K138,$J$101:$M$107,4,FALSE())</x:f>
        <x:v>0.019305019305019305</x:v>
      </x:c>
      <x:c r="N138" s="5" t="n">
        <x:f aca="0">N137+M138</x:f>
        <x:v>0.42084942084942084</x:v>
      </x:c>
      <x:c r="O138" s="5" t="n">
        <x:f aca="0">MAX(0,MIN(M138,$S$110-N137))</x:f>
        <x:v>0</x:v>
      </x:c>
      <x:c r="P138" s="5" t="n">
        <x:f aca="0">O138*L138</x:f>
        <x:v>0</x:v>
      </x:c>
      <x:c r="Q138" s="6"/>
      <x:c r="R138" s="6"/>
      <x:c r="S138" s="6"/>
    </x:row>
    <x:row r="139" s="1" customFormat="1" ht="13.5" hidden="0" customHeight="1">
      <x:c r="A139" s="6"/>
      <x:c r="B139" s="6"/>
      <x:c r="C139" s="6"/>
      <x:c r="D139" s="6"/>
      <x:c r="E139" s="6"/>
      <x:c r="F139" s="6"/>
      <x:c r="G139" s="6"/>
      <x:c r="H139" s="6"/>
      <x:c r="I139" s="6"/>
      <x:c r="J139" s="8" t="n">
        <x:v>7</x:v>
      </x:c>
      <x:c r="K139" s="8" t="str">
        <x:f aca="0">TRC!B37</x:f>
        <x:v>S01</x:v>
      </x:c>
      <x:c r="L139" s="8" t="n">
        <x:f aca="0">TRC!C37</x:f>
        <x:v>0.00357385</x:v>
      </x:c>
      <x:c r="M139" s="8" t="n">
        <x:f aca="0">VLOOKUP(K139,$J$101:$M$107,4,FALSE())</x:f>
        <x:v>0.5791505791505791</x:v>
      </x:c>
      <x:c r="N139" s="8" t="n">
        <x:f aca="0">N138+M139</x:f>
        <x:v>1</x:v>
      </x:c>
      <x:c r="O139" s="8" t="n">
        <x:f aca="0">MAX(0,MIN(M139,$S$110-N138))</x:f>
        <x:v>0</x:v>
      </x:c>
      <x:c r="P139" s="8" t="n">
        <x:f aca="0">O139*L139</x:f>
        <x:v>0</x:v>
      </x:c>
      <x:c r="Q139" s="6"/>
      <x:c r="R139" s="6"/>
      <x:c r="S139" s="6"/>
    </x:row>
    <x:row r="140" s="1" customFormat="1" ht="13.5" hidden="0" customHeight="1">
      <x:c r="A140" s="6"/>
      <x:c r="B140" s="6"/>
      <x:c r="C140" s="6"/>
      <x:c r="D140" s="6"/>
      <x:c r="E140" s="6"/>
      <x:c r="F140" s="6"/>
      <x:c r="G140" s="6"/>
      <x:c r="H140" s="6"/>
      <x:c r="I140" s="6"/>
      <x:c r="J140" s="6"/>
      <x:c r="K140" s="6"/>
      <x:c r="L140" s="6"/>
      <x:c r="M140" s="6"/>
      <x:c r="N140" s="6"/>
      <x:c r="O140" s="6"/>
      <x:c r="P140" s="6"/>
      <x:c r="Q140" s="6"/>
      <x:c r="R140" s="6"/>
      <x:c r="S140" s="6"/>
    </x:row>
    <x:row r="141" s="1" customFormat="1" ht="13.5" hidden="0" customHeight="1">
      <x:c r="A141" s="6"/>
      <x:c r="B141" s="6"/>
      <x:c r="C141" s="6"/>
      <x:c r="D141" s="6"/>
      <x:c r="E141" s="6"/>
      <x:c r="F141" s="6"/>
      <x:c r="G141" s="6"/>
      <x:c r="H141" s="6"/>
      <x:c r="I141" s="6"/>
      <x:c r="J141" s="6"/>
      <x:c r="K141" s="6"/>
      <x:c r="L141" s="6"/>
      <x:c r="M141" s="6"/>
      <x:c r="N141" s="6"/>
      <x:c r="O141" s="6"/>
      <x:c r="P141" s="6"/>
      <x:c r="Q141" s="6"/>
      <x:c r="R141" s="8" t="s">
        <x:v>2843</x:v>
      </x:c>
      <x:c r="S141" s="8" t="n">
        <x:f aca="0">SUM(P133:P139)/$S$110</x:f>
        <x:v>0.0315</x:v>
      </x:c>
    </x:row>
    <x:row r="142" s="1" customFormat="1" ht="13.5" hidden="0" customHeight="1">
      <x:c r="A142" s="6"/>
      <x:c r="B142" s="6"/>
      <x:c r="C142" s="6"/>
      <x:c r="D142" s="6"/>
      <x:c r="E142" s="6"/>
      <x:c r="F142" s="6"/>
      <x:c r="G142" s="6"/>
      <x:c r="H142" s="6"/>
      <x:c r="I142" s="6"/>
      <x:c r="J142" s="6"/>
      <x:c r="K142" s="6"/>
      <x:c r="L142" s="6"/>
      <x:c r="M142" s="6"/>
      <x:c r="N142" s="6"/>
      <x:c r="O142" s="6"/>
      <x:c r="P142" s="6"/>
      <x:c r="Q142" s="6"/>
      <x:c r="R142" s="5" t="s">
        <x:v>2844</x:v>
      </x:c>
      <x:c r="S142" s="5" t="str">
        <x:f aca="0">IF(S141&lt;=$S$111,"PASS","FAIL")</x:f>
        <x:v>PASS</x:v>
      </x:c>
    </x:row>
    <x:row r="143" s="1" customFormat="1" ht="13.5" hidden="0" customHeight="1">
      <x:c r="A143" s="6"/>
      <x:c r="B143" s="6"/>
      <x:c r="C143" s="6"/>
      <x:c r="D143" s="6"/>
      <x:c r="E143" s="6"/>
      <x:c r="F143" s="6"/>
      <x:c r="G143" s="6"/>
      <x:c r="H143" s="6"/>
      <x:c r="I143" s="6"/>
      <x:c r="J143" s="6"/>
      <x:c r="K143" s="6"/>
      <x:c r="L143" s="6"/>
      <x:c r="M143" s="6"/>
      <x:c r="N143" s="6"/>
      <x:c r="O143" s="6"/>
      <x:c r="P143" s="6"/>
      <x:c r="Q143" s="6"/>
      <x:c r="R143" s="6"/>
      <x:c r="S143" s="6"/>
    </x:row>
    <x:row r="144" s="1" customFormat="1" ht="13.5" hidden="0" customHeight="1">
      <x:c r="A144" s="6"/>
      <x:c r="B144" s="6"/>
      <x:c r="C144" s="6"/>
      <x:c r="D144" s="6"/>
      <x:c r="E144" s="6"/>
      <x:c r="F144" s="6"/>
      <x:c r="G144" s="6"/>
      <x:c r="H144" s="6"/>
      <x:c r="I144" s="6"/>
      <x:c r="J144" s="6"/>
      <x:c r="K144" s="6"/>
      <x:c r="L144" s="6"/>
      <x:c r="M144" s="6"/>
      <x:c r="N144" s="6"/>
      <x:c r="O144" s="6"/>
      <x:c r="P144" s="6"/>
      <x:c r="Q144" s="6"/>
      <x:c r="R144" s="6"/>
      <x:c r="S144" s="6"/>
    </x:row>
    <x:row r="145" s="1" customFormat="1" ht="13.5" hidden="0" customHeight="1">
      <x:c r="A145" s="6"/>
      <x:c r="B145" s="6"/>
      <x:c r="C145" s="6"/>
      <x:c r="D145" s="6"/>
      <x:c r="E145" s="6"/>
      <x:c r="F145" s="6"/>
      <x:c r="G145" s="6"/>
      <x:c r="H145" s="6"/>
      <x:c r="I145" s="6"/>
      <x:c r="J145" s="6"/>
      <x:c r="K145" s="6"/>
      <x:c r="L145" s="6"/>
      <x:c r="M145" s="6"/>
      <x:c r="N145" s="6"/>
      <x:c r="O145" s="6"/>
      <x:c r="P145" s="6"/>
      <x:c r="Q145" s="6"/>
      <x:c r="R145" s="6"/>
      <x:c r="S145" s="6"/>
    </x:row>
    <x:row r="146" s="1" customFormat="1" ht="13.5" hidden="0" customHeight="1">
      <x:c r="A146" s="6"/>
      <x:c r="B146" s="6"/>
      <x:c r="C146" s="6"/>
      <x:c r="D146" s="6"/>
      <x:c r="E146" s="6"/>
      <x:c r="F146" s="6"/>
      <x:c r="G146" s="6"/>
      <x:c r="H146" s="6"/>
      <x:c r="I146" s="6"/>
      <x:c r="J146" s="6"/>
      <x:c r="K146" s="6"/>
      <x:c r="L146" s="6"/>
      <x:c r="M146" s="6"/>
      <x:c r="N146" s="6"/>
      <x:c r="O146" s="6"/>
      <x:c r="P146" s="6"/>
      <x:c r="Q146" s="6"/>
      <x:c r="R146" s="6"/>
      <x:c r="S146" s="6"/>
    </x:row>
    <x:row r="147" s="1" customFormat="1" ht="13.5" hidden="0" customHeight="1">
      <x:c r="A147" s="6"/>
      <x:c r="B147" s="6"/>
      <x:c r="C147" s="6"/>
      <x:c r="D147" s="6"/>
      <x:c r="E147" s="6"/>
      <x:c r="F147" s="6"/>
      <x:c r="G147" s="6"/>
      <x:c r="H147" s="6"/>
      <x:c r="I147" s="6"/>
      <x:c r="J147" s="6"/>
      <x:c r="K147" s="6"/>
      <x:c r="L147" s="6"/>
      <x:c r="M147" s="6"/>
      <x:c r="N147" s="6"/>
      <x:c r="O147" s="6"/>
      <x:c r="P147" s="6"/>
      <x:c r="Q147" s="6"/>
      <x:c r="R147" s="6"/>
      <x:c r="S147" s="6"/>
    </x:row>
    <x:row r="148" s="1" customFormat="1" ht="13.5" hidden="0" customHeight="1">
      <x:c r="A148" s="6"/>
      <x:c r="B148" s="6"/>
      <x:c r="C148" s="6"/>
      <x:c r="D148" s="6"/>
      <x:c r="E148" s="6"/>
      <x:c r="F148" s="6"/>
      <x:c r="G148" s="6"/>
      <x:c r="H148" s="6"/>
      <x:c r="I148" s="6"/>
      <x:c r="J148" s="6"/>
      <x:c r="K148" s="6"/>
      <x:c r="L148" s="6"/>
      <x:c r="M148" s="6"/>
      <x:c r="N148" s="6"/>
      <x:c r="O148" s="6"/>
      <x:c r="P148" s="6"/>
      <x:c r="Q148" s="6"/>
      <x:c r="R148" s="6"/>
      <x:c r="S148" s="6"/>
    </x:row>
    <x:row r="149" s="1" customFormat="1" ht="13.5" hidden="0" customHeight="1">
      <x:c r="A149" s="6"/>
      <x:c r="B149" s="6"/>
      <x:c r="C149" s="6"/>
      <x:c r="D149" s="6"/>
      <x:c r="E149" s="6"/>
      <x:c r="F149" s="6"/>
      <x:c r="G149" s="6"/>
      <x:c r="H149" s="6"/>
      <x:c r="I149" s="6"/>
      <x:c r="J149" s="6"/>
      <x:c r="K149" s="6"/>
      <x:c r="L149" s="6"/>
      <x:c r="M149" s="6"/>
      <x:c r="N149" s="6"/>
      <x:c r="O149" s="6"/>
      <x:c r="P149" s="6"/>
      <x:c r="Q149" s="6"/>
      <x:c r="R149" s="6"/>
      <x:c r="S149" s="6"/>
    </x:row>
    <x:row r="150" s="1" customFormat="1" ht="13.5" hidden="0" customHeight="1">
      <x:c r="A150" s="6"/>
      <x:c r="B150" s="6"/>
      <x:c r="C150" s="6"/>
      <x:c r="D150" s="6"/>
      <x:c r="E150" s="6"/>
      <x:c r="F150" s="6"/>
      <x:c r="G150" s="6"/>
      <x:c r="H150" s="6"/>
      <x:c r="I150" s="6"/>
      <x:c r="J150" s="6"/>
      <x:c r="K150" s="6"/>
      <x:c r="L150" s="6"/>
      <x:c r="M150" s="6"/>
      <x:c r="N150" s="6"/>
      <x:c r="O150" s="6"/>
      <x:c r="P150" s="6"/>
      <x:c r="Q150" s="6"/>
      <x:c r="R150" s="6"/>
      <x:c r="S150" s="6"/>
    </x:row>
    <x:row r="151" s="1" customFormat="1" ht="13.5" hidden="0" customHeight="1">
      <x:c r="A151" s="6"/>
      <x:c r="B151" s="6"/>
      <x:c r="C151" s="6"/>
      <x:c r="D151" s="6"/>
      <x:c r="E151" s="6"/>
      <x:c r="F151" s="6"/>
      <x:c r="G151" s="6"/>
      <x:c r="H151" s="6"/>
      <x:c r="I151" s="6"/>
      <x:c r="J151" s="8" t="s">
        <x:v>2845</x:v>
      </x:c>
      <x:c r="K151" s="6"/>
      <x:c r="L151" s="6"/>
      <x:c r="M151" s="6"/>
      <x:c r="N151" s="6"/>
      <x:c r="O151" s="6"/>
      <x:c r="P151" s="6"/>
      <x:c r="Q151" s="6"/>
      <x:c r="R151" s="6"/>
      <x:c r="S151" s="6"/>
    </x:row>
    <x:row r="152" s="1" customFormat="1" ht="13.5" hidden="0" customHeight="1">
      <x:c r="A152" s="6"/>
      <x:c r="B152" s="6"/>
      <x:c r="C152" s="6"/>
      <x:c r="D152" s="6"/>
      <x:c r="E152" s="6"/>
      <x:c r="F152" s="6"/>
      <x:c r="G152" s="6"/>
      <x:c r="H152" s="6"/>
      <x:c r="I152" s="6"/>
      <x:c r="J152" s="5" t="s">
        <x:v>1765</x:v>
      </x:c>
      <x:c r="K152" s="5" t="s">
        <x:v>1135</x:v>
      </x:c>
      <x:c r="L152" s="5" t="s">
        <x:v>1137</x:v>
      </x:c>
      <x:c r="M152" s="5" t="s">
        <x:v>2836</x:v>
      </x:c>
      <x:c r="N152" s="5" t="s">
        <x:v>1767</x:v>
      </x:c>
      <x:c r="O152" s="5" t="s">
        <x:v>1768</x:v>
      </x:c>
      <x:c r="P152" s="5" t="s">
        <x:v>1072</x:v>
      </x:c>
      <x:c r="Q152" s="6"/>
      <x:c r="R152" s="6"/>
      <x:c r="S152" s="6"/>
    </x:row>
    <x:row r="153" s="1" customFormat="1" ht="13.5" hidden="0" customHeight="1">
      <x:c r="A153" s="6"/>
      <x:c r="B153" s="6"/>
      <x:c r="C153" s="6"/>
      <x:c r="D153" s="6"/>
      <x:c r="E153" s="6"/>
      <x:c r="F153" s="6"/>
      <x:c r="G153" s="6"/>
      <x:c r="H153" s="6"/>
      <x:c r="I153" s="6"/>
      <x:c r="J153" s="8" t="n">
        <x:v>1</x:v>
      </x:c>
      <x:c r="K153" s="8" t="str">
        <x:f aca="0">TRC!B15</x:f>
        <x:v>S06</x:v>
      </x:c>
      <x:c r="L153" s="8" t="n">
        <x:f aca="0">TRC!C15</x:f>
        <x:v>0.0235</x:v>
      </x:c>
      <x:c r="M153" s="8" t="n">
        <x:f aca="0">VLOOKUP(K153,$J$101:$O$107,6,FALSE())</x:f>
        <x:v>0.024896265560165977</x:v>
      </x:c>
      <x:c r="N153" s="8" t="n">
        <x:f aca="0">M153</x:f>
        <x:v>0.024896265560165977</x:v>
      </x:c>
      <x:c r="O153" s="8" t="n">
        <x:f aca="0">MIN(M153,$S$110)</x:f>
        <x:v>0.024896265560165977</x:v>
      </x:c>
      <x:c r="P153" s="8" t="n">
        <x:f aca="0">O153*L153</x:f>
        <x:v>0.0005850622406639005</x:v>
      </x:c>
      <x:c r="Q153" s="6"/>
      <x:c r="R153" s="6"/>
      <x:c r="S153" s="6"/>
    </x:row>
    <x:row r="154" s="1" customFormat="1" ht="13.5" hidden="0" customHeight="1">
      <x:c r="A154" s="6"/>
      <x:c r="B154" s="6"/>
      <x:c r="C154" s="6"/>
      <x:c r="D154" s="6"/>
      <x:c r="E154" s="6"/>
      <x:c r="F154" s="6"/>
      <x:c r="G154" s="6"/>
      <x:c r="H154" s="6"/>
      <x:c r="I154" s="6"/>
      <x:c r="J154" s="5" t="n">
        <x:v>2</x:v>
      </x:c>
      <x:c r="K154" s="5" t="str">
        <x:f aca="0">TRC!B16</x:f>
        <x:v>S04</x:v>
      </x:c>
      <x:c r="L154" s="5" t="n">
        <x:f aca="0">TRC!C16</x:f>
        <x:v>0.0195</x:v>
      </x:c>
      <x:c r="M154" s="5" t="n">
        <x:f aca="0">VLOOKUP(K154,$J$101:$O$107,6,FALSE())</x:f>
        <x:v>0.05809128630705395</x:v>
      </x:c>
      <x:c r="N154" s="5" t="n">
        <x:f aca="0">N153+M154</x:f>
        <x:v>0.08298755186721993</x:v>
      </x:c>
      <x:c r="O154" s="5" t="n">
        <x:f aca="0">MAX(0,MIN(M154,$S$110-N153))</x:f>
        <x:v>0.025103734439834026</x:v>
      </x:c>
      <x:c r="P154" s="5" t="n">
        <x:f aca="0">O154*L154</x:f>
        <x:v>0.0004895228215767635</x:v>
      </x:c>
      <x:c r="Q154" s="6"/>
      <x:c r="R154" s="6"/>
      <x:c r="S154" s="6"/>
    </x:row>
    <x:row r="155" s="1" customFormat="1" ht="13.5" hidden="0" customHeight="1">
      <x:c r="A155" s="6"/>
      <x:c r="B155" s="6"/>
      <x:c r="C155" s="6"/>
      <x:c r="D155" s="6"/>
      <x:c r="E155" s="6"/>
      <x:c r="F155" s="6"/>
      <x:c r="G155" s="6"/>
      <x:c r="H155" s="6"/>
      <x:c r="I155" s="6"/>
      <x:c r="J155" s="8" t="n">
        <x:v>3</x:v>
      </x:c>
      <x:c r="K155" s="8" t="str">
        <x:f aca="0">TRC!B17</x:f>
        <x:v>S03</x:v>
      </x:c>
      <x:c r="L155" s="8" t="n">
        <x:f aca="0">TRC!C17</x:f>
        <x:v>0.0175</x:v>
      </x:c>
      <x:c r="M155" s="8" t="n">
        <x:f aca="0">VLOOKUP(K155,$J$101:$O$107,6,FALSE())</x:f>
        <x:v>0.06639004149377593</x:v>
      </x:c>
      <x:c r="N155" s="8" t="n">
        <x:f aca="0">N154+M155</x:f>
        <x:v>0.14937759336099588</x:v>
      </x:c>
      <x:c r="O155" s="8" t="n">
        <x:f aca="0">MAX(0,MIN(M155,$S$110-N154))</x:f>
        <x:v>0</x:v>
      </x:c>
      <x:c r="P155" s="8" t="n">
        <x:f aca="0">O155*L155</x:f>
        <x:v>0</x:v>
      </x:c>
      <x:c r="Q155" s="6"/>
      <x:c r="R155" s="6"/>
      <x:c r="S155" s="6"/>
    </x:row>
    <x:row r="156" s="1" customFormat="1" ht="13.5" hidden="0" customHeight="1">
      <x:c r="A156" s="6"/>
      <x:c r="B156" s="6"/>
      <x:c r="C156" s="6"/>
      <x:c r="D156" s="6"/>
      <x:c r="E156" s="6"/>
      <x:c r="F156" s="6"/>
      <x:c r="G156" s="6"/>
      <x:c r="H156" s="6"/>
      <x:c r="I156" s="6"/>
      <x:c r="J156" s="5" t="n">
        <x:v>4</x:v>
      </x:c>
      <x:c r="K156" s="5" t="str">
        <x:f aca="0">TRC!B18</x:f>
        <x:v>S05</x:v>
      </x:c>
      <x:c r="L156" s="5" t="n">
        <x:f aca="0">TRC!C18</x:f>
        <x:v>0.0135</x:v>
      </x:c>
      <x:c r="M156" s="5" t="n">
        <x:f aca="0">VLOOKUP(K156,$J$101:$O$107,6,FALSE())</x:f>
        <x:v>0.05186721991701245</x:v>
      </x:c>
      <x:c r="N156" s="5" t="n">
        <x:f aca="0">N155+M156</x:f>
        <x:v>0.20124481327800833</x:v>
      </x:c>
      <x:c r="O156" s="5" t="n">
        <x:f aca="0">MAX(0,MIN(M156,$S$110-N155))</x:f>
        <x:v>0</x:v>
      </x:c>
      <x:c r="P156" s="5" t="n">
        <x:f aca="0">O156*L156</x:f>
        <x:v>0</x:v>
      </x:c>
      <x:c r="Q156" s="6"/>
      <x:c r="R156" s="6"/>
      <x:c r="S156" s="6"/>
    </x:row>
    <x:row r="157" s="1" customFormat="1" ht="13.5" hidden="0" customHeight="1">
      <x:c r="A157" s="6"/>
      <x:c r="B157" s="6"/>
      <x:c r="C157" s="6"/>
      <x:c r="D157" s="6"/>
      <x:c r="E157" s="6"/>
      <x:c r="F157" s="6"/>
      <x:c r="G157" s="6"/>
      <x:c r="H157" s="6"/>
      <x:c r="I157" s="6"/>
      <x:c r="J157" s="8" t="n">
        <x:v>5</x:v>
      </x:c>
      <x:c r="K157" s="8" t="str">
        <x:f aca="0">TRC!B19</x:f>
        <x:v>S07</x:v>
      </x:c>
      <x:c r="L157" s="8" t="n">
        <x:f aca="0">TRC!C19</x:f>
        <x:v>0.01</x:v>
      </x:c>
      <x:c r="M157" s="8" t="n">
        <x:f aca="0">VLOOKUP(K157,$J$101:$O$107,6,FALSE())</x:f>
        <x:v>0.020746887966804982</x:v>
      </x:c>
      <x:c r="N157" s="8" t="n">
        <x:f aca="0">N156+M157</x:f>
        <x:v>0.22199170124481332</x:v>
      </x:c>
      <x:c r="O157" s="8" t="n">
        <x:f aca="0">MAX(0,MIN(M157,$S$110-N156))</x:f>
        <x:v>0</x:v>
      </x:c>
      <x:c r="P157" s="8" t="n">
        <x:f aca="0">O157*L157</x:f>
        <x:v>0</x:v>
      </x:c>
      <x:c r="Q157" s="6"/>
      <x:c r="R157" s="6"/>
      <x:c r="S157" s="6"/>
    </x:row>
    <x:row r="158" s="1" customFormat="1" ht="13.5" hidden="0" customHeight="1">
      <x:c r="A158" s="6"/>
      <x:c r="B158" s="6"/>
      <x:c r="C158" s="6"/>
      <x:c r="D158" s="6"/>
      <x:c r="E158" s="6"/>
      <x:c r="F158" s="6"/>
      <x:c r="G158" s="6"/>
      <x:c r="H158" s="6"/>
      <x:c r="I158" s="6"/>
      <x:c r="J158" s="5" t="n">
        <x:v>6</x:v>
      </x:c>
      <x:c r="K158" s="5" t="str">
        <x:f aca="0">TRC!B20</x:f>
        <x:v>S02</x:v>
      </x:c>
      <x:c r="L158" s="5" t="n">
        <x:f aca="0">TRC!C20</x:f>
        <x:v>0.007</x:v>
      </x:c>
      <x:c r="M158" s="5" t="n">
        <x:f aca="0">VLOOKUP(K158,$J$101:$O$107,6,FALSE())</x:f>
        <x:v>0.15560165975103735</x:v>
      </x:c>
      <x:c r="N158" s="5" t="n">
        <x:f aca="0">N157+M158</x:f>
        <x:v>0.37759336099585067</x:v>
      </x:c>
      <x:c r="O158" s="5" t="n">
        <x:f aca="0">MAX(0,MIN(M158,$S$110-N157))</x:f>
        <x:v>0</x:v>
      </x:c>
      <x:c r="P158" s="5" t="n">
        <x:f aca="0">O158*L158</x:f>
        <x:v>0</x:v>
      </x:c>
      <x:c r="Q158" s="6"/>
      <x:c r="R158" s="6"/>
      <x:c r="S158" s="6"/>
    </x:row>
    <x:row r="159" s="1" customFormat="1" ht="13.5" hidden="0" customHeight="1">
      <x:c r="A159" s="6"/>
      <x:c r="B159" s="6"/>
      <x:c r="C159" s="6"/>
      <x:c r="D159" s="6"/>
      <x:c r="E159" s="6"/>
      <x:c r="F159" s="6"/>
      <x:c r="G159" s="6"/>
      <x:c r="H159" s="6"/>
      <x:c r="I159" s="6"/>
      <x:c r="J159" s="8" t="n">
        <x:v>7</x:v>
      </x:c>
      <x:c r="K159" s="8" t="str">
        <x:f aca="0">TRC!B21</x:f>
        <x:v>S01</x:v>
      </x:c>
      <x:c r="L159" s="8" t="n">
        <x:f aca="0">TRC!C21</x:f>
        <x:v>0</x:v>
      </x:c>
      <x:c r="M159" s="8" t="n">
        <x:f aca="0">VLOOKUP(K159,$J$101:$O$107,6,FALSE())</x:f>
        <x:v>0.6224066390041494</x:v>
      </x:c>
      <x:c r="N159" s="8" t="n">
        <x:f aca="0">N158+M159</x:f>
        <x:v>1</x:v>
      </x:c>
      <x:c r="O159" s="8" t="n">
        <x:f aca="0">MAX(0,MIN(M159,$S$110-N158))</x:f>
        <x:v>0</x:v>
      </x:c>
      <x:c r="P159" s="8" t="n">
        <x:f aca="0">O159*L159</x:f>
        <x:v>0</x:v>
      </x:c>
      <x:c r="Q159" s="6"/>
      <x:c r="R159" s="6"/>
      <x:c r="S159" s="6"/>
    </x:row>
    <x:row r="160" s="1" customFormat="1" ht="13.5" hidden="0" customHeight="1">
      <x:c r="A160" s="6"/>
      <x:c r="B160" s="6"/>
      <x:c r="C160" s="6"/>
      <x:c r="D160" s="6"/>
      <x:c r="E160" s="6"/>
      <x:c r="F160" s="6"/>
      <x:c r="G160" s="6"/>
      <x:c r="H160" s="6"/>
      <x:c r="I160" s="6"/>
      <x:c r="J160" s="6"/>
      <x:c r="K160" s="6"/>
      <x:c r="L160" s="6"/>
      <x:c r="M160" s="6"/>
      <x:c r="N160" s="6"/>
      <x:c r="O160" s="6"/>
      <x:c r="P160" s="6"/>
      <x:c r="Q160" s="6"/>
      <x:c r="R160" s="6"/>
      <x:c r="S160" s="6"/>
    </x:row>
    <x:row r="161" s="1" customFormat="1" ht="13.5" hidden="0" customHeight="1">
      <x:c r="A161" s="6"/>
      <x:c r="B161" s="6"/>
      <x:c r="C161" s="6"/>
      <x:c r="D161" s="6"/>
      <x:c r="E161" s="6"/>
      <x:c r="F161" s="6"/>
      <x:c r="G161" s="6"/>
      <x:c r="H161" s="6"/>
      <x:c r="I161" s="6"/>
      <x:c r="J161" s="6"/>
      <x:c r="K161" s="6"/>
      <x:c r="L161" s="6"/>
      <x:c r="M161" s="6"/>
      <x:c r="N161" s="6"/>
      <x:c r="O161" s="6"/>
      <x:c r="P161" s="6"/>
      <x:c r="Q161" s="6"/>
      <x:c r="R161" s="8" t="s">
        <x:v>2846</x:v>
      </x:c>
      <x:c r="S161" s="8" t="n">
        <x:f aca="0">SUM(P153:P159)/$S$110</x:f>
        <x:v>0.021491701244813276</x:v>
      </x:c>
    </x:row>
    <x:row r="162" s="1" customFormat="1" ht="13.5" hidden="0" customHeight="1">
      <x:c r="A162" s="6"/>
      <x:c r="B162" s="6"/>
      <x:c r="C162" s="6"/>
      <x:c r="D162" s="6"/>
      <x:c r="E162" s="6"/>
      <x:c r="F162" s="6"/>
      <x:c r="G162" s="6"/>
      <x:c r="H162" s="6"/>
      <x:c r="I162" s="6"/>
      <x:c r="J162" s="6"/>
      <x:c r="K162" s="6"/>
      <x:c r="L162" s="6"/>
      <x:c r="M162" s="6"/>
      <x:c r="N162" s="6"/>
      <x:c r="O162" s="6"/>
      <x:c r="P162" s="6"/>
      <x:c r="Q162" s="6"/>
      <x:c r="R162" s="5" t="s">
        <x:v>2847</x:v>
      </x:c>
      <x:c r="S162" s="5" t="str">
        <x:f aca="0">IF(S161&lt;=$S$111,"PASS","FAIL")</x:f>
        <x:v>PASS</x:v>
      </x:c>
    </x:row>
    <x:row r="163" s="1" customFormat="1" ht="13.5" hidden="0" customHeight="1">
      <x:c r="A163" s="6"/>
      <x:c r="B163" s="6"/>
      <x:c r="C163" s="6"/>
      <x:c r="D163" s="6"/>
      <x:c r="E163" s="6"/>
      <x:c r="F163" s="6"/>
      <x:c r="G163" s="6"/>
      <x:c r="H163" s="6"/>
      <x:c r="I163" s="6"/>
      <x:c r="J163" s="6"/>
      <x:c r="K163" s="6"/>
      <x:c r="L163" s="6"/>
      <x:c r="M163" s="6"/>
      <x:c r="N163" s="6"/>
      <x:c r="O163" s="6"/>
      <x:c r="P163" s="6"/>
      <x:c r="Q163" s="6"/>
      <x:c r="R163" s="6"/>
      <x:c r="S163" s="6"/>
    </x:row>
    <x:row r="164" s="1" customFormat="1" ht="13.5" hidden="0" customHeight="1">
      <x:c r="A164" s="6"/>
      <x:c r="B164" s="6"/>
      <x:c r="C164" s="6"/>
      <x:c r="D164" s="6"/>
      <x:c r="E164" s="6"/>
      <x:c r="F164" s="6"/>
      <x:c r="G164" s="6"/>
      <x:c r="H164" s="6"/>
      <x:c r="I164" s="6"/>
      <x:c r="J164" s="5" t="s">
        <x:v>2848</x:v>
      </x:c>
      <x:c r="K164" s="6"/>
      <x:c r="L164" s="6"/>
      <x:c r="M164" s="6"/>
      <x:c r="N164" s="6"/>
      <x:c r="O164" s="6"/>
      <x:c r="P164" s="6"/>
      <x:c r="Q164" s="6"/>
      <x:c r="R164" s="6"/>
      <x:c r="S164" s="6"/>
    </x:row>
    <x:row r="165" s="1" customFormat="1" ht="13.5" hidden="0" customHeight="1">
      <x:c r="A165" s="6"/>
      <x:c r="B165" s="6"/>
      <x:c r="C165" s="6"/>
      <x:c r="D165" s="6"/>
      <x:c r="E165" s="6"/>
      <x:c r="F165" s="6"/>
      <x:c r="G165" s="6"/>
      <x:c r="H165" s="6"/>
      <x:c r="I165" s="6"/>
      <x:c r="J165" s="8" t="s">
        <x:v>1765</x:v>
      </x:c>
      <x:c r="K165" s="8" t="s">
        <x:v>1135</x:v>
      </x:c>
      <x:c r="L165" s="8" t="s">
        <x:v>1137</x:v>
      </x:c>
      <x:c r="M165" s="8" t="s">
        <x:v>2836</x:v>
      </x:c>
      <x:c r="N165" s="8" t="s">
        <x:v>1767</x:v>
      </x:c>
      <x:c r="O165" s="8" t="s">
        <x:v>1768</x:v>
      </x:c>
      <x:c r="P165" s="8" t="s">
        <x:v>1072</x:v>
      </x:c>
      <x:c r="Q165" s="6"/>
      <x:c r="R165" s="6"/>
      <x:c r="S165" s="6"/>
    </x:row>
    <x:row r="166" s="1" customFormat="1" ht="13.5" hidden="0" customHeight="1">
      <x:c r="A166" s="6"/>
      <x:c r="B166" s="6"/>
      <x:c r="C166" s="6"/>
      <x:c r="D166" s="6"/>
      <x:c r="E166" s="6"/>
      <x:c r="F166" s="6"/>
      <x:c r="G166" s="6"/>
      <x:c r="H166" s="6"/>
      <x:c r="I166" s="6"/>
      <x:c r="J166" s="5" t="n">
        <x:v>1</x:v>
      </x:c>
      <x:c r="K166" s="5" t="str">
        <x:f aca="0">TRC!B31</x:f>
        <x:v>S03</x:v>
      </x:c>
      <x:c r="L166" s="5" t="n">
        <x:f aca="0">TRC!C31</x:f>
        <x:v>0.0315</x:v>
      </x:c>
      <x:c r="M166" s="5" t="n">
        <x:f aca="0">VLOOKUP(K166,$J$101:$O$107,6,FALSE())</x:f>
        <x:v>0.06639004149377593</x:v>
      </x:c>
      <x:c r="N166" s="5" t="n">
        <x:f aca="0">M166</x:f>
        <x:v>0.06639004149377593</x:v>
      </x:c>
      <x:c r="O166" s="5" t="n">
        <x:f aca="0">MIN(M166,$S$110)</x:f>
        <x:v>0.05</x:v>
      </x:c>
      <x:c r="P166" s="5" t="n">
        <x:f aca="0">O166*L166</x:f>
        <x:v>0.001575</x:v>
      </x:c>
      <x:c r="Q166" s="6"/>
      <x:c r="R166" s="6"/>
      <x:c r="S166" s="6"/>
    </x:row>
    <x:row r="167" s="1" customFormat="1" ht="13.5" hidden="0" customHeight="1">
      <x:c r="A167" s="6"/>
      <x:c r="B167" s="6"/>
      <x:c r="C167" s="6"/>
      <x:c r="D167" s="6"/>
      <x:c r="E167" s="6"/>
      <x:c r="F167" s="6"/>
      <x:c r="G167" s="6"/>
      <x:c r="H167" s="6"/>
      <x:c r="I167" s="6"/>
      <x:c r="J167" s="8" t="n">
        <x:v>2</x:v>
      </x:c>
      <x:c r="K167" s="8" t="str">
        <x:f aca="0">TRC!B32</x:f>
        <x:v>S04</x:v>
      </x:c>
      <x:c r="L167" s="8" t="n">
        <x:f aca="0">TRC!C32</x:f>
        <x:v>0.0235</x:v>
      </x:c>
      <x:c r="M167" s="8" t="n">
        <x:f aca="0">VLOOKUP(K167,$J$101:$O$107,6,FALSE())</x:f>
        <x:v>0.05809128630705395</x:v>
      </x:c>
      <x:c r="N167" s="8" t="n">
        <x:f aca="0">N166+M167</x:f>
        <x:v>0.12448132780082988</x:v>
      </x:c>
      <x:c r="O167" s="8" t="n">
        <x:f aca="0">MAX(0,MIN(M167,$S$110-N166))</x:f>
        <x:v>0</x:v>
      </x:c>
      <x:c r="P167" s="8" t="n">
        <x:f aca="0">O167*L167</x:f>
        <x:v>0</x:v>
      </x:c>
      <x:c r="Q167" s="6"/>
      <x:c r="R167" s="6"/>
      <x:c r="S167" s="6"/>
    </x:row>
    <x:row r="168" s="1" customFormat="1" ht="13.5" hidden="0" customHeight="1">
      <x:c r="A168" s="6"/>
      <x:c r="B168" s="6"/>
      <x:c r="C168" s="6"/>
      <x:c r="D168" s="6"/>
      <x:c r="E168" s="6"/>
      <x:c r="F168" s="6"/>
      <x:c r="G168" s="6"/>
      <x:c r="H168" s="6"/>
      <x:c r="I168" s="6"/>
      <x:c r="J168" s="5" t="n">
        <x:v>3</x:v>
      </x:c>
      <x:c r="K168" s="5" t="str">
        <x:f aca="0">TRC!B33</x:f>
        <x:v>S06</x:v>
      </x:c>
      <x:c r="L168" s="5" t="n">
        <x:f aca="0">TRC!C33</x:f>
        <x:v>0.02175</x:v>
      </x:c>
      <x:c r="M168" s="5" t="n">
        <x:f aca="0">VLOOKUP(K168,$J$101:$O$107,6,FALSE())</x:f>
        <x:v>0.024896265560165977</x:v>
      </x:c>
      <x:c r="N168" s="5" t="n">
        <x:f aca="0">N167+M168</x:f>
        <x:v>0.14937759336099585</x:v>
      </x:c>
      <x:c r="O168" s="5" t="n">
        <x:f aca="0">MAX(0,MIN(M168,$S$110-N167))</x:f>
        <x:v>0</x:v>
      </x:c>
      <x:c r="P168" s="5" t="n">
        <x:f aca="0">O168*L168</x:f>
        <x:v>0</x:v>
      </x:c>
      <x:c r="Q168" s="6"/>
      <x:c r="R168" s="6"/>
      <x:c r="S168" s="6"/>
    </x:row>
    <x:row r="169" s="1" customFormat="1" ht="13.5" hidden="0" customHeight="1">
      <x:c r="A169" s="6"/>
      <x:c r="B169" s="6"/>
      <x:c r="C169" s="6"/>
      <x:c r="D169" s="6"/>
      <x:c r="E169" s="6"/>
      <x:c r="F169" s="6"/>
      <x:c r="G169" s="6"/>
      <x:c r="H169" s="6"/>
      <x:c r="I169" s="6"/>
      <x:c r="J169" s="8" t="n">
        <x:v>4</x:v>
      </x:c>
      <x:c r="K169" s="8" t="str">
        <x:f aca="0">TRC!B34</x:f>
        <x:v>S05</x:v>
      </x:c>
      <x:c r="L169" s="8" t="n">
        <x:f aca="0">TRC!C34</x:f>
        <x:v>0.0135</x:v>
      </x:c>
      <x:c r="M169" s="8" t="n">
        <x:f aca="0">VLOOKUP(K169,$J$101:$O$107,6,FALSE())</x:f>
        <x:v>0.05186721991701245</x:v>
      </x:c>
      <x:c r="N169" s="8" t="n">
        <x:f aca="0">N168+M169</x:f>
        <x:v>0.2012448132780083</x:v>
      </x:c>
      <x:c r="O169" s="8" t="n">
        <x:f aca="0">MAX(0,MIN(M169,$S$110-N168))</x:f>
        <x:v>0</x:v>
      </x:c>
      <x:c r="P169" s="8" t="n">
        <x:f aca="0">O169*L169</x:f>
        <x:v>0</x:v>
      </x:c>
      <x:c r="Q169" s="6"/>
      <x:c r="R169" s="6"/>
      <x:c r="S169" s="6"/>
    </x:row>
    <x:row r="170" s="1" customFormat="1" ht="13.5" hidden="0" customHeight="1">
      <x:c r="A170" s="6"/>
      <x:c r="B170" s="6"/>
      <x:c r="C170" s="6"/>
      <x:c r="D170" s="6"/>
      <x:c r="E170" s="6"/>
      <x:c r="F170" s="6"/>
      <x:c r="G170" s="6"/>
      <x:c r="H170" s="6"/>
      <x:c r="I170" s="6"/>
      <x:c r="J170" s="5" t="n">
        <x:v>5</x:v>
      </x:c>
      <x:c r="K170" s="5" t="str">
        <x:f aca="0">TRC!B35</x:f>
        <x:v>S02</x:v>
      </x:c>
      <x:c r="L170" s="5" t="n">
        <x:f aca="0">TRC!C35</x:f>
        <x:v>0.0105</x:v>
      </x:c>
      <x:c r="M170" s="5" t="n">
        <x:f aca="0">VLOOKUP(K170,$J$101:$O$107,6,FALSE())</x:f>
        <x:v>0.15560165975103735</x:v>
      </x:c>
      <x:c r="N170" s="5" t="n">
        <x:f aca="0">N169+M170</x:f>
        <x:v>0.35684647302904565</x:v>
      </x:c>
      <x:c r="O170" s="5" t="n">
        <x:f aca="0">MAX(0,MIN(M170,$S$110-N169))</x:f>
        <x:v>0</x:v>
      </x:c>
      <x:c r="P170" s="5" t="n">
        <x:f aca="0">O170*L170</x:f>
        <x:v>0</x:v>
      </x:c>
      <x:c r="Q170" s="6"/>
      <x:c r="R170" s="6"/>
      <x:c r="S170" s="6"/>
    </x:row>
    <x:row r="171" s="1" customFormat="1" ht="13.5" hidden="0" customHeight="1">
      <x:c r="A171" s="6"/>
      <x:c r="B171" s="6"/>
      <x:c r="C171" s="6"/>
      <x:c r="D171" s="6"/>
      <x:c r="E171" s="6"/>
      <x:c r="F171" s="6"/>
      <x:c r="G171" s="6"/>
      <x:c r="H171" s="6"/>
      <x:c r="I171" s="6"/>
      <x:c r="J171" s="8" t="n">
        <x:v>6</x:v>
      </x:c>
      <x:c r="K171" s="8" t="str">
        <x:f aca="0">TRC!B36</x:f>
        <x:v>S07</x:v>
      </x:c>
      <x:c r="L171" s="8" t="n">
        <x:f aca="0">TRC!C36</x:f>
        <x:v>0.007</x:v>
      </x:c>
      <x:c r="M171" s="8" t="n">
        <x:f aca="0">VLOOKUP(K171,$J$101:$O$107,6,FALSE())</x:f>
        <x:v>0.020746887966804982</x:v>
      </x:c>
      <x:c r="N171" s="8" t="n">
        <x:f aca="0">N170+M171</x:f>
        <x:v>0.3775933609958506</x:v>
      </x:c>
      <x:c r="O171" s="8" t="n">
        <x:f aca="0">MAX(0,MIN(M171,$S$110-N170))</x:f>
        <x:v>0</x:v>
      </x:c>
      <x:c r="P171" s="8" t="n">
        <x:f aca="0">O171*L171</x:f>
        <x:v>0</x:v>
      </x:c>
      <x:c r="Q171" s="6"/>
      <x:c r="R171" s="6"/>
      <x:c r="S171" s="6"/>
    </x:row>
    <x:row r="172" s="1" customFormat="1" ht="13.5" hidden="0" customHeight="1">
      <x:c r="A172" s="6"/>
      <x:c r="B172" s="6"/>
      <x:c r="C172" s="6"/>
      <x:c r="D172" s="6"/>
      <x:c r="E172" s="6"/>
      <x:c r="F172" s="6"/>
      <x:c r="G172" s="6"/>
      <x:c r="H172" s="6"/>
      <x:c r="I172" s="6"/>
      <x:c r="J172" s="5" t="n">
        <x:v>7</x:v>
      </x:c>
      <x:c r="K172" s="5" t="str">
        <x:f aca="0">TRC!B37</x:f>
        <x:v>S01</x:v>
      </x:c>
      <x:c r="L172" s="5" t="n">
        <x:f aca="0">TRC!C37</x:f>
        <x:v>0.00357385</x:v>
      </x:c>
      <x:c r="M172" s="5" t="n">
        <x:f aca="0">VLOOKUP(K172,$J$101:$O$107,6,FALSE())</x:f>
        <x:v>0.6224066390041494</x:v>
      </x:c>
      <x:c r="N172" s="5" t="n">
        <x:f aca="0">N171+M172</x:f>
        <x:v>1</x:v>
      </x:c>
      <x:c r="O172" s="5" t="n">
        <x:f aca="0">MAX(0,MIN(M172,$S$110-N171))</x:f>
        <x:v>0</x:v>
      </x:c>
      <x:c r="P172" s="5" t="n">
        <x:f aca="0">O172*L172</x:f>
        <x:v>0</x:v>
      </x:c>
      <x:c r="Q172" s="6"/>
      <x:c r="R172" s="6"/>
      <x:c r="S172" s="6"/>
    </x:row>
    <x:row r="173" s="1" customFormat="1" ht="13.5" hidden="0" customHeight="1">
      <x:c r="A173" s="6"/>
      <x:c r="B173" s="6"/>
      <x:c r="C173" s="6"/>
      <x:c r="D173" s="6"/>
      <x:c r="E173" s="6"/>
      <x:c r="F173" s="6"/>
      <x:c r="G173" s="6"/>
      <x:c r="H173" s="6"/>
      <x:c r="I173" s="6"/>
      <x:c r="J173" s="6"/>
      <x:c r="K173" s="6"/>
      <x:c r="L173" s="6"/>
      <x:c r="M173" s="6"/>
      <x:c r="N173" s="6"/>
      <x:c r="O173" s="6"/>
      <x:c r="P173" s="6"/>
      <x:c r="Q173" s="6"/>
      <x:c r="R173" s="6"/>
      <x:c r="S173" s="6"/>
    </x:row>
    <x:row r="174" s="1" customFormat="1" ht="13.5" hidden="0" customHeight="1">
      <x:c r="A174" s="6"/>
      <x:c r="B174" s="6"/>
      <x:c r="C174" s="6"/>
      <x:c r="D174" s="6"/>
      <x:c r="E174" s="6"/>
      <x:c r="F174" s="6"/>
      <x:c r="G174" s="6"/>
      <x:c r="H174" s="6"/>
      <x:c r="I174" s="6"/>
      <x:c r="J174" s="6"/>
      <x:c r="K174" s="6"/>
      <x:c r="L174" s="6"/>
      <x:c r="M174" s="6"/>
      <x:c r="N174" s="6"/>
      <x:c r="O174" s="6"/>
      <x:c r="P174" s="6"/>
      <x:c r="Q174" s="6"/>
      <x:c r="R174" s="5" t="s">
        <x:v>2849</x:v>
      </x:c>
      <x:c r="S174" s="5" t="n">
        <x:f aca="0">SUM(P166:P172)/$S$110</x:f>
        <x:v>0.0315</x:v>
      </x:c>
    </x:row>
    <x:row r="175" s="1" customFormat="1" ht="13.5" hidden="0" customHeight="1">
      <x:c r="A175" s="6"/>
      <x:c r="B175" s="6"/>
      <x:c r="C175" s="6"/>
      <x:c r="D175" s="6"/>
      <x:c r="E175" s="6"/>
      <x:c r="F175" s="6"/>
      <x:c r="G175" s="6"/>
      <x:c r="H175" s="6"/>
      <x:c r="I175" s="6"/>
      <x:c r="J175" s="6"/>
      <x:c r="K175" s="6"/>
      <x:c r="L175" s="6"/>
      <x:c r="M175" s="6"/>
      <x:c r="N175" s="6"/>
      <x:c r="O175" s="6"/>
      <x:c r="P175" s="6"/>
      <x:c r="Q175" s="6"/>
      <x:c r="R175" s="8" t="s">
        <x:v>2850</x:v>
      </x:c>
      <x:c r="S175" s="8" t="str">
        <x:f aca="0">IF(S174&lt;=$S$111,"PASS","FAIL")</x:f>
        <x:v>PASS</x:v>
      </x:c>
    </x:row>
  </x:sheetData>
  <x:pageMargins left="0.7" right="0.7" top="0.75" bottom="0.75" header="0.3" footer="0.3"/>
</x:worksheet>
</file>

<file path=xl/worksheets/sheet34.xml><?xml version="1.0" encoding="utf-8"?>
<x:worksheet xmlns:x="http://schemas.openxmlformats.org/spreadsheetml/2006/main">
  <x:sheetViews>
    <x:sheetView showGridLines="1" workbookViewId="0"/>
  </x:sheetViews>
  <x:sheetFormatPr defaultColWidth="8.66796875" defaultRowHeight="12.75"/>
  <x:cols>
    <x:col min="1" max="2" width="36" style="1" hidden="0" customWidth="1"/>
    <x:col min="3" max="3" width="23" style="1" hidden="0" customWidth="1"/>
    <x:col min="4" max="10" width="16" style="1" hidden="0" customWidth="1"/>
  </x:cols>
  <x:sheetData>
    <x:row r="1" s="1" customFormat="1" ht="14.25" hidden="0" customHeight="1">
      <x:c r="A1" s="2" t="s">
        <x:v>2851</x:v>
      </x:c>
      <x:c r="B1" s="2"/>
      <x:c r="C1" s="2"/>
      <x:c r="D1" s="2"/>
      <x:c r="E1" s="2"/>
      <x:c r="F1" s="2"/>
      <x:c r="G1" s="2"/>
      <x:c r="H1" s="2"/>
      <x:c r="I1" s="2"/>
      <x:c r="J1" s="2"/>
    </x:row>
    <x:row r="2" s="1" customFormat="1" ht="36" hidden="0" customHeight="1">
      <x:c r="A2" s="4" t="s">
        <x:v>2852</x:v>
      </x:c>
      <x:c r="B2" s="6"/>
      <x:c r="C2" s="6"/>
      <x:c r="D2" s="6"/>
      <x:c r="E2" s="6"/>
      <x:c r="F2" s="6"/>
      <x:c r="G2" s="6"/>
      <x:c r="H2" s="6"/>
      <x:c r="I2" s="6"/>
      <x:c r="J2" s="6"/>
    </x:row>
    <x:row r="3" s="1" customFormat="1" ht="14.25" hidden="0" customHeight="1">
      <x:c r="A3" s="7" t="s">
        <x:v>2853</x:v>
      </x:c>
      <x:c r="B3" s="6"/>
      <x:c r="C3" s="6"/>
      <x:c r="D3" s="6"/>
      <x:c r="E3" s="6"/>
      <x:c r="F3" s="6"/>
      <x:c r="G3" s="6"/>
      <x:c r="H3" s="6"/>
      <x:c r="I3" s="6"/>
      <x:c r="J3" s="6"/>
    </x:row>
    <x:row r="4" s="1" customFormat="1" ht="13.5" hidden="0" customHeight="1">
      <x:c r="A4" s="6"/>
      <x:c r="B4" s="6"/>
      <x:c r="C4" s="6"/>
      <x:c r="D4" s="6"/>
      <x:c r="E4" s="6"/>
      <x:c r="F4" s="6"/>
      <x:c r="G4" s="6"/>
      <x:c r="H4" s="6"/>
      <x:c r="I4" s="6"/>
      <x:c r="J4" s="6"/>
    </x:row>
    <x:row r="5" s="1" customFormat="1" ht="14.25" hidden="0" customHeight="1">
      <x:c r="A5" s="7" t="s">
        <x:v>2854</x:v>
      </x:c>
      <x:c r="B5" s="6"/>
      <x:c r="C5" s="6"/>
      <x:c r="D5" s="6"/>
      <x:c r="E5" s="6"/>
      <x:c r="F5" s="6"/>
      <x:c r="G5" s="6"/>
      <x:c r="H5" s="6"/>
      <x:c r="I5" s="6"/>
      <x:c r="J5" s="6"/>
    </x:row>
    <x:row r="6" s="1" customFormat="1" ht="13.5" hidden="0" customHeight="1">
      <x:c r="A6" s="6"/>
      <x:c r="B6" s="6"/>
      <x:c r="C6" s="6"/>
      <x:c r="D6" s="6"/>
      <x:c r="E6" s="6"/>
      <x:c r="F6" s="6"/>
      <x:c r="G6" s="6"/>
      <x:c r="H6" s="6"/>
      <x:c r="I6" s="6"/>
      <x:c r="J6" s="6"/>
    </x:row>
    <x:row r="7" s="1" customFormat="1" ht="14.25" hidden="0" customHeight="1">
      <x:c r="A7" s="7" t="s">
        <x:v>2855</x:v>
      </x:c>
      <x:c r="B7" s="6"/>
      <x:c r="C7" s="6"/>
      <x:c r="D7" s="6"/>
      <x:c r="E7" s="6"/>
      <x:c r="F7" s="6"/>
      <x:c r="G7" s="6"/>
      <x:c r="H7" s="6"/>
      <x:c r="I7" s="6"/>
      <x:c r="J7" s="6"/>
    </x:row>
    <x:row r="8" s="1" customFormat="1" ht="14.25" hidden="0" customHeight="1">
      <x:c r="A8" s="7" t="s">
        <x:v>2856</x:v>
      </x:c>
      <x:c r="B8" s="6"/>
      <x:c r="C8" s="6"/>
      <x:c r="D8" s="6"/>
      <x:c r="E8" s="6"/>
      <x:c r="F8" s="6"/>
      <x:c r="G8" s="6"/>
      <x:c r="H8" s="6"/>
      <x:c r="I8" s="6"/>
      <x:c r="J8" s="6"/>
    </x:row>
    <x:row r="9" s="1" customFormat="1" ht="14.25" hidden="0" customHeight="1">
      <x:c r="A9" s="7" t="s">
        <x:v>2857</x:v>
      </x:c>
      <x:c r="B9" s="8" t="s">
        <x:v>2858</x:v>
      </x:c>
      <x:c r="C9" s="8" t="s">
        <x:v>992</x:v>
      </x:c>
      <x:c r="D9" s="6"/>
      <x:c r="E9" s="6"/>
      <x:c r="F9" s="6"/>
      <x:c r="G9" s="6"/>
      <x:c r="H9" s="6"/>
      <x:c r="I9" s="6"/>
      <x:c r="J9" s="6"/>
    </x:row>
    <x:row r="10" s="1" customFormat="1" ht="14.25" hidden="0" customHeight="1">
      <x:c r="A10" s="7" t="s">
        <x:v>2859</x:v>
      </x:c>
      <x:c r="B10" s="5" t="n">
        <x:v>-0.069</x:v>
      </x:c>
      <x:c r="C10" s="5" t="s">
        <x:v>2794</x:v>
      </x:c>
      <x:c r="D10" s="6"/>
      <x:c r="E10" s="6"/>
      <x:c r="F10" s="6"/>
      <x:c r="G10" s="6"/>
      <x:c r="H10" s="6"/>
      <x:c r="I10" s="6"/>
      <x:c r="J10" s="6"/>
    </x:row>
    <x:row r="11" s="1" customFormat="1" ht="14.25" hidden="0" customHeight="1">
      <x:c r="A11" s="7" t="s">
        <x:v>2860</x:v>
      </x:c>
      <x:c r="B11" s="8" t="n">
        <x:v>-0.1</x:v>
      </x:c>
      <x:c r="C11" s="8" t="s">
        <x:v>2861</x:v>
      </x:c>
      <x:c r="D11" s="6"/>
      <x:c r="E11" s="6"/>
      <x:c r="F11" s="6"/>
      <x:c r="G11" s="6"/>
      <x:c r="H11" s="6"/>
      <x:c r="I11" s="6"/>
      <x:c r="J11" s="6"/>
    </x:row>
    <x:row r="12" s="1" customFormat="1" ht="14.25" hidden="0" customHeight="1">
      <x:c r="A12" s="7" t="s">
        <x:v>2862</x:v>
      </x:c>
      <x:c r="B12" s="5" t="n">
        <x:v>-0.12</x:v>
      </x:c>
      <x:c r="C12" s="5" t="s">
        <x:v>2863</x:v>
      </x:c>
      <x:c r="D12" s="6"/>
      <x:c r="E12" s="6"/>
      <x:c r="F12" s="6"/>
      <x:c r="G12" s="6"/>
      <x:c r="H12" s="6"/>
      <x:c r="I12" s="6"/>
      <x:c r="J12" s="6"/>
    </x:row>
    <x:row r="13" s="1" customFormat="1" ht="14.25" hidden="0" customHeight="1">
      <x:c r="A13" s="7" t="s">
        <x:v>2864</x:v>
      </x:c>
      <x:c r="B13" s="8" t="n">
        <x:v>-0.15</x:v>
      </x:c>
      <x:c r="C13" s="8" t="s">
        <x:v>2865</x:v>
      </x:c>
      <x:c r="D13" s="6"/>
      <x:c r="E13" s="6"/>
      <x:c r="F13" s="6"/>
      <x:c r="G13" s="6"/>
      <x:c r="H13" s="6"/>
      <x:c r="I13" s="6"/>
      <x:c r="J13" s="6"/>
    </x:row>
    <x:row r="14" s="1" customFormat="1" ht="14.25" hidden="0" customHeight="1">
      <x:c r="A14" s="7" t="s">
        <x:v>2866</x:v>
      </x:c>
      <x:c r="B14" s="5" t="n">
        <x:v>-0.15</x:v>
      </x:c>
      <x:c r="C14" s="5" t="s">
        <x:v>2867</x:v>
      </x:c>
      <x:c r="D14" s="6"/>
      <x:c r="E14" s="6"/>
      <x:c r="F14" s="6"/>
      <x:c r="G14" s="6"/>
      <x:c r="H14" s="6"/>
      <x:c r="I14" s="6"/>
      <x:c r="J14" s="6"/>
    </x:row>
    <x:row r="15" s="1" customFormat="1" ht="14.25" hidden="0" customHeight="1">
      <x:c r="A15" s="7" t="s">
        <x:v>2868</x:v>
      </x:c>
      <x:c r="B15" s="6"/>
      <x:c r="C15" s="6"/>
      <x:c r="D15" s="6"/>
      <x:c r="E15" s="6"/>
      <x:c r="F15" s="6"/>
      <x:c r="G15" s="6"/>
      <x:c r="H15" s="6"/>
      <x:c r="I15" s="6"/>
      <x:c r="J15" s="6"/>
    </x:row>
    <x:row r="16" s="1" customFormat="1" ht="13.5" hidden="0" customHeight="1">
      <x:c r="A16" s="6"/>
      <x:c r="B16" s="6"/>
      <x:c r="C16" s="6"/>
      <x:c r="D16" s="6"/>
      <x:c r="E16" s="6"/>
      <x:c r="F16" s="6"/>
      <x:c r="G16" s="6"/>
      <x:c r="H16" s="6"/>
      <x:c r="I16" s="6"/>
      <x:c r="J16" s="6"/>
    </x:row>
    <x:row r="17" s="1" customFormat="1" ht="14.25" hidden="0" customHeight="1">
      <x:c r="A17" s="7" t="s">
        <x:v>2869</x:v>
      </x:c>
      <x:c r="B17" s="6"/>
      <x:c r="C17" s="6"/>
      <x:c r="D17" s="6"/>
      <x:c r="E17" s="6"/>
      <x:c r="F17" s="6"/>
      <x:c r="G17" s="6"/>
      <x:c r="H17" s="6"/>
      <x:c r="I17" s="6"/>
      <x:c r="J17" s="6"/>
    </x:row>
    <x:row r="18" s="1" customFormat="1" ht="14.25" hidden="0" customHeight="1">
      <x:c r="A18" s="7" t="s">
        <x:v>2870</x:v>
      </x:c>
      <x:c r="B18" s="6"/>
      <x:c r="C18" s="6"/>
      <x:c r="D18" s="6"/>
      <x:c r="E18" s="6"/>
      <x:c r="F18" s="6"/>
      <x:c r="G18" s="6"/>
      <x:c r="H18" s="6"/>
      <x:c r="I18" s="6"/>
      <x:c r="J18" s="6"/>
    </x:row>
    <x:row r="19" s="1" customFormat="1" ht="14.25" hidden="0" customHeight="1">
      <x:c r="A19" s="7" t="s">
        <x:v>2871</x:v>
      </x:c>
      <x:c r="B19" s="6"/>
      <x:c r="C19" s="6"/>
      <x:c r="D19" s="6"/>
      <x:c r="E19" s="6"/>
      <x:c r="F19" s="6"/>
      <x:c r="G19" s="6"/>
      <x:c r="H19" s="6"/>
      <x:c r="I19" s="6"/>
      <x:c r="J19" s="6"/>
    </x:row>
    <x:row r="20" s="1" customFormat="1" ht="14.25" hidden="0" customHeight="1">
      <x:c r="A20" s="7" t="s">
        <x:v>2872</x:v>
      </x:c>
      <x:c r="B20" s="6"/>
      <x:c r="C20" s="6"/>
      <x:c r="D20" s="6"/>
      <x:c r="E20" s="6"/>
      <x:c r="F20" s="6"/>
      <x:c r="G20" s="6"/>
      <x:c r="H20" s="6"/>
      <x:c r="I20" s="6"/>
      <x:c r="J20" s="6"/>
    </x:row>
    <x:row r="21" s="1" customFormat="1" ht="13.5" hidden="0" customHeight="1">
      <x:c r="A21" s="6"/>
      <x:c r="B21" s="6"/>
      <x:c r="C21" s="6"/>
      <x:c r="D21" s="6"/>
      <x:c r="E21" s="6"/>
      <x:c r="F21" s="6"/>
      <x:c r="G21" s="6"/>
      <x:c r="H21" s="6"/>
      <x:c r="I21" s="6"/>
      <x:c r="J21" s="6"/>
    </x:row>
    <x:row r="22" s="1" customFormat="1" ht="14.25" hidden="0" customHeight="1">
      <x:c r="A22" s="7" t="s">
        <x:v>2873</x:v>
      </x:c>
      <x:c r="B22" s="6"/>
      <x:c r="C22" s="6"/>
      <x:c r="D22" s="6"/>
      <x:c r="E22" s="6"/>
      <x:c r="F22" s="6"/>
      <x:c r="G22" s="6"/>
      <x:c r="H22" s="6"/>
      <x:c r="I22" s="6"/>
      <x:c r="J22" s="6"/>
    </x:row>
    <x:row r="23" s="1" customFormat="1" ht="14.25" hidden="0" customHeight="1">
      <x:c r="A23" s="7" t="s">
        <x:v>2870</x:v>
      </x:c>
      <x:c r="B23" s="6"/>
      <x:c r="C23" s="6"/>
      <x:c r="D23" s="6"/>
      <x:c r="E23" s="6"/>
      <x:c r="F23" s="6"/>
      <x:c r="G23" s="6"/>
      <x:c r="H23" s="6"/>
      <x:c r="I23" s="6"/>
      <x:c r="J23" s="6"/>
    </x:row>
    <x:row r="24" s="1" customFormat="1" ht="14.25" hidden="0" customHeight="1">
      <x:c r="A24" s="7" t="s">
        <x:v>2874</x:v>
      </x:c>
      <x:c r="B24" s="6"/>
      <x:c r="C24" s="6"/>
      <x:c r="D24" s="6"/>
      <x:c r="E24" s="6"/>
      <x:c r="F24" s="6"/>
      <x:c r="G24" s="6"/>
      <x:c r="H24" s="6"/>
      <x:c r="I24" s="6"/>
      <x:c r="J24" s="6"/>
    </x:row>
    <x:row r="25" s="1" customFormat="1" ht="14.25" hidden="0" customHeight="1">
      <x:c r="A25" s="7" t="s">
        <x:v>2875</x:v>
      </x:c>
      <x:c r="B25" s="6"/>
      <x:c r="C25" s="6"/>
      <x:c r="D25" s="6"/>
      <x:c r="E25" s="6"/>
      <x:c r="F25" s="6"/>
      <x:c r="G25" s="6"/>
      <x:c r="H25" s="6"/>
      <x:c r="I25" s="6"/>
      <x:c r="J25" s="6"/>
    </x:row>
    <x:row r="26" s="1" customFormat="1" ht="13.5" hidden="0" customHeight="1">
      <x:c r="A26" s="6"/>
      <x:c r="B26" s="6"/>
      <x:c r="C26" s="6"/>
      <x:c r="D26" s="6"/>
      <x:c r="E26" s="6"/>
      <x:c r="F26" s="6"/>
      <x:c r="G26" s="6"/>
      <x:c r="H26" s="6"/>
      <x:c r="I26" s="6"/>
      <x:c r="J26" s="6"/>
    </x:row>
    <x:row r="27" s="1" customFormat="1" ht="13.5" hidden="0" customHeight="1">
      <x:c r="A27" s="6"/>
      <x:c r="B27" s="6"/>
      <x:c r="C27" s="6"/>
      <x:c r="D27" s="6"/>
      <x:c r="E27" s="6"/>
      <x:c r="F27" s="6"/>
      <x:c r="G27" s="6"/>
      <x:c r="H27" s="6"/>
      <x:c r="I27" s="6"/>
      <x:c r="J27" s="6"/>
    </x:row>
    <x:row r="28" s="1" customFormat="1" ht="14.25" hidden="0" customHeight="1">
      <x:c r="A28" s="7" t="s">
        <x:v>2876</x:v>
      </x:c>
      <x:c r="B28" s="6"/>
      <x:c r="C28" s="6"/>
      <x:c r="D28" s="6"/>
      <x:c r="E28" s="6"/>
      <x:c r="F28" s="6"/>
      <x:c r="G28" s="6"/>
      <x:c r="H28" s="6"/>
      <x:c r="I28" s="6"/>
      <x:c r="J28" s="6"/>
    </x:row>
    <x:row r="29" s="1" customFormat="1" ht="13.5" hidden="0" customHeight="1">
      <x:c r="A29" s="6"/>
      <x:c r="B29" s="6"/>
      <x:c r="C29" s="6"/>
      <x:c r="D29" s="6"/>
      <x:c r="E29" s="6"/>
      <x:c r="F29" s="6"/>
      <x:c r="G29" s="6"/>
      <x:c r="H29" s="6"/>
      <x:c r="I29" s="6"/>
      <x:c r="J29" s="6"/>
    </x:row>
    <x:row r="30" s="1" customFormat="1" ht="14.25" hidden="0" customHeight="1">
      <x:c r="A30" s="7" t="s">
        <x:v>2877</x:v>
      </x:c>
      <x:c r="B30" s="6"/>
      <x:c r="C30" s="6"/>
      <x:c r="D30" s="6"/>
      <x:c r="E30" s="6"/>
      <x:c r="F30" s="6"/>
      <x:c r="G30" s="6"/>
      <x:c r="H30" s="6"/>
      <x:c r="I30" s="6"/>
      <x:c r="J30" s="6"/>
    </x:row>
    <x:row r="31" s="1" customFormat="1" ht="14.25" hidden="0" customHeight="1">
      <x:c r="A31" s="7" t="s">
        <x:v>2878</x:v>
      </x:c>
      <x:c r="B31" s="6"/>
      <x:c r="C31" s="6"/>
      <x:c r="D31" s="6"/>
      <x:c r="E31" s="6"/>
      <x:c r="F31" s="6"/>
      <x:c r="G31" s="6"/>
      <x:c r="H31" s="6"/>
      <x:c r="I31" s="6"/>
      <x:c r="J31" s="6"/>
    </x:row>
    <x:row r="32" s="1" customFormat="1" ht="14.25" hidden="0" customHeight="1">
      <x:c r="A32" s="7" t="s">
        <x:v>2879</x:v>
      </x:c>
      <x:c r="B32" s="6"/>
      <x:c r="C32" s="6"/>
      <x:c r="D32" s="6"/>
      <x:c r="E32" s="6"/>
      <x:c r="F32" s="6"/>
      <x:c r="G32" s="6"/>
      <x:c r="H32" s="6"/>
      <x:c r="I32" s="6"/>
      <x:c r="J32" s="6"/>
    </x:row>
    <x:row r="33" s="1" customFormat="1" ht="14.25" hidden="0" customHeight="1">
      <x:c r="A33" s="7" t="s">
        <x:v>2880</x:v>
      </x:c>
      <x:c r="B33" s="6"/>
      <x:c r="C33" s="6"/>
      <x:c r="D33" s="6"/>
      <x:c r="E33" s="6"/>
      <x:c r="F33" s="6"/>
      <x:c r="G33" s="6"/>
      <x:c r="H33" s="6"/>
      <x:c r="I33" s="6"/>
      <x:c r="J33" s="6"/>
    </x:row>
    <x:row r="34" s="1" customFormat="1" ht="13.5" hidden="0" customHeight="1">
      <x:c r="A34" s="6"/>
      <x:c r="B34" s="6"/>
      <x:c r="C34" s="6"/>
      <x:c r="D34" s="6"/>
      <x:c r="E34" s="6"/>
      <x:c r="F34" s="6"/>
      <x:c r="G34" s="6"/>
      <x:c r="H34" s="6"/>
      <x:c r="I34" s="6"/>
      <x:c r="J34" s="6"/>
    </x:row>
    <x:row r="35" s="1" customFormat="1" ht="14.25" hidden="0" customHeight="1">
      <x:c r="A35" s="7" t="s">
        <x:v>2881</x:v>
      </x:c>
      <x:c r="B35" s="6"/>
      <x:c r="C35" s="6"/>
      <x:c r="D35" s="6"/>
      <x:c r="E35" s="6"/>
      <x:c r="F35" s="6"/>
      <x:c r="G35" s="6"/>
      <x:c r="H35" s="6"/>
      <x:c r="I35" s="6"/>
      <x:c r="J35" s="6"/>
    </x:row>
    <x:row r="36" s="1" customFormat="1" ht="14.25" hidden="0" customHeight="1">
      <x:c r="A36" s="7" t="s">
        <x:v>2882</x:v>
      </x:c>
      <x:c r="B36" s="6"/>
      <x:c r="C36" s="6"/>
      <x:c r="D36" s="6"/>
      <x:c r="E36" s="6"/>
      <x:c r="F36" s="6"/>
      <x:c r="G36" s="6"/>
      <x:c r="H36" s="6"/>
      <x:c r="I36" s="6"/>
      <x:c r="J36" s="6"/>
    </x:row>
    <x:row r="37" s="1" customFormat="1" ht="13.5" hidden="0" customHeight="1">
      <x:c r="A37" s="6"/>
      <x:c r="B37" s="6"/>
      <x:c r="C37" s="6"/>
      <x:c r="D37" s="6"/>
      <x:c r="E37" s="6"/>
      <x:c r="F37" s="6"/>
      <x:c r="G37" s="6"/>
      <x:c r="H37" s="6"/>
      <x:c r="I37" s="6"/>
      <x:c r="J37" s="6"/>
    </x:row>
    <x:row r="38" s="1" customFormat="1" ht="14.25" hidden="0" customHeight="1">
      <x:c r="A38" s="7" t="s">
        <x:v>2883</x:v>
      </x:c>
      <x:c r="B38" s="6"/>
      <x:c r="C38" s="6"/>
      <x:c r="D38" s="6"/>
      <x:c r="E38" s="6"/>
      <x:c r="F38" s="6"/>
      <x:c r="G38" s="6"/>
      <x:c r="H38" s="6"/>
      <x:c r="I38" s="6"/>
      <x:c r="J38" s="6"/>
    </x:row>
    <x:row r="39" s="1" customFormat="1" ht="14.25" hidden="0" customHeight="1">
      <x:c r="A39" s="7" t="s">
        <x:v>2884</x:v>
      </x:c>
      <x:c r="B39" s="6"/>
      <x:c r="C39" s="6"/>
      <x:c r="D39" s="6"/>
      <x:c r="E39" s="6"/>
      <x:c r="F39" s="6"/>
      <x:c r="G39" s="6"/>
      <x:c r="H39" s="6"/>
      <x:c r="I39" s="6"/>
      <x:c r="J39" s="6"/>
    </x:row>
    <x:row r="40" s="1" customFormat="1" ht="13.5" hidden="0" customHeight="1">
      <x:c r="A40" s="6"/>
      <x:c r="B40" s="6"/>
      <x:c r="C40" s="6"/>
      <x:c r="D40" s="6"/>
      <x:c r="E40" s="6"/>
      <x:c r="F40" s="6"/>
      <x:c r="G40" s="6"/>
      <x:c r="H40" s="6"/>
      <x:c r="I40" s="6"/>
      <x:c r="J40" s="6"/>
    </x:row>
    <x:row r="41" s="1" customFormat="1" ht="13.5" hidden="0" customHeight="1">
      <x:c r="A41" s="6"/>
      <x:c r="B41" s="6"/>
      <x:c r="C41" s="6"/>
      <x:c r="D41" s="6"/>
      <x:c r="E41" s="6"/>
      <x:c r="F41" s="6"/>
      <x:c r="G41" s="6"/>
      <x:c r="H41" s="6"/>
      <x:c r="I41" s="6"/>
      <x:c r="J41" s="6"/>
    </x:row>
    <x:row r="42" s="1" customFormat="1" ht="14.25" hidden="0" customHeight="1">
      <x:c r="A42" s="7" t="s">
        <x:v>2885</x:v>
      </x:c>
      <x:c r="B42" s="6"/>
      <x:c r="C42" s="6"/>
      <x:c r="D42" s="6"/>
      <x:c r="E42" s="6"/>
      <x:c r="F42" s="6"/>
      <x:c r="G42" s="6"/>
      <x:c r="H42" s="6"/>
      <x:c r="I42" s="6"/>
      <x:c r="J42" s="6"/>
    </x:row>
    <x:row r="43" s="1" customFormat="1" ht="14.25" hidden="0" customHeight="1">
      <x:c r="A43" s="7" t="s">
        <x:v>2886</x:v>
      </x:c>
      <x:c r="B43" s="6"/>
      <x:c r="C43" s="6"/>
      <x:c r="D43" s="6"/>
      <x:c r="E43" s="6"/>
      <x:c r="F43" s="6"/>
      <x:c r="G43" s="6"/>
      <x:c r="H43" s="6"/>
      <x:c r="I43" s="6"/>
      <x:c r="J43" s="6"/>
    </x:row>
    <x:row r="44" s="1" customFormat="1" ht="14.25" hidden="0" customHeight="1">
      <x:c r="A44" s="7" t="s">
        <x:v>2887</x:v>
      </x:c>
      <x:c r="B44" s="6"/>
      <x:c r="C44" s="6"/>
      <x:c r="D44" s="6"/>
      <x:c r="E44" s="6"/>
      <x:c r="F44" s="6"/>
      <x:c r="G44" s="6"/>
      <x:c r="H44" s="6"/>
      <x:c r="I44" s="6"/>
      <x:c r="J44" s="6"/>
    </x:row>
    <x:row r="45" s="1" customFormat="1" ht="14.25" hidden="0" customHeight="1">
      <x:c r="A45" s="7" t="s">
        <x:v>2888</x:v>
      </x:c>
      <x:c r="B45" s="6"/>
      <x:c r="C45" s="6"/>
      <x:c r="D45" s="6"/>
      <x:c r="E45" s="6"/>
      <x:c r="F45" s="6"/>
      <x:c r="G45" s="6"/>
      <x:c r="H45" s="6"/>
      <x:c r="I45" s="6"/>
      <x:c r="J45" s="6"/>
    </x:row>
    <x:row r="46" s="1" customFormat="1" ht="13.5" hidden="0" customHeight="1">
      <x:c r="A46" s="7" t="s">
        <x:v>2889</x:v>
      </x:c>
      <x:c r="B46" s="5" t="n">
        <x:v>1</x:v>
      </x:c>
      <x:c r="C46" s="6"/>
      <x:c r="D46" s="6"/>
      <x:c r="E46" s="6"/>
      <x:c r="F46" s="6"/>
      <x:c r="G46" s="6"/>
      <x:c r="H46" s="6"/>
      <x:c r="I46" s="6"/>
      <x:c r="J46" s="6"/>
    </x:row>
  </x:sheetData>
  <x:mergeCells>
    <x:mergeCell ref="A1:J1"/>
  </x:mergeCells>
  <x:pageMargins left="0.7" right="0.7" top="0.75" bottom="0.75" header="0.3" footer="0.3"/>
</x:worksheet>
</file>

<file path=xl/worksheets/sheet35.xml><?xml version="1.0" encoding="utf-8"?>
<x:worksheet xmlns:x="http://schemas.openxmlformats.org/spreadsheetml/2006/main">
  <x:sheetViews>
    <x:sheetView showGridLines="1" workbookViewId="0"/>
  </x:sheetViews>
  <x:sheetFormatPr defaultColWidth="8.66796875" defaultRowHeight="12.75"/>
  <x:cols>
    <x:col min="1" max="1" width="36" style="1" hidden="0" customWidth="1"/>
    <x:col min="2" max="2" width="23" style="1" hidden="0" customWidth="1"/>
    <x:col min="3" max="5" width="16" style="1" hidden="0" customWidth="1"/>
    <x:col min="6" max="6" width="18" style="1" hidden="0" customWidth="1"/>
    <x:col min="7" max="8" width="36" style="1" hidden="0" customWidth="1"/>
  </x:cols>
  <x:sheetData>
    <x:row r="1" s="1" customFormat="1" ht="14.25" hidden="0" customHeight="1">
      <x:c r="A1" s="2" t="s">
        <x:v>2890</x:v>
      </x:c>
      <x:c r="B1" s="3"/>
      <x:c r="C1" s="3"/>
      <x:c r="D1" s="3"/>
      <x:c r="E1" s="3"/>
      <x:c r="F1" s="3"/>
      <x:c r="G1" s="3"/>
      <x:c r="H1" s="3"/>
    </x:row>
    <x:row r="2" s="1" customFormat="1" ht="12.75" hidden="0" customHeight="1">
      <x:c r="A2" s="6"/>
      <x:c r="B2" s="6"/>
      <x:c r="C2" s="6"/>
      <x:c r="D2" s="6"/>
      <x:c r="E2" s="6"/>
      <x:c r="F2" s="6"/>
      <x:c r="G2" s="6"/>
      <x:c r="H2" s="6"/>
    </x:row>
    <x:row r="3" s="1" customFormat="1" ht="14.25" hidden="0" customHeight="1">
      <x:c r="A3" s="7" t="s">
        <x:v>2891</x:v>
      </x:c>
      <x:c r="B3" s="6"/>
      <x:c r="C3" s="6"/>
      <x:c r="D3" s="6"/>
      <x:c r="E3" s="6"/>
      <x:c r="F3" s="6"/>
      <x:c r="G3" s="6"/>
      <x:c r="H3" s="6"/>
    </x:row>
    <x:row r="4" s="1" customFormat="1" ht="14.25" hidden="0" customHeight="1">
      <x:c r="A4" s="7" t="s">
        <x:v>2892</x:v>
      </x:c>
      <x:c r="B4" s="6"/>
      <x:c r="C4" s="6"/>
      <x:c r="D4" s="6"/>
      <x:c r="E4" s="6"/>
      <x:c r="F4" s="6"/>
      <x:c r="G4" s="6"/>
      <x:c r="H4" s="6"/>
    </x:row>
    <x:row r="5" s="1" customFormat="1" ht="14.25" hidden="0" customHeight="1">
      <x:c r="A5" s="7" t="s">
        <x:v>2893</x:v>
      </x:c>
      <x:c r="B5" s="6"/>
      <x:c r="C5" s="6"/>
      <x:c r="D5" s="6"/>
      <x:c r="E5" s="6"/>
      <x:c r="F5" s="6"/>
      <x:c r="G5" s="6"/>
      <x:c r="H5" s="6"/>
    </x:row>
    <x:row r="6" s="1" customFormat="1" ht="14.25" hidden="0" customHeight="1">
      <x:c r="A6" s="51"/>
      <x:c r="B6" s="6"/>
      <x:c r="C6" s="6"/>
      <x:c r="D6" s="6"/>
      <x:c r="E6" s="6"/>
      <x:c r="F6" s="6"/>
      <x:c r="G6" s="6"/>
      <x:c r="H6" s="6"/>
    </x:row>
    <x:row r="7" s="1" customFormat="1" ht="14.25" hidden="0" customHeight="1">
      <x:c r="A7" s="7" t="s">
        <x:v>2894</x:v>
      </x:c>
      <x:c r="B7" s="8" t="n">
        <x:v>1.5</x:v>
      </x:c>
      <x:c r="C7" s="6"/>
      <x:c r="D7" s="6"/>
      <x:c r="E7" s="6"/>
      <x:c r="F7" s="6"/>
      <x:c r="G7" s="6"/>
      <x:c r="H7" s="6"/>
    </x:row>
    <x:row r="8" s="1" customFormat="1" ht="14.25" hidden="0" customHeight="1">
      <x:c r="A8" s="51"/>
      <x:c r="B8" s="6"/>
      <x:c r="C8" s="6"/>
      <x:c r="D8" s="6"/>
      <x:c r="E8" s="6"/>
      <x:c r="F8" s="6"/>
      <x:c r="G8" s="6"/>
      <x:c r="H8" s="6"/>
    </x:row>
    <x:row r="9" s="1" customFormat="1" ht="14.25" hidden="0" customHeight="1">
      <x:c r="A9" s="7" t="s">
        <x:v>2895</x:v>
      </x:c>
      <x:c r="B9" s="6"/>
      <x:c r="C9" s="6"/>
      <x:c r="D9" s="6"/>
      <x:c r="E9" s="6"/>
      <x:c r="F9" s="6"/>
      <x:c r="G9" s="6"/>
      <x:c r="H9" s="6"/>
    </x:row>
    <x:row r="10" s="1" customFormat="1" ht="14.25" hidden="0" customHeight="1">
      <x:c r="A10" s="7" t="s">
        <x:v>2896</x:v>
      </x:c>
      <x:c r="B10" s="5" t="s">
        <x:v>2897</x:v>
      </x:c>
      <x:c r="C10" s="5" t="s">
        <x:v>2898</x:v>
      </x:c>
      <x:c r="D10" s="5" t="s">
        <x:v>853</x:v>
      </x:c>
      <x:c r="E10" s="5" t="s">
        <x:v>859</x:v>
      </x:c>
      <x:c r="F10" s="5" t="s">
        <x:v>2899</x:v>
      </x:c>
      <x:c r="G10" s="5" t="s">
        <x:v>458</x:v>
      </x:c>
      <x:c r="H10" s="5" t="s">
        <x:v>2900</x:v>
      </x:c>
    </x:row>
    <x:row r="11" s="1" customFormat="1" ht="14.25" hidden="0" customHeight="1">
      <x:c r="A11" s="51"/>
      <x:c r="B11" s="6"/>
      <x:c r="C11" s="6"/>
      <x:c r="D11" s="6"/>
      <x:c r="E11" s="6"/>
      <x:c r="F11" s="6"/>
      <x:c r="G11" s="6"/>
      <x:c r="H11" s="8" t="str">
        <x:f aca="0">IF(OR($B11="",$D11="",$E11=""),"",$B11&amp;"|"&amp;$D11&amp;"|"&amp;$E11)</x:f>
      </x:c>
    </x:row>
    <x:row r="12" s="1" customFormat="1" ht="14.25" hidden="0" customHeight="1">
      <x:c r="A12" s="136"/>
      <x:c r="B12" s="6"/>
      <x:c r="C12" s="6"/>
      <x:c r="D12" s="6"/>
      <x:c r="E12" s="6"/>
      <x:c r="F12" s="6"/>
      <x:c r="G12" s="6"/>
      <x:c r="H12" s="5" t="str">
        <x:f aca="0">IF(OR($B12="",$D12="",$E12=""),"",$B12&amp;"|"&amp;$D12&amp;"|"&amp;$E12)</x:f>
      </x:c>
    </x:row>
    <x:row r="13" s="1" customFormat="1" ht="14.25" hidden="0" customHeight="1">
      <x:c r="A13" s="136"/>
      <x:c r="B13" s="136"/>
      <x:c r="C13" s="136"/>
      <x:c r="D13" s="136"/>
      <x:c r="E13" s="136"/>
      <x:c r="F13" s="136"/>
      <x:c r="G13" s="136"/>
      <x:c r="H13" s="8" t="str">
        <x:f aca="0">IF(OR($B13="",$D13="",$E13=""),"",$B13&amp;"|"&amp;$D13&amp;"|"&amp;$E13)</x:f>
      </x:c>
    </x:row>
    <x:row r="14" s="1" customFormat="1" ht="14.25" hidden="0" customHeight="1">
      <x:c r="A14" s="7" t="s">
        <x:v>2901</x:v>
      </x:c>
      <x:c r="B14" s="6"/>
      <x:c r="C14" s="6"/>
      <x:c r="D14" s="6"/>
      <x:c r="E14" s="6"/>
      <x:c r="F14" s="6"/>
      <x:c r="G14" s="6"/>
      <x:c r="H14" s="5" t="str">
        <x:f aca="0">IF(OR($B14="",$D14="",$E14=""),"",$B14&amp;"|"&amp;$D14&amp;"|"&amp;$E14)</x:f>
      </x:c>
    </x:row>
    <x:row r="15" s="1" customFormat="1" ht="14.25" hidden="0" customHeight="1">
      <x:c r="A15" s="7" t="s">
        <x:v>2902</x:v>
      </x:c>
      <x:c r="B15" s="8" t="s">
        <x:v>2903</x:v>
      </x:c>
      <x:c r="C15" s="6"/>
      <x:c r="D15" s="6"/>
      <x:c r="E15" s="6"/>
      <x:c r="F15" s="6"/>
      <x:c r="G15" s="6"/>
      <x:c r="H15" s="8" t="str">
        <x:f aca="0">IF(OR($B15="",$D15="",$E15=""),"",$B15&amp;"|"&amp;$D15&amp;"|"&amp;$E15)</x:f>
      </x:c>
    </x:row>
    <x:row r="16" s="1" customFormat="1" ht="14.25" hidden="0" customHeight="1">
      <x:c r="A16" s="7" t="s">
        <x:v>2904</x:v>
      </x:c>
      <x:c r="B16" s="5" t="n">
        <x:f aca="0">COUNT(F11:F100)</x:f>
        <x:v>6</x:v>
      </x:c>
      <x:c r="C16" s="6"/>
      <x:c r="D16" s="6"/>
      <x:c r="E16" s="6"/>
      <x:c r="F16" s="6"/>
      <x:c r="G16" s="6"/>
      <x:c r="H16" s="5" t="str">
        <x:f aca="0">IF(OR($B16="",$D16="",$E16=""),"",$B16&amp;"|"&amp;$D16&amp;"|"&amp;$E16)</x:f>
      </x:c>
    </x:row>
    <x:row r="17" s="1" customFormat="1" ht="14.25" hidden="0" customHeight="1">
      <x:c r="A17" s="7" t="s">
        <x:v>2905</x:v>
      </x:c>
      <x:c r="B17" s="43" t="n">
        <x:f aca="0">COUNT(F11:F100)</x:f>
        <x:v>6</x:v>
      </x:c>
      <x:c r="C17" s="6"/>
      <x:c r="D17" s="6"/>
      <x:c r="E17" s="6"/>
      <x:c r="F17" s="6"/>
      <x:c r="G17" s="6"/>
      <x:c r="H17" s="8" t="str">
        <x:f aca="0">IF(OR($B17="",$D17="",$E17=""),"",$B17&amp;"|"&amp;$D17&amp;"|"&amp;$E17)</x:f>
      </x:c>
    </x:row>
    <x:row r="18" s="1" customFormat="1" ht="14.25" hidden="0" customHeight="1">
      <x:c r="A18" s="7" t="s">
        <x:v>2906</x:v>
      </x:c>
      <x:c r="B18" s="5" t="str">
        <x:f aca="0">IF(B17=0,"YES","NO")</x:f>
        <x:v>NO</x:v>
      </x:c>
      <x:c r="C18" s="6"/>
      <x:c r="D18" s="6"/>
      <x:c r="E18" s="6"/>
      <x:c r="F18" s="6"/>
      <x:c r="G18" s="6"/>
      <x:c r="H18" s="5" t="str">
        <x:f aca="0">IF(OR($B18="",$D18="",$E18=""),"",$B18&amp;"|"&amp;$D18&amp;"|"&amp;$E18)</x:f>
      </x:c>
    </x:row>
    <x:row r="19" s="1" customFormat="1" ht="14.25" hidden="0" customHeight="1">
      <x:c r="A19" s="7" t="s">
        <x:v>2907</x:v>
      </x:c>
      <x:c r="B19" s="8" t="str">
        <x:f aca="0">Audit_Flags!B14</x:f>
        <x:v>NO</x:v>
      </x:c>
      <x:c r="C19" s="6"/>
      <x:c r="D19" s="6"/>
      <x:c r="E19" s="6"/>
      <x:c r="F19" s="6"/>
      <x:c r="G19" s="6"/>
      <x:c r="H19" s="8" t="str">
        <x:f aca="0">IF(OR($B19="",$D19="",$E19=""),"",$B19&amp;"|"&amp;$D19&amp;"|"&amp;$E19)</x:f>
      </x:c>
    </x:row>
    <x:row r="20" s="1" customFormat="1" ht="21.75" hidden="0" customHeight="1">
      <x:c r="A20" s="7" t="s">
        <x:v>2908</x:v>
      </x:c>
      <x:c r="B20" s="6"/>
      <x:c r="C20" s="6"/>
      <x:c r="D20" s="6"/>
      <x:c r="E20" s="6"/>
      <x:c r="F20" s="6"/>
      <x:c r="G20" s="6"/>
      <x:c r="H20" s="5" t="str">
        <x:f aca="0">IF(OR($B20="",$D20="",$E20=""),"",$B20&amp;"|"&amp;$D20&amp;"|"&amp;$E20)</x:f>
      </x:c>
    </x:row>
    <x:row r="21" s="1" customFormat="1" ht="21.75" hidden="0" customHeight="1">
      <x:c r="A21" s="7" t="s">
        <x:v>2909</x:v>
      </x:c>
      <x:c r="B21" s="6"/>
      <x:c r="C21" s="6"/>
      <x:c r="D21" s="6"/>
      <x:c r="E21" s="6"/>
      <x:c r="F21" s="6"/>
      <x:c r="G21" s="6"/>
      <x:c r="H21" s="8" t="str">
        <x:f aca="0">IF(OR($B21="",$D21="",$E21=""),"",$B21&amp;"|"&amp;$D21&amp;"|"&amp;$E21)</x:f>
      </x:c>
    </x:row>
    <x:row r="22" s="1" customFormat="1" ht="21.75" hidden="0" customHeight="1">
      <x:c r="A22" s="7" t="s">
        <x:v>2910</x:v>
      </x:c>
      <x:c r="B22" s="6"/>
      <x:c r="C22" s="6"/>
      <x:c r="D22" s="6"/>
      <x:c r="E22" s="6"/>
      <x:c r="F22" s="6"/>
      <x:c r="G22" s="6"/>
      <x:c r="H22" s="5" t="str">
        <x:f aca="0">IF(OR($B22="",$D22="",$E22=""),"",$B22&amp;"|"&amp;$D22&amp;"|"&amp;$E22)</x:f>
      </x:c>
    </x:row>
    <x:row r="23" s="1" customFormat="1" ht="21.75" hidden="0" customHeight="1">
      <x:c r="A23" s="7" t="s">
        <x:v>2911</x:v>
      </x:c>
      <x:c r="B23" s="6"/>
      <x:c r="C23" s="6"/>
      <x:c r="D23" s="6"/>
      <x:c r="E23" s="6"/>
      <x:c r="F23" s="6"/>
      <x:c r="G23" s="6"/>
      <x:c r="H23" s="8" t="str">
        <x:f aca="0">IF(OR($B23="",$D23="",$E23=""),"",$B23&amp;"|"&amp;$D23&amp;"|"&amp;$E23)</x:f>
      </x:c>
    </x:row>
    <x:row r="24" s="1" customFormat="1" ht="14.25" hidden="0" customHeight="1">
      <x:c r="A24" s="7" t="s">
        <x:v>2912</x:v>
      </x:c>
      <x:c r="B24" s="5" t="s">
        <x:v>953</x:v>
      </x:c>
      <x:c r="C24" s="5" t="s">
        <x:v>2033</x:v>
      </x:c>
      <x:c r="D24" s="5" t="s">
        <x:v>965</x:v>
      </x:c>
      <x:c r="E24" s="5" t="s">
        <x:v>972</x:v>
      </x:c>
      <x:c r="F24" s="5" t="n">
        <x:v>-0.15</x:v>
      </x:c>
      <x:c r="G24" s="5" t="s">
        <x:v>2913</x:v>
      </x:c>
      <x:c r="H24" s="5" t="str">
        <x:f aca="0">IF(OR($B24="",$D24="",$E24=""),"",$B24&amp;"|"&amp;$D24&amp;"|"&amp;$E24)</x:f>
        <x:v>A|U3|D3</x:v>
      </x:c>
    </x:row>
    <x:row r="25" s="1" customFormat="1" ht="14.25" hidden="0" customHeight="1">
      <x:c r="A25" s="7" t="s">
        <x:v>2914</x:v>
      </x:c>
      <x:c r="B25" s="8" t="s">
        <x:v>953</x:v>
      </x:c>
      <x:c r="C25" s="8" t="s">
        <x:v>2034</x:v>
      </x:c>
      <x:c r="D25" s="8" t="s">
        <x:v>966</x:v>
      </x:c>
      <x:c r="E25" s="8" t="s">
        <x:v>973</x:v>
      </x:c>
      <x:c r="F25" s="8" t="n">
        <x:v>-0.3</x:v>
      </x:c>
      <x:c r="G25" s="8" t="s">
        <x:v>2915</x:v>
      </x:c>
      <x:c r="H25" s="8" t="str">
        <x:f aca="0">IF(OR($B25="",$D25="",$E25=""),"",$B25&amp;"|"&amp;$D25&amp;"|"&amp;$E25)</x:f>
        <x:v>A|U4|D1</x:v>
      </x:c>
    </x:row>
    <x:row r="26" s="1" customFormat="1" ht="14.25" hidden="0" customHeight="1">
      <x:c r="A26" s="7" t="s">
        <x:v>2916</x:v>
      </x:c>
      <x:c r="B26" s="5" t="s">
        <x:v>953</x:v>
      </x:c>
      <x:c r="C26" s="5" t="s">
        <x:v>2032</x:v>
      </x:c>
      <x:c r="D26" s="5" t="s">
        <x:v>965</x:v>
      </x:c>
      <x:c r="E26" s="5" t="s">
        <x:v>973</x:v>
      </x:c>
      <x:c r="F26" s="5" t="n">
        <x:v>-0.2</x:v>
      </x:c>
      <x:c r="G26" s="5" t="s">
        <x:v>2917</x:v>
      </x:c>
      <x:c r="H26" s="5" t="str">
        <x:f aca="0">IF(OR($B26="",$D26="",$E26=""),"",$B26&amp;"|"&amp;$D26&amp;"|"&amp;$E26)</x:f>
        <x:v>A|U3|D1</x:v>
      </x:c>
    </x:row>
    <x:row r="27" s="1" customFormat="1" ht="14.25" hidden="0" customHeight="1">
      <x:c r="A27" s="7" t="s">
        <x:v>2918</x:v>
      </x:c>
      <x:c r="B27" s="8" t="s">
        <x:v>1108</x:v>
      </x:c>
      <x:c r="C27" s="8" t="s">
        <x:v>2028</x:v>
      </x:c>
      <x:c r="D27" s="8" t="s">
        <x:v>962</x:v>
      </x:c>
      <x:c r="E27" s="8" t="s">
        <x:v>971</x:v>
      </x:c>
      <x:c r="F27" s="8" t="n">
        <x:v>-0.15</x:v>
      </x:c>
      <x:c r="G27" s="8" t="s">
        <x:v>2919</x:v>
      </x:c>
      <x:c r="H27" s="8" t="str">
        <x:f aca="0">IF(OR($B27="",$D27="",$E27=""),"",$B27&amp;"|"&amp;$D27&amp;"|"&amp;$E27)</x:f>
        <x:v>B|U1|D5</x:v>
      </x:c>
    </x:row>
    <x:row r="28" s="1" customFormat="1" ht="14.25" hidden="0" customHeight="1">
      <x:c r="A28" s="7" t="s">
        <x:v>2920</x:v>
      </x:c>
      <x:c r="B28" s="5" t="s">
        <x:v>1108</x:v>
      </x:c>
      <x:c r="C28" s="5" t="s">
        <x:v>2031</x:v>
      </x:c>
      <x:c r="D28" s="5" t="s">
        <x:v>964</x:v>
      </x:c>
      <x:c r="E28" s="5" t="s">
        <x:v>973</x:v>
      </x:c>
      <x:c r="F28" s="5" t="n">
        <x:v>-0.12</x:v>
      </x:c>
      <x:c r="G28" s="5" t="s">
        <x:v>2921</x:v>
      </x:c>
      <x:c r="H28" s="5" t="str">
        <x:f aca="0">IF(OR($B28="",$D28="",$E28=""),"",$B28&amp;"|"&amp;$D28&amp;"|"&amp;$E28)</x:f>
        <x:v>B|U2|D1</x:v>
      </x:c>
    </x:row>
    <x:row r="29" s="1" customFormat="1" ht="14.25" hidden="0" customHeight="1">
      <x:c r="A29" s="7" t="s">
        <x:v>2922</x:v>
      </x:c>
      <x:c r="B29" s="8" t="s">
        <x:v>1108</x:v>
      </x:c>
      <x:c r="C29" s="8" t="s">
        <x:v>2035</x:v>
      </x:c>
      <x:c r="D29" s="8" t="s">
        <x:v>970</x:v>
      </x:c>
      <x:c r="E29" s="8" t="s">
        <x:v>969</x:v>
      </x:c>
      <x:c r="F29" s="8" t="n">
        <x:v>-0.08</x:v>
      </x:c>
      <x:c r="G29" s="8" t="s">
        <x:v>2923</x:v>
      </x:c>
      <x:c r="H29" s="8" t="str">
        <x:f aca="0">IF(OR($B29="",$D29="",$E29=""),"",$B29&amp;"|"&amp;$D29&amp;"|"&amp;$E29)</x:f>
        <x:v>B|U7|D7</x:v>
      </x:c>
    </x:row>
    <x:row r="30" s="1" customFormat="1" ht="14.25" hidden="0" customHeight="1">
      <x:c r="A30" s="51"/>
      <x:c r="B30" s="6"/>
      <x:c r="C30" s="6"/>
      <x:c r="D30" s="6"/>
      <x:c r="E30" s="6"/>
      <x:c r="F30" s="6"/>
      <x:c r="G30" s="6"/>
      <x:c r="H30" s="5" t="str">
        <x:f aca="0">IF(OR($B30="",$D30="",$E30=""),"",$B30&amp;"|"&amp;$D30&amp;"|"&amp;$E30)</x:f>
      </x:c>
    </x:row>
    <x:row r="31" s="1" customFormat="1" ht="14.25" hidden="0" customHeight="1">
      <x:c r="A31" s="51"/>
      <x:c r="B31" s="6"/>
      <x:c r="C31" s="6"/>
      <x:c r="D31" s="6"/>
      <x:c r="E31" s="6"/>
      <x:c r="F31" s="6"/>
      <x:c r="G31" s="6"/>
      <x:c r="H31" s="8" t="str">
        <x:f aca="0">IF(OR($B31="",$D31="",$E31=""),"",$B31&amp;"|"&amp;$D31&amp;"|"&amp;$E31)</x:f>
      </x:c>
    </x:row>
    <x:row r="32" s="1" customFormat="1" ht="14.25" hidden="0" customHeight="1">
      <x:c r="A32" s="51"/>
      <x:c r="B32" s="6"/>
      <x:c r="C32" s="6"/>
      <x:c r="D32" s="6"/>
      <x:c r="E32" s="6"/>
      <x:c r="F32" s="6"/>
      <x:c r="G32" s="6"/>
      <x:c r="H32" s="5" t="str">
        <x:f aca="0">IF(OR($B32="",$D32="",$E32=""),"",$B32&amp;"|"&amp;$D32&amp;"|"&amp;$E32)</x:f>
      </x:c>
    </x:row>
    <x:row r="33" s="1" customFormat="1" ht="14.25" hidden="0" customHeight="1">
      <x:c r="A33" s="51"/>
      <x:c r="B33" s="6"/>
      <x:c r="C33" s="6"/>
      <x:c r="D33" s="6"/>
      <x:c r="E33" s="6"/>
      <x:c r="F33" s="6"/>
      <x:c r="G33" s="6"/>
      <x:c r="H33" s="8" t="str">
        <x:f aca="0">IF(OR($B33="",$D33="",$E33=""),"",$B33&amp;"|"&amp;$D33&amp;"|"&amp;$E33)</x:f>
      </x:c>
    </x:row>
    <x:row r="34" s="1" customFormat="1" ht="14.25" hidden="0" customHeight="1">
      <x:c r="A34" s="51"/>
      <x:c r="B34" s="6"/>
      <x:c r="C34" s="6"/>
      <x:c r="D34" s="6"/>
      <x:c r="E34" s="6"/>
      <x:c r="F34" s="6"/>
      <x:c r="G34" s="6"/>
      <x:c r="H34" s="5" t="str">
        <x:f aca="0">IF(OR($B34="",$D34="",$E34=""),"",$B34&amp;"|"&amp;$D34&amp;"|"&amp;$E34)</x:f>
      </x:c>
    </x:row>
    <x:row r="35" s="1" customFormat="1" ht="14.25" hidden="0" customHeight="1">
      <x:c r="A35" s="51"/>
      <x:c r="B35" s="6"/>
      <x:c r="C35" s="6"/>
      <x:c r="D35" s="6"/>
      <x:c r="E35" s="6"/>
      <x:c r="F35" s="6"/>
      <x:c r="G35" s="6"/>
      <x:c r="H35" s="8" t="str">
        <x:f aca="0">IF(OR($B35="",$D35="",$E35=""),"",$B35&amp;"|"&amp;$D35&amp;"|"&amp;$E35)</x:f>
      </x:c>
    </x:row>
    <x:row r="36" s="1" customFormat="1" ht="14.25" hidden="0" customHeight="1">
      <x:c r="A36" s="51"/>
      <x:c r="B36" s="6"/>
      <x:c r="C36" s="6"/>
      <x:c r="D36" s="6"/>
      <x:c r="E36" s="6"/>
      <x:c r="F36" s="6"/>
      <x:c r="G36" s="6"/>
      <x:c r="H36" s="5" t="str">
        <x:f aca="0">IF(OR($B36="",$D36="",$E36=""),"",$B36&amp;"|"&amp;$D36&amp;"|"&amp;$E36)</x:f>
      </x:c>
    </x:row>
    <x:row r="37" s="1" customFormat="1" ht="14.25" hidden="0" customHeight="1">
      <x:c r="A37" s="51"/>
      <x:c r="B37" s="6"/>
      <x:c r="C37" s="6"/>
      <x:c r="D37" s="6"/>
      <x:c r="E37" s="6"/>
      <x:c r="F37" s="6"/>
      <x:c r="G37" s="6"/>
      <x:c r="H37" s="8" t="str">
        <x:f aca="0">IF(OR($B37="",$D37="",$E37=""),"",$B37&amp;"|"&amp;$D37&amp;"|"&amp;$E37)</x:f>
      </x:c>
    </x:row>
    <x:row r="38" s="1" customFormat="1" ht="14.25" hidden="0" customHeight="1">
      <x:c r="A38" s="51"/>
      <x:c r="B38" s="6"/>
      <x:c r="C38" s="6"/>
      <x:c r="D38" s="6"/>
      <x:c r="E38" s="6"/>
      <x:c r="F38" s="6"/>
      <x:c r="G38" s="6"/>
      <x:c r="H38" s="5" t="str">
        <x:f aca="0">IF(OR($B38="",$D38="",$E38=""),"",$B38&amp;"|"&amp;$D38&amp;"|"&amp;$E38)</x:f>
      </x:c>
    </x:row>
    <x:row r="39" s="1" customFormat="1" ht="14.25" hidden="0" customHeight="1">
      <x:c r="A39" s="51"/>
      <x:c r="B39" s="6"/>
      <x:c r="C39" s="6"/>
      <x:c r="D39" s="6"/>
      <x:c r="E39" s="6"/>
      <x:c r="F39" s="6"/>
      <x:c r="G39" s="6"/>
      <x:c r="H39" s="8" t="str">
        <x:f aca="0">IF(OR($B39="",$D39="",$E39=""),"",$B39&amp;"|"&amp;$D39&amp;"|"&amp;$E39)</x:f>
      </x:c>
    </x:row>
    <x:row r="40" s="1" customFormat="1" ht="14.25" hidden="0" customHeight="1">
      <x:c r="A40" s="51"/>
      <x:c r="B40" s="6"/>
      <x:c r="C40" s="6"/>
      <x:c r="D40" s="6"/>
      <x:c r="E40" s="6"/>
      <x:c r="F40" s="6"/>
      <x:c r="G40" s="6"/>
      <x:c r="H40" s="5" t="str">
        <x:f aca="0">IF(OR($B40="",$D40="",$E40=""),"",$B40&amp;"|"&amp;$D40&amp;"|"&amp;$E40)</x:f>
      </x:c>
    </x:row>
    <x:row r="41" s="1" customFormat="1" ht="14.25" hidden="0" customHeight="1">
      <x:c r="A41" s="51"/>
      <x:c r="B41" s="6"/>
      <x:c r="C41" s="6"/>
      <x:c r="D41" s="6"/>
      <x:c r="E41" s="6"/>
      <x:c r="F41" s="6"/>
      <x:c r="G41" s="6"/>
      <x:c r="H41" s="8" t="str">
        <x:f aca="0">IF(OR($B41="",$D41="",$E41=""),"",$B41&amp;"|"&amp;$D41&amp;"|"&amp;$E41)</x:f>
      </x:c>
    </x:row>
    <x:row r="42" s="1" customFormat="1" ht="14.25" hidden="0" customHeight="1">
      <x:c r="A42" s="51"/>
      <x:c r="B42" s="6"/>
      <x:c r="C42" s="6"/>
      <x:c r="D42" s="6"/>
      <x:c r="E42" s="6"/>
      <x:c r="F42" s="6"/>
      <x:c r="G42" s="6"/>
      <x:c r="H42" s="5" t="str">
        <x:f aca="0">IF(OR($B42="",$D42="",$E42=""),"",$B42&amp;"|"&amp;$D42&amp;"|"&amp;$E42)</x:f>
      </x:c>
    </x:row>
    <x:row r="43" s="1" customFormat="1" ht="14.25" hidden="0" customHeight="1">
      <x:c r="A43" s="51"/>
      <x:c r="B43" s="6"/>
      <x:c r="C43" s="6"/>
      <x:c r="D43" s="6"/>
      <x:c r="E43" s="6"/>
      <x:c r="F43" s="6"/>
      <x:c r="G43" s="6"/>
      <x:c r="H43" s="8" t="str">
        <x:f aca="0">IF(OR($B43="",$D43="",$E43=""),"",$B43&amp;"|"&amp;$D43&amp;"|"&amp;$E43)</x:f>
      </x:c>
    </x:row>
    <x:row r="44" s="1" customFormat="1" ht="14.25" hidden="0" customHeight="1">
      <x:c r="A44" s="51"/>
      <x:c r="B44" s="6"/>
      <x:c r="C44" s="6"/>
      <x:c r="D44" s="6"/>
      <x:c r="E44" s="6"/>
      <x:c r="F44" s="6"/>
      <x:c r="G44" s="6"/>
      <x:c r="H44" s="5" t="str">
        <x:f aca="0">IF(OR($B44="",$D44="",$E44=""),"",$B44&amp;"|"&amp;$D44&amp;"|"&amp;$E44)</x:f>
      </x:c>
    </x:row>
    <x:row r="45" s="1" customFormat="1" ht="14.25" hidden="0" customHeight="1">
      <x:c r="A45" s="51"/>
      <x:c r="B45" s="6"/>
      <x:c r="C45" s="6"/>
      <x:c r="D45" s="6"/>
      <x:c r="E45" s="6"/>
      <x:c r="F45" s="6"/>
      <x:c r="G45" s="6"/>
      <x:c r="H45" s="8" t="str">
        <x:f aca="0">IF(OR($B45="",$D45="",$E45=""),"",$B45&amp;"|"&amp;$D45&amp;"|"&amp;$E45)</x:f>
      </x:c>
    </x:row>
    <x:row r="46" s="1" customFormat="1" ht="14.25" hidden="0" customHeight="1">
      <x:c r="A46" s="51"/>
      <x:c r="B46" s="6"/>
      <x:c r="C46" s="6"/>
      <x:c r="D46" s="6"/>
      <x:c r="E46" s="6"/>
      <x:c r="F46" s="6"/>
      <x:c r="G46" s="6"/>
      <x:c r="H46" s="5" t="str">
        <x:f aca="0">IF(OR($B46="",$D46="",$E46=""),"",$B46&amp;"|"&amp;$D46&amp;"|"&amp;$E46)</x:f>
      </x:c>
    </x:row>
    <x:row r="47" s="1" customFormat="1" ht="14.25" hidden="0" customHeight="1">
      <x:c r="A47" s="51"/>
      <x:c r="B47" s="6"/>
      <x:c r="C47" s="6"/>
      <x:c r="D47" s="6"/>
      <x:c r="E47" s="6"/>
      <x:c r="F47" s="6"/>
      <x:c r="G47" s="6"/>
      <x:c r="H47" s="8" t="str">
        <x:f aca="0">IF(OR($B47="",$D47="",$E47=""),"",$B47&amp;"|"&amp;$D47&amp;"|"&amp;$E47)</x:f>
      </x:c>
    </x:row>
    <x:row r="48" s="1" customFormat="1" ht="14.25" hidden="0" customHeight="1">
      <x:c r="A48" s="51"/>
      <x:c r="B48" s="6"/>
      <x:c r="C48" s="6"/>
      <x:c r="D48" s="6"/>
      <x:c r="E48" s="6"/>
      <x:c r="F48" s="6"/>
      <x:c r="G48" s="6"/>
      <x:c r="H48" s="5" t="str">
        <x:f aca="0">IF(OR($B48="",$D48="",$E48=""),"",$B48&amp;"|"&amp;$D48&amp;"|"&amp;$E48)</x:f>
      </x:c>
    </x:row>
    <x:row r="49" s="1" customFormat="1" ht="14.25" hidden="0" customHeight="1">
      <x:c r="A49" s="51"/>
      <x:c r="B49" s="6"/>
      <x:c r="C49" s="6"/>
      <x:c r="D49" s="6"/>
      <x:c r="E49" s="6"/>
      <x:c r="F49" s="6"/>
      <x:c r="G49" s="6"/>
      <x:c r="H49" s="8" t="str">
        <x:f aca="0">IF(OR($B49="",$D49="",$E49=""),"",$B49&amp;"|"&amp;$D49&amp;"|"&amp;$E49)</x:f>
      </x:c>
    </x:row>
    <x:row r="50" s="1" customFormat="1" ht="14.25" hidden="0" customHeight="1">
      <x:c r="A50" s="51"/>
      <x:c r="B50" s="6"/>
      <x:c r="C50" s="6"/>
      <x:c r="D50" s="6"/>
      <x:c r="E50" s="6"/>
      <x:c r="F50" s="6"/>
      <x:c r="G50" s="6"/>
      <x:c r="H50" s="5" t="str">
        <x:f aca="0">IF(OR($B50="",$D50="",$E50=""),"",$B50&amp;"|"&amp;$D50&amp;"|"&amp;$E50)</x:f>
      </x:c>
    </x:row>
    <x:row r="51" s="1" customFormat="1" ht="14.25" hidden="0" customHeight="1">
      <x:c r="A51" s="51"/>
      <x:c r="B51" s="6"/>
      <x:c r="C51" s="6"/>
      <x:c r="D51" s="6"/>
      <x:c r="E51" s="6"/>
      <x:c r="F51" s="6"/>
      <x:c r="G51" s="6"/>
      <x:c r="H51" s="8" t="str">
        <x:f aca="0">IF(OR($B51="",$D51="",$E51=""),"",$B51&amp;"|"&amp;$D51&amp;"|"&amp;$E51)</x:f>
      </x:c>
    </x:row>
    <x:row r="52" s="1" customFormat="1" ht="14.25" hidden="0" customHeight="1">
      <x:c r="A52" s="51"/>
      <x:c r="B52" s="6"/>
      <x:c r="C52" s="6"/>
      <x:c r="D52" s="6"/>
      <x:c r="E52" s="6"/>
      <x:c r="F52" s="6"/>
      <x:c r="G52" s="6"/>
      <x:c r="H52" s="5" t="str">
        <x:f aca="0">IF(OR($B52="",$D52="",$E52=""),"",$B52&amp;"|"&amp;$D52&amp;"|"&amp;$E52)</x:f>
      </x:c>
    </x:row>
    <x:row r="53" s="1" customFormat="1" ht="14.25" hidden="0" customHeight="1">
      <x:c r="A53" s="51"/>
      <x:c r="B53" s="6"/>
      <x:c r="C53" s="6"/>
      <x:c r="D53" s="6"/>
      <x:c r="E53" s="6"/>
      <x:c r="F53" s="6"/>
      <x:c r="G53" s="6"/>
      <x:c r="H53" s="8" t="str">
        <x:f aca="0">IF(OR($B53="",$D53="",$E53=""),"",$B53&amp;"|"&amp;$D53&amp;"|"&amp;$E53)</x:f>
      </x:c>
    </x:row>
    <x:row r="54" s="1" customFormat="1" ht="14.25" hidden="0" customHeight="1">
      <x:c r="A54" s="51"/>
      <x:c r="B54" s="6"/>
      <x:c r="C54" s="6"/>
      <x:c r="D54" s="6"/>
      <x:c r="E54" s="6"/>
      <x:c r="F54" s="6"/>
      <x:c r="G54" s="6"/>
      <x:c r="H54" s="5" t="str">
        <x:f aca="0">IF(OR($B54="",$D54="",$E54=""),"",$B54&amp;"|"&amp;$D54&amp;"|"&amp;$E54)</x:f>
      </x:c>
    </x:row>
    <x:row r="55" s="1" customFormat="1" ht="14.25" hidden="0" customHeight="1">
      <x:c r="A55" s="51"/>
      <x:c r="B55" s="6"/>
      <x:c r="C55" s="6"/>
      <x:c r="D55" s="6"/>
      <x:c r="E55" s="6"/>
      <x:c r="F55" s="6"/>
      <x:c r="G55" s="6"/>
      <x:c r="H55" s="8" t="str">
        <x:f aca="0">IF(OR($B55="",$D55="",$E55=""),"",$B55&amp;"|"&amp;$D55&amp;"|"&amp;$E55)</x:f>
      </x:c>
    </x:row>
    <x:row r="56" s="1" customFormat="1" ht="14.25" hidden="0" customHeight="1">
      <x:c r="A56" s="51"/>
      <x:c r="B56" s="6"/>
      <x:c r="C56" s="6"/>
      <x:c r="D56" s="6"/>
      <x:c r="E56" s="6"/>
      <x:c r="F56" s="6"/>
      <x:c r="G56" s="6"/>
      <x:c r="H56" s="5" t="str">
        <x:f aca="0">IF(OR($B56="",$D56="",$E56=""),"",$B56&amp;"|"&amp;$D56&amp;"|"&amp;$E56)</x:f>
      </x:c>
    </x:row>
    <x:row r="57" s="1" customFormat="1" ht="14.25" hidden="0" customHeight="1">
      <x:c r="A57" s="51"/>
      <x:c r="B57" s="6"/>
      <x:c r="C57" s="6"/>
      <x:c r="D57" s="6"/>
      <x:c r="E57" s="6"/>
      <x:c r="F57" s="6"/>
      <x:c r="G57" s="6"/>
      <x:c r="H57" s="8" t="str">
        <x:f aca="0">IF(OR($B57="",$D57="",$E57=""),"",$B57&amp;"|"&amp;$D57&amp;"|"&amp;$E57)</x:f>
      </x:c>
    </x:row>
    <x:row r="58" s="1" customFormat="1" ht="14.25" hidden="0" customHeight="1">
      <x:c r="A58" s="51"/>
      <x:c r="B58" s="6"/>
      <x:c r="C58" s="6"/>
      <x:c r="D58" s="6"/>
      <x:c r="E58" s="6"/>
      <x:c r="F58" s="6"/>
      <x:c r="G58" s="6"/>
      <x:c r="H58" s="5" t="str">
        <x:f aca="0">IF(OR($B58="",$D58="",$E58=""),"",$B58&amp;"|"&amp;$D58&amp;"|"&amp;$E58)</x:f>
      </x:c>
    </x:row>
    <x:row r="59" s="1" customFormat="1" ht="14.25" hidden="0" customHeight="1">
      <x:c r="A59" s="51"/>
      <x:c r="B59" s="6"/>
      <x:c r="C59" s="6"/>
      <x:c r="D59" s="6"/>
      <x:c r="E59" s="6"/>
      <x:c r="F59" s="6"/>
      <x:c r="G59" s="6"/>
      <x:c r="H59" s="8" t="str">
        <x:f aca="0">IF(OR($B59="",$D59="",$E59=""),"",$B59&amp;"|"&amp;$D59&amp;"|"&amp;$E59)</x:f>
      </x:c>
    </x:row>
    <x:row r="60" s="1" customFormat="1" ht="14.25" hidden="0" customHeight="1">
      <x:c r="A60" s="51"/>
      <x:c r="B60" s="6"/>
      <x:c r="C60" s="6"/>
      <x:c r="D60" s="6"/>
      <x:c r="E60" s="6"/>
      <x:c r="F60" s="6"/>
      <x:c r="G60" s="6"/>
      <x:c r="H60" s="5" t="str">
        <x:f aca="0">IF(OR($B60="",$D60="",$E60=""),"",$B60&amp;"|"&amp;$D60&amp;"|"&amp;$E60)</x:f>
      </x:c>
    </x:row>
    <x:row r="61" s="1" customFormat="1" ht="14.25" hidden="0" customHeight="1">
      <x:c r="A61" s="51"/>
      <x:c r="B61" s="6"/>
      <x:c r="C61" s="6"/>
      <x:c r="D61" s="6"/>
      <x:c r="E61" s="6"/>
      <x:c r="F61" s="6"/>
      <x:c r="G61" s="6"/>
      <x:c r="H61" s="8" t="str">
        <x:f aca="0">IF(OR($B61="",$D61="",$E61=""),"",$B61&amp;"|"&amp;$D61&amp;"|"&amp;$E61)</x:f>
      </x:c>
    </x:row>
    <x:row r="62" s="1" customFormat="1" ht="14.25" hidden="0" customHeight="1">
      <x:c r="A62" s="51"/>
      <x:c r="B62" s="6"/>
      <x:c r="C62" s="6"/>
      <x:c r="D62" s="6"/>
      <x:c r="E62" s="6"/>
      <x:c r="F62" s="6"/>
      <x:c r="G62" s="6"/>
      <x:c r="H62" s="5" t="str">
        <x:f aca="0">IF(OR($B62="",$D62="",$E62=""),"",$B62&amp;"|"&amp;$D62&amp;"|"&amp;$E62)</x:f>
      </x:c>
    </x:row>
    <x:row r="63" s="1" customFormat="1" ht="14.25" hidden="0" customHeight="1">
      <x:c r="A63" s="51"/>
      <x:c r="B63" s="6"/>
      <x:c r="C63" s="6"/>
      <x:c r="D63" s="6"/>
      <x:c r="E63" s="6"/>
      <x:c r="F63" s="6"/>
      <x:c r="G63" s="6"/>
      <x:c r="H63" s="8" t="str">
        <x:f aca="0">IF(OR($B63="",$D63="",$E63=""),"",$B63&amp;"|"&amp;$D63&amp;"|"&amp;$E63)</x:f>
      </x:c>
    </x:row>
    <x:row r="64" s="1" customFormat="1" ht="14.25" hidden="0" customHeight="1">
      <x:c r="A64" s="51"/>
      <x:c r="B64" s="6"/>
      <x:c r="C64" s="6"/>
      <x:c r="D64" s="6"/>
      <x:c r="E64" s="6"/>
      <x:c r="F64" s="6"/>
      <x:c r="G64" s="6"/>
      <x:c r="H64" s="5" t="str">
        <x:f aca="0">IF(OR($B64="",$D64="",$E64=""),"",$B64&amp;"|"&amp;$D64&amp;"|"&amp;$E64)</x:f>
      </x:c>
    </x:row>
    <x:row r="65" s="1" customFormat="1" ht="14.25" hidden="0" customHeight="1">
      <x:c r="A65" s="51"/>
      <x:c r="B65" s="6"/>
      <x:c r="C65" s="6"/>
      <x:c r="D65" s="6"/>
      <x:c r="E65" s="6"/>
      <x:c r="F65" s="6"/>
      <x:c r="G65" s="6"/>
      <x:c r="H65" s="8" t="str">
        <x:f aca="0">IF(OR($B65="",$D65="",$E65=""),"",$B65&amp;"|"&amp;$D65&amp;"|"&amp;$E65)</x:f>
      </x:c>
    </x:row>
    <x:row r="66" s="1" customFormat="1" ht="14.25" hidden="0" customHeight="1">
      <x:c r="A66" s="51"/>
      <x:c r="B66" s="6"/>
      <x:c r="C66" s="6"/>
      <x:c r="D66" s="6"/>
      <x:c r="E66" s="6"/>
      <x:c r="F66" s="6"/>
      <x:c r="G66" s="6"/>
      <x:c r="H66" s="5" t="str">
        <x:f aca="0">IF(OR($B66="",$D66="",$E66=""),"",$B66&amp;"|"&amp;$D66&amp;"|"&amp;$E66)</x:f>
      </x:c>
    </x:row>
    <x:row r="67" s="1" customFormat="1" ht="14.25" hidden="0" customHeight="1">
      <x:c r="A67" s="51"/>
      <x:c r="B67" s="6"/>
      <x:c r="C67" s="6"/>
      <x:c r="D67" s="6"/>
      <x:c r="E67" s="6"/>
      <x:c r="F67" s="6"/>
      <x:c r="G67" s="6"/>
      <x:c r="H67" s="8" t="str">
        <x:f aca="0">IF(OR($B67="",$D67="",$E67=""),"",$B67&amp;"|"&amp;$D67&amp;"|"&amp;$E67)</x:f>
      </x:c>
    </x:row>
    <x:row r="68" s="1" customFormat="1" ht="14.25" hidden="0" customHeight="1">
      <x:c r="A68" s="51"/>
      <x:c r="B68" s="6"/>
      <x:c r="C68" s="6"/>
      <x:c r="D68" s="6"/>
      <x:c r="E68" s="6"/>
      <x:c r="F68" s="6"/>
      <x:c r="G68" s="6"/>
      <x:c r="H68" s="5" t="str">
        <x:f aca="0">IF(OR($B68="",$D68="",$E68=""),"",$B68&amp;"|"&amp;$D68&amp;"|"&amp;$E68)</x:f>
      </x:c>
    </x:row>
    <x:row r="69" s="1" customFormat="1" ht="14.25" hidden="0" customHeight="1">
      <x:c r="A69" s="51"/>
      <x:c r="B69" s="6"/>
      <x:c r="C69" s="6"/>
      <x:c r="D69" s="6"/>
      <x:c r="E69" s="6"/>
      <x:c r="F69" s="6"/>
      <x:c r="G69" s="6"/>
      <x:c r="H69" s="8" t="str">
        <x:f aca="0">IF(OR($B69="",$D69="",$E69=""),"",$B69&amp;"|"&amp;$D69&amp;"|"&amp;$E69)</x:f>
      </x:c>
    </x:row>
    <x:row r="70" s="1" customFormat="1" ht="14.25" hidden="0" customHeight="1">
      <x:c r="A70" s="51"/>
      <x:c r="B70" s="6"/>
      <x:c r="C70" s="6"/>
      <x:c r="D70" s="6"/>
      <x:c r="E70" s="6"/>
      <x:c r="F70" s="6"/>
      <x:c r="G70" s="6"/>
      <x:c r="H70" s="5" t="str">
        <x:f aca="0">IF(OR($B70="",$D70="",$E70=""),"",$B70&amp;"|"&amp;$D70&amp;"|"&amp;$E70)</x:f>
      </x:c>
    </x:row>
    <x:row r="71" s="1" customFormat="1" ht="14.25" hidden="0" customHeight="1">
      <x:c r="A71" s="51"/>
      <x:c r="B71" s="6"/>
      <x:c r="C71" s="6"/>
      <x:c r="D71" s="6"/>
      <x:c r="E71" s="6"/>
      <x:c r="F71" s="6"/>
      <x:c r="G71" s="6"/>
      <x:c r="H71" s="8" t="str">
        <x:f aca="0">IF(OR($B71="",$D71="",$E71=""),"",$B71&amp;"|"&amp;$D71&amp;"|"&amp;$E71)</x:f>
      </x:c>
    </x:row>
    <x:row r="72" s="1" customFormat="1" ht="14.25" hidden="0" customHeight="1">
      <x:c r="A72" s="51"/>
      <x:c r="B72" s="6"/>
      <x:c r="C72" s="6"/>
      <x:c r="D72" s="6"/>
      <x:c r="E72" s="6"/>
      <x:c r="F72" s="6"/>
      <x:c r="G72" s="6"/>
      <x:c r="H72" s="5" t="str">
        <x:f aca="0">IF(OR($B72="",$D72="",$E72=""),"",$B72&amp;"|"&amp;$D72&amp;"|"&amp;$E72)</x:f>
      </x:c>
    </x:row>
    <x:row r="73" s="1" customFormat="1" ht="14.25" hidden="0" customHeight="1">
      <x:c r="A73" s="51"/>
      <x:c r="B73" s="6"/>
      <x:c r="C73" s="6"/>
      <x:c r="D73" s="6"/>
      <x:c r="E73" s="6"/>
      <x:c r="F73" s="6"/>
      <x:c r="G73" s="6"/>
      <x:c r="H73" s="8" t="str">
        <x:f aca="0">IF(OR($B73="",$D73="",$E73=""),"",$B73&amp;"|"&amp;$D73&amp;"|"&amp;$E73)</x:f>
      </x:c>
    </x:row>
    <x:row r="74" s="1" customFormat="1" ht="14.25" hidden="0" customHeight="1">
      <x:c r="A74" s="51"/>
      <x:c r="B74" s="6"/>
      <x:c r="C74" s="6"/>
      <x:c r="D74" s="6"/>
      <x:c r="E74" s="6"/>
      <x:c r="F74" s="6"/>
      <x:c r="G74" s="6"/>
      <x:c r="H74" s="5" t="str">
        <x:f aca="0">IF(OR($B74="",$D74="",$E74=""),"",$B74&amp;"|"&amp;$D74&amp;"|"&amp;$E74)</x:f>
      </x:c>
    </x:row>
    <x:row r="75" s="1" customFormat="1" ht="14.25" hidden="0" customHeight="1">
      <x:c r="A75" s="51"/>
      <x:c r="B75" s="6"/>
      <x:c r="C75" s="6"/>
      <x:c r="D75" s="6"/>
      <x:c r="E75" s="6"/>
      <x:c r="F75" s="6"/>
      <x:c r="G75" s="6"/>
      <x:c r="H75" s="8" t="str">
        <x:f aca="0">IF(OR($B75="",$D75="",$E75=""),"",$B75&amp;"|"&amp;$D75&amp;"|"&amp;$E75)</x:f>
      </x:c>
    </x:row>
    <x:row r="76" s="1" customFormat="1" ht="14.25" hidden="0" customHeight="1">
      <x:c r="A76" s="51"/>
      <x:c r="B76" s="6"/>
      <x:c r="C76" s="6"/>
      <x:c r="D76" s="6"/>
      <x:c r="E76" s="6"/>
      <x:c r="F76" s="6"/>
      <x:c r="G76" s="6"/>
      <x:c r="H76" s="5" t="str">
        <x:f aca="0">IF(OR($B76="",$D76="",$E76=""),"",$B76&amp;"|"&amp;$D76&amp;"|"&amp;$E76)</x:f>
      </x:c>
    </x:row>
    <x:row r="77" s="1" customFormat="1" ht="14.25" hidden="0" customHeight="1">
      <x:c r="A77" s="51"/>
      <x:c r="B77" s="6"/>
      <x:c r="C77" s="6"/>
      <x:c r="D77" s="6"/>
      <x:c r="E77" s="6"/>
      <x:c r="F77" s="6"/>
      <x:c r="G77" s="6"/>
      <x:c r="H77" s="8" t="str">
        <x:f aca="0">IF(OR($B77="",$D77="",$E77=""),"",$B77&amp;"|"&amp;$D77&amp;"|"&amp;$E77)</x:f>
      </x:c>
    </x:row>
    <x:row r="78" s="1" customFormat="1" ht="14.25" hidden="0" customHeight="1">
      <x:c r="A78" s="51"/>
      <x:c r="B78" s="6"/>
      <x:c r="C78" s="6"/>
      <x:c r="D78" s="6"/>
      <x:c r="E78" s="6"/>
      <x:c r="F78" s="6"/>
      <x:c r="G78" s="6"/>
      <x:c r="H78" s="5" t="str">
        <x:f aca="0">IF(OR($B78="",$D78="",$E78=""),"",$B78&amp;"|"&amp;$D78&amp;"|"&amp;$E78)</x:f>
      </x:c>
    </x:row>
    <x:row r="79" s="1" customFormat="1" ht="14.25" hidden="0" customHeight="1">
      <x:c r="A79" s="51"/>
      <x:c r="B79" s="6"/>
      <x:c r="C79" s="6"/>
      <x:c r="D79" s="6"/>
      <x:c r="E79" s="6"/>
      <x:c r="F79" s="6"/>
      <x:c r="G79" s="6"/>
      <x:c r="H79" s="8" t="str">
        <x:f aca="0">IF(OR($B79="",$D79="",$E79=""),"",$B79&amp;"|"&amp;$D79&amp;"|"&amp;$E79)</x:f>
      </x:c>
    </x:row>
    <x:row r="80" s="1" customFormat="1" ht="14.25" hidden="0" customHeight="1">
      <x:c r="A80" s="51"/>
      <x:c r="B80" s="6"/>
      <x:c r="C80" s="6"/>
      <x:c r="D80" s="6"/>
      <x:c r="E80" s="6"/>
      <x:c r="F80" s="6"/>
      <x:c r="G80" s="6"/>
      <x:c r="H80" s="5" t="str">
        <x:f aca="0">IF(OR($B80="",$D80="",$E80=""),"",$B80&amp;"|"&amp;$D80&amp;"|"&amp;$E80)</x:f>
      </x:c>
    </x:row>
    <x:row r="81" s="1" customFormat="1" ht="14.25" hidden="0" customHeight="1">
      <x:c r="A81" s="51"/>
      <x:c r="B81" s="6"/>
      <x:c r="C81" s="6"/>
      <x:c r="D81" s="6"/>
      <x:c r="E81" s="6"/>
      <x:c r="F81" s="6"/>
      <x:c r="G81" s="6"/>
      <x:c r="H81" s="8" t="str">
        <x:f aca="0">IF(OR($B81="",$D81="",$E81=""),"",$B81&amp;"|"&amp;$D81&amp;"|"&amp;$E81)</x:f>
      </x:c>
    </x:row>
    <x:row r="82" s="1" customFormat="1" ht="14.25" hidden="0" customHeight="1">
      <x:c r="A82" s="51"/>
      <x:c r="B82" s="6"/>
      <x:c r="C82" s="6"/>
      <x:c r="D82" s="6"/>
      <x:c r="E82" s="6"/>
      <x:c r="F82" s="6"/>
      <x:c r="G82" s="6"/>
      <x:c r="H82" s="5" t="str">
        <x:f aca="0">IF(OR($B82="",$D82="",$E82=""),"",$B82&amp;"|"&amp;$D82&amp;"|"&amp;$E82)</x:f>
      </x:c>
    </x:row>
    <x:row r="83" s="1" customFormat="1" ht="14.25" hidden="0" customHeight="1">
      <x:c r="A83" s="51"/>
      <x:c r="B83" s="6"/>
      <x:c r="C83" s="6"/>
      <x:c r="D83" s="6"/>
      <x:c r="E83" s="6"/>
      <x:c r="F83" s="6"/>
      <x:c r="G83" s="6"/>
      <x:c r="H83" s="8" t="str">
        <x:f aca="0">IF(OR($B83="",$D83="",$E83=""),"",$B83&amp;"|"&amp;$D83&amp;"|"&amp;$E83)</x:f>
      </x:c>
    </x:row>
    <x:row r="84" s="1" customFormat="1" ht="14.25" hidden="0" customHeight="1">
      <x:c r="A84" s="51"/>
      <x:c r="B84" s="6"/>
      <x:c r="C84" s="6"/>
      <x:c r="D84" s="6"/>
      <x:c r="E84" s="6"/>
      <x:c r="F84" s="6"/>
      <x:c r="G84" s="6"/>
      <x:c r="H84" s="5" t="str">
        <x:f aca="0">IF(OR($B84="",$D84="",$E84=""),"",$B84&amp;"|"&amp;$D84&amp;"|"&amp;$E84)</x:f>
      </x:c>
    </x:row>
    <x:row r="85" s="1" customFormat="1" ht="14.25" hidden="0" customHeight="1">
      <x:c r="A85" s="51"/>
      <x:c r="B85" s="6"/>
      <x:c r="C85" s="6"/>
      <x:c r="D85" s="6"/>
      <x:c r="E85" s="6"/>
      <x:c r="F85" s="6"/>
      <x:c r="G85" s="6"/>
      <x:c r="H85" s="8" t="str">
        <x:f aca="0">IF(OR($B85="",$D85="",$E85=""),"",$B85&amp;"|"&amp;$D85&amp;"|"&amp;$E85)</x:f>
      </x:c>
    </x:row>
    <x:row r="86" s="1" customFormat="1" ht="14.25" hidden="0" customHeight="1">
      <x:c r="A86" s="51"/>
      <x:c r="B86" s="6"/>
      <x:c r="C86" s="6"/>
      <x:c r="D86" s="6"/>
      <x:c r="E86" s="6"/>
      <x:c r="F86" s="6"/>
      <x:c r="G86" s="6"/>
      <x:c r="H86" s="5" t="str">
        <x:f aca="0">IF(OR($B86="",$D86="",$E86=""),"",$B86&amp;"|"&amp;$D86&amp;"|"&amp;$E86)</x:f>
      </x:c>
    </x:row>
    <x:row r="87" s="1" customFormat="1" ht="14.25" hidden="0" customHeight="1">
      <x:c r="A87" s="51"/>
      <x:c r="B87" s="6"/>
      <x:c r="C87" s="6"/>
      <x:c r="D87" s="6"/>
      <x:c r="E87" s="6"/>
      <x:c r="F87" s="6"/>
      <x:c r="G87" s="6"/>
      <x:c r="H87" s="8" t="str">
        <x:f aca="0">IF(OR($B87="",$D87="",$E87=""),"",$B87&amp;"|"&amp;$D87&amp;"|"&amp;$E87)</x:f>
      </x:c>
    </x:row>
    <x:row r="88" s="1" customFormat="1" ht="14.25" hidden="0" customHeight="1">
      <x:c r="A88" s="51"/>
      <x:c r="B88" s="6"/>
      <x:c r="C88" s="6"/>
      <x:c r="D88" s="6"/>
      <x:c r="E88" s="6"/>
      <x:c r="F88" s="6"/>
      <x:c r="G88" s="6"/>
      <x:c r="H88" s="5" t="str">
        <x:f aca="0">IF(OR($B88="",$D88="",$E88=""),"",$B88&amp;"|"&amp;$D88&amp;"|"&amp;$E88)</x:f>
      </x:c>
    </x:row>
    <x:row r="89" s="1" customFormat="1" ht="14.25" hidden="0" customHeight="1">
      <x:c r="A89" s="51"/>
      <x:c r="B89" s="6"/>
      <x:c r="C89" s="6"/>
      <x:c r="D89" s="6"/>
      <x:c r="E89" s="6"/>
      <x:c r="F89" s="6"/>
      <x:c r="G89" s="6"/>
      <x:c r="H89" s="8" t="str">
        <x:f aca="0">IF(OR($B89="",$D89="",$E89=""),"",$B89&amp;"|"&amp;$D89&amp;"|"&amp;$E89)</x:f>
      </x:c>
    </x:row>
    <x:row r="90" s="1" customFormat="1" ht="14.25" hidden="0" customHeight="1">
      <x:c r="A90" s="51"/>
      <x:c r="B90" s="6"/>
      <x:c r="C90" s="6"/>
      <x:c r="D90" s="6"/>
      <x:c r="E90" s="6"/>
      <x:c r="F90" s="6"/>
      <x:c r="G90" s="6"/>
      <x:c r="H90" s="5" t="str">
        <x:f aca="0">IF(OR($B90="",$D90="",$E90=""),"",$B90&amp;"|"&amp;$D90&amp;"|"&amp;$E90)</x:f>
      </x:c>
    </x:row>
    <x:row r="91" s="1" customFormat="1" ht="14.25" hidden="0" customHeight="1">
      <x:c r="A91" s="51"/>
      <x:c r="B91" s="6"/>
      <x:c r="C91" s="6"/>
      <x:c r="D91" s="6"/>
      <x:c r="E91" s="6"/>
      <x:c r="F91" s="6"/>
      <x:c r="G91" s="6"/>
      <x:c r="H91" s="8" t="str">
        <x:f aca="0">IF(OR($B91="",$D91="",$E91=""),"",$B91&amp;"|"&amp;$D91&amp;"|"&amp;$E91)</x:f>
      </x:c>
    </x:row>
    <x:row r="92" s="1" customFormat="1" ht="14.25" hidden="0" customHeight="1">
      <x:c r="A92" s="51"/>
      <x:c r="B92" s="6"/>
      <x:c r="C92" s="6"/>
      <x:c r="D92" s="6"/>
      <x:c r="E92" s="6"/>
      <x:c r="F92" s="6"/>
      <x:c r="G92" s="6"/>
      <x:c r="H92" s="5" t="str">
        <x:f aca="0">IF(OR($B92="",$D92="",$E92=""),"",$B92&amp;"|"&amp;$D92&amp;"|"&amp;$E92)</x:f>
      </x:c>
    </x:row>
    <x:row r="93" s="1" customFormat="1" ht="14.25" hidden="0" customHeight="1">
      <x:c r="A93" s="51"/>
      <x:c r="B93" s="6"/>
      <x:c r="C93" s="6"/>
      <x:c r="D93" s="6"/>
      <x:c r="E93" s="6"/>
      <x:c r="F93" s="6"/>
      <x:c r="G93" s="6"/>
      <x:c r="H93" s="8" t="str">
        <x:f aca="0">IF(OR($B93="",$D93="",$E93=""),"",$B93&amp;"|"&amp;$D93&amp;"|"&amp;$E93)</x:f>
      </x:c>
    </x:row>
    <x:row r="94" s="1" customFormat="1" ht="14.25" hidden="0" customHeight="1">
      <x:c r="A94" s="51"/>
      <x:c r="B94" s="6"/>
      <x:c r="C94" s="6"/>
      <x:c r="D94" s="6"/>
      <x:c r="E94" s="6"/>
      <x:c r="F94" s="6"/>
      <x:c r="G94" s="6"/>
      <x:c r="H94" s="5" t="str">
        <x:f aca="0">IF(OR($B94="",$D94="",$E94=""),"",$B94&amp;"|"&amp;$D94&amp;"|"&amp;$E94)</x:f>
      </x:c>
    </x:row>
    <x:row r="95" s="1" customFormat="1" ht="14.25" hidden="0" customHeight="1">
      <x:c r="A95" s="51"/>
      <x:c r="B95" s="6"/>
      <x:c r="C95" s="6"/>
      <x:c r="D95" s="6"/>
      <x:c r="E95" s="6"/>
      <x:c r="F95" s="6"/>
      <x:c r="G95" s="6"/>
      <x:c r="H95" s="8" t="str">
        <x:f aca="0">IF(OR($B95="",$D95="",$E95=""),"",$B95&amp;"|"&amp;$D95&amp;"|"&amp;$E95)</x:f>
      </x:c>
    </x:row>
    <x:row r="96" s="1" customFormat="1" ht="14.25" hidden="0" customHeight="1">
      <x:c r="A96" s="51"/>
      <x:c r="B96" s="6"/>
      <x:c r="C96" s="6"/>
      <x:c r="D96" s="6"/>
      <x:c r="E96" s="6"/>
      <x:c r="F96" s="6"/>
      <x:c r="G96" s="6"/>
      <x:c r="H96" s="5" t="str">
        <x:f aca="0">IF(OR($B96="",$D96="",$E96=""),"",$B96&amp;"|"&amp;$D96&amp;"|"&amp;$E96)</x:f>
      </x:c>
    </x:row>
    <x:row r="97" s="1" customFormat="1" ht="14.25" hidden="0" customHeight="1">
      <x:c r="A97" s="51"/>
      <x:c r="B97" s="6"/>
      <x:c r="C97" s="6"/>
      <x:c r="D97" s="6"/>
      <x:c r="E97" s="6"/>
      <x:c r="F97" s="6"/>
      <x:c r="G97" s="6"/>
      <x:c r="H97" s="8" t="str">
        <x:f aca="0">IF(OR($B97="",$D97="",$E97=""),"",$B97&amp;"|"&amp;$D97&amp;"|"&amp;$E97)</x:f>
      </x:c>
    </x:row>
    <x:row r="98" s="1" customFormat="1" ht="14.25" hidden="0" customHeight="1">
      <x:c r="A98" s="51"/>
      <x:c r="B98" s="6"/>
      <x:c r="C98" s="6"/>
      <x:c r="D98" s="6"/>
      <x:c r="E98" s="6"/>
      <x:c r="F98" s="6"/>
      <x:c r="G98" s="6"/>
      <x:c r="H98" s="5" t="str">
        <x:f aca="0">IF(OR($B98="",$D98="",$E98=""),"",$B98&amp;"|"&amp;$D98&amp;"|"&amp;$E98)</x:f>
      </x:c>
    </x:row>
    <x:row r="99" s="1" customFormat="1" ht="14.25" hidden="0" customHeight="1">
      <x:c r="A99" s="51"/>
      <x:c r="B99" s="6"/>
      <x:c r="C99" s="6"/>
      <x:c r="D99" s="6"/>
      <x:c r="E99" s="6"/>
      <x:c r="F99" s="6"/>
      <x:c r="G99" s="6"/>
      <x:c r="H99" s="8" t="str">
        <x:f aca="0">IF(OR($B99="",$D99="",$E99=""),"",$B99&amp;"|"&amp;$D99&amp;"|"&amp;$E99)</x:f>
      </x:c>
    </x:row>
    <x:row r="100" s="1" customFormat="1" ht="14.25" hidden="0" customHeight="1">
      <x:c r="A100" s="51"/>
      <x:c r="B100" s="6"/>
      <x:c r="C100" s="6"/>
      <x:c r="D100" s="6"/>
      <x:c r="E100" s="6"/>
      <x:c r="F100" s="6"/>
      <x:c r="G100" s="6"/>
      <x:c r="H100" s="5" t="str">
        <x:f aca="0">IF(OR($B100="",$D100="",$E100=""),"",$B100&amp;"|"&amp;$D100&amp;"|"&amp;$E100)</x:f>
      </x:c>
    </x:row>
    <x:row r="101" s="1" customFormat="1" ht="14.25" hidden="0" customHeight="1">
      <x:c r="A101" s="51"/>
      <x:c r="B101" s="6"/>
      <x:c r="C101" s="6"/>
      <x:c r="D101" s="6"/>
      <x:c r="E101" s="6"/>
      <x:c r="F101" s="6"/>
      <x:c r="G101" s="6"/>
      <x:c r="H101" s="6"/>
    </x:row>
    <x:row r="102" s="1" customFormat="1" ht="14.25" hidden="0" customHeight="1">
      <x:c r="A102" s="51"/>
      <x:c r="B102" s="6"/>
      <x:c r="C102" s="6"/>
      <x:c r="D102" s="6"/>
      <x:c r="E102" s="6"/>
      <x:c r="F102" s="6"/>
      <x:c r="G102" s="6"/>
      <x:c r="H102" s="6"/>
    </x:row>
    <x:row r="103" s="1" customFormat="1" ht="14.25" hidden="0" customHeight="1">
      <x:c r="A103" s="51"/>
      <x:c r="B103" s="6"/>
      <x:c r="C103" s="6"/>
      <x:c r="D103" s="6"/>
      <x:c r="E103" s="6"/>
      <x:c r="F103" s="6"/>
      <x:c r="G103" s="6"/>
      <x:c r="H103" s="6"/>
    </x:row>
    <x:row r="104" s="1" customFormat="1" ht="14.25" hidden="0" customHeight="1">
      <x:c r="A104" s="51"/>
      <x:c r="B104" s="6"/>
      <x:c r="C104" s="6"/>
      <x:c r="D104" s="6"/>
      <x:c r="E104" s="6"/>
      <x:c r="F104" s="6"/>
      <x:c r="G104" s="6"/>
      <x:c r="H104" s="6"/>
    </x:row>
    <x:row r="105" s="1" customFormat="1" ht="14.25" hidden="0" customHeight="1">
      <x:c r="A105" s="51"/>
      <x:c r="B105" s="6"/>
      <x:c r="C105" s="6"/>
      <x:c r="D105" s="6"/>
      <x:c r="E105" s="6"/>
      <x:c r="F105" s="6"/>
      <x:c r="G105" s="6"/>
      <x:c r="H105" s="6"/>
    </x:row>
    <x:row r="106" s="1" customFormat="1" ht="14.25" hidden="0" customHeight="1">
      <x:c r="A106" s="51"/>
      <x:c r="B106" s="6"/>
      <x:c r="C106" s="6"/>
      <x:c r="D106" s="6"/>
      <x:c r="E106" s="6"/>
      <x:c r="F106" s="6"/>
      <x:c r="G106" s="6"/>
      <x:c r="H106" s="6"/>
    </x:row>
    <x:row r="107" s="1" customFormat="1" ht="14.25" hidden="0" customHeight="1">
      <x:c r="A107" s="51"/>
      <x:c r="B107" s="6"/>
      <x:c r="C107" s="6"/>
      <x:c r="D107" s="6"/>
      <x:c r="E107" s="6"/>
      <x:c r="F107" s="6"/>
      <x:c r="G107" s="6"/>
      <x:c r="H107" s="6"/>
    </x:row>
    <x:row r="108" s="1" customFormat="1" ht="14.25" hidden="0" customHeight="1">
      <x:c r="A108" s="51"/>
      <x:c r="B108" s="6"/>
      <x:c r="C108" s="6"/>
      <x:c r="D108" s="6"/>
      <x:c r="E108" s="6"/>
      <x:c r="F108" s="6"/>
      <x:c r="G108" s="6"/>
      <x:c r="H108" s="6"/>
    </x:row>
    <x:row r="109" s="1" customFormat="1" ht="14.25" hidden="0" customHeight="1">
      <x:c r="A109" s="51"/>
      <x:c r="B109" s="6"/>
      <x:c r="C109" s="6"/>
      <x:c r="D109" s="6"/>
      <x:c r="E109" s="6"/>
      <x:c r="F109" s="6"/>
      <x:c r="G109" s="6"/>
      <x:c r="H109" s="6"/>
    </x:row>
    <x:row r="110" s="1" customFormat="1" ht="14.25" hidden="0" customHeight="1">
      <x:c r="A110" s="51"/>
      <x:c r="B110" s="6"/>
      <x:c r="C110" s="6"/>
      <x:c r="D110" s="6"/>
      <x:c r="E110" s="6"/>
      <x:c r="F110" s="6"/>
      <x:c r="G110" s="6"/>
      <x:c r="H110" s="6"/>
    </x:row>
    <x:row r="111" s="1" customFormat="1" ht="14.25" hidden="0" customHeight="1">
      <x:c r="A111" s="51"/>
      <x:c r="B111" s="6"/>
      <x:c r="C111" s="6"/>
      <x:c r="D111" s="6"/>
      <x:c r="E111" s="6"/>
      <x:c r="F111" s="6"/>
      <x:c r="G111" s="6"/>
      <x:c r="H111" s="6"/>
    </x:row>
    <x:row r="112" s="1" customFormat="1" ht="14.25" hidden="0" customHeight="1">
      <x:c r="A112" s="51"/>
      <x:c r="B112" s="6"/>
      <x:c r="C112" s="6"/>
      <x:c r="D112" s="6"/>
      <x:c r="E112" s="6"/>
      <x:c r="F112" s="6"/>
      <x:c r="G112" s="6"/>
      <x:c r="H112" s="6"/>
    </x:row>
    <x:row r="113" s="1" customFormat="1" ht="14.25" hidden="0" customHeight="1">
      <x:c r="A113" s="51"/>
      <x:c r="B113" s="6"/>
      <x:c r="C113" s="6"/>
      <x:c r="D113" s="6"/>
      <x:c r="E113" s="6"/>
      <x:c r="F113" s="6"/>
      <x:c r="G113" s="6"/>
      <x:c r="H113" s="6"/>
    </x:row>
    <x:row r="114" s="1" customFormat="1" ht="14.25" hidden="0" customHeight="1">
      <x:c r="A114" s="51"/>
      <x:c r="B114" s="6"/>
      <x:c r="C114" s="6"/>
      <x:c r="D114" s="6"/>
      <x:c r="E114" s="6"/>
      <x:c r="F114" s="6"/>
      <x:c r="G114" s="6"/>
      <x:c r="H114" s="6"/>
    </x:row>
    <x:row r="115" s="1" customFormat="1" ht="14.25" hidden="0" customHeight="1">
      <x:c r="A115" s="51"/>
      <x:c r="B115" s="6"/>
      <x:c r="C115" s="6"/>
      <x:c r="D115" s="6"/>
      <x:c r="E115" s="6"/>
      <x:c r="F115" s="6"/>
      <x:c r="G115" s="6"/>
      <x:c r="H115" s="6"/>
    </x:row>
    <x:row r="116" s="1" customFormat="1" ht="14.25" hidden="0" customHeight="1">
      <x:c r="A116" s="51"/>
      <x:c r="B116" s="6"/>
      <x:c r="C116" s="6"/>
      <x:c r="D116" s="6"/>
      <x:c r="E116" s="6"/>
      <x:c r="F116" s="6"/>
      <x:c r="G116" s="6"/>
      <x:c r="H116" s="6"/>
    </x:row>
    <x:row r="117" s="1" customFormat="1" ht="14.25" hidden="0" customHeight="1">
      <x:c r="A117" s="51"/>
      <x:c r="B117" s="6"/>
      <x:c r="C117" s="6"/>
      <x:c r="D117" s="6"/>
      <x:c r="E117" s="6"/>
      <x:c r="F117" s="6"/>
      <x:c r="G117" s="6"/>
      <x:c r="H117" s="6"/>
    </x:row>
    <x:row r="118" s="1" customFormat="1" ht="14.25" hidden="0" customHeight="1">
      <x:c r="A118" s="51"/>
      <x:c r="B118" s="6"/>
      <x:c r="C118" s="6"/>
      <x:c r="D118" s="6"/>
      <x:c r="E118" s="6"/>
      <x:c r="F118" s="6"/>
      <x:c r="G118" s="6"/>
      <x:c r="H118" s="6"/>
    </x:row>
    <x:row r="119" s="1" customFormat="1" ht="14.25" hidden="0" customHeight="1">
      <x:c r="A119" s="51"/>
      <x:c r="B119" s="6"/>
      <x:c r="C119" s="6"/>
      <x:c r="D119" s="6"/>
      <x:c r="E119" s="6"/>
      <x:c r="F119" s="6"/>
      <x:c r="G119" s="6"/>
      <x:c r="H119" s="6"/>
    </x:row>
    <x:row r="120" s="1" customFormat="1" ht="14.25" hidden="0" customHeight="1">
      <x:c r="A120" s="51"/>
      <x:c r="B120" s="6"/>
      <x:c r="C120" s="6"/>
      <x:c r="D120" s="6"/>
      <x:c r="E120" s="6"/>
      <x:c r="F120" s="6"/>
      <x:c r="G120" s="6"/>
      <x:c r="H120" s="6"/>
    </x:row>
    <x:row r="121" s="1" customFormat="1" ht="14.25" hidden="0" customHeight="1">
      <x:c r="A121" s="51"/>
      <x:c r="B121" s="6"/>
      <x:c r="C121" s="6"/>
      <x:c r="D121" s="6"/>
      <x:c r="E121" s="6"/>
      <x:c r="F121" s="6"/>
      <x:c r="G121" s="6"/>
      <x:c r="H121" s="6"/>
    </x:row>
    <x:row r="122" s="1" customFormat="1" ht="14.25" hidden="0" customHeight="1">
      <x:c r="A122" s="51"/>
      <x:c r="B122" s="6"/>
      <x:c r="C122" s="6"/>
      <x:c r="D122" s="6"/>
      <x:c r="E122" s="6"/>
      <x:c r="F122" s="6"/>
      <x:c r="G122" s="6"/>
      <x:c r="H122" s="6"/>
    </x:row>
    <x:row r="123" s="1" customFormat="1" ht="14.25" hidden="0" customHeight="1">
      <x:c r="A123" s="51"/>
      <x:c r="B123" s="6"/>
      <x:c r="C123" s="6"/>
      <x:c r="D123" s="6"/>
      <x:c r="E123" s="6"/>
      <x:c r="F123" s="6"/>
      <x:c r="G123" s="6"/>
      <x:c r="H123" s="6"/>
    </x:row>
    <x:row r="124" s="1" customFormat="1" ht="14.25" hidden="0" customHeight="1">
      <x:c r="A124" s="51"/>
      <x:c r="B124" s="6"/>
      <x:c r="C124" s="6"/>
      <x:c r="D124" s="6"/>
      <x:c r="E124" s="6"/>
      <x:c r="F124" s="6"/>
      <x:c r="G124" s="6"/>
      <x:c r="H124" s="6"/>
    </x:row>
    <x:row r="125" s="1" customFormat="1" ht="14.25" hidden="0" customHeight="1">
      <x:c r="A125" s="51"/>
      <x:c r="B125" s="6"/>
      <x:c r="C125" s="6"/>
      <x:c r="D125" s="6"/>
      <x:c r="E125" s="6"/>
      <x:c r="F125" s="6"/>
      <x:c r="G125" s="6"/>
      <x:c r="H125" s="6"/>
    </x:row>
    <x:row r="126" s="1" customFormat="1" ht="14.25" hidden="0" customHeight="1">
      <x:c r="A126" s="51"/>
      <x:c r="B126" s="6"/>
      <x:c r="C126" s="6"/>
      <x:c r="D126" s="6"/>
      <x:c r="E126" s="6"/>
      <x:c r="F126" s="6"/>
      <x:c r="G126" s="6"/>
      <x:c r="H126" s="6"/>
    </x:row>
    <x:row r="127" s="1" customFormat="1" ht="14.25" hidden="0" customHeight="1">
      <x:c r="A127" s="51"/>
      <x:c r="B127" s="6"/>
      <x:c r="C127" s="6"/>
      <x:c r="D127" s="6"/>
      <x:c r="E127" s="6"/>
      <x:c r="F127" s="6"/>
      <x:c r="G127" s="6"/>
      <x:c r="H127" s="6"/>
    </x:row>
    <x:row r="128" s="1" customFormat="1" ht="14.25" hidden="0" customHeight="1">
      <x:c r="A128" s="51"/>
      <x:c r="B128" s="6"/>
      <x:c r="C128" s="6"/>
      <x:c r="D128" s="6"/>
      <x:c r="E128" s="6"/>
      <x:c r="F128" s="6"/>
      <x:c r="G128" s="6"/>
      <x:c r="H128" s="6"/>
    </x:row>
    <x:row r="129" s="1" customFormat="1" ht="14.25" hidden="0" customHeight="1">
      <x:c r="A129" s="51"/>
      <x:c r="B129" s="6"/>
      <x:c r="C129" s="6"/>
      <x:c r="D129" s="6"/>
      <x:c r="E129" s="6"/>
      <x:c r="F129" s="6"/>
      <x:c r="G129" s="6"/>
      <x:c r="H129" s="6"/>
    </x:row>
    <x:row r="130" s="1" customFormat="1" ht="14.25" hidden="0" customHeight="1">
      <x:c r="A130" s="51"/>
      <x:c r="B130" s="6"/>
      <x:c r="C130" s="6"/>
      <x:c r="D130" s="6"/>
      <x:c r="E130" s="6"/>
      <x:c r="F130" s="6"/>
      <x:c r="G130" s="6"/>
      <x:c r="H130" s="6"/>
    </x:row>
    <x:row r="131" s="1" customFormat="1" ht="14.25" hidden="0" customHeight="1">
      <x:c r="A131" s="51"/>
      <x:c r="B131" s="6"/>
      <x:c r="C131" s="6"/>
      <x:c r="D131" s="6"/>
      <x:c r="E131" s="6"/>
      <x:c r="F131" s="6"/>
      <x:c r="G131" s="6"/>
      <x:c r="H131" s="6"/>
    </x:row>
    <x:row r="132" s="1" customFormat="1" ht="14.25" hidden="0" customHeight="1">
      <x:c r="A132" s="51"/>
      <x:c r="B132" s="6"/>
      <x:c r="C132" s="6"/>
      <x:c r="D132" s="6"/>
      <x:c r="E132" s="6"/>
      <x:c r="F132" s="6"/>
      <x:c r="G132" s="6"/>
      <x:c r="H132" s="6"/>
    </x:row>
    <x:row r="133" s="1" customFormat="1" ht="14.25" hidden="0" customHeight="1">
      <x:c r="A133" s="51"/>
      <x:c r="B133" s="6"/>
      <x:c r="C133" s="6"/>
      <x:c r="D133" s="6"/>
      <x:c r="E133" s="6"/>
      <x:c r="F133" s="6"/>
      <x:c r="G133" s="6"/>
      <x:c r="H133" s="6"/>
    </x:row>
    <x:row r="134" s="1" customFormat="1" ht="14.25" hidden="0" customHeight="1">
      <x:c r="A134" s="51"/>
      <x:c r="B134" s="6"/>
      <x:c r="C134" s="6"/>
      <x:c r="D134" s="6"/>
      <x:c r="E134" s="6"/>
      <x:c r="F134" s="6"/>
      <x:c r="G134" s="6"/>
      <x:c r="H134" s="6"/>
    </x:row>
    <x:row r="135" s="1" customFormat="1" ht="14.25" hidden="0" customHeight="1">
      <x:c r="A135" s="51"/>
      <x:c r="B135" s="6"/>
      <x:c r="C135" s="6"/>
      <x:c r="D135" s="6"/>
      <x:c r="E135" s="6"/>
      <x:c r="F135" s="6"/>
      <x:c r="G135" s="6"/>
      <x:c r="H135" s="6"/>
    </x:row>
    <x:row r="136" s="1" customFormat="1" ht="14.25" hidden="0" customHeight="1">
      <x:c r="A136" s="51"/>
      <x:c r="B136" s="6"/>
      <x:c r="C136" s="6"/>
      <x:c r="D136" s="6"/>
      <x:c r="E136" s="6"/>
      <x:c r="F136" s="6"/>
      <x:c r="G136" s="6"/>
      <x:c r="H136" s="6"/>
    </x:row>
    <x:row r="137" s="1" customFormat="1" ht="14.25" hidden="0" customHeight="1">
      <x:c r="A137" s="51"/>
      <x:c r="B137" s="6"/>
      <x:c r="C137" s="6"/>
      <x:c r="D137" s="6"/>
      <x:c r="E137" s="6"/>
      <x:c r="F137" s="6"/>
      <x:c r="G137" s="6"/>
      <x:c r="H137" s="6"/>
    </x:row>
    <x:row r="138" s="1" customFormat="1" ht="14.25" hidden="0" customHeight="1">
      <x:c r="A138" s="51"/>
      <x:c r="B138" s="6"/>
      <x:c r="C138" s="6"/>
      <x:c r="D138" s="6"/>
      <x:c r="E138" s="6"/>
      <x:c r="F138" s="6"/>
      <x:c r="G138" s="6"/>
      <x:c r="H138" s="6"/>
    </x:row>
    <x:row r="139" s="1" customFormat="1" ht="14.25" hidden="0" customHeight="1">
      <x:c r="A139" s="51"/>
      <x:c r="B139" s="6"/>
      <x:c r="C139" s="6"/>
      <x:c r="D139" s="6"/>
      <x:c r="E139" s="6"/>
      <x:c r="F139" s="6"/>
      <x:c r="G139" s="6"/>
      <x:c r="H139" s="6"/>
    </x:row>
    <x:row r="140" s="1" customFormat="1" ht="14.25" hidden="0" customHeight="1">
      <x:c r="A140" s="51"/>
      <x:c r="B140" s="6"/>
      <x:c r="C140" s="6"/>
      <x:c r="D140" s="6"/>
      <x:c r="E140" s="6"/>
      <x:c r="F140" s="6"/>
      <x:c r="G140" s="6"/>
      <x:c r="H140" s="6"/>
    </x:row>
    <x:row r="141" s="1" customFormat="1" ht="14.25" hidden="0" customHeight="1">
      <x:c r="A141" s="51"/>
      <x:c r="B141" s="6"/>
      <x:c r="C141" s="6"/>
      <x:c r="D141" s="6"/>
      <x:c r="E141" s="6"/>
      <x:c r="F141" s="6"/>
      <x:c r="G141" s="6"/>
      <x:c r="H141" s="6"/>
    </x:row>
    <x:row r="142" s="1" customFormat="1" ht="14.25" hidden="0" customHeight="1">
      <x:c r="A142" s="51"/>
      <x:c r="B142" s="6"/>
      <x:c r="C142" s="6"/>
      <x:c r="D142" s="6"/>
      <x:c r="E142" s="6"/>
      <x:c r="F142" s="6"/>
      <x:c r="G142" s="6"/>
      <x:c r="H142" s="6"/>
    </x:row>
    <x:row r="143" s="1" customFormat="1" ht="14.25" hidden="0" customHeight="1">
      <x:c r="A143" s="51"/>
      <x:c r="B143" s="6"/>
      <x:c r="C143" s="6"/>
      <x:c r="D143" s="6"/>
      <x:c r="E143" s="6"/>
      <x:c r="F143" s="6"/>
      <x:c r="G143" s="6"/>
      <x:c r="H143" s="6"/>
    </x:row>
    <x:row r="144" s="1" customFormat="1" ht="14.25" hidden="0" customHeight="1">
      <x:c r="A144" s="51"/>
      <x:c r="B144" s="6"/>
      <x:c r="C144" s="6"/>
      <x:c r="D144" s="6"/>
      <x:c r="E144" s="6"/>
      <x:c r="F144" s="6"/>
      <x:c r="G144" s="6"/>
      <x:c r="H144" s="6"/>
    </x:row>
    <x:row r="145" s="1" customFormat="1" ht="14.25" hidden="0" customHeight="1">
      <x:c r="A145" s="51"/>
      <x:c r="B145" s="6"/>
      <x:c r="C145" s="6"/>
      <x:c r="D145" s="6"/>
      <x:c r="E145" s="6"/>
      <x:c r="F145" s="6"/>
      <x:c r="G145" s="6"/>
      <x:c r="H145" s="6"/>
    </x:row>
    <x:row r="146" s="1" customFormat="1" ht="14.25" hidden="0" customHeight="1">
      <x:c r="A146" s="51"/>
      <x:c r="B146" s="6"/>
      <x:c r="C146" s="6"/>
      <x:c r="D146" s="6"/>
      <x:c r="E146" s="6"/>
      <x:c r="F146" s="6"/>
      <x:c r="G146" s="6"/>
      <x:c r="H146" s="6"/>
    </x:row>
    <x:row r="147" s="1" customFormat="1" ht="14.25" hidden="0" customHeight="1">
      <x:c r="A147" s="51"/>
      <x:c r="B147" s="6"/>
      <x:c r="C147" s="6"/>
      <x:c r="D147" s="6"/>
      <x:c r="E147" s="6"/>
      <x:c r="F147" s="6"/>
      <x:c r="G147" s="6"/>
      <x:c r="H147" s="6"/>
    </x:row>
    <x:row r="148" s="1" customFormat="1" ht="14.25" hidden="0" customHeight="1">
      <x:c r="A148" s="51"/>
      <x:c r="B148" s="6"/>
      <x:c r="C148" s="6"/>
      <x:c r="D148" s="6"/>
      <x:c r="E148" s="6"/>
      <x:c r="F148" s="6"/>
      <x:c r="G148" s="6"/>
      <x:c r="H148" s="6"/>
    </x:row>
    <x:row r="149" s="1" customFormat="1" ht="14.25" hidden="0" customHeight="1">
      <x:c r="A149" s="51"/>
      <x:c r="B149" s="6"/>
      <x:c r="C149" s="6"/>
      <x:c r="D149" s="6"/>
      <x:c r="E149" s="6"/>
      <x:c r="F149" s="6"/>
      <x:c r="G149" s="6"/>
      <x:c r="H149" s="6"/>
    </x:row>
    <x:row r="150" s="1" customFormat="1" ht="14.25" hidden="0" customHeight="1">
      <x:c r="A150" s="51"/>
      <x:c r="B150" s="6"/>
      <x:c r="C150" s="6"/>
      <x:c r="D150" s="6"/>
      <x:c r="E150" s="6"/>
      <x:c r="F150" s="6"/>
      <x:c r="G150" s="6"/>
      <x:c r="H150" s="6"/>
    </x:row>
    <x:row r="151" s="1" customFormat="1" ht="14.25" hidden="0" customHeight="1">
      <x:c r="A151" s="51"/>
      <x:c r="B151" s="6"/>
      <x:c r="C151" s="6"/>
      <x:c r="D151" s="6"/>
      <x:c r="E151" s="6"/>
      <x:c r="F151" s="6"/>
      <x:c r="G151" s="6"/>
      <x:c r="H151" s="6"/>
    </x:row>
    <x:row r="152" s="1" customFormat="1" ht="14.25" hidden="0" customHeight="1">
      <x:c r="A152" s="51"/>
      <x:c r="B152" s="6"/>
      <x:c r="C152" s="6"/>
      <x:c r="D152" s="6"/>
      <x:c r="E152" s="6"/>
      <x:c r="F152" s="6"/>
      <x:c r="G152" s="6"/>
      <x:c r="H152" s="6"/>
    </x:row>
    <x:row r="153" s="1" customFormat="1" ht="14.25" hidden="0" customHeight="1">
      <x:c r="A153" s="51"/>
      <x:c r="B153" s="6"/>
      <x:c r="C153" s="6"/>
      <x:c r="D153" s="6"/>
      <x:c r="E153" s="6"/>
      <x:c r="F153" s="6"/>
      <x:c r="G153" s="6"/>
      <x:c r="H153" s="6"/>
    </x:row>
    <x:row r="154" s="1" customFormat="1" ht="14.25" hidden="0" customHeight="1">
      <x:c r="A154" s="51"/>
      <x:c r="B154" s="6"/>
      <x:c r="C154" s="6"/>
      <x:c r="D154" s="6"/>
      <x:c r="E154" s="6"/>
      <x:c r="F154" s="6"/>
      <x:c r="G154" s="6"/>
      <x:c r="H154" s="6"/>
    </x:row>
    <x:row r="155" s="1" customFormat="1" ht="14.25" hidden="0" customHeight="1">
      <x:c r="A155" s="51"/>
      <x:c r="B155" s="6"/>
      <x:c r="C155" s="6"/>
      <x:c r="D155" s="6"/>
      <x:c r="E155" s="6"/>
      <x:c r="F155" s="6"/>
      <x:c r="G155" s="6"/>
      <x:c r="H155" s="6"/>
    </x:row>
    <x:row r="156" s="1" customFormat="1" ht="14.25" hidden="0" customHeight="1">
      <x:c r="A156" s="51"/>
      <x:c r="B156" s="6"/>
      <x:c r="C156" s="6"/>
      <x:c r="D156" s="6"/>
      <x:c r="E156" s="6"/>
      <x:c r="F156" s="6"/>
      <x:c r="G156" s="6"/>
      <x:c r="H156" s="6"/>
    </x:row>
    <x:row r="157" s="1" customFormat="1" ht="14.25" hidden="0" customHeight="1">
      <x:c r="A157" s="51"/>
      <x:c r="B157" s="6"/>
      <x:c r="C157" s="6"/>
      <x:c r="D157" s="6"/>
      <x:c r="E157" s="6"/>
      <x:c r="F157" s="6"/>
      <x:c r="G157" s="6"/>
      <x:c r="H157" s="6"/>
    </x:row>
    <x:row r="158" s="1" customFormat="1" ht="14.25" hidden="0" customHeight="1">
      <x:c r="A158" s="51"/>
      <x:c r="B158" s="6"/>
      <x:c r="C158" s="6"/>
      <x:c r="D158" s="6"/>
      <x:c r="E158" s="6"/>
      <x:c r="F158" s="6"/>
      <x:c r="G158" s="6"/>
      <x:c r="H158" s="6"/>
    </x:row>
    <x:row r="159" s="1" customFormat="1" ht="14.25" hidden="0" customHeight="1">
      <x:c r="A159" s="51"/>
      <x:c r="B159" s="6"/>
      <x:c r="C159" s="6"/>
      <x:c r="D159" s="6"/>
      <x:c r="E159" s="6"/>
      <x:c r="F159" s="6"/>
      <x:c r="G159" s="6"/>
      <x:c r="H159" s="6"/>
    </x:row>
    <x:row r="160" s="1" customFormat="1" ht="14.25" hidden="0" customHeight="1">
      <x:c r="A160" s="51"/>
      <x:c r="B160" s="6"/>
      <x:c r="C160" s="6"/>
      <x:c r="D160" s="6"/>
      <x:c r="E160" s="6"/>
      <x:c r="F160" s="6"/>
      <x:c r="G160" s="6"/>
      <x:c r="H160" s="6"/>
    </x:row>
    <x:row r="161" s="1" customFormat="1" ht="14.25" hidden="0" customHeight="1">
      <x:c r="A161" s="51"/>
      <x:c r="B161" s="6"/>
      <x:c r="C161" s="6"/>
      <x:c r="D161" s="6"/>
      <x:c r="E161" s="6"/>
      <x:c r="F161" s="6"/>
      <x:c r="G161" s="6"/>
      <x:c r="H161" s="6"/>
    </x:row>
    <x:row r="162" s="1" customFormat="1" ht="14.25" hidden="0" customHeight="1">
      <x:c r="A162" s="51"/>
      <x:c r="B162" s="6"/>
      <x:c r="C162" s="6"/>
      <x:c r="D162" s="6"/>
      <x:c r="E162" s="6"/>
      <x:c r="F162" s="6"/>
      <x:c r="G162" s="6"/>
      <x:c r="H162" s="6"/>
    </x:row>
    <x:row r="163" s="1" customFormat="1" ht="14.25" hidden="0" customHeight="1">
      <x:c r="A163" s="51"/>
      <x:c r="B163" s="6"/>
      <x:c r="C163" s="6"/>
      <x:c r="D163" s="6"/>
      <x:c r="E163" s="6"/>
      <x:c r="F163" s="6"/>
      <x:c r="G163" s="6"/>
      <x:c r="H163" s="6"/>
    </x:row>
    <x:row r="164" s="1" customFormat="1" ht="14.25" hidden="0" customHeight="1">
      <x:c r="A164" s="51"/>
      <x:c r="B164" s="6"/>
      <x:c r="C164" s="6"/>
      <x:c r="D164" s="6"/>
      <x:c r="E164" s="6"/>
      <x:c r="F164" s="6"/>
      <x:c r="G164" s="6"/>
      <x:c r="H164" s="6"/>
    </x:row>
    <x:row r="165" s="1" customFormat="1" ht="14.25" hidden="0" customHeight="1">
      <x:c r="A165" s="51"/>
      <x:c r="B165" s="6"/>
      <x:c r="C165" s="6"/>
      <x:c r="D165" s="6"/>
      <x:c r="E165" s="6"/>
      <x:c r="F165" s="6"/>
      <x:c r="G165" s="6"/>
      <x:c r="H165" s="6"/>
    </x:row>
    <x:row r="166" s="1" customFormat="1" ht="14.25" hidden="0" customHeight="1">
      <x:c r="A166" s="51"/>
      <x:c r="B166" s="6"/>
      <x:c r="C166" s="6"/>
      <x:c r="D166" s="6"/>
      <x:c r="E166" s="6"/>
      <x:c r="F166" s="6"/>
      <x:c r="G166" s="6"/>
      <x:c r="H166" s="6"/>
    </x:row>
    <x:row r="167" s="1" customFormat="1" ht="14.25" hidden="0" customHeight="1">
      <x:c r="A167" s="51"/>
      <x:c r="B167" s="6"/>
      <x:c r="C167" s="6"/>
      <x:c r="D167" s="6"/>
      <x:c r="E167" s="6"/>
      <x:c r="F167" s="6"/>
      <x:c r="G167" s="6"/>
      <x:c r="H167" s="6"/>
    </x:row>
    <x:row r="168" s="1" customFormat="1" ht="14.25" hidden="0" customHeight="1">
      <x:c r="A168" s="51"/>
      <x:c r="B168" s="6"/>
      <x:c r="C168" s="6"/>
      <x:c r="D168" s="6"/>
      <x:c r="E168" s="6"/>
      <x:c r="F168" s="6"/>
      <x:c r="G168" s="6"/>
      <x:c r="H168" s="6"/>
    </x:row>
    <x:row r="169" s="1" customFormat="1" ht="14.25" hidden="0" customHeight="1">
      <x:c r="A169" s="51"/>
      <x:c r="B169" s="6"/>
      <x:c r="C169" s="6"/>
      <x:c r="D169" s="6"/>
      <x:c r="E169" s="6"/>
      <x:c r="F169" s="6"/>
      <x:c r="G169" s="6"/>
      <x:c r="H169" s="6"/>
    </x:row>
    <x:row r="170" s="1" customFormat="1" ht="14.25" hidden="0" customHeight="1">
      <x:c r="A170" s="51"/>
      <x:c r="B170" s="6"/>
      <x:c r="C170" s="6"/>
      <x:c r="D170" s="6"/>
      <x:c r="E170" s="6"/>
      <x:c r="F170" s="6"/>
      <x:c r="G170" s="6"/>
      <x:c r="H170" s="6"/>
    </x:row>
    <x:row r="171" s="1" customFormat="1" ht="14.25" hidden="0" customHeight="1">
      <x:c r="A171" s="51"/>
      <x:c r="B171" s="6"/>
      <x:c r="C171" s="6"/>
      <x:c r="D171" s="6"/>
      <x:c r="E171" s="6"/>
      <x:c r="F171" s="6"/>
      <x:c r="G171" s="6"/>
      <x:c r="H171" s="6"/>
    </x:row>
    <x:row r="172" s="1" customFormat="1" ht="14.25" hidden="0" customHeight="1">
      <x:c r="A172" s="51"/>
      <x:c r="B172" s="6"/>
      <x:c r="C172" s="6"/>
      <x:c r="D172" s="6"/>
      <x:c r="E172" s="6"/>
      <x:c r="F172" s="6"/>
      <x:c r="G172" s="6"/>
      <x:c r="H172" s="6"/>
    </x:row>
    <x:row r="173" s="1" customFormat="1" ht="14.25" hidden="0" customHeight="1">
      <x:c r="A173" s="51"/>
      <x:c r="B173" s="6"/>
      <x:c r="C173" s="6"/>
      <x:c r="D173" s="6"/>
      <x:c r="E173" s="6"/>
      <x:c r="F173" s="6"/>
      <x:c r="G173" s="6"/>
      <x:c r="H173" s="6"/>
    </x:row>
    <x:row r="174" s="1" customFormat="1" ht="14.25" hidden="0" customHeight="1">
      <x:c r="A174" s="51"/>
      <x:c r="B174" s="6"/>
      <x:c r="C174" s="6"/>
      <x:c r="D174" s="6"/>
      <x:c r="E174" s="6"/>
      <x:c r="F174" s="6"/>
      <x:c r="G174" s="6"/>
      <x:c r="H174" s="6"/>
    </x:row>
    <x:row r="175" s="1" customFormat="1" ht="14.25" hidden="0" customHeight="1">
      <x:c r="A175" s="51"/>
      <x:c r="B175" s="6"/>
      <x:c r="C175" s="6"/>
      <x:c r="D175" s="6"/>
      <x:c r="E175" s="6"/>
      <x:c r="F175" s="6"/>
      <x:c r="G175" s="6"/>
      <x:c r="H175" s="6"/>
    </x:row>
    <x:row r="176" s="1" customFormat="1" ht="14.25" hidden="0" customHeight="1">
      <x:c r="A176" s="51"/>
      <x:c r="B176" s="6"/>
      <x:c r="C176" s="6"/>
      <x:c r="D176" s="6"/>
      <x:c r="E176" s="6"/>
      <x:c r="F176" s="6"/>
      <x:c r="G176" s="6"/>
      <x:c r="H176" s="6"/>
    </x:row>
    <x:row r="177" s="1" customFormat="1" ht="14.25" hidden="0" customHeight="1">
      <x:c r="A177" s="51"/>
      <x:c r="B177" s="6"/>
      <x:c r="C177" s="6"/>
      <x:c r="D177" s="6"/>
      <x:c r="E177" s="6"/>
      <x:c r="F177" s="6"/>
      <x:c r="G177" s="6"/>
      <x:c r="H177" s="6"/>
    </x:row>
    <x:row r="178" s="1" customFormat="1" ht="14.25" hidden="0" customHeight="1">
      <x:c r="A178" s="51"/>
      <x:c r="B178" s="6"/>
      <x:c r="C178" s="6"/>
      <x:c r="D178" s="6"/>
      <x:c r="E178" s="6"/>
      <x:c r="F178" s="6"/>
      <x:c r="G178" s="6"/>
      <x:c r="H178" s="6"/>
    </x:row>
    <x:row r="179" s="1" customFormat="1" ht="14.25" hidden="0" customHeight="1">
      <x:c r="A179" s="51"/>
      <x:c r="B179" s="6"/>
      <x:c r="C179" s="6"/>
      <x:c r="D179" s="6"/>
      <x:c r="E179" s="6"/>
      <x:c r="F179" s="6"/>
      <x:c r="G179" s="6"/>
      <x:c r="H179" s="6"/>
    </x:row>
    <x:row r="180" s="1" customFormat="1" ht="14.25" hidden="0" customHeight="1">
      <x:c r="A180" s="51"/>
      <x:c r="B180" s="6"/>
      <x:c r="C180" s="6"/>
      <x:c r="D180" s="6"/>
      <x:c r="E180" s="6"/>
      <x:c r="F180" s="6"/>
      <x:c r="G180" s="6"/>
      <x:c r="H180" s="6"/>
    </x:row>
    <x:row r="181" s="1" customFormat="1" ht="14.25" hidden="0" customHeight="1">
      <x:c r="A181" s="51"/>
      <x:c r="B181" s="6"/>
      <x:c r="C181" s="6"/>
      <x:c r="D181" s="6"/>
      <x:c r="E181" s="6"/>
      <x:c r="F181" s="6"/>
      <x:c r="G181" s="6"/>
      <x:c r="H181" s="6"/>
    </x:row>
    <x:row r="182" s="1" customFormat="1" ht="14.25" hidden="0" customHeight="1">
      <x:c r="A182" s="51"/>
      <x:c r="B182" s="6"/>
      <x:c r="C182" s="6"/>
      <x:c r="D182" s="6"/>
      <x:c r="E182" s="6"/>
      <x:c r="F182" s="6"/>
      <x:c r="G182" s="6"/>
      <x:c r="H182" s="6"/>
    </x:row>
    <x:row r="183" s="1" customFormat="1" ht="14.25" hidden="0" customHeight="1">
      <x:c r="A183" s="51"/>
      <x:c r="B183" s="6"/>
      <x:c r="C183" s="6"/>
      <x:c r="D183" s="6"/>
      <x:c r="E183" s="6"/>
      <x:c r="F183" s="6"/>
      <x:c r="G183" s="6"/>
      <x:c r="H183" s="6"/>
    </x:row>
    <x:row r="184" s="1" customFormat="1" ht="14.25" hidden="0" customHeight="1">
      <x:c r="A184" s="51"/>
      <x:c r="B184" s="6"/>
      <x:c r="C184" s="6"/>
      <x:c r="D184" s="6"/>
      <x:c r="E184" s="6"/>
      <x:c r="F184" s="6"/>
      <x:c r="G184" s="6"/>
      <x:c r="H184" s="6"/>
    </x:row>
    <x:row r="185" s="1" customFormat="1" ht="14.25" hidden="0" customHeight="1">
      <x:c r="A185" s="51"/>
      <x:c r="B185" s="6"/>
      <x:c r="C185" s="6"/>
      <x:c r="D185" s="6"/>
      <x:c r="E185" s="6"/>
      <x:c r="F185" s="6"/>
      <x:c r="G185" s="6"/>
      <x:c r="H185" s="6"/>
    </x:row>
    <x:row r="186" s="1" customFormat="1" ht="14.25" hidden="0" customHeight="1">
      <x:c r="A186" s="51"/>
      <x:c r="B186" s="6"/>
      <x:c r="C186" s="6"/>
      <x:c r="D186" s="6"/>
      <x:c r="E186" s="6"/>
      <x:c r="F186" s="6"/>
      <x:c r="G186" s="6"/>
      <x:c r="H186" s="6"/>
    </x:row>
    <x:row r="187" s="1" customFormat="1" ht="14.25" hidden="0" customHeight="1">
      <x:c r="A187" s="51"/>
      <x:c r="B187" s="6"/>
      <x:c r="C187" s="6"/>
      <x:c r="D187" s="6"/>
      <x:c r="E187" s="6"/>
      <x:c r="F187" s="6"/>
      <x:c r="G187" s="6"/>
      <x:c r="H187" s="6"/>
    </x:row>
    <x:row r="188" s="1" customFormat="1" ht="14.25" hidden="0" customHeight="1">
      <x:c r="A188" s="51"/>
      <x:c r="B188" s="6"/>
      <x:c r="C188" s="6"/>
      <x:c r="D188" s="6"/>
      <x:c r="E188" s="6"/>
      <x:c r="F188" s="6"/>
      <x:c r="G188" s="6"/>
      <x:c r="H188" s="6"/>
    </x:row>
    <x:row r="189" s="1" customFormat="1" ht="14.25" hidden="0" customHeight="1">
      <x:c r="A189" s="51"/>
      <x:c r="B189" s="6"/>
      <x:c r="C189" s="6"/>
      <x:c r="D189" s="6"/>
      <x:c r="E189" s="6"/>
      <x:c r="F189" s="6"/>
      <x:c r="G189" s="6"/>
      <x:c r="H189" s="6"/>
    </x:row>
    <x:row r="190" s="1" customFormat="1" ht="14.25" hidden="0" customHeight="1">
      <x:c r="A190" s="51"/>
      <x:c r="B190" s="6"/>
      <x:c r="C190" s="6"/>
      <x:c r="D190" s="6"/>
      <x:c r="E190" s="6"/>
      <x:c r="F190" s="6"/>
      <x:c r="G190" s="6"/>
      <x:c r="H190" s="6"/>
    </x:row>
    <x:row r="191" s="1" customFormat="1" ht="14.25" hidden="0" customHeight="1">
      <x:c r="A191" s="51"/>
      <x:c r="B191" s="6"/>
      <x:c r="C191" s="6"/>
      <x:c r="D191" s="6"/>
      <x:c r="E191" s="6"/>
      <x:c r="F191" s="6"/>
      <x:c r="G191" s="6"/>
      <x:c r="H191" s="6"/>
    </x:row>
    <x:row r="192" s="1" customFormat="1" ht="14.25" hidden="0" customHeight="1">
      <x:c r="A192" s="51"/>
      <x:c r="B192" s="6"/>
      <x:c r="C192" s="6"/>
      <x:c r="D192" s="6"/>
      <x:c r="E192" s="6"/>
      <x:c r="F192" s="6"/>
      <x:c r="G192" s="6"/>
      <x:c r="H192" s="6"/>
    </x:row>
    <x:row r="193" s="1" customFormat="1" ht="14.25" hidden="0" customHeight="1">
      <x:c r="A193" s="51"/>
      <x:c r="B193" s="6"/>
      <x:c r="C193" s="6"/>
      <x:c r="D193" s="6"/>
      <x:c r="E193" s="6"/>
      <x:c r="F193" s="6"/>
      <x:c r="G193" s="6"/>
      <x:c r="H193" s="6"/>
    </x:row>
    <x:row r="194" s="1" customFormat="1" ht="14.25" hidden="0" customHeight="1">
      <x:c r="A194" s="51"/>
      <x:c r="B194" s="6"/>
      <x:c r="C194" s="6"/>
      <x:c r="D194" s="6"/>
      <x:c r="E194" s="6"/>
      <x:c r="F194" s="6"/>
      <x:c r="G194" s="6"/>
      <x:c r="H194" s="6"/>
    </x:row>
    <x:row r="195" s="1" customFormat="1" ht="14.25" hidden="0" customHeight="1">
      <x:c r="A195" s="51"/>
      <x:c r="B195" s="6"/>
      <x:c r="C195" s="6"/>
      <x:c r="D195" s="6"/>
      <x:c r="E195" s="6"/>
      <x:c r="F195" s="6"/>
      <x:c r="G195" s="6"/>
      <x:c r="H195" s="6"/>
    </x:row>
    <x:row r="196" s="1" customFormat="1" ht="14.25" hidden="0" customHeight="1">
      <x:c r="A196" s="51"/>
      <x:c r="B196" s="6"/>
      <x:c r="C196" s="6"/>
      <x:c r="D196" s="6"/>
      <x:c r="E196" s="6"/>
      <x:c r="F196" s="6"/>
      <x:c r="G196" s="6"/>
      <x:c r="H196" s="6"/>
    </x:row>
    <x:row r="197" s="1" customFormat="1" ht="14.25" hidden="0" customHeight="1">
      <x:c r="A197" s="51"/>
      <x:c r="B197" s="6"/>
      <x:c r="C197" s="6"/>
      <x:c r="D197" s="6"/>
      <x:c r="E197" s="6"/>
      <x:c r="F197" s="6"/>
      <x:c r="G197" s="6"/>
      <x:c r="H197" s="6"/>
    </x:row>
    <x:row r="198" s="1" customFormat="1" ht="14.25" hidden="0" customHeight="1">
      <x:c r="A198" s="51"/>
      <x:c r="B198" s="6"/>
      <x:c r="C198" s="6"/>
      <x:c r="D198" s="6"/>
      <x:c r="E198" s="6"/>
      <x:c r="F198" s="6"/>
      <x:c r="G198" s="6"/>
      <x:c r="H198" s="6"/>
    </x:row>
    <x:row r="199" s="1" customFormat="1" ht="14.25" hidden="0" customHeight="1">
      <x:c r="A199" s="51"/>
      <x:c r="B199" s="6"/>
      <x:c r="C199" s="6"/>
      <x:c r="D199" s="6"/>
      <x:c r="E199" s="6"/>
      <x:c r="F199" s="6"/>
      <x:c r="G199" s="6"/>
      <x:c r="H199" s="6"/>
    </x:row>
    <x:row r="200" s="1" customFormat="1" ht="14.25" hidden="0" customHeight="1">
      <x:c r="A200" s="51"/>
      <x:c r="B200" s="6"/>
      <x:c r="C200" s="6"/>
      <x:c r="D200" s="6"/>
      <x:c r="E200" s="6"/>
      <x:c r="F200" s="6"/>
      <x:c r="G200" s="6"/>
      <x:c r="H200" s="6"/>
    </x:row>
  </x:sheetData>
  <x:dataValidations count="3">
    <x:dataValidation type="list" errorStyle="stop" operator="equal" allowBlank="1" showDropDown="0" showInputMessage="0" showErrorMessage="0" sqref="A5:A200">
      <x:formula1>"A,B,C,D,E"</x:formula1>
      <x:formula2>0</x:formula2>
    </x:dataValidation>
    <x:dataValidation type="list" errorStyle="stop" operator="equal" allowBlank="1" showDropDown="0" showInputMessage="0" showErrorMessage="0" sqref="B5:B200">
      <x:formula1>"U1,U2,U3,U4,U5,U6,U7"</x:formula1>
      <x:formula2>0</x:formula2>
    </x:dataValidation>
    <x:dataValidation type="list" errorStyle="stop" operator="equal" allowBlank="1" showDropDown="0" showInputMessage="0" showErrorMessage="0" sqref="C5:C200">
      <x:formula1>"D1,D2,D3,D4,D5,D6,D7"</x:formula1>
      <x:formula2>0</x:formula2>
    </x:dataValidation>
  </x:dataValidations>
  <x:pageMargins left="0.7" right="0.7" top="0.75" bottom="0.75" header="0.3" footer="0.3"/>
</x:worksheet>
</file>

<file path=xl/worksheets/sheet36.xml><?xml version="1.0" encoding="utf-8"?>
<x:worksheet xmlns:x="http://schemas.openxmlformats.org/spreadsheetml/2006/main">
  <x:sheetViews>
    <x:sheetView showGridLines="1" workbookViewId="0"/>
  </x:sheetViews>
  <x:sheetFormatPr defaultColWidth="8.66796875" defaultRowHeight="12.75"/>
  <x:cols>
    <x:col min="1" max="1" width="30" style="1" hidden="0" customWidth="1"/>
    <x:col min="2" max="2" width="28" style="1" hidden="0" customWidth="1"/>
    <x:col min="3" max="3" width="18" style="1" hidden="0" customWidth="1"/>
    <x:col min="4" max="8" width="16" style="1" hidden="0" customWidth="1"/>
  </x:cols>
  <x:sheetData>
    <x:row r="1" s="1" customFormat="1" ht="33.599998474121094" hidden="0" customHeight="1">
      <x:c r="A1" s="137" t="s">
        <x:v>2924</x:v>
      </x:c>
      <x:c r="B1" s="138"/>
      <x:c r="C1" s="138"/>
      <x:c r="D1" s="138"/>
      <x:c r="E1" s="138"/>
      <x:c r="F1" s="138"/>
      <x:c r="G1" s="138"/>
      <x:c r="H1" s="139"/>
    </x:row>
    <x:row r="2" s="1" customFormat="1" ht="72" hidden="0" customHeight="1">
      <x:c r="A2" s="12" t="s">
        <x:v>2925</x:v>
      </x:c>
      <x:c r="B2" s="12"/>
      <x:c r="C2" s="12"/>
      <x:c r="D2" s="12"/>
      <x:c r="E2" s="12"/>
      <x:c r="F2" s="12"/>
      <x:c r="G2" s="12"/>
      <x:c r="H2" s="6"/>
    </x:row>
    <x:row r="3" s="1" customFormat="1" ht="24" hidden="0" customHeight="1">
      <x:c r="A3" s="7" t="s">
        <x:v>1872</x:v>
      </x:c>
      <x:c r="B3" s="12" t="s">
        <x:v>2926</x:v>
      </x:c>
      <x:c r="C3" s="12" t="s">
        <x:v>2927</x:v>
      </x:c>
      <x:c r="D3" s="12"/>
      <x:c r="E3" s="12"/>
      <x:c r="F3" s="12"/>
      <x:c r="G3" s="12"/>
      <x:c r="H3" s="6"/>
    </x:row>
    <x:row r="4" s="1" customFormat="1" ht="36" hidden="0" customHeight="1">
      <x:c r="A4" s="7" t="s">
        <x:v>2928</x:v>
      </x:c>
      <x:c r="B4" s="12" t="s">
        <x:v>210</x:v>
      </x:c>
      <x:c r="C4" s="12" t="s">
        <x:v>2929</x:v>
      </x:c>
      <x:c r="D4" s="12" t="s">
        <x:v>2930</x:v>
      </x:c>
      <x:c r="E4" s="12"/>
      <x:c r="F4" s="12"/>
      <x:c r="G4" s="12"/>
      <x:c r="H4" s="6"/>
    </x:row>
    <x:row r="5" s="1" customFormat="1" ht="12.75" hidden="0" customHeight="1">
      <x:c r="A5" s="12"/>
      <x:c r="B5" s="12"/>
      <x:c r="C5" s="12"/>
      <x:c r="D5" s="12"/>
      <x:c r="E5" s="12"/>
      <x:c r="F5" s="12"/>
      <x:c r="G5" s="12"/>
      <x:c r="H5" s="6"/>
    </x:row>
    <x:row r="6" s="1" customFormat="1" ht="24" hidden="0" customHeight="1">
      <x:c r="A6" s="140" t="s">
        <x:v>2931</x:v>
      </x:c>
      <x:c r="B6" s="140"/>
      <x:c r="C6" s="140"/>
      <x:c r="D6" s="140"/>
      <x:c r="E6" s="140"/>
      <x:c r="F6" s="140"/>
      <x:c r="G6" s="140"/>
      <x:c r="H6" s="6"/>
    </x:row>
    <x:row r="7" s="1" customFormat="1" ht="60" hidden="0" customHeight="1">
      <x:c r="A7" s="141" t="s">
        <x:v>2932</x:v>
      </x:c>
      <x:c r="B7" s="141"/>
      <x:c r="C7" s="141"/>
      <x:c r="D7" s="141"/>
      <x:c r="E7" s="141"/>
      <x:c r="F7" s="141"/>
      <x:c r="G7" s="141"/>
      <x:c r="H7" s="6"/>
    </x:row>
    <x:row r="8" s="1" customFormat="1" ht="72" hidden="0" customHeight="1">
      <x:c r="A8" s="141" t="s">
        <x:v>2933</x:v>
      </x:c>
      <x:c r="B8" s="141"/>
      <x:c r="C8" s="141"/>
      <x:c r="D8" s="141"/>
      <x:c r="E8" s="141"/>
      <x:c r="F8" s="141"/>
      <x:c r="G8" s="141"/>
      <x:c r="H8" s="6"/>
    </x:row>
    <x:row r="9" s="1" customFormat="1" ht="48" hidden="0" customHeight="1">
      <x:c r="A9" s="141" t="s">
        <x:v>2934</x:v>
      </x:c>
      <x:c r="B9" s="141"/>
      <x:c r="C9" s="141"/>
      <x:c r="D9" s="141"/>
      <x:c r="E9" s="141"/>
      <x:c r="F9" s="141"/>
      <x:c r="G9" s="141"/>
      <x:c r="H9" s="6"/>
    </x:row>
    <x:row r="10" s="1" customFormat="1" ht="12.75" hidden="0" customHeight="1">
      <x:c r="A10" s="12"/>
      <x:c r="B10" s="12"/>
      <x:c r="C10" s="12"/>
      <x:c r="D10" s="12"/>
      <x:c r="E10" s="12"/>
      <x:c r="F10" s="12"/>
      <x:c r="G10" s="12"/>
      <x:c r="H10" s="6"/>
    </x:row>
    <x:row r="11" s="1" customFormat="1" ht="24" hidden="0" customHeight="1">
      <x:c r="A11" s="140" t="s">
        <x:v>2935</x:v>
      </x:c>
      <x:c r="B11" s="140"/>
      <x:c r="C11" s="140"/>
      <x:c r="D11" s="140"/>
      <x:c r="E11" s="140"/>
      <x:c r="F11" s="140"/>
      <x:c r="G11" s="140"/>
      <x:c r="H11" s="6"/>
    </x:row>
    <x:row r="12" s="1" customFormat="1" ht="24" hidden="0" customHeight="1">
      <x:c r="A12" s="15" t="s">
        <x:v>1061</x:v>
      </x:c>
      <x:c r="B12" s="15" t="s">
        <x:v>2936</x:v>
      </x:c>
      <x:c r="C12" s="15" t="s">
        <x:v>2937</x:v>
      </x:c>
      <x:c r="D12" s="15" t="s">
        <x:v>2938</x:v>
      </x:c>
      <x:c r="E12" s="15" t="s">
        <x:v>2939</x:v>
      </x:c>
      <x:c r="F12" s="11" t="s">
        <x:v>2940</x:v>
      </x:c>
      <x:c r="G12" s="11" t="s">
        <x:v>2941</x:v>
      </x:c>
      <x:c r="H12" s="6"/>
    </x:row>
    <x:row r="13" s="1" customFormat="1" ht="12.75" hidden="0" customHeight="1">
      <x:c r="A13" s="7" t="s">
        <x:v>2942</x:v>
      </x:c>
      <x:c r="B13" s="8" t="s">
        <x:v>2943</x:v>
      </x:c>
      <x:c r="C13" s="8" t="s">
        <x:v>2944</x:v>
      </x:c>
      <x:c r="D13" s="8" t="n">
        <x:v>1</x:v>
      </x:c>
      <x:c r="E13" s="8" t="n">
        <x:v>1</x:v>
      </x:c>
      <x:c r="F13" s="12" t="s">
        <x:v>2945</x:v>
      </x:c>
      <x:c r="G13" s="12" t="s">
        <x:v>2946</x:v>
      </x:c>
      <x:c r="H13" s="6"/>
    </x:row>
    <x:row r="14" s="1" customFormat="1" ht="12.75" hidden="0" customHeight="1">
      <x:c r="A14" s="7" t="s">
        <x:v>2947</x:v>
      </x:c>
      <x:c r="B14" s="5" t="s">
        <x:v>2948</x:v>
      </x:c>
      <x:c r="C14" s="5" t="s">
        <x:v>2944</x:v>
      </x:c>
      <x:c r="D14" s="5" t="n">
        <x:v>1</x:v>
      </x:c>
      <x:c r="E14" s="5" t="n">
        <x:v>1</x:v>
      </x:c>
      <x:c r="F14" s="12" t="s">
        <x:v>2945</x:v>
      </x:c>
      <x:c r="G14" s="12" t="s">
        <x:v>2946</x:v>
      </x:c>
      <x:c r="H14" s="6"/>
    </x:row>
    <x:row r="15" s="1" customFormat="1" ht="12.75" hidden="0" customHeight="1">
      <x:c r="A15" s="7" t="s">
        <x:v>2949</x:v>
      </x:c>
      <x:c r="B15" s="8" t="s">
        <x:v>2950</x:v>
      </x:c>
      <x:c r="C15" s="8" t="s">
        <x:v>2944</x:v>
      </x:c>
      <x:c r="D15" s="8" t="n">
        <x:v>1</x:v>
      </x:c>
      <x:c r="E15" s="8" t="n">
        <x:v>1</x:v>
      </x:c>
      <x:c r="F15" s="12" t="s">
        <x:v>2945</x:v>
      </x:c>
      <x:c r="G15" s="12" t="s">
        <x:v>2946</x:v>
      </x:c>
      <x:c r="H15" s="6"/>
    </x:row>
    <x:row r="16" s="1" customFormat="1" ht="12.75" hidden="0" customHeight="1">
      <x:c r="A16" s="7" t="s">
        <x:v>2951</x:v>
      </x:c>
      <x:c r="B16" s="5" t="s">
        <x:v>2952</x:v>
      </x:c>
      <x:c r="C16" s="5" t="s">
        <x:v>2944</x:v>
      </x:c>
      <x:c r="D16" s="5" t="n">
        <x:v>1</x:v>
      </x:c>
      <x:c r="E16" s="5" t="n">
        <x:v>1</x:v>
      </x:c>
      <x:c r="F16" s="12" t="s">
        <x:v>2945</x:v>
      </x:c>
      <x:c r="G16" s="12" t="s">
        <x:v>2946</x:v>
      </x:c>
      <x:c r="H16" s="6"/>
    </x:row>
    <x:row r="17" s="1" customFormat="1" ht="12.75" hidden="0" customHeight="1">
      <x:c r="A17" s="7" t="s">
        <x:v>2953</x:v>
      </x:c>
      <x:c r="B17" s="8" t="s">
        <x:v>2954</x:v>
      </x:c>
      <x:c r="C17" s="8" t="s">
        <x:v>2944</x:v>
      </x:c>
      <x:c r="D17" s="8" t="n">
        <x:v>1</x:v>
      </x:c>
      <x:c r="E17" s="8" t="n">
        <x:v>1</x:v>
      </x:c>
      <x:c r="F17" s="12" t="s">
        <x:v>2945</x:v>
      </x:c>
      <x:c r="G17" s="12" t="s">
        <x:v>2946</x:v>
      </x:c>
      <x:c r="H17" s="6"/>
    </x:row>
    <x:row r="18" s="1" customFormat="1" ht="12.75" hidden="0" customHeight="1">
      <x:c r="A18" s="7" t="s">
        <x:v>2955</x:v>
      </x:c>
      <x:c r="B18" s="5" t="s">
        <x:v>2956</x:v>
      </x:c>
      <x:c r="C18" s="5" t="s">
        <x:v>2944</x:v>
      </x:c>
      <x:c r="D18" s="5" t="n">
        <x:v>1</x:v>
      </x:c>
      <x:c r="E18" s="5" t="n">
        <x:v>1</x:v>
      </x:c>
      <x:c r="F18" s="12" t="s">
        <x:v>2945</x:v>
      </x:c>
      <x:c r="G18" s="12" t="s">
        <x:v>2946</x:v>
      </x:c>
      <x:c r="H18" s="6"/>
    </x:row>
    <x:row r="19" s="1" customFormat="1" ht="12.75" hidden="0" customHeight="1">
      <x:c r="A19" s="12"/>
      <x:c r="B19" s="12"/>
      <x:c r="C19" s="12"/>
      <x:c r="D19" s="12"/>
      <x:c r="E19" s="12"/>
      <x:c r="F19" s="12"/>
      <x:c r="G19" s="12"/>
      <x:c r="H19" s="6"/>
    </x:row>
    <x:row r="20" s="1" customFormat="1" ht="24" hidden="0" customHeight="1">
      <x:c r="A20" s="11" t="s">
        <x:v>2957</x:v>
      </x:c>
      <x:c r="B20" s="11"/>
      <x:c r="C20" s="11"/>
      <x:c r="D20" s="11"/>
      <x:c r="E20" s="11"/>
      <x:c r="F20" s="11"/>
      <x:c r="G20" s="11"/>
      <x:c r="H20" s="6"/>
    </x:row>
    <x:row r="21" s="1" customFormat="1" ht="84" hidden="0" customHeight="1">
      <x:c r="A21" s="141" t="s">
        <x:v>2958</x:v>
      </x:c>
      <x:c r="B21" s="141"/>
      <x:c r="C21" s="141"/>
      <x:c r="D21" s="141"/>
      <x:c r="E21" s="141"/>
      <x:c r="F21" s="141"/>
      <x:c r="G21" s="141"/>
      <x:c r="H21" s="6"/>
    </x:row>
    <x:row r="22" s="1" customFormat="1" ht="84" hidden="0" customHeight="1">
      <x:c r="A22" s="141" t="s">
        <x:v>2959</x:v>
      </x:c>
      <x:c r="B22" s="141"/>
      <x:c r="C22" s="141"/>
      <x:c r="D22" s="141"/>
      <x:c r="E22" s="141"/>
      <x:c r="F22" s="141"/>
      <x:c r="G22" s="141"/>
      <x:c r="H22" s="6"/>
    </x:row>
    <x:row r="23" s="1" customFormat="1" ht="60" hidden="0" customHeight="1">
      <x:c r="A23" s="141" t="s">
        <x:v>2960</x:v>
      </x:c>
      <x:c r="B23" s="141"/>
      <x:c r="C23" s="141"/>
      <x:c r="D23" s="141"/>
      <x:c r="E23" s="141"/>
      <x:c r="F23" s="141"/>
      <x:c r="G23" s="141"/>
      <x:c r="H23" s="6"/>
    </x:row>
    <x:row r="24" ht="12.75" hidden="0" customHeight="1">
      <x:c r="A24" s="12"/>
      <x:c r="B24" s="12"/>
      <x:c r="C24" s="12"/>
      <x:c r="D24" s="12"/>
      <x:c r="E24" s="12"/>
      <x:c r="F24" s="12"/>
      <x:c r="G24" s="12"/>
    </x:row>
    <x:row r="25" ht="12.75" hidden="0" customHeight="1">
      <x:c r="A25" s="11" t="s">
        <x:v>2961</x:v>
      </x:c>
      <x:c r="B25" s="11"/>
      <x:c r="C25" s="11"/>
      <x:c r="D25" s="11"/>
      <x:c r="E25" s="11"/>
      <x:c r="F25" s="11"/>
      <x:c r="G25" s="11"/>
    </x:row>
    <x:row r="26" ht="84" hidden="0" customHeight="1">
      <x:c r="A26" s="12" t="s">
        <x:v>2962</x:v>
      </x:c>
      <x:c r="B26" s="12"/>
      <x:c r="C26" s="12"/>
      <x:c r="D26" s="12"/>
      <x:c r="E26" s="12"/>
      <x:c r="F26" s="12"/>
      <x:c r="G26" s="12"/>
    </x:row>
  </x:sheetData>
  <x:mergeCells>
    <x:mergeCell ref="A2:G2"/>
    <x:mergeCell ref="A6:G6"/>
    <x:mergeCell ref="A7:G7"/>
    <x:mergeCell ref="A8:G8"/>
    <x:mergeCell ref="A9:G9"/>
    <x:mergeCell ref="A11:G11"/>
    <x:mergeCell ref="A20:G20"/>
    <x:mergeCell ref="A21:G21"/>
    <x:mergeCell ref="A22:G22"/>
    <x:mergeCell ref="A23:G23"/>
    <x:mergeCell ref="A25:G25"/>
    <x:mergeCell ref="A26:G26"/>
  </x:mergeCells>
  <x:pageMargins left="0.7" right="0.7" top="0.75" bottom="0.75" header="0.3" footer="0.3"/>
</x:worksheet>
</file>

<file path=xl/worksheets/sheet37.xml><?xml version="1.0" encoding="utf-8"?>
<x:worksheet xmlns:x="http://schemas.openxmlformats.org/spreadsheetml/2006/main">
  <x:sheetViews>
    <x:sheetView showGridLines="1" workbookViewId="0"/>
  </x:sheetViews>
  <x:sheetFormatPr defaultColWidth="8.66796875" defaultRowHeight="12.75"/>
  <x:cols>
    <x:col min="1" max="1" width="38" style="1" hidden="0" customWidth="1"/>
    <x:col min="2" max="2" width="92" style="1" hidden="0" customWidth="1"/>
    <x:col min="3" max="10" width="16" style="1" hidden="0" customWidth="1"/>
  </x:cols>
  <x:sheetData>
    <x:row r="1" s="1" customFormat="1" ht="33.599998474121094" hidden="0" customHeight="1">
      <x:c r="A1" s="137" t="s">
        <x:v>2963</x:v>
      </x:c>
      <x:c r="B1" s="138"/>
      <x:c r="C1" s="142"/>
      <x:c r="D1" s="142"/>
      <x:c r="E1" s="142"/>
      <x:c r="F1" s="142"/>
      <x:c r="G1" s="142"/>
      <x:c r="H1" s="142"/>
      <x:c r="I1" s="142"/>
      <x:c r="J1" s="139"/>
    </x:row>
    <x:row r="2" s="1" customFormat="1" ht="12.75" hidden="0" customHeight="1">
      <x:c r="A2" s="12" t="s">
        <x:v>1872</x:v>
      </x:c>
      <x:c r="B2" s="12" t="s">
        <x:v>2964</x:v>
      </x:c>
      <x:c r="C2" s="6"/>
      <x:c r="D2" s="6"/>
      <x:c r="E2" s="6"/>
      <x:c r="F2" s="6"/>
      <x:c r="G2" s="6"/>
      <x:c r="H2" s="6"/>
      <x:c r="I2" s="6"/>
      <x:c r="J2" s="6"/>
    </x:row>
    <x:row r="3" s="1" customFormat="1" ht="12.75" hidden="0" customHeight="1">
      <x:c r="A3" s="7"/>
      <x:c r="B3" s="12"/>
      <x:c r="C3" s="6"/>
      <x:c r="D3" s="6"/>
      <x:c r="E3" s="6"/>
      <x:c r="F3" s="6"/>
      <x:c r="G3" s="6"/>
      <x:c r="H3" s="6"/>
      <x:c r="I3" s="6"/>
      <x:c r="J3" s="6"/>
    </x:row>
    <x:row r="4" s="1" customFormat="1" ht="12.75" hidden="0" customHeight="1">
      <x:c r="A4" s="15" t="s">
        <x:v>2965</x:v>
      </x:c>
      <x:c r="B4" s="11" t="s">
        <x:v>2966</x:v>
      </x:c>
      <x:c r="C4" s="6"/>
      <x:c r="D4" s="6"/>
      <x:c r="E4" s="6"/>
      <x:c r="F4" s="6"/>
      <x:c r="G4" s="6"/>
      <x:c r="H4" s="6"/>
      <x:c r="I4" s="6"/>
      <x:c r="J4" s="6"/>
    </x:row>
    <x:row r="5" s="1" customFormat="1" ht="12.75" hidden="0" customHeight="1">
      <x:c r="A5" s="12" t="s">
        <x:v>2967</x:v>
      </x:c>
      <x:c r="B5" s="12" t="s">
        <x:v>2968</x:v>
      </x:c>
      <x:c r="C5" s="6"/>
      <x:c r="D5" s="6"/>
      <x:c r="E5" s="6"/>
      <x:c r="F5" s="6"/>
      <x:c r="G5" s="6"/>
      <x:c r="H5" s="6"/>
      <x:c r="I5" s="6"/>
      <x:c r="J5" s="6"/>
    </x:row>
    <x:row r="6" s="1" customFormat="1" ht="12.75" hidden="0" customHeight="1">
      <x:c r="A6" s="7" t="s">
        <x:v>2969</x:v>
      </x:c>
      <x:c r="B6" s="12" t="s">
        <x:v>2970</x:v>
      </x:c>
      <x:c r="C6" s="6"/>
      <x:c r="D6" s="6"/>
      <x:c r="E6" s="6"/>
      <x:c r="F6" s="6"/>
      <x:c r="G6" s="6"/>
      <x:c r="H6" s="6"/>
      <x:c r="I6" s="6"/>
      <x:c r="J6" s="6"/>
    </x:row>
    <x:row r="7" s="1" customFormat="1" ht="12.75" hidden="0" customHeight="1">
      <x:c r="A7" s="7" t="s">
        <x:v>2971</x:v>
      </x:c>
      <x:c r="B7" s="12" t="s">
        <x:v>2972</x:v>
      </x:c>
      <x:c r="C7" s="6"/>
      <x:c r="D7" s="6"/>
      <x:c r="E7" s="6"/>
      <x:c r="F7" s="6"/>
      <x:c r="G7" s="6"/>
      <x:c r="H7" s="6"/>
      <x:c r="I7" s="6"/>
      <x:c r="J7" s="6"/>
    </x:row>
    <x:row r="8" s="1" customFormat="1" ht="12.75" hidden="0" customHeight="1">
      <x:c r="A8" s="7" t="s">
        <x:v>2973</x:v>
      </x:c>
      <x:c r="B8" s="12" t="s">
        <x:v>2974</x:v>
      </x:c>
      <x:c r="C8" s="6"/>
      <x:c r="D8" s="6"/>
      <x:c r="E8" s="6"/>
      <x:c r="F8" s="6"/>
      <x:c r="G8" s="6"/>
      <x:c r="H8" s="6"/>
      <x:c r="I8" s="6"/>
      <x:c r="J8" s="6"/>
    </x:row>
    <x:row r="9" s="1" customFormat="1" ht="24" hidden="0" customHeight="1">
      <x:c r="A9" s="7" t="s">
        <x:v>2975</x:v>
      </x:c>
      <x:c r="B9" s="12" t="s">
        <x:v>2976</x:v>
      </x:c>
      <x:c r="C9" s="6"/>
      <x:c r="D9" s="6"/>
      <x:c r="E9" s="6"/>
      <x:c r="F9" s="6"/>
      <x:c r="G9" s="6"/>
      <x:c r="H9" s="6"/>
      <x:c r="I9" s="6"/>
      <x:c r="J9" s="6"/>
    </x:row>
    <x:row r="10" s="1" customFormat="1" ht="24" hidden="0" customHeight="1">
      <x:c r="A10" s="7" t="s">
        <x:v>2977</x:v>
      </x:c>
      <x:c r="B10" s="12" t="s">
        <x:v>2978</x:v>
      </x:c>
      <x:c r="C10" s="6"/>
      <x:c r="D10" s="6"/>
      <x:c r="E10" s="6"/>
      <x:c r="F10" s="6"/>
      <x:c r="G10" s="6"/>
      <x:c r="H10" s="6"/>
      <x:c r="I10" s="6"/>
      <x:c r="J10" s="6"/>
    </x:row>
    <x:row r="11" s="1" customFormat="1" ht="12.75" hidden="0" customHeight="1">
      <x:c r="A11" s="7"/>
      <x:c r="B11" s="12"/>
      <x:c r="C11" s="6"/>
      <x:c r="D11" s="6"/>
      <x:c r="E11" s="6"/>
      <x:c r="F11" s="6"/>
      <x:c r="G11" s="6"/>
      <x:c r="H11" s="6"/>
      <x:c r="I11" s="6"/>
      <x:c r="J11" s="6"/>
    </x:row>
    <x:row r="12" s="1" customFormat="1" ht="12.75" hidden="0" customHeight="1">
      <x:c r="A12" s="15" t="s">
        <x:v>2979</x:v>
      </x:c>
      <x:c r="B12" s="11" t="s">
        <x:v>349</x:v>
      </x:c>
      <x:c r="C12" s="6"/>
      <x:c r="D12" s="6"/>
      <x:c r="E12" s="6"/>
      <x:c r="F12" s="6"/>
      <x:c r="G12" s="6"/>
      <x:c r="H12" s="6"/>
      <x:c r="I12" s="6"/>
      <x:c r="J12" s="6"/>
    </x:row>
    <x:row r="13" s="1" customFormat="1" ht="12.75" hidden="0" customHeight="1">
      <x:c r="A13" s="7" t="s">
        <x:v>2980</x:v>
      </x:c>
      <x:c r="B13" s="12" t="s">
        <x:v>2981</x:v>
      </x:c>
      <x:c r="C13" s="6"/>
      <x:c r="D13" s="6"/>
      <x:c r="E13" s="6"/>
      <x:c r="F13" s="6"/>
      <x:c r="G13" s="6"/>
      <x:c r="H13" s="6"/>
      <x:c r="I13" s="6"/>
      <x:c r="J13" s="6"/>
    </x:row>
    <x:row r="14" s="1" customFormat="1" ht="12.75" hidden="0" customHeight="1">
      <x:c r="A14" s="12" t="s">
        <x:v>2982</x:v>
      </x:c>
      <x:c r="B14" s="12" t="s">
        <x:v>2983</x:v>
      </x:c>
      <x:c r="C14" s="6"/>
      <x:c r="D14" s="6"/>
      <x:c r="E14" s="6"/>
      <x:c r="F14" s="6"/>
      <x:c r="G14" s="6"/>
      <x:c r="H14" s="6"/>
      <x:c r="I14" s="6"/>
      <x:c r="J14" s="6"/>
    </x:row>
    <x:row r="15" s="1" customFormat="1" ht="24" hidden="0" customHeight="1">
      <x:c r="A15" s="7" t="s">
        <x:v>2984</x:v>
      </x:c>
      <x:c r="B15" s="12" t="s">
        <x:v>2983</x:v>
      </x:c>
      <x:c r="C15" s="6"/>
      <x:c r="D15" s="6"/>
      <x:c r="E15" s="6"/>
      <x:c r="F15" s="6"/>
      <x:c r="G15" s="6"/>
      <x:c r="H15" s="6"/>
      <x:c r="I15" s="6"/>
      <x:c r="J15" s="6"/>
    </x:row>
    <x:row r="16" s="1" customFormat="1" ht="12.75" hidden="0" customHeight="1">
      <x:c r="A16" s="7" t="s">
        <x:v>2985</x:v>
      </x:c>
      <x:c r="B16" s="5" t="s">
        <x:v>2983</x:v>
      </x:c>
      <x:c r="C16" s="6"/>
      <x:c r="D16" s="6"/>
      <x:c r="E16" s="6"/>
      <x:c r="F16" s="6"/>
      <x:c r="G16" s="6"/>
      <x:c r="H16" s="6"/>
      <x:c r="I16" s="6"/>
      <x:c r="J16" s="6"/>
    </x:row>
    <x:row r="17" s="1" customFormat="1" ht="12.75" hidden="0" customHeight="1">
      <x:c r="A17" s="7" t="s">
        <x:v>2986</x:v>
      </x:c>
      <x:c r="B17" s="45" t="s">
        <x:v>2981</x:v>
      </x:c>
      <x:c r="C17" s="6"/>
      <x:c r="D17" s="6"/>
      <x:c r="E17" s="6"/>
      <x:c r="F17" s="6"/>
      <x:c r="G17" s="6"/>
      <x:c r="H17" s="6"/>
      <x:c r="I17" s="6"/>
      <x:c r="J17" s="6"/>
    </x:row>
    <x:row r="18" s="1" customFormat="1" ht="12.75" hidden="0" customHeight="1">
      <x:c r="A18" s="7" t="s">
        <x:v>2987</x:v>
      </x:c>
      <x:c r="B18" s="5" t="s">
        <x:v>2988</x:v>
      </x:c>
      <x:c r="C18" s="6"/>
      <x:c r="D18" s="6"/>
      <x:c r="E18" s="6"/>
      <x:c r="F18" s="6"/>
      <x:c r="G18" s="6"/>
      <x:c r="H18" s="6"/>
      <x:c r="I18" s="6"/>
      <x:c r="J18" s="6"/>
    </x:row>
    <x:row r="19" s="1" customFormat="1" ht="12.75" hidden="0" customHeight="1">
      <x:c r="A19" s="7"/>
      <x:c r="B19" s="45"/>
      <x:c r="C19" s="6"/>
      <x:c r="D19" s="6"/>
      <x:c r="E19" s="6"/>
      <x:c r="F19" s="6"/>
      <x:c r="G19" s="6"/>
      <x:c r="H19" s="6"/>
      <x:c r="I19" s="6"/>
      <x:c r="J19" s="6"/>
    </x:row>
    <x:row r="20" s="1" customFormat="1" ht="12.75" hidden="0" customHeight="1">
      <x:c r="A20" s="15" t="s">
        <x:v>2989</x:v>
      </x:c>
      <x:c r="B20" s="15" t="s">
        <x:v>435</x:v>
      </x:c>
      <x:c r="C20" s="6"/>
      <x:c r="D20" s="6"/>
      <x:c r="E20" s="6"/>
      <x:c r="F20" s="6"/>
      <x:c r="G20" s="6"/>
      <x:c r="H20" s="6"/>
      <x:c r="I20" s="6"/>
      <x:c r="J20" s="6"/>
    </x:row>
    <x:row r="21" s="1" customFormat="1" ht="24" hidden="0" customHeight="1">
      <x:c r="A21" s="7" t="s">
        <x:v>2990</x:v>
      </x:c>
      <x:c r="B21" s="45" t="s">
        <x:v>2991</x:v>
      </x:c>
      <x:c r="C21" s="6"/>
      <x:c r="D21" s="6"/>
      <x:c r="E21" s="6"/>
      <x:c r="F21" s="6"/>
      <x:c r="G21" s="6"/>
      <x:c r="H21" s="6"/>
      <x:c r="I21" s="6"/>
      <x:c r="J21" s="6"/>
    </x:row>
    <x:row r="22" s="1" customFormat="1" ht="12.75" hidden="0" customHeight="1">
      <x:c r="A22" s="7" t="s">
        <x:v>2992</x:v>
      </x:c>
      <x:c r="B22" s="5" t="s">
        <x:v>2993</x:v>
      </x:c>
      <x:c r="C22" s="6"/>
      <x:c r="D22" s="6"/>
      <x:c r="E22" s="6"/>
      <x:c r="F22" s="6"/>
      <x:c r="G22" s="6"/>
      <x:c r="H22" s="6"/>
      <x:c r="I22" s="6"/>
      <x:c r="J22" s="6"/>
    </x:row>
    <x:row r="23" s="1" customFormat="1" ht="24" hidden="0" customHeight="1">
      <x:c r="A23" s="7" t="s">
        <x:v>2994</x:v>
      </x:c>
      <x:c r="B23" s="12" t="s">
        <x:v>2995</x:v>
      </x:c>
      <x:c r="C23" s="6"/>
      <x:c r="D23" s="6"/>
      <x:c r="E23" s="6"/>
      <x:c r="F23" s="6"/>
      <x:c r="G23" s="6"/>
      <x:c r="H23" s="6"/>
      <x:c r="I23" s="6"/>
      <x:c r="J23" s="6"/>
    </x:row>
    <x:row r="24" s="1" customFormat="1" ht="24" hidden="0" customHeight="1">
      <x:c r="A24" s="7" t="s">
        <x:v>2996</x:v>
      </x:c>
      <x:c r="B24" s="12" t="s">
        <x:v>2997</x:v>
      </x:c>
      <x:c r="C24" s="6"/>
      <x:c r="D24" s="6"/>
      <x:c r="E24" s="6"/>
      <x:c r="F24" s="6"/>
      <x:c r="G24" s="6"/>
      <x:c r="H24" s="6"/>
      <x:c r="I24" s="6"/>
      <x:c r="J24" s="6"/>
    </x:row>
    <x:row r="25" s="1" customFormat="1" ht="12.75" hidden="0" customHeight="1">
      <x:c r="A25" s="7"/>
      <x:c r="B25" s="12"/>
      <x:c r="C25" s="6"/>
      <x:c r="D25" s="6"/>
      <x:c r="E25" s="6"/>
      <x:c r="F25" s="6"/>
      <x:c r="G25" s="6"/>
      <x:c r="H25" s="6"/>
      <x:c r="I25" s="6"/>
      <x:c r="J25" s="6"/>
    </x:row>
    <x:row r="26" s="1" customFormat="1" ht="24" hidden="0" customHeight="1">
      <x:c r="A26" s="15" t="s">
        <x:v>2998</x:v>
      </x:c>
      <x:c r="B26" s="11" t="s">
        <x:v>2999</x:v>
      </x:c>
      <x:c r="C26" s="6"/>
      <x:c r="D26" s="6"/>
      <x:c r="E26" s="6"/>
      <x:c r="F26" s="6"/>
      <x:c r="G26" s="6"/>
      <x:c r="H26" s="6"/>
      <x:c r="I26" s="6"/>
      <x:c r="J26" s="6"/>
    </x:row>
    <x:row r="27" s="1" customFormat="1" ht="12.75" hidden="0" customHeight="1">
      <x:c r="A27" s="12"/>
      <x:c r="B27" s="12"/>
      <x:c r="C27" s="6"/>
      <x:c r="D27" s="6"/>
      <x:c r="E27" s="6"/>
      <x:c r="F27" s="6"/>
      <x:c r="G27" s="6"/>
      <x:c r="H27" s="6"/>
      <x:c r="I27" s="6"/>
      <x:c r="J27" s="6"/>
    </x:row>
    <x:row r="28" s="1" customFormat="1" ht="12.75" hidden="0" customHeight="1">
      <x:c r="A28" s="140" t="s">
        <x:v>3000</x:v>
      </x:c>
      <x:c r="B28" s="140"/>
      <x:c r="C28" s="6"/>
      <x:c r="D28" s="6"/>
      <x:c r="E28" s="6"/>
      <x:c r="F28" s="6"/>
      <x:c r="G28" s="6"/>
      <x:c r="H28" s="6"/>
      <x:c r="I28" s="6"/>
      <x:c r="J28" s="6"/>
    </x:row>
    <x:row r="29" s="1" customFormat="1" ht="12.75" hidden="0" customHeight="1">
      <x:c r="A29" s="141" t="s">
        <x:v>3001</x:v>
      </x:c>
      <x:c r="B29" s="141"/>
      <x:c r="C29" s="6"/>
      <x:c r="D29" s="6"/>
      <x:c r="E29" s="6"/>
      <x:c r="F29" s="6"/>
      <x:c r="G29" s="6"/>
      <x:c r="H29" s="6"/>
      <x:c r="I29" s="6"/>
      <x:c r="J29" s="6"/>
    </x:row>
    <x:row r="30" s="1" customFormat="1" ht="24" hidden="0" customHeight="1">
      <x:c r="A30" s="141" t="s">
        <x:v>3002</x:v>
      </x:c>
      <x:c r="B30" s="141"/>
      <x:c r="C30" s="6"/>
      <x:c r="D30" s="6"/>
      <x:c r="E30" s="6"/>
      <x:c r="F30" s="6"/>
      <x:c r="G30" s="6"/>
      <x:c r="H30" s="6"/>
      <x:c r="I30" s="6"/>
      <x:c r="J30" s="6"/>
    </x:row>
    <x:row r="31" s="1" customFormat="1" ht="36" hidden="0" customHeight="1">
      <x:c r="A31" s="141" t="s">
        <x:v>3003</x:v>
      </x:c>
      <x:c r="B31" s="141"/>
      <x:c r="C31" s="6"/>
      <x:c r="D31" s="6"/>
      <x:c r="E31" s="6"/>
      <x:c r="F31" s="6"/>
      <x:c r="G31" s="6"/>
      <x:c r="H31" s="6"/>
      <x:c r="I31" s="6"/>
      <x:c r="J31" s="6"/>
    </x:row>
    <x:row r="32" s="1" customFormat="1" ht="24" hidden="0" customHeight="1">
      <x:c r="A32" s="141" t="s">
        <x:v>3004</x:v>
      </x:c>
      <x:c r="B32" s="141"/>
      <x:c r="C32" s="6"/>
      <x:c r="D32" s="6"/>
      <x:c r="E32" s="6"/>
      <x:c r="F32" s="6"/>
      <x:c r="G32" s="6"/>
      <x:c r="H32" s="6"/>
      <x:c r="I32" s="6"/>
      <x:c r="J32" s="6"/>
    </x:row>
    <x:row r="33" s="1" customFormat="1" ht="24" hidden="0" customHeight="1">
      <x:c r="A33" s="12" t="s">
        <x:v>3005</x:v>
      </x:c>
      <x:c r="B33" s="12"/>
      <x:c r="C33" s="6"/>
      <x:c r="D33" s="6"/>
      <x:c r="E33" s="6"/>
      <x:c r="F33" s="6"/>
      <x:c r="G33" s="6"/>
      <x:c r="H33" s="6"/>
      <x:c r="I33" s="6"/>
      <x:c r="J33" s="6"/>
    </x:row>
    <x:row r="34" s="1" customFormat="1" ht="24" hidden="0" customHeight="1">
      <x:c r="A34" s="141" t="s">
        <x:v>3006</x:v>
      </x:c>
      <x:c r="B34" s="141"/>
      <x:c r="C34" s="6"/>
      <x:c r="D34" s="6"/>
      <x:c r="E34" s="6"/>
      <x:c r="F34" s="6"/>
      <x:c r="G34" s="6"/>
      <x:c r="H34" s="6"/>
      <x:c r="I34" s="6"/>
      <x:c r="J34" s="6"/>
    </x:row>
  </x:sheetData>
  <x:mergeCells>
    <x:mergeCell ref="A28:B28"/>
    <x:mergeCell ref="A29:B29"/>
    <x:mergeCell ref="A30:B30"/>
    <x:mergeCell ref="A31:B31"/>
    <x:mergeCell ref="A32:B32"/>
    <x:mergeCell ref="A33:B33"/>
    <x:mergeCell ref="A34:B34"/>
  </x:mergeCells>
  <x:pageMargins left="0.7" right="0.7" top="0.75" bottom="0.75" header="0.3" footer="0.3"/>
</x:worksheet>
</file>

<file path=xl/worksheets/sheet38.xml><?xml version="1.0" encoding="utf-8"?>
<x:worksheet xmlns:x="http://schemas.openxmlformats.org/spreadsheetml/2006/main">
  <x:sheetViews>
    <x:sheetView showGridLines="1" workbookViewId="0"/>
  </x:sheetViews>
  <x:sheetFormatPr defaultColWidth="8.66796875" defaultRowHeight="12.75"/>
  <x:cols>
    <x:col min="1" max="1" width="46" style="1" hidden="0" customWidth="1"/>
    <x:col min="2" max="2" width="28" style="1" hidden="0" customWidth="1"/>
    <x:col min="3" max="3" width="58" style="1" hidden="0" customWidth="1"/>
    <x:col min="4" max="10" width="16" style="1" hidden="0" customWidth="1"/>
  </x:cols>
  <x:sheetData>
    <x:row r="1" s="1" customFormat="1" ht="24" hidden="0" customHeight="1">
      <x:c r="A1" s="2" t="s">
        <x:v>3007</x:v>
      </x:c>
      <x:c r="B1" s="2"/>
      <x:c r="C1" s="2"/>
      <x:c r="D1" s="2"/>
      <x:c r="E1" s="2"/>
      <x:c r="F1" s="2"/>
      <x:c r="G1" s="2"/>
      <x:c r="H1" s="2"/>
      <x:c r="I1" s="2"/>
      <x:c r="J1" s="2"/>
    </x:row>
    <x:row r="2" s="1" customFormat="1" ht="13.5" hidden="0" customHeight="1">
      <x:c r="A2" s="6"/>
      <x:c r="B2" s="6"/>
      <x:c r="C2" s="6"/>
      <x:c r="D2" s="6"/>
      <x:c r="E2" s="6"/>
      <x:c r="F2" s="6"/>
      <x:c r="G2" s="6"/>
      <x:c r="H2" s="6"/>
      <x:c r="I2" s="6"/>
      <x:c r="J2" s="6"/>
    </x:row>
    <x:row r="3" s="1" customFormat="1" ht="18" hidden="0" customHeight="1">
      <x:c r="A3" s="7" t="s">
        <x:v>3008</x:v>
      </x:c>
      <x:c r="B3" s="143"/>
      <x:c r="C3" s="143"/>
      <x:c r="D3" s="6"/>
      <x:c r="E3" s="6"/>
      <x:c r="F3" s="6"/>
      <x:c r="G3" s="6"/>
      <x:c r="H3" s="6"/>
      <x:c r="I3" s="6"/>
      <x:c r="J3" s="6"/>
    </x:row>
    <x:row r="4" s="1" customFormat="1" ht="14.25" hidden="0" customHeight="1">
      <x:c r="A4" s="7" t="s">
        <x:v>3009</x:v>
      </x:c>
      <x:c r="B4" s="6"/>
      <x:c r="C4" s="6"/>
      <x:c r="D4" s="6"/>
      <x:c r="E4" s="6"/>
      <x:c r="F4" s="6"/>
      <x:c r="G4" s="6"/>
      <x:c r="H4" s="6"/>
      <x:c r="I4" s="6"/>
      <x:c r="J4" s="6"/>
    </x:row>
    <x:row r="5" s="1" customFormat="1" ht="18" hidden="0" customHeight="1">
      <x:c r="A5" s="7" t="s">
        <x:v>3010</x:v>
      </x:c>
      <x:c r="B5" s="144"/>
      <x:c r="C5" s="144"/>
      <x:c r="D5" s="6"/>
      <x:c r="E5" s="6"/>
      <x:c r="F5" s="6"/>
      <x:c r="G5" s="6"/>
      <x:c r="H5" s="6"/>
      <x:c r="I5" s="6"/>
      <x:c r="J5" s="6"/>
    </x:row>
    <x:row r="6" s="1" customFormat="1" ht="14.25" hidden="0" customHeight="1">
      <x:c r="A6" s="7" t="s">
        <x:v>3011</x:v>
      </x:c>
      <x:c r="B6" s="6"/>
      <x:c r="C6" s="6"/>
      <x:c r="D6" s="6"/>
      <x:c r="E6" s="6"/>
      <x:c r="F6" s="6"/>
      <x:c r="G6" s="6"/>
      <x:c r="H6" s="6"/>
      <x:c r="I6" s="6"/>
      <x:c r="J6" s="6"/>
    </x:row>
    <x:row r="7" s="1" customFormat="1" ht="14.25" hidden="0" customHeight="1">
      <x:c r="A7" s="7" t="s">
        <x:v>3012</x:v>
      </x:c>
      <x:c r="B7" s="6"/>
      <x:c r="C7" s="6"/>
      <x:c r="D7" s="6"/>
      <x:c r="E7" s="6"/>
      <x:c r="F7" s="6"/>
      <x:c r="G7" s="6"/>
      <x:c r="H7" s="6"/>
      <x:c r="I7" s="6"/>
      <x:c r="J7" s="6"/>
    </x:row>
    <x:row r="8" s="1" customFormat="1" ht="14.25" hidden="0" customHeight="1">
      <x:c r="A8" s="7" t="s">
        <x:v>3013</x:v>
      </x:c>
      <x:c r="B8" s="6"/>
      <x:c r="C8" s="6"/>
      <x:c r="D8" s="6"/>
      <x:c r="E8" s="6"/>
      <x:c r="F8" s="6"/>
      <x:c r="G8" s="6"/>
      <x:c r="H8" s="6"/>
      <x:c r="I8" s="6"/>
      <x:c r="J8" s="6"/>
    </x:row>
    <x:row r="9" s="1" customFormat="1" ht="14.25" hidden="0" customHeight="1">
      <x:c r="A9" s="7" t="s">
        <x:v>3014</x:v>
      </x:c>
      <x:c r="B9" s="6"/>
      <x:c r="C9" s="6"/>
      <x:c r="D9" s="6"/>
      <x:c r="E9" s="6"/>
      <x:c r="F9" s="6"/>
      <x:c r="G9" s="6"/>
      <x:c r="H9" s="6"/>
      <x:c r="I9" s="6"/>
      <x:c r="J9" s="6"/>
    </x:row>
    <x:row r="10" s="1" customFormat="1" ht="14.25" hidden="0" customHeight="1">
      <x:c r="A10" s="7" t="s">
        <x:v>3015</x:v>
      </x:c>
      <x:c r="B10" s="6"/>
      <x:c r="C10" s="6"/>
      <x:c r="D10" s="6"/>
      <x:c r="E10" s="6"/>
      <x:c r="F10" s="6"/>
      <x:c r="G10" s="6"/>
      <x:c r="H10" s="6"/>
      <x:c r="I10" s="6"/>
      <x:c r="J10" s="6"/>
    </x:row>
    <x:row r="11" s="1" customFormat="1" ht="14.25" hidden="0" customHeight="1">
      <x:c r="A11" s="7" t="s">
        <x:v>3016</x:v>
      </x:c>
      <x:c r="B11" s="6"/>
      <x:c r="C11" s="6"/>
      <x:c r="D11" s="6"/>
      <x:c r="E11" s="6"/>
      <x:c r="F11" s="6"/>
      <x:c r="G11" s="6"/>
      <x:c r="H11" s="6"/>
      <x:c r="I11" s="6"/>
      <x:c r="J11" s="6"/>
    </x:row>
    <x:row r="12" s="1" customFormat="1" ht="13.5" hidden="0" customHeight="1">
      <x:c r="A12" s="7" t="s">
        <x:v>3017</x:v>
      </x:c>
      <x:c r="B12" s="6"/>
      <x:c r="C12" s="6"/>
      <x:c r="D12" s="6"/>
      <x:c r="E12" s="6"/>
      <x:c r="F12" s="6"/>
      <x:c r="G12" s="6"/>
      <x:c r="H12" s="6"/>
      <x:c r="I12" s="6"/>
      <x:c r="J12" s="6"/>
    </x:row>
    <x:row r="13" s="1" customFormat="1" ht="14.25" hidden="0" customHeight="1">
      <x:c r="A13" s="7" t="s">
        <x:v>3018</x:v>
      </x:c>
      <x:c r="B13" s="6"/>
      <x:c r="C13" s="6"/>
      <x:c r="D13" s="6"/>
      <x:c r="E13" s="6"/>
      <x:c r="F13" s="6"/>
      <x:c r="G13" s="6"/>
      <x:c r="H13" s="6"/>
      <x:c r="I13" s="6"/>
      <x:c r="J13" s="6"/>
    </x:row>
    <x:row r="14" s="1" customFormat="1" ht="14.25" hidden="0" customHeight="1">
      <x:c r="A14" s="7" t="s">
        <x:v>3019</x:v>
      </x:c>
      <x:c r="B14" s="6"/>
      <x:c r="C14" s="6"/>
      <x:c r="D14" s="6"/>
      <x:c r="E14" s="6"/>
      <x:c r="F14" s="6"/>
      <x:c r="G14" s="6"/>
      <x:c r="H14" s="6"/>
      <x:c r="I14" s="6"/>
      <x:c r="J14" s="6"/>
    </x:row>
    <x:row r="15" s="1" customFormat="1" ht="14.25" hidden="0" customHeight="1">
      <x:c r="A15" s="7" t="s">
        <x:v>3020</x:v>
      </x:c>
      <x:c r="B15" s="6"/>
      <x:c r="C15" s="6"/>
      <x:c r="D15" s="6"/>
      <x:c r="E15" s="6"/>
      <x:c r="F15" s="6"/>
      <x:c r="G15" s="6"/>
      <x:c r="H15" s="6"/>
      <x:c r="I15" s="6"/>
      <x:c r="J15" s="6"/>
    </x:row>
    <x:row r="16" s="1" customFormat="1" ht="18" hidden="0" customHeight="1">
      <x:c r="A16" s="7" t="s">
        <x:v>3021</x:v>
      </x:c>
      <x:c r="B16" s="145"/>
      <x:c r="C16" s="145"/>
      <x:c r="D16" s="6"/>
      <x:c r="E16" s="6"/>
      <x:c r="F16" s="6"/>
      <x:c r="G16" s="6"/>
      <x:c r="H16" s="6"/>
      <x:c r="I16" s="6"/>
      <x:c r="J16" s="6"/>
    </x:row>
    <x:row r="17" s="1" customFormat="1" ht="14.25" hidden="0" customHeight="1">
      <x:c r="A17" s="7" t="n">
        <x:v>1</x:v>
      </x:c>
      <x:c r="B17" s="8" t="s">
        <x:v>3022</x:v>
      </x:c>
      <x:c r="C17" s="8" t="s">
        <x:v>3023</x:v>
      </x:c>
      <x:c r="D17" s="6"/>
      <x:c r="E17" s="6"/>
      <x:c r="F17" s="6"/>
      <x:c r="G17" s="6"/>
      <x:c r="H17" s="6"/>
      <x:c r="I17" s="6"/>
      <x:c r="J17" s="6"/>
    </x:row>
    <x:row r="18" s="1" customFormat="1" ht="14.25" hidden="0" customHeight="1">
      <x:c r="A18" s="7" t="n">
        <x:v>2</x:v>
      </x:c>
      <x:c r="B18" s="5" t="s">
        <x:v>516</x:v>
      </x:c>
      <x:c r="C18" s="5" t="s">
        <x:v>3024</x:v>
      </x:c>
      <x:c r="D18" s="6"/>
      <x:c r="E18" s="6"/>
      <x:c r="F18" s="6"/>
      <x:c r="G18" s="6"/>
      <x:c r="H18" s="6"/>
      <x:c r="I18" s="6"/>
      <x:c r="J18" s="6"/>
    </x:row>
    <x:row r="19" s="1" customFormat="1" ht="14.25" hidden="0" customHeight="1">
      <x:c r="A19" s="7" t="n">
        <x:v>3</x:v>
      </x:c>
      <x:c r="B19" s="8" t="s">
        <x:v>662</x:v>
      </x:c>
      <x:c r="C19" s="8" t="s">
        <x:v>3025</x:v>
      </x:c>
      <x:c r="D19" s="6"/>
      <x:c r="E19" s="6"/>
      <x:c r="F19" s="6"/>
      <x:c r="G19" s="6"/>
      <x:c r="H19" s="6"/>
      <x:c r="I19" s="6"/>
      <x:c r="J19" s="6"/>
    </x:row>
    <x:row r="20" s="1" customFormat="1" ht="14.25" hidden="0" customHeight="1">
      <x:c r="A20" s="7" t="n">
        <x:v>4</x:v>
      </x:c>
      <x:c r="B20" s="5" t="s">
        <x:v>3026</x:v>
      </x:c>
      <x:c r="C20" s="5" t="s">
        <x:v>3027</x:v>
      </x:c>
      <x:c r="D20" s="6"/>
      <x:c r="E20" s="6"/>
      <x:c r="F20" s="6"/>
      <x:c r="G20" s="6"/>
      <x:c r="H20" s="6"/>
      <x:c r="I20" s="6"/>
      <x:c r="J20" s="6"/>
    </x:row>
    <x:row r="21" s="1" customFormat="1" ht="14.25" hidden="0" customHeight="1">
      <x:c r="A21" s="7" t="n">
        <x:v>5</x:v>
      </x:c>
      <x:c r="B21" s="8" t="s">
        <x:v>3028</x:v>
      </x:c>
      <x:c r="C21" s="8" t="s">
        <x:v>3029</x:v>
      </x:c>
      <x:c r="D21" s="6"/>
      <x:c r="E21" s="6"/>
      <x:c r="F21" s="6"/>
      <x:c r="G21" s="6"/>
      <x:c r="H21" s="6"/>
      <x:c r="I21" s="6"/>
      <x:c r="J21" s="6"/>
    </x:row>
    <x:row r="22" s="1" customFormat="1" ht="14.25" hidden="0" customHeight="1">
      <x:c r="A22" s="7" t="n">
        <x:v>6</x:v>
      </x:c>
      <x:c r="B22" s="5" t="s">
        <x:v>728</x:v>
      </x:c>
      <x:c r="C22" s="5" t="s">
        <x:v>3030</x:v>
      </x:c>
      <x:c r="D22" s="6"/>
      <x:c r="E22" s="6"/>
      <x:c r="F22" s="6"/>
      <x:c r="G22" s="6"/>
      <x:c r="H22" s="6"/>
      <x:c r="I22" s="6"/>
      <x:c r="J22" s="6"/>
    </x:row>
    <x:row r="23" s="1" customFormat="1" ht="14.25" hidden="0" customHeight="1">
      <x:c r="A23" s="7" t="n">
        <x:v>7</x:v>
      </x:c>
      <x:c r="B23" s="8" t="s">
        <x:v>3031</x:v>
      </x:c>
      <x:c r="C23" s="8" t="s">
        <x:v>3032</x:v>
      </x:c>
      <x:c r="D23" s="6"/>
      <x:c r="E23" s="6"/>
      <x:c r="F23" s="6"/>
      <x:c r="G23" s="6"/>
      <x:c r="H23" s="6"/>
      <x:c r="I23" s="6"/>
      <x:c r="J23" s="6"/>
    </x:row>
    <x:row r="24" s="1" customFormat="1" ht="14.25" hidden="0" customHeight="1">
      <x:c r="A24" s="7" t="n">
        <x:v>8</x:v>
      </x:c>
      <x:c r="B24" s="5" t="s">
        <x:v>3033</x:v>
      </x:c>
      <x:c r="C24" s="5" t="s">
        <x:v>3034</x:v>
      </x:c>
      <x:c r="D24" s="6"/>
      <x:c r="E24" s="6"/>
      <x:c r="F24" s="6"/>
      <x:c r="G24" s="6"/>
      <x:c r="H24" s="6"/>
      <x:c r="I24" s="6"/>
      <x:c r="J24" s="6"/>
    </x:row>
    <x:row r="25" s="1" customFormat="1" ht="14.25" hidden="0" customHeight="1">
      <x:c r="A25" s="7" t="n">
        <x:v>9</x:v>
      </x:c>
      <x:c r="B25" s="8" t="s">
        <x:v>3035</x:v>
      </x:c>
      <x:c r="C25" s="8" t="s">
        <x:v>3036</x:v>
      </x:c>
      <x:c r="D25" s="6"/>
      <x:c r="E25" s="6"/>
      <x:c r="F25" s="6"/>
      <x:c r="G25" s="6"/>
      <x:c r="H25" s="6"/>
      <x:c r="I25" s="6"/>
      <x:c r="J25" s="6"/>
    </x:row>
    <x:row r="26" s="1" customFormat="1" ht="14.25" hidden="0" customHeight="1">
      <x:c r="A26" s="7" t="n">
        <x:v>10</x:v>
      </x:c>
      <x:c r="B26" s="5" t="s">
        <x:v>3037</x:v>
      </x:c>
      <x:c r="C26" s="5" t="s">
        <x:v>3038</x:v>
      </x:c>
      <x:c r="D26" s="6"/>
      <x:c r="E26" s="6"/>
      <x:c r="F26" s="6"/>
      <x:c r="G26" s="6"/>
      <x:c r="H26" s="6"/>
      <x:c r="I26" s="6"/>
      <x:c r="J26" s="6"/>
    </x:row>
    <x:row r="27" s="1" customFormat="1" ht="14.25" hidden="0" customHeight="1">
      <x:c r="A27" s="7" t="n">
        <x:v>11</x:v>
      </x:c>
      <x:c r="B27" s="8" t="s">
        <x:v>3039</x:v>
      </x:c>
      <x:c r="C27" s="8" t="s">
        <x:v>3040</x:v>
      </x:c>
      <x:c r="D27" s="6"/>
      <x:c r="E27" s="6"/>
      <x:c r="F27" s="6"/>
      <x:c r="G27" s="6"/>
      <x:c r="H27" s="6"/>
      <x:c r="I27" s="6"/>
      <x:c r="J27" s="6"/>
    </x:row>
    <x:row r="28" s="1" customFormat="1" ht="14.25" hidden="0" customHeight="1">
      <x:c r="A28" s="7" t="n">
        <x:v>12</x:v>
      </x:c>
      <x:c r="B28" s="5" t="s">
        <x:v>3041</x:v>
      </x:c>
      <x:c r="C28" s="5" t="s">
        <x:v>3042</x:v>
      </x:c>
      <x:c r="D28" s="6"/>
      <x:c r="E28" s="6"/>
      <x:c r="F28" s="6"/>
      <x:c r="G28" s="6"/>
      <x:c r="H28" s="6"/>
      <x:c r="I28" s="6"/>
      <x:c r="J28" s="6"/>
    </x:row>
    <x:row r="29" s="1" customFormat="1" ht="14.25" hidden="0" customHeight="1">
      <x:c r="A29" s="7" t="n">
        <x:v>13</x:v>
      </x:c>
      <x:c r="B29" s="8" t="s">
        <x:v>2858</x:v>
      </x:c>
      <x:c r="C29" s="8" t="s">
        <x:v>3043</x:v>
      </x:c>
      <x:c r="D29" s="6"/>
      <x:c r="E29" s="6"/>
      <x:c r="F29" s="6"/>
      <x:c r="G29" s="6"/>
      <x:c r="H29" s="6"/>
      <x:c r="I29" s="6"/>
      <x:c r="J29" s="6"/>
    </x:row>
    <x:row r="30" s="1" customFormat="1" ht="14.25" hidden="0" customHeight="1">
      <x:c r="A30" s="7" t="n">
        <x:v>14</x:v>
      </x:c>
      <x:c r="B30" s="5" t="s">
        <x:v>3044</x:v>
      </x:c>
      <x:c r="C30" s="5" t="s">
        <x:v>3045</x:v>
      </x:c>
      <x:c r="D30" s="6"/>
      <x:c r="E30" s="6"/>
      <x:c r="F30" s="6"/>
      <x:c r="G30" s="6"/>
      <x:c r="H30" s="6"/>
      <x:c r="I30" s="6"/>
      <x:c r="J30" s="6"/>
    </x:row>
    <x:row r="31" s="1" customFormat="1" ht="14.25" hidden="0" customHeight="1">
      <x:c r="A31" s="7" t="n">
        <x:v>15</x:v>
      </x:c>
      <x:c r="B31" s="8" t="s">
        <x:v>3046</x:v>
      </x:c>
      <x:c r="C31" s="8" t="s">
        <x:v>3047</x:v>
      </x:c>
      <x:c r="D31" s="6"/>
      <x:c r="E31" s="6"/>
      <x:c r="F31" s="6"/>
      <x:c r="G31" s="6"/>
      <x:c r="H31" s="6"/>
      <x:c r="I31" s="6"/>
      <x:c r="J31" s="6"/>
    </x:row>
    <x:row r="32" s="1" customFormat="1" ht="14.25" hidden="0" customHeight="1">
      <x:c r="A32" s="7" t="n">
        <x:v>16</x:v>
      </x:c>
      <x:c r="B32" s="5" t="s">
        <x:v>488</x:v>
      </x:c>
      <x:c r="C32" s="5" t="s">
        <x:v>3048</x:v>
      </x:c>
      <x:c r="D32" s="6"/>
      <x:c r="E32" s="6"/>
      <x:c r="F32" s="6"/>
      <x:c r="G32" s="6"/>
      <x:c r="H32" s="6"/>
      <x:c r="I32" s="6"/>
      <x:c r="J32" s="6"/>
    </x:row>
    <x:row r="33" s="1" customFormat="1" ht="14.25" hidden="0" customHeight="1">
      <x:c r="A33" s="7" t="n">
        <x:v>17</x:v>
      </x:c>
      <x:c r="B33" s="8" t="s">
        <x:v>3049</x:v>
      </x:c>
      <x:c r="C33" s="8" t="s">
        <x:v>3050</x:v>
      </x:c>
      <x:c r="D33" s="6"/>
      <x:c r="E33" s="6"/>
      <x:c r="F33" s="6"/>
      <x:c r="G33" s="6"/>
      <x:c r="H33" s="6"/>
      <x:c r="I33" s="6"/>
      <x:c r="J33" s="6"/>
    </x:row>
    <x:row r="34" s="1" customFormat="1" ht="14.25" hidden="0" customHeight="1">
      <x:c r="A34" s="7" t="n">
        <x:v>18</x:v>
      </x:c>
      <x:c r="B34" s="5" t="s">
        <x:v>13</x:v>
      </x:c>
      <x:c r="C34" s="5" t="s">
        <x:v>3051</x:v>
      </x:c>
      <x:c r="D34" s="6"/>
      <x:c r="E34" s="6"/>
      <x:c r="F34" s="6"/>
      <x:c r="G34" s="6"/>
      <x:c r="H34" s="6"/>
      <x:c r="I34" s="6"/>
      <x:c r="J34" s="6"/>
    </x:row>
    <x:row r="35" s="1" customFormat="1" ht="13.5" hidden="0" customHeight="1">
      <x:c r="A35" s="7" t="n">
        <x:v>19</x:v>
      </x:c>
      <x:c r="B35" s="8" t="s">
        <x:v>497</x:v>
      </x:c>
      <x:c r="C35" s="8" t="s">
        <x:v>3052</x:v>
      </x:c>
      <x:c r="D35" s="6"/>
      <x:c r="E35" s="6"/>
      <x:c r="F35" s="6"/>
      <x:c r="G35" s="6"/>
      <x:c r="H35" s="6"/>
      <x:c r="I35" s="6"/>
      <x:c r="J35" s="6"/>
    </x:row>
    <x:row r="36" s="1" customFormat="1" ht="13.5" hidden="0" customHeight="1">
      <x:c r="A36" s="7" t="n">
        <x:v>20</x:v>
      </x:c>
      <x:c r="B36" s="5" t="s">
        <x:v>3053</x:v>
      </x:c>
      <x:c r="C36" s="5" t="s">
        <x:v>3054</x:v>
      </x:c>
      <x:c r="D36" s="6"/>
      <x:c r="E36" s="6"/>
      <x:c r="F36" s="6"/>
      <x:c r="G36" s="6"/>
      <x:c r="H36" s="6"/>
      <x:c r="I36" s="6"/>
      <x:c r="J36" s="6"/>
    </x:row>
    <x:row r="37" s="1" customFormat="1" ht="12.75" hidden="0" customHeight="1">
      <x:c r="A37" s="7" t="n">
        <x:v>21</x:v>
      </x:c>
      <x:c r="B37" s="8" t="s">
        <x:v>725</x:v>
      </x:c>
      <x:c r="C37" s="8" t="s">
        <x:v>3055</x:v>
      </x:c>
      <x:c r="D37" s="6"/>
      <x:c r="E37" s="6"/>
      <x:c r="F37" s="6"/>
      <x:c r="G37" s="6"/>
      <x:c r="H37" s="6"/>
      <x:c r="I37" s="6"/>
      <x:c r="J37" s="6"/>
    </x:row>
    <x:row r="38" s="1" customFormat="1" ht="12.75" hidden="0" customHeight="1">
      <x:c r="A38" s="7" t="n">
        <x:v>22</x:v>
      </x:c>
      <x:c r="B38" s="5" t="s">
        <x:v>719</x:v>
      </x:c>
      <x:c r="C38" s="5" t="s">
        <x:v>3056</x:v>
      </x:c>
      <x:c r="D38" s="6"/>
      <x:c r="E38" s="6"/>
      <x:c r="F38" s="6"/>
      <x:c r="G38" s="6"/>
      <x:c r="H38" s="6"/>
      <x:c r="I38" s="6"/>
      <x:c r="J38" s="6"/>
    </x:row>
    <x:row r="39" s="1" customFormat="1" ht="14.25" hidden="0" customHeight="1">
      <x:c r="A39" s="7" t="n">
        <x:v>23</x:v>
      </x:c>
      <x:c r="B39" s="8" t="s">
        <x:v>481</x:v>
      </x:c>
      <x:c r="C39" s="8" t="s">
        <x:v>3057</x:v>
      </x:c>
      <x:c r="D39" s="6"/>
      <x:c r="E39" s="6"/>
      <x:c r="F39" s="6"/>
      <x:c r="G39" s="6"/>
      <x:c r="H39" s="6"/>
      <x:c r="I39" s="6"/>
      <x:c r="J39" s="6"/>
    </x:row>
    <x:row r="40" s="1" customFormat="1" ht="14.25" hidden="0" customHeight="1">
      <x:c r="A40" s="7" t="n">
        <x:v>24</x:v>
      </x:c>
      <x:c r="B40" s="5" t="s">
        <x:v>3058</x:v>
      </x:c>
      <x:c r="C40" s="5" t="s">
        <x:v>3059</x:v>
      </x:c>
      <x:c r="D40" s="6"/>
      <x:c r="E40" s="6"/>
      <x:c r="F40" s="6"/>
      <x:c r="G40" s="6"/>
      <x:c r="H40" s="6"/>
      <x:c r="I40" s="6"/>
      <x:c r="J40" s="6"/>
    </x:row>
    <x:row r="41" s="1" customFormat="1" ht="14.25" hidden="0" customHeight="1">
      <x:c r="A41" s="7" t="n">
        <x:v>25</x:v>
      </x:c>
      <x:c r="B41" s="8" t="s">
        <x:v>652</x:v>
      </x:c>
      <x:c r="C41" s="8" t="s">
        <x:v>3060</x:v>
      </x:c>
      <x:c r="D41" s="6"/>
      <x:c r="E41" s="6"/>
      <x:c r="F41" s="6"/>
      <x:c r="G41" s="6"/>
      <x:c r="H41" s="6"/>
      <x:c r="I41" s="6"/>
      <x:c r="J41" s="6"/>
    </x:row>
    <x:row r="42" s="1" customFormat="1" ht="14.25" hidden="0" customHeight="1">
      <x:c r="A42" s="7" t="n">
        <x:v>26</x:v>
      </x:c>
      <x:c r="B42" s="5" t="s">
        <x:v>3061</x:v>
      </x:c>
      <x:c r="C42" s="5" t="s">
        <x:v>3062</x:v>
      </x:c>
      <x:c r="D42" s="6"/>
      <x:c r="E42" s="6"/>
      <x:c r="F42" s="6"/>
      <x:c r="G42" s="6"/>
      <x:c r="H42" s="6"/>
      <x:c r="I42" s="6"/>
      <x:c r="J42" s="6"/>
    </x:row>
    <x:row r="43" s="1" customFormat="1" ht="14.25" hidden="0" customHeight="1">
      <x:c r="A43" s="7" t="n">
        <x:v>27</x:v>
      </x:c>
      <x:c r="B43" s="8" t="s">
        <x:v>3063</x:v>
      </x:c>
      <x:c r="C43" s="8" t="s">
        <x:v>3064</x:v>
      </x:c>
      <x:c r="D43" s="6"/>
      <x:c r="E43" s="6"/>
      <x:c r="F43" s="6"/>
      <x:c r="G43" s="6"/>
      <x:c r="H43" s="6"/>
      <x:c r="I43" s="6"/>
      <x:c r="J43" s="6"/>
    </x:row>
    <x:row r="44" s="1" customFormat="1" ht="14.25" hidden="0" customHeight="1">
      <x:c r="A44" s="7" t="n">
        <x:v>28</x:v>
      </x:c>
      <x:c r="B44" s="5" t="s">
        <x:v>3065</x:v>
      </x:c>
      <x:c r="C44" s="5" t="s">
        <x:v>3066</x:v>
      </x:c>
      <x:c r="D44" s="6"/>
      <x:c r="E44" s="6"/>
      <x:c r="F44" s="6"/>
      <x:c r="G44" s="6"/>
      <x:c r="H44" s="6"/>
      <x:c r="I44" s="6"/>
      <x:c r="J44" s="6"/>
    </x:row>
    <x:row r="45" s="1" customFormat="1" ht="15" hidden="0" customHeight="1">
      <x:c r="A45" s="7" t="n">
        <x:v>29</x:v>
      </x:c>
      <x:c r="B45" s="8" t="s">
        <x:v>592</x:v>
      </x:c>
      <x:c r="C45" s="8" t="s">
        <x:v>3067</x:v>
      </x:c>
      <x:c r="D45" s="6"/>
      <x:c r="E45" s="6"/>
      <x:c r="F45" s="6"/>
      <x:c r="G45" s="6"/>
      <x:c r="H45" s="6"/>
      <x:c r="I45" s="6"/>
      <x:c r="J45" s="6"/>
    </x:row>
    <x:row r="46" s="1" customFormat="1" ht="13.5" hidden="0" customHeight="1">
      <x:c r="A46" s="7" t="n">
        <x:v>30</x:v>
      </x:c>
      <x:c r="B46" s="5" t="s">
        <x:v>598</x:v>
      </x:c>
      <x:c r="C46" s="5" t="s">
        <x:v>3068</x:v>
      </x:c>
      <x:c r="D46" s="6"/>
      <x:c r="E46" s="6"/>
      <x:c r="F46" s="6"/>
      <x:c r="G46" s="6"/>
      <x:c r="H46" s="6"/>
      <x:c r="I46" s="6"/>
      <x:c r="J46" s="6"/>
    </x:row>
    <x:row r="47" s="1" customFormat="1" ht="13.5" hidden="0" customHeight="1">
      <x:c r="A47" s="7" t="n">
        <x:v>31</x:v>
      </x:c>
      <x:c r="B47" s="8" t="s">
        <x:v>3069</x:v>
      </x:c>
      <x:c r="C47" s="8" t="s">
        <x:v>3070</x:v>
      </x:c>
      <x:c r="D47" s="6"/>
      <x:c r="E47" s="6"/>
      <x:c r="F47" s="6"/>
      <x:c r="G47" s="6"/>
      <x:c r="H47" s="6"/>
      <x:c r="I47" s="6"/>
      <x:c r="J47" s="6"/>
    </x:row>
    <x:row r="48" s="1" customFormat="1" ht="13.5" hidden="0" customHeight="1">
      <x:c r="A48" s="7" t="n">
        <x:v>32</x:v>
      </x:c>
      <x:c r="B48" s="5" t="s">
        <x:v>3071</x:v>
      </x:c>
      <x:c r="C48" s="5" t="s">
        <x:v>3072</x:v>
      </x:c>
      <x:c r="D48" s="6"/>
      <x:c r="E48" s="6"/>
      <x:c r="F48" s="6"/>
      <x:c r="G48" s="6"/>
      <x:c r="H48" s="6"/>
      <x:c r="I48" s="6"/>
      <x:c r="J48" s="6"/>
    </x:row>
    <x:row r="49" s="1" customFormat="1" ht="13.5" hidden="0" customHeight="1">
      <x:c r="A49" s="7" t="n">
        <x:v>33</x:v>
      </x:c>
      <x:c r="B49" s="8" t="s">
        <x:v>3073</x:v>
      </x:c>
      <x:c r="C49" s="8" t="s">
        <x:v>3074</x:v>
      </x:c>
      <x:c r="D49" s="6"/>
      <x:c r="E49" s="6"/>
      <x:c r="F49" s="6"/>
      <x:c r="G49" s="6"/>
      <x:c r="H49" s="6"/>
      <x:c r="I49" s="6"/>
      <x:c r="J49" s="6"/>
    </x:row>
    <x:row r="50" s="1" customFormat="1" ht="13.5" hidden="0" customHeight="1">
      <x:c r="A50" s="7" t="n">
        <x:v>34</x:v>
      </x:c>
      <x:c r="B50" s="5" t="s">
        <x:v>3075</x:v>
      </x:c>
      <x:c r="C50" s="5" t="s">
        <x:v>3076</x:v>
      </x:c>
      <x:c r="D50" s="6"/>
      <x:c r="E50" s="6"/>
      <x:c r="F50" s="6"/>
      <x:c r="G50" s="6"/>
      <x:c r="H50" s="6"/>
      <x:c r="I50" s="6"/>
      <x:c r="J50" s="6"/>
    </x:row>
    <x:row r="51" s="1" customFormat="1" ht="13.5" hidden="0" customHeight="1">
      <x:c r="A51" s="7" t="n">
        <x:v>35</x:v>
      </x:c>
      <x:c r="B51" s="8" t="s">
        <x:v>3077</x:v>
      </x:c>
      <x:c r="C51" s="8" t="s">
        <x:v>3078</x:v>
      </x:c>
      <x:c r="D51" s="6"/>
      <x:c r="E51" s="6"/>
      <x:c r="F51" s="6"/>
      <x:c r="G51" s="6"/>
      <x:c r="H51" s="6"/>
      <x:c r="I51" s="6"/>
      <x:c r="J51" s="6"/>
    </x:row>
    <x:row r="52" s="1" customFormat="1" ht="13.5" hidden="0" customHeight="1">
      <x:c r="A52" s="7" t="n">
        <x:v>36</x:v>
      </x:c>
      <x:c r="B52" s="5" t="s">
        <x:v>616</x:v>
      </x:c>
      <x:c r="C52" s="5" t="s">
        <x:v>3079</x:v>
      </x:c>
      <x:c r="D52" s="6"/>
      <x:c r="E52" s="6"/>
      <x:c r="F52" s="6"/>
      <x:c r="G52" s="6"/>
      <x:c r="H52" s="6"/>
      <x:c r="I52" s="6"/>
      <x:c r="J52" s="6"/>
    </x:row>
    <x:row r="53" s="1" customFormat="1" ht="14.25" hidden="0" customHeight="1">
      <x:c r="A53" s="7" t="n">
        <x:v>37</x:v>
      </x:c>
      <x:c r="B53" s="8" t="s">
        <x:v>619</x:v>
      </x:c>
      <x:c r="C53" s="8" t="s">
        <x:v>3080</x:v>
      </x:c>
      <x:c r="D53" s="6"/>
      <x:c r="E53" s="6"/>
      <x:c r="F53" s="6"/>
      <x:c r="G53" s="6"/>
      <x:c r="H53" s="6"/>
      <x:c r="I53" s="6"/>
      <x:c r="J53" s="6"/>
    </x:row>
    <x:row r="54" s="1" customFormat="1" ht="14.25" hidden="0" customHeight="1">
      <x:c r="A54" s="7" t="n">
        <x:v>38</x:v>
      </x:c>
      <x:c r="B54" s="5" t="s">
        <x:v>622</x:v>
      </x:c>
      <x:c r="C54" s="5" t="s">
        <x:v>3081</x:v>
      </x:c>
      <x:c r="D54" s="6"/>
      <x:c r="E54" s="6"/>
      <x:c r="F54" s="6"/>
      <x:c r="G54" s="6"/>
      <x:c r="H54" s="6"/>
      <x:c r="I54" s="6"/>
      <x:c r="J54" s="6"/>
    </x:row>
    <x:row r="55" s="1" customFormat="1" ht="18" hidden="0" customHeight="1">
      <x:c r="A55" s="7" t="s">
        <x:v>3082</x:v>
      </x:c>
      <x:c r="B55" s="146"/>
      <x:c r="C55" s="146"/>
      <x:c r="D55" s="6"/>
      <x:c r="E55" s="6"/>
      <x:c r="F55" s="6"/>
      <x:c r="G55" s="6"/>
      <x:c r="H55" s="6"/>
      <x:c r="I55" s="6"/>
      <x:c r="J55" s="6"/>
    </x:row>
    <x:row r="56" s="1" customFormat="1" ht="12.75" hidden="0" customHeight="1">
      <x:c r="A56" s="7" t="s">
        <x:v>3083</x:v>
      </x:c>
      <x:c r="B56" s="6"/>
      <x:c r="C56" s="6"/>
      <x:c r="D56" s="6"/>
      <x:c r="E56" s="6"/>
      <x:c r="F56" s="6"/>
      <x:c r="G56" s="6"/>
      <x:c r="H56" s="6"/>
      <x:c r="I56" s="6"/>
      <x:c r="J56" s="6"/>
    </x:row>
    <x:row r="57" s="1" customFormat="1" ht="12.75" hidden="0" customHeight="1">
      <x:c r="A57" s="7" t="s">
        <x:v>41</x:v>
      </x:c>
      <x:c r="B57" s="6"/>
      <x:c r="C57" s="6"/>
      <x:c r="D57" s="6"/>
      <x:c r="E57" s="6"/>
      <x:c r="F57" s="6"/>
      <x:c r="G57" s="6"/>
      <x:c r="H57" s="6"/>
      <x:c r="I57" s="6"/>
      <x:c r="J57" s="6"/>
    </x:row>
    <x:row r="58" s="1" customFormat="1" ht="12.75" hidden="0" customHeight="1">
      <x:c r="A58" s="7" t="s">
        <x:v>3084</x:v>
      </x:c>
      <x:c r="B58" s="6"/>
      <x:c r="C58" s="6"/>
      <x:c r="D58" s="6"/>
      <x:c r="E58" s="6"/>
      <x:c r="F58" s="6"/>
      <x:c r="G58" s="6"/>
      <x:c r="H58" s="6"/>
      <x:c r="I58" s="6"/>
      <x:c r="J58" s="6"/>
    </x:row>
    <x:row r="59" s="1" customFormat="1" ht="12.75" hidden="0" customHeight="1">
      <x:c r="A59" s="7" t="s">
        <x:v>3085</x:v>
      </x:c>
      <x:c r="B59" s="6"/>
      <x:c r="C59" s="6"/>
      <x:c r="D59" s="6"/>
      <x:c r="E59" s="6"/>
      <x:c r="F59" s="6"/>
      <x:c r="G59" s="6"/>
      <x:c r="H59" s="6"/>
      <x:c r="I59" s="6"/>
      <x:c r="J59" s="6"/>
    </x:row>
    <x:row r="60" s="1" customFormat="1" ht="12.75" hidden="0" customHeight="1">
      <x:c r="A60" s="7" t="s">
        <x:v>3086</x:v>
      </x:c>
      <x:c r="B60" s="6"/>
      <x:c r="C60" s="6"/>
      <x:c r="D60" s="6"/>
      <x:c r="E60" s="6"/>
      <x:c r="F60" s="6"/>
      <x:c r="G60" s="6"/>
      <x:c r="H60" s="6"/>
      <x:c r="I60" s="6"/>
      <x:c r="J60" s="6"/>
    </x:row>
    <x:row r="61" s="1" customFormat="1" ht="66" hidden="0" customHeight="1">
      <x:c r="A61" s="7" t="s">
        <x:v>3087</x:v>
      </x:c>
      <x:c r="B61" s="6"/>
      <x:c r="C61" s="6"/>
      <x:c r="D61" s="6"/>
      <x:c r="E61" s="6"/>
      <x:c r="F61" s="6"/>
      <x:c r="G61" s="6"/>
      <x:c r="H61" s="6"/>
      <x:c r="I61" s="6"/>
      <x:c r="J61" s="6"/>
    </x:row>
    <x:row r="62" s="1" customFormat="1" ht="26.25" hidden="0" customHeight="1">
      <x:c r="A62" s="7" t="s">
        <x:v>3088</x:v>
      </x:c>
      <x:c r="B62" s="6"/>
      <x:c r="C62" s="6"/>
      <x:c r="D62" s="6"/>
      <x:c r="E62" s="6"/>
      <x:c r="F62" s="6"/>
      <x:c r="G62" s="6"/>
      <x:c r="H62" s="6"/>
      <x:c r="I62" s="6"/>
      <x:c r="J62" s="6"/>
    </x:row>
    <x:row r="63" s="1" customFormat="1" ht="39" hidden="0" customHeight="1">
      <x:c r="A63" s="7" t="s">
        <x:v>3089</x:v>
      </x:c>
      <x:c r="B63" s="6"/>
      <x:c r="C63" s="6"/>
      <x:c r="D63" s="6"/>
      <x:c r="E63" s="6"/>
      <x:c r="F63" s="6"/>
      <x:c r="G63" s="6"/>
      <x:c r="H63" s="6"/>
      <x:c r="I63" s="6"/>
      <x:c r="J63" s="6"/>
    </x:row>
    <x:row r="64" s="1" customFormat="1" ht="39" hidden="0" customHeight="1">
      <x:c r="A64" s="7" t="s">
        <x:v>3090</x:v>
      </x:c>
      <x:c r="B64" s="6"/>
      <x:c r="C64" s="6"/>
      <x:c r="D64" s="6"/>
      <x:c r="E64" s="6"/>
      <x:c r="F64" s="6"/>
      <x:c r="G64" s="6"/>
      <x:c r="H64" s="6"/>
      <x:c r="I64" s="6"/>
      <x:c r="J64" s="6"/>
    </x:row>
    <x:row r="65" s="1" customFormat="1" ht="26.25" hidden="0" customHeight="1">
      <x:c r="A65" s="7" t="s">
        <x:v>3091</x:v>
      </x:c>
      <x:c r="B65" s="6"/>
      <x:c r="C65" s="6"/>
      <x:c r="D65" s="6"/>
      <x:c r="E65" s="6"/>
      <x:c r="F65" s="6"/>
      <x:c r="G65" s="6"/>
      <x:c r="H65" s="6"/>
      <x:c r="I65" s="6"/>
      <x:c r="J65" s="6"/>
    </x:row>
    <x:row r="66" s="1" customFormat="1" ht="12.75" hidden="0" customHeight="1">
      <x:c r="A66" s="7" t="s">
        <x:v>3092</x:v>
      </x:c>
      <x:c r="B66" s="6"/>
      <x:c r="C66" s="6"/>
      <x:c r="D66" s="6"/>
      <x:c r="E66" s="6"/>
      <x:c r="F66" s="6"/>
      <x:c r="G66" s="6"/>
      <x:c r="H66" s="6"/>
      <x:c r="I66" s="6"/>
      <x:c r="J66" s="6"/>
    </x:row>
    <x:row r="67" s="1" customFormat="1" ht="12.75" hidden="0" customHeight="1">
      <x:c r="A67" s="7" t="s">
        <x:v>3093</x:v>
      </x:c>
      <x:c r="B67" s="6"/>
      <x:c r="C67" s="6"/>
      <x:c r="D67" s="6"/>
      <x:c r="E67" s="6"/>
      <x:c r="F67" s="6"/>
      <x:c r="G67" s="6"/>
      <x:c r="H67" s="6"/>
      <x:c r="I67" s="6"/>
      <x:c r="J67" s="6"/>
    </x:row>
    <x:row r="68" s="1" customFormat="1" ht="92.25" hidden="0" customHeight="1">
      <x:c r="A68" s="7" t="s">
        <x:v>3094</x:v>
      </x:c>
      <x:c r="B68" s="6"/>
      <x:c r="C68" s="6"/>
      <x:c r="D68" s="6"/>
      <x:c r="E68" s="6"/>
      <x:c r="F68" s="6"/>
      <x:c r="G68" s="6"/>
      <x:c r="H68" s="6"/>
      <x:c r="I68" s="6"/>
      <x:c r="J68" s="6"/>
    </x:row>
    <x:row r="69" s="1" customFormat="1" ht="144.75" hidden="0" customHeight="1">
      <x:c r="A69" s="7" t="s">
        <x:v>3095</x:v>
      </x:c>
      <x:c r="B69" s="6"/>
      <x:c r="C69" s="6"/>
      <x:c r="D69" s="6"/>
      <x:c r="E69" s="6"/>
      <x:c r="F69" s="6"/>
      <x:c r="G69" s="6"/>
      <x:c r="H69" s="6"/>
      <x:c r="I69" s="6"/>
      <x:c r="J69" s="6"/>
    </x:row>
    <x:row r="70" s="1" customFormat="1" ht="52.5" hidden="0" customHeight="1">
      <x:c r="A70" s="7" t="s">
        <x:v>3096</x:v>
      </x:c>
      <x:c r="B70" s="6"/>
      <x:c r="C70" s="6"/>
      <x:c r="D70" s="6"/>
      <x:c r="E70" s="6"/>
      <x:c r="F70" s="6"/>
      <x:c r="G70" s="6"/>
      <x:c r="H70" s="6"/>
      <x:c r="I70" s="6"/>
      <x:c r="J70" s="6"/>
    </x:row>
    <x:row r="71" s="1" customFormat="1" ht="78.75" hidden="0" customHeight="1">
      <x:c r="A71" s="7" t="s">
        <x:v>3097</x:v>
      </x:c>
      <x:c r="B71" s="6"/>
      <x:c r="C71" s="6"/>
      <x:c r="D71" s="6"/>
      <x:c r="E71" s="6"/>
      <x:c r="F71" s="6"/>
      <x:c r="G71" s="6"/>
      <x:c r="H71" s="6"/>
      <x:c r="I71" s="6"/>
      <x:c r="J71" s="6"/>
    </x:row>
    <x:row r="72" s="1" customFormat="1" ht="12.75" hidden="0" customHeight="1">
      <x:c r="A72" s="7" t="s">
        <x:v>3098</x:v>
      </x:c>
    </x:row>
    <x:row r="74" ht="23.850000381469727" hidden="0">
      <x:c r="A74" s="13" t="s">
        <x:v>3099</x:v>
      </x:c>
      <x:c r="B74" s="13"/>
      <x:c r="C74" s="13"/>
    </x:row>
    <x:row r="75" ht="35.04999923706055" hidden="0">
      <x:c r="A75" s="14" t="s">
        <x:v>2756</x:v>
      </x:c>
      <x:c r="B75" s="14" t="s">
        <x:v>3100</x:v>
      </x:c>
      <x:c r="C75" s="14" t="s">
        <x:v>3101</x:v>
      </x:c>
    </x:row>
    <x:row r="76" ht="46.25" hidden="0">
      <x:c r="A76" s="14" t="s">
        <x:v>3102</x:v>
      </x:c>
      <x:c r="B76" s="14" t="s">
        <x:v>3103</x:v>
      </x:c>
      <x:c r="C76" s="14" t="s">
        <x:v>3104</x:v>
      </x:c>
    </x:row>
    <x:row r="77" ht="46.25" hidden="0">
      <x:c r="A77" s="14" t="s">
        <x:v>3105</x:v>
      </x:c>
      <x:c r="B77" s="14" t="s">
        <x:v>3106</x:v>
      </x:c>
      <x:c r="C77" s="14" t="s">
        <x:v>3107</x:v>
      </x:c>
    </x:row>
    <x:row r="78" ht="23.850000381469727" hidden="0">
      <x:c r="A78" s="14" t="s">
        <x:v>3108</x:v>
      </x:c>
      <x:c r="B78" s="14" t="s">
        <x:v>3109</x:v>
      </x:c>
      <x:c r="C78" s="14" t="s">
        <x:v>3110</x:v>
      </x:c>
    </x:row>
    <x:row r="79" ht="35.04999923706055" hidden="0">
      <x:c r="A79" s="14" t="s">
        <x:v>3111</x:v>
      </x:c>
      <x:c r="B79" s="14" t="s">
        <x:v>3112</x:v>
      </x:c>
      <x:c r="C79" s="14" t="s">
        <x:v>3113</x:v>
      </x:c>
    </x:row>
    <x:row r="80" ht="35.04999923706055" hidden="0">
      <x:c r="A80" s="14" t="s">
        <x:v>3114</x:v>
      </x:c>
      <x:c r="B80" s="14" t="s">
        <x:v>3115</x:v>
      </x:c>
      <x:c r="C80" s="14" t="s">
        <x:v>3116</x:v>
      </x:c>
    </x:row>
    <x:row r="81" ht="35.04999923706055" hidden="0">
      <x:c r="A81" s="14" t="s">
        <x:v>19</x:v>
      </x:c>
      <x:c r="B81" s="14" t="str">
        <x:v>Canon v12.6 / SGP v8.5 / ripple.md v5.5 / Agent v12.5 / CSV v2.4 / Sheet v5.6.</x:v>
      </x:c>
      <x:c r="C81" s="14" t="s">
        <x:v>3117</x:v>
      </x:c>
    </x:row>
  </x:sheetData>
  <x:mergeCells>
    <x:mergeCell ref="A1:J1"/>
  </x:mergeCells>
  <x:pageMargins left="0.7" right="0.7" top="0.75" bottom="0.75" header="0.3" footer="0.3"/>
</x:worksheet>
</file>

<file path=xl/worksheets/sheet39.xml><?xml version="1.0" encoding="utf-8"?>
<x:worksheet xmlns:x="http://schemas.openxmlformats.org/spreadsheetml/2006/main">
  <x:sheetViews>
    <x:sheetView showGridLines="1" workbookViewId="0"/>
  </x:sheetViews>
  <x:sheetFormatPr defaultColWidth="8.66796875" defaultRowHeight="12.75"/>
  <x:cols>
    <x:col min="1" max="4" width="36" style="1" hidden="0" customWidth="1"/>
    <x:col min="5" max="10" width="16" style="1" hidden="0" customWidth="1"/>
  </x:cols>
  <x:sheetData>
    <x:row r="1" s="1" customFormat="1" ht="24" hidden="0" customHeight="1">
      <x:c r="A1" s="15" t="s">
        <x:v>3118</x:v>
      </x:c>
      <x:c r="B1" s="15"/>
      <x:c r="C1" s="15"/>
      <x:c r="D1" s="15"/>
      <x:c r="E1" s="15"/>
      <x:c r="F1" s="15"/>
      <x:c r="G1" s="15"/>
      <x:c r="H1" s="15"/>
      <x:c r="I1" s="15"/>
      <x:c r="J1" s="15"/>
    </x:row>
    <x:row r="2" s="1" customFormat="1" ht="12.75" hidden="0" customHeight="1">
      <x:c r="A2" s="4" t="s">
        <x:v>43</x:v>
      </x:c>
      <x:c r="B2" s="147"/>
      <x:c r="C2" s="147"/>
      <x:c r="D2" s="147"/>
      <x:c r="E2" s="6"/>
      <x:c r="F2" s="6"/>
      <x:c r="G2" s="6"/>
      <x:c r="H2" s="6"/>
      <x:c r="I2" s="6"/>
      <x:c r="J2" s="6"/>
    </x:row>
    <x:row r="3" s="1" customFormat="1" ht="12.75" hidden="0" customHeight="1">
      <x:c r="A3" s="7" t="s">
        <x:v>3119</x:v>
      </x:c>
      <x:c r="B3" s="147"/>
      <x:c r="C3" s="147"/>
      <x:c r="D3" s="147"/>
      <x:c r="E3" s="6"/>
      <x:c r="F3" s="6"/>
      <x:c r="G3" s="6"/>
      <x:c r="H3" s="6"/>
      <x:c r="I3" s="6"/>
      <x:c r="J3" s="6"/>
    </x:row>
    <x:row r="4" s="1" customFormat="1" ht="12.75" hidden="0" customHeight="1">
      <x:c r="A4" s="7" t="s">
        <x:v>867</x:v>
      </x:c>
      <x:c r="B4" s="5" t="s">
        <x:v>55</x:v>
      </x:c>
      <x:c r="C4" s="12"/>
      <x:c r="D4" s="12"/>
      <x:c r="E4" s="6"/>
      <x:c r="F4" s="6"/>
      <x:c r="G4" s="6"/>
      <x:c r="H4" s="6"/>
      <x:c r="I4" s="6"/>
      <x:c r="J4" s="6"/>
    </x:row>
    <x:row r="5" s="1" customFormat="1" ht="12.75" hidden="0" customHeight="1">
      <x:c r="A5" s="7" t="s">
        <x:v>165</x:v>
      </x:c>
      <x:c r="B5" s="8" t="s">
        <x:v>210</x:v>
      </x:c>
      <x:c r="C5" s="12"/>
      <x:c r="D5" s="12"/>
      <x:c r="E5" s="6"/>
      <x:c r="F5" s="6"/>
      <x:c r="G5" s="6"/>
      <x:c r="H5" s="6"/>
      <x:c r="I5" s="6"/>
      <x:c r="J5" s="6"/>
    </x:row>
    <x:row r="6" s="1" customFormat="1" ht="12.75" hidden="0" customHeight="1">
      <x:c r="A6" s="7" t="s">
        <x:v>3120</x:v>
      </x:c>
      <x:c r="B6" s="5" t="s">
        <x:v>3121</x:v>
      </x:c>
      <x:c r="C6" s="12"/>
      <x:c r="D6" s="12"/>
      <x:c r="E6" s="6"/>
      <x:c r="F6" s="6"/>
      <x:c r="G6" s="6"/>
      <x:c r="H6" s="6"/>
      <x:c r="I6" s="6"/>
      <x:c r="J6" s="6"/>
    </x:row>
    <x:row r="7" s="1" customFormat="1" ht="72" hidden="0" customHeight="1">
      <x:c r="A7" s="7" t="s">
        <x:v>3122</x:v>
      </x:c>
      <x:c r="B7" s="8" t="s">
        <x:v>3123</x:v>
      </x:c>
      <x:c r="C7" s="12"/>
      <x:c r="D7" s="12"/>
      <x:c r="E7" s="6"/>
      <x:c r="F7" s="6"/>
      <x:c r="G7" s="6"/>
      <x:c r="H7" s="6"/>
      <x:c r="I7" s="6"/>
      <x:c r="J7" s="6"/>
    </x:row>
    <x:row r="8" s="1" customFormat="1" ht="144" hidden="0" customHeight="1">
      <x:c r="A8" s="7" t="s">
        <x:v>3124</x:v>
      </x:c>
      <x:c r="B8" s="5" t="s">
        <x:v>3125</x:v>
      </x:c>
      <x:c r="C8" s="5" t="s">
        <x:v>3126</x:v>
      </x:c>
      <x:c r="D8" s="12"/>
      <x:c r="E8" s="6"/>
      <x:c r="F8" s="6"/>
      <x:c r="G8" s="6"/>
      <x:c r="H8" s="6"/>
      <x:c r="I8" s="6"/>
      <x:c r="J8" s="6"/>
    </x:row>
    <x:row r="9" s="1" customFormat="1" ht="12.75" hidden="0" customHeight="1">
      <x:c r="A9" s="15" t="s">
        <x:v>3127</x:v>
      </x:c>
      <x:c r="B9" s="11"/>
      <x:c r="C9" s="11"/>
      <x:c r="D9" s="11"/>
      <x:c r="E9" s="6"/>
      <x:c r="F9" s="6"/>
      <x:c r="G9" s="6"/>
      <x:c r="H9" s="6"/>
      <x:c r="I9" s="6"/>
      <x:c r="J9" s="6"/>
    </x:row>
    <x:row r="10" s="1" customFormat="1" ht="12.75" hidden="0" customHeight="1">
      <x:c r="A10" s="15" t="s">
        <x:v>162</x:v>
      </x:c>
      <x:c r="B10" s="15" t="s">
        <x:v>2391</x:v>
      </x:c>
      <x:c r="C10" s="15" t="s">
        <x:v>3128</x:v>
      </x:c>
      <x:c r="D10" s="15" t="s">
        <x:v>3129</x:v>
      </x:c>
      <x:c r="E10" s="6"/>
      <x:c r="F10" s="6"/>
      <x:c r="G10" s="6"/>
      <x:c r="H10" s="6"/>
      <x:c r="I10" s="6"/>
      <x:c r="J10" s="6"/>
    </x:row>
    <x:row r="11" s="1" customFormat="1" ht="240" hidden="0" customHeight="1">
      <x:c r="A11" s="7" t="s">
        <x:v>43</x:v>
      </x:c>
      <x:c r="B11" s="8" t="s">
        <x:v>3121</x:v>
      </x:c>
      <x:c r="C11" s="8" t="s">
        <x:v>3130</x:v>
      </x:c>
      <x:c r="D11" s="8" t="s">
        <x:v>3131</x:v>
      </x:c>
      <x:c r="E11" s="6"/>
      <x:c r="F11" s="6"/>
      <x:c r="G11" s="6"/>
      <x:c r="H11" s="6"/>
      <x:c r="I11" s="6"/>
      <x:c r="J11" s="6"/>
    </x:row>
    <x:row r="12" s="1" customFormat="1" ht="600" hidden="0" customHeight="1">
      <x:c r="A12" s="7" t="s">
        <x:v>3132</x:v>
      </x:c>
      <x:c r="B12" s="5" t="s">
        <x:v>3133</x:v>
      </x:c>
      <x:c r="C12" s="5" t="s">
        <x:v>3134</x:v>
      </x:c>
      <x:c r="D12" s="12"/>
      <x:c r="E12" s="6"/>
      <x:c r="F12" s="6"/>
      <x:c r="G12" s="6"/>
      <x:c r="H12" s="6"/>
      <x:c r="I12" s="6"/>
      <x:c r="J12" s="6"/>
    </x:row>
    <x:row r="13" s="1" customFormat="1" ht="180" hidden="0" customHeight="1">
      <x:c r="A13" s="7" t="s">
        <x:v>3135</x:v>
      </x:c>
      <x:c r="B13" s="8" t="s">
        <x:v>3136</x:v>
      </x:c>
      <x:c r="C13" s="8" t="s">
        <x:v>3137</x:v>
      </x:c>
      <x:c r="D13" s="8" t="s">
        <x:v>3138</x:v>
      </x:c>
      <x:c r="E13" s="6"/>
      <x:c r="F13" s="6"/>
      <x:c r="G13" s="6"/>
      <x:c r="H13" s="6"/>
      <x:c r="I13" s="6"/>
      <x:c r="J13" s="6"/>
    </x:row>
    <x:row r="14" s="1" customFormat="1" ht="636" hidden="0" customHeight="1">
      <x:c r="A14" s="7" t="s">
        <x:v>3139</x:v>
      </x:c>
      <x:c r="B14" s="5" t="s">
        <x:v>3140</x:v>
      </x:c>
      <x:c r="C14" s="5" t="s">
        <x:v>3141</x:v>
      </x:c>
      <x:c r="D14" s="5" t="s">
        <x:v>3142</x:v>
      </x:c>
      <x:c r="E14" s="6"/>
      <x:c r="F14" s="6"/>
      <x:c r="G14" s="6"/>
      <x:c r="H14" s="6"/>
      <x:c r="I14" s="6"/>
      <x:c r="J14" s="6"/>
    </x:row>
    <x:row r="15" s="1" customFormat="1" ht="408" hidden="0" customHeight="1">
      <x:c r="A15" s="7" t="s">
        <x:v>3143</x:v>
      </x:c>
      <x:c r="B15" s="8" t="s">
        <x:v>3144</x:v>
      </x:c>
      <x:c r="C15" s="8" t="s">
        <x:v>3145</x:v>
      </x:c>
      <x:c r="D15" s="8" t="s">
        <x:v>3142</x:v>
      </x:c>
      <x:c r="E15" s="6"/>
      <x:c r="F15" s="6"/>
      <x:c r="G15" s="6"/>
      <x:c r="H15" s="6"/>
      <x:c r="I15" s="6"/>
      <x:c r="J15" s="6"/>
    </x:row>
    <x:row r="16" s="1" customFormat="1" ht="228" hidden="0" customHeight="1">
      <x:c r="A16" s="7" t="s">
        <x:v>84</x:v>
      </x:c>
      <x:c r="B16" s="5" t="s">
        <x:v>3146</x:v>
      </x:c>
      <x:c r="C16" s="5" t="s">
        <x:v>3147</x:v>
      </x:c>
      <x:c r="D16" s="5" t="s">
        <x:v>3148</x:v>
      </x:c>
      <x:c r="E16" s="6"/>
      <x:c r="F16" s="6"/>
      <x:c r="G16" s="6"/>
      <x:c r="H16" s="6"/>
      <x:c r="I16" s="6"/>
      <x:c r="J16" s="6"/>
    </x:row>
    <x:row r="17" s="1" customFormat="1" ht="79.19999694824219" hidden="0" customHeight="1">
      <x:c r="A17" s="18" t="s">
        <x:v>3149</x:v>
      </x:c>
      <x:c r="B17" s="18" t="s">
        <x:v>3150</x:v>
      </x:c>
      <x:c r="C17" s="18" t="s">
        <x:v>3151</x:v>
      </x:c>
      <x:c r="D17" s="18" t="s">
        <x:v>3152</x:v>
      </x:c>
      <x:c r="E17" s="6"/>
      <x:c r="F17" s="6"/>
      <x:c r="G17" s="6"/>
      <x:c r="H17" s="6"/>
      <x:c r="I17" s="6"/>
      <x:c r="J17" s="6"/>
    </x:row>
    <x:row r="18" s="1" customFormat="1" ht="79.19999694824219" hidden="0" customHeight="1">
      <x:c r="A18" s="18" t="s">
        <x:v>3149</x:v>
      </x:c>
      <x:c r="B18" s="18" t="s">
        <x:v>3153</x:v>
      </x:c>
      <x:c r="C18" s="18"/>
      <x:c r="D18" s="18"/>
      <x:c r="E18" s="6"/>
      <x:c r="F18" s="6"/>
      <x:c r="G18" s="6"/>
      <x:c r="H18" s="6"/>
      <x:c r="I18" s="6"/>
      <x:c r="J18" s="6"/>
    </x:row>
    <x:row r="19" s="1" customFormat="1" ht="12.75" hidden="0" customHeight="1">
      <x:c r="A19" s="7" t="s">
        <x:v>3154</x:v>
      </x:c>
      <x:c r="B19" s="8" t="s">
        <x:v>3155</x:v>
      </x:c>
      <x:c r="C19" s="8" t="s">
        <x:v>3156</x:v>
      </x:c>
      <x:c r="D19" s="8" t="s">
        <x:v>3142</x:v>
      </x:c>
      <x:c r="E19" s="6"/>
      <x:c r="F19" s="6"/>
      <x:c r="G19" s="6"/>
      <x:c r="H19" s="6"/>
      <x:c r="I19" s="6"/>
      <x:c r="J19" s="6"/>
    </x:row>
    <x:row r="20" s="1" customFormat="1" ht="12.75" hidden="0" customHeight="1">
      <x:c r="A20" s="7" t="s">
        <x:v>3157</x:v>
      </x:c>
      <x:c r="B20" s="5" t="s">
        <x:v>3155</x:v>
      </x:c>
      <x:c r="C20" s="5" t="s">
        <x:v>3158</x:v>
      </x:c>
      <x:c r="D20" s="5" t="s">
        <x:v>3142</x:v>
      </x:c>
      <x:c r="E20" s="6"/>
      <x:c r="F20" s="6"/>
      <x:c r="G20" s="6"/>
      <x:c r="H20" s="6"/>
      <x:c r="I20" s="6"/>
      <x:c r="J20" s="6"/>
    </x:row>
    <x:row r="21" s="1" customFormat="1" ht="12.75" hidden="0" customHeight="1">
      <x:c r="A21" s="7" t="s">
        <x:v>3159</x:v>
      </x:c>
      <x:c r="B21" s="8"/>
      <x:c r="C21" s="8"/>
      <x:c r="D21" s="8"/>
      <x:c r="E21" s="6"/>
      <x:c r="F21" s="6"/>
      <x:c r="G21" s="6"/>
      <x:c r="H21" s="6"/>
      <x:c r="I21" s="6"/>
      <x:c r="J21" s="6"/>
    </x:row>
    <x:row r="22" s="1" customFormat="1" ht="14.25" hidden="0" customHeight="1">
      <x:c r="A22" s="7" t="s">
        <x:v>3160</x:v>
      </x:c>
      <x:c r="B22" s="5" t="s">
        <x:v>154</x:v>
      </x:c>
      <x:c r="C22" s="5"/>
      <x:c r="D22" s="5"/>
      <x:c r="E22" s="6"/>
      <x:c r="F22" s="6"/>
      <x:c r="G22" s="6"/>
      <x:c r="H22" s="6"/>
      <x:c r="I22" s="6"/>
      <x:c r="J22" s="6"/>
    </x:row>
    <x:row r="23" s="1" customFormat="1" ht="14.25" hidden="0" customHeight="1">
      <x:c r="A23" s="7" t="s">
        <x:v>3161</x:v>
      </x:c>
      <x:c r="B23" s="45" t="s">
        <x:v>3162</x:v>
      </x:c>
      <x:c r="C23" s="8"/>
      <x:c r="D23" s="6"/>
      <x:c r="E23" s="6"/>
      <x:c r="F23" s="6"/>
      <x:c r="G23" s="6"/>
      <x:c r="H23" s="6"/>
      <x:c r="I23" s="6"/>
      <x:c r="J23" s="6"/>
    </x:row>
    <x:row r="24" s="1" customFormat="1" ht="14.25" hidden="0" customHeight="1">
      <x:c r="A24" s="7" t="s">
        <x:v>151</x:v>
      </x:c>
      <x:c r="B24" s="5" t="s">
        <x:v>3163</x:v>
      </x:c>
      <x:c r="C24" s="5"/>
      <x:c r="D24" s="6"/>
      <x:c r="E24" s="6"/>
      <x:c r="F24" s="6"/>
      <x:c r="G24" s="6"/>
      <x:c r="H24" s="6"/>
      <x:c r="I24" s="6"/>
      <x:c r="J24" s="6"/>
    </x:row>
    <x:row r="25" s="1" customFormat="1" ht="14.25" hidden="0" customHeight="1">
      <x:c r="A25" s="7" t="s">
        <x:v>3164</x:v>
      </x:c>
      <x:c r="B25" s="45" t="s">
        <x:v>3165</x:v>
      </x:c>
      <x:c r="C25" s="8" t="s">
        <x:v>3166</x:v>
      </x:c>
      <x:c r="D25" s="6"/>
      <x:c r="E25" s="6"/>
      <x:c r="F25" s="6"/>
      <x:c r="G25" s="6"/>
      <x:c r="H25" s="6"/>
      <x:c r="I25" s="6"/>
      <x:c r="J25" s="6"/>
    </x:row>
    <x:row r="26" s="1" customFormat="1" ht="14.25" hidden="0" customHeight="1">
      <x:c r="A26" s="7" t="s">
        <x:v>3167</x:v>
      </x:c>
      <x:c r="B26" s="5" t="s">
        <x:v>2173</x:v>
      </x:c>
      <x:c r="C26" s="5" t="s">
        <x:v>3168</x:v>
      </x:c>
      <x:c r="D26" s="6"/>
      <x:c r="E26" s="6"/>
      <x:c r="F26" s="6"/>
      <x:c r="G26" s="6"/>
      <x:c r="H26" s="6"/>
      <x:c r="I26" s="6"/>
      <x:c r="J26" s="6"/>
    </x:row>
    <x:row r="27" s="1" customFormat="1" ht="14.25" hidden="0" customHeight="1">
      <x:c r="A27" s="7" t="s">
        <x:v>3169</x:v>
      </x:c>
      <x:c r="B27" s="45" t="s">
        <x:v>2173</x:v>
      </x:c>
      <x:c r="C27" s="8" t="s">
        <x:v>3170</x:v>
      </x:c>
      <x:c r="D27" s="6"/>
      <x:c r="E27" s="6"/>
      <x:c r="F27" s="6"/>
      <x:c r="G27" s="6"/>
      <x:c r="H27" s="6"/>
      <x:c r="I27" s="6"/>
      <x:c r="J27" s="6"/>
    </x:row>
    <x:row r="28" s="1" customFormat="1" ht="14.25" hidden="0" customHeight="1">
      <x:c r="A28" s="7" t="s">
        <x:v>3171</x:v>
      </x:c>
      <x:c r="B28" s="5" t="s">
        <x:v>3172</x:v>
      </x:c>
      <x:c r="C28" s="6"/>
      <x:c r="D28" s="6"/>
      <x:c r="E28" s="6"/>
      <x:c r="F28" s="6"/>
      <x:c r="G28" s="6"/>
      <x:c r="H28" s="6"/>
      <x:c r="I28" s="6"/>
      <x:c r="J28" s="6"/>
    </x:row>
    <x:row r="29" s="1" customFormat="1" ht="14.25" hidden="0" customHeight="1">
      <x:c r="A29" s="7" t="s">
        <x:v>3173</x:v>
      </x:c>
      <x:c r="B29" s="45" t="s">
        <x:v>3174</x:v>
      </x:c>
      <x:c r="C29" s="6"/>
      <x:c r="D29" s="6"/>
      <x:c r="E29" s="6"/>
      <x:c r="F29" s="6"/>
      <x:c r="G29" s="6"/>
      <x:c r="H29" s="6"/>
      <x:c r="I29" s="6"/>
      <x:c r="J29" s="6"/>
    </x:row>
    <x:row r="30" s="1" customFormat="1" ht="13.5" hidden="0" customHeight="1">
      <x:c r="A30" s="7" t="s">
        <x:v>497</x:v>
      </x:c>
      <x:c r="B30" s="5" t="s">
        <x:v>3175</x:v>
      </x:c>
      <x:c r="C30" s="6"/>
      <x:c r="D30" s="6"/>
      <x:c r="E30" s="6"/>
      <x:c r="F30" s="6"/>
      <x:c r="G30" s="6"/>
      <x:c r="H30" s="6"/>
      <x:c r="I30" s="6"/>
      <x:c r="J30" s="6"/>
    </x:row>
    <x:row r="31" s="1" customFormat="1" ht="14.25" hidden="0" customHeight="1">
      <x:c r="A31" s="7" t="s">
        <x:v>725</x:v>
      </x:c>
      <x:c r="B31" s="45" t="str">
        <x:v>✓ PASS (build-computed; static in sheet)</x:v>
      </x:c>
      <x:c r="C31" s="6"/>
      <x:c r="D31" s="6"/>
      <x:c r="E31" s="6"/>
      <x:c r="F31" s="6"/>
      <x:c r="G31" s="6"/>
      <x:c r="H31" s="6"/>
      <x:c r="I31" s="6"/>
      <x:c r="J31" s="6"/>
    </x:row>
    <x:row r="32" s="1" customFormat="1" ht="14.25" hidden="0" customHeight="1">
      <x:c r="A32" s="7" t="s">
        <x:v>652</x:v>
      </x:c>
      <x:c r="B32" s="5" t="s">
        <x:v>3176</x:v>
      </x:c>
      <x:c r="C32" s="6"/>
      <x:c r="D32" s="6"/>
      <x:c r="E32" s="6"/>
      <x:c r="F32" s="6"/>
      <x:c r="G32" s="6"/>
      <x:c r="H32" s="6"/>
      <x:c r="I32" s="6"/>
      <x:c r="J32" s="6"/>
    </x:row>
    <x:row r="33" s="1" customFormat="1" ht="14.25" hidden="0" customHeight="1">
      <x:c r="A33" s="7" t="s">
        <x:v>3177</x:v>
      </x:c>
      <x:c r="B33" s="8" t="s">
        <x:v>3178</x:v>
      </x:c>
      <x:c r="C33" s="6"/>
      <x:c r="D33" s="6"/>
      <x:c r="E33" s="6"/>
      <x:c r="F33" s="6"/>
      <x:c r="G33" s="6"/>
      <x:c r="H33" s="6"/>
      <x:c r="I33" s="6"/>
      <x:c r="J33" s="6"/>
    </x:row>
    <x:row r="34" s="1" customFormat="1" ht="14.25" hidden="0" customHeight="1">
      <x:c r="A34" s="7" t="s">
        <x:v>3179</x:v>
      </x:c>
      <x:c r="B34" s="5" t="s">
        <x:v>3180</x:v>
      </x:c>
      <x:c r="C34" s="6"/>
      <x:c r="D34" s="6"/>
      <x:c r="E34" s="6"/>
      <x:c r="F34" s="6"/>
      <x:c r="G34" s="6"/>
      <x:c r="H34" s="6"/>
      <x:c r="I34" s="6"/>
      <x:c r="J34" s="6"/>
    </x:row>
    <x:row r="35" s="1" customFormat="1" ht="14.25" hidden="0" customHeight="1">
      <x:c r="A35" s="7" t="s">
        <x:v>3181</x:v>
      </x:c>
      <x:c r="B35" s="8" t="s">
        <x:v>3125</x:v>
      </x:c>
      <x:c r="C35" s="8" t="s">
        <x:v>3182</x:v>
      </x:c>
      <x:c r="D35" s="6"/>
      <x:c r="E35" s="6"/>
      <x:c r="F35" s="6"/>
      <x:c r="G35" s="6"/>
      <x:c r="H35" s="6"/>
      <x:c r="I35" s="6"/>
      <x:c r="J35" s="6"/>
    </x:row>
    <x:row r="36" s="1" customFormat="1" ht="14.25" hidden="0" customHeight="1">
      <x:c r="A36" s="7" t="s">
        <x:v>3181</x:v>
      </x:c>
      <x:c r="B36" s="5" t="s">
        <x:v>3125</x:v>
      </x:c>
      <x:c r="C36" s="5" t="s">
        <x:v>3183</x:v>
      </x:c>
      <x:c r="D36" s="5" t="s">
        <x:v>3184</x:v>
      </x:c>
      <x:c r="E36" s="6"/>
      <x:c r="F36" s="6"/>
      <x:c r="G36" s="6"/>
      <x:c r="H36" s="6"/>
      <x:c r="I36" s="6"/>
      <x:c r="J36" s="6"/>
    </x:row>
    <x:row r="37" s="1" customFormat="1" ht="14.25" hidden="0" customHeight="1">
      <x:c r="A37" s="7" t="s">
        <x:v>3185</x:v>
      </x:c>
      <x:c r="B37" s="8" t="s">
        <x:v>3186</x:v>
      </x:c>
      <x:c r="C37" s="8" t="s">
        <x:v>3187</x:v>
      </x:c>
      <x:c r="D37" s="8" t="s">
        <x:v>3188</x:v>
      </x:c>
      <x:c r="E37" s="6"/>
      <x:c r="F37" s="6"/>
      <x:c r="G37" s="6"/>
      <x:c r="H37" s="6"/>
      <x:c r="I37" s="6"/>
      <x:c r="J37" s="6"/>
    </x:row>
    <x:row r="38" s="1" customFormat="1" ht="14.25" hidden="0" customHeight="1">
      <x:c r="A38" s="7" t="s">
        <x:v>3189</x:v>
      </x:c>
      <x:c r="B38" s="5" t="s">
        <x:v>3186</x:v>
      </x:c>
      <x:c r="C38" s="5" t="s">
        <x:v>3190</x:v>
      </x:c>
      <x:c r="D38" s="5" t="s">
        <x:v>3188</x:v>
      </x:c>
      <x:c r="E38" s="6"/>
      <x:c r="F38" s="6"/>
      <x:c r="G38" s="6"/>
      <x:c r="H38" s="6"/>
      <x:c r="I38" s="6"/>
      <x:c r="J38" s="6"/>
    </x:row>
    <x:row r="39" s="1" customFormat="1" ht="13.5" hidden="0" customHeight="1">
      <x:c r="A39" s="7" t="s">
        <x:v>3191</x:v>
      </x:c>
      <x:c r="B39" s="8" t="s">
        <x:v>3192</x:v>
      </x:c>
      <x:c r="C39" s="8" t="s">
        <x:v>3193</x:v>
      </x:c>
      <x:c r="D39" s="8" t="s">
        <x:v>3142</x:v>
      </x:c>
      <x:c r="E39" s="6"/>
      <x:c r="F39" s="6"/>
      <x:c r="G39" s="6"/>
      <x:c r="H39" s="6"/>
      <x:c r="I39" s="6"/>
      <x:c r="J39" s="6"/>
    </x:row>
    <x:row r="40" s="1" customFormat="1" ht="14.25" hidden="0" customHeight="1">
      <x:c r="A40" s="6"/>
      <x:c r="B40" s="6"/>
      <x:c r="C40" s="6"/>
      <x:c r="D40" s="6"/>
      <x:c r="E40" s="6"/>
      <x:c r="F40" s="6"/>
      <x:c r="G40" s="6"/>
      <x:c r="H40" s="6"/>
      <x:c r="I40" s="6"/>
      <x:c r="J40" s="6"/>
    </x:row>
    <x:row r="41" s="1" customFormat="1" ht="14.25" hidden="0" customHeight="1">
      <x:c r="A41" s="7" t="s">
        <x:v>3194</x:v>
      </x:c>
      <x:c r="B41" s="6"/>
      <x:c r="C41" s="6"/>
      <x:c r="D41" s="6"/>
      <x:c r="E41" s="6"/>
      <x:c r="F41" s="6"/>
      <x:c r="G41" s="6"/>
      <x:c r="H41" s="6"/>
      <x:c r="I41" s="6"/>
      <x:c r="J41" s="6"/>
    </x:row>
    <x:row r="42" s="1" customFormat="1" ht="14.25" hidden="0" customHeight="1">
      <x:c r="A42" s="7" t="s">
        <x:v>3195</x:v>
      </x:c>
      <x:c r="B42" s="6"/>
      <x:c r="C42" s="6"/>
      <x:c r="D42" s="6"/>
      <x:c r="E42" s="6"/>
      <x:c r="F42" s="6"/>
      <x:c r="G42" s="6"/>
      <x:c r="H42" s="6"/>
      <x:c r="I42" s="6"/>
      <x:c r="J42" s="6"/>
    </x:row>
    <x:row r="43" s="1" customFormat="1" ht="14.25" hidden="0" customHeight="1">
      <x:c r="A43" s="7" t="s">
        <x:v>3196</x:v>
      </x:c>
      <x:c r="B43" s="6"/>
      <x:c r="C43" s="6"/>
      <x:c r="D43" s="6"/>
      <x:c r="E43" s="6"/>
      <x:c r="F43" s="6"/>
      <x:c r="G43" s="6"/>
      <x:c r="H43" s="6"/>
      <x:c r="I43" s="6"/>
      <x:c r="J43" s="6"/>
    </x:row>
    <x:row r="44" s="1" customFormat="1" ht="14.25" hidden="0" customHeight="1">
      <x:c r="A44" s="7" t="s">
        <x:v>3197</x:v>
      </x:c>
      <x:c r="B44" s="6"/>
      <x:c r="C44" s="6"/>
      <x:c r="D44" s="6"/>
      <x:c r="E44" s="6"/>
      <x:c r="F44" s="6"/>
      <x:c r="G44" s="6"/>
      <x:c r="H44" s="6"/>
      <x:c r="I44" s="6"/>
      <x:c r="J44" s="6"/>
    </x:row>
    <x:row r="45" s="1" customFormat="1" ht="14.25" hidden="0" customHeight="1">
      <x:c r="A45" s="7" t="s">
        <x:v>3198</x:v>
      </x:c>
      <x:c r="B45" s="6"/>
      <x:c r="C45" s="6"/>
      <x:c r="D45" s="6"/>
      <x:c r="E45" s="6"/>
      <x:c r="F45" s="6"/>
      <x:c r="G45" s="6"/>
      <x:c r="H45" s="6"/>
      <x:c r="I45" s="6"/>
      <x:c r="J45" s="6"/>
    </x:row>
    <x:row r="46" s="1" customFormat="1" ht="13.5" hidden="0" customHeight="1">
      <x:c r="A46" s="7" t="s">
        <x:v>3199</x:v>
      </x:c>
      <x:c r="B46" s="6"/>
      <x:c r="C46" s="6"/>
      <x:c r="D46" s="6"/>
      <x:c r="E46" s="6"/>
      <x:c r="F46" s="6"/>
      <x:c r="G46" s="6"/>
      <x:c r="H46" s="6"/>
      <x:c r="I46" s="6"/>
      <x:c r="J46" s="6"/>
    </x:row>
    <x:row r="47" s="1" customFormat="1" ht="13.5" hidden="0" customHeight="1">
      <x:c r="A47" s="7" t="s">
        <x:v>3200</x:v>
      </x:c>
      <x:c r="B47" s="6"/>
      <x:c r="C47" s="6"/>
      <x:c r="D47" s="6"/>
      <x:c r="E47" s="6"/>
      <x:c r="F47" s="6"/>
      <x:c r="G47" s="6"/>
      <x:c r="H47" s="6"/>
      <x:c r="I47" s="6"/>
      <x:c r="J47" s="6"/>
    </x:row>
    <x:row r="48" s="1" customFormat="1" ht="13.5" hidden="0" customHeight="1">
      <x:c r="A48" s="7" t="s">
        <x:v>3201</x:v>
      </x:c>
      <x:c r="B48" s="6"/>
      <x:c r="C48" s="6"/>
      <x:c r="D48" s="6"/>
      <x:c r="E48" s="6"/>
      <x:c r="F48" s="6"/>
      <x:c r="G48" s="6"/>
      <x:c r="H48" s="6"/>
      <x:c r="I48" s="6"/>
      <x:c r="J48" s="6"/>
    </x:row>
    <x:row r="49" s="1" customFormat="1" ht="13.5" hidden="0" customHeight="1">
      <x:c r="A49" s="6"/>
      <x:c r="B49" s="6"/>
      <x:c r="C49" s="6"/>
      <x:c r="D49" s="6"/>
      <x:c r="E49" s="6"/>
      <x:c r="F49" s="6"/>
      <x:c r="G49" s="6"/>
      <x:c r="H49" s="6"/>
      <x:c r="I49" s="6"/>
      <x:c r="J49" s="6"/>
    </x:row>
    <x:row r="50" s="1" customFormat="1" ht="13.5" hidden="0" customHeight="1">
      <x:c r="A50" s="7" t="s">
        <x:v>3202</x:v>
      </x:c>
      <x:c r="B50" s="6"/>
      <x:c r="C50" s="6"/>
      <x:c r="D50" s="6"/>
      <x:c r="E50" s="6"/>
      <x:c r="F50" s="6"/>
      <x:c r="G50" s="6"/>
      <x:c r="H50" s="6"/>
      <x:c r="I50" s="6"/>
      <x:c r="J50" s="6"/>
    </x:row>
    <x:row r="51" s="1" customFormat="1" ht="13.5" hidden="0" customHeight="1">
      <x:c r="A51" s="7" t="s">
        <x:v>3203</x:v>
      </x:c>
      <x:c r="B51" s="6"/>
      <x:c r="C51" s="6"/>
      <x:c r="D51" s="6"/>
      <x:c r="E51" s="6"/>
      <x:c r="F51" s="6"/>
      <x:c r="G51" s="6"/>
      <x:c r="H51" s="6"/>
      <x:c r="I51" s="6"/>
      <x:c r="J51" s="6"/>
    </x:row>
    <x:row r="52" s="1" customFormat="1" ht="14.25" hidden="0" customHeight="1">
      <x:c r="A52" s="7" t="s">
        <x:v>3204</x:v>
      </x:c>
      <x:c r="B52" s="6"/>
      <x:c r="C52" s="6"/>
      <x:c r="D52" s="6"/>
      <x:c r="E52" s="6"/>
      <x:c r="F52" s="6"/>
      <x:c r="G52" s="6"/>
      <x:c r="H52" s="6"/>
      <x:c r="I52" s="6"/>
      <x:c r="J52" s="6"/>
    </x:row>
    <x:row r="53" s="1" customFormat="1" ht="14.25" hidden="0" customHeight="1">
      <x:c r="A53" s="7" t="s">
        <x:v>3205</x:v>
      </x:c>
      <x:c r="B53" s="6"/>
      <x:c r="C53" s="6"/>
      <x:c r="D53" s="6"/>
      <x:c r="E53" s="6"/>
      <x:c r="F53" s="6"/>
      <x:c r="G53" s="6"/>
      <x:c r="H53" s="6"/>
      <x:c r="I53" s="6"/>
      <x:c r="J53" s="6"/>
    </x:row>
    <x:row r="54" s="1" customFormat="1" ht="14.25" hidden="0" customHeight="1">
      <x:c r="A54" s="7" t="s">
        <x:v>3206</x:v>
      </x:c>
      <x:c r="B54" s="6"/>
      <x:c r="C54" s="6"/>
      <x:c r="D54" s="6"/>
      <x:c r="E54" s="6"/>
      <x:c r="F54" s="6"/>
      <x:c r="G54" s="6"/>
      <x:c r="H54" s="6"/>
      <x:c r="I54" s="6"/>
      <x:c r="J54" s="6"/>
    </x:row>
    <x:row r="55" s="1" customFormat="1" ht="14.25" hidden="0" customHeight="1">
      <x:c r="A55" s="7" t="s">
        <x:v>3207</x:v>
      </x:c>
      <x:c r="B55" s="6"/>
      <x:c r="C55" s="6"/>
      <x:c r="D55" s="6"/>
      <x:c r="E55" s="6"/>
      <x:c r="F55" s="6"/>
      <x:c r="G55" s="6"/>
      <x:c r="H55" s="6"/>
      <x:c r="I55" s="6"/>
      <x:c r="J55" s="6"/>
    </x:row>
    <x:row r="56" s="1" customFormat="1" ht="14.25" hidden="0" customHeight="1">
      <x:c r="A56" s="7" t="s">
        <x:v>3208</x:v>
      </x:c>
      <x:c r="B56" s="5" t="s">
        <x:v>3209</x:v>
      </x:c>
      <x:c r="C56" s="6"/>
      <x:c r="D56" s="6"/>
      <x:c r="E56" s="6"/>
      <x:c r="F56" s="6"/>
      <x:c r="G56" s="6"/>
      <x:c r="H56" s="6"/>
      <x:c r="I56" s="6"/>
      <x:c r="J56" s="6"/>
    </x:row>
    <x:row r="57" s="1" customFormat="1" ht="27.75" hidden="0" customHeight="1">
      <x:c r="A57" s="7" t="s">
        <x:v>3210</x:v>
      </x:c>
      <x:c r="B57" s="8" t="n">
        <x:v>46073.5616319444</x:v>
      </x:c>
      <x:c r="C57" s="6"/>
      <x:c r="D57" s="6"/>
      <x:c r="E57" s="6"/>
      <x:c r="F57" s="6"/>
      <x:c r="G57" s="6"/>
      <x:c r="H57" s="6"/>
      <x:c r="I57" s="6"/>
      <x:c r="J57" s="6"/>
    </x:row>
    <x:row r="58" s="1" customFormat="1" ht="12.75" hidden="0" customHeight="1">
      <x:c r="A58" s="7" t="s">
        <x:v>84</x:v>
      </x:c>
      <x:c r="B58" s="5" t="s">
        <x:v>3211</x:v>
      </x:c>
      <x:c r="C58" s="5" t="s">
        <x:v>3212</x:v>
      </x:c>
      <x:c r="D58" s="5" t="s">
        <x:v>3213</x:v>
      </x:c>
      <x:c r="E58" s="6"/>
      <x:c r="F58" s="6"/>
      <x:c r="G58" s="6"/>
      <x:c r="H58" s="6"/>
      <x:c r="I58" s="6"/>
      <x:c r="J58" s="6"/>
    </x:row>
    <x:row r="59" s="1" customFormat="1" ht="12.75" hidden="0" customHeight="1">
      <x:c r="A59" s="7"/>
      <x:c r="B59" s="8"/>
      <x:c r="C59" s="8"/>
      <x:c r="D59" s="8"/>
      <x:c r="E59" s="6"/>
      <x:c r="F59" s="6"/>
      <x:c r="G59" s="6"/>
      <x:c r="H59" s="6"/>
      <x:c r="I59" s="6"/>
      <x:c r="J59" s="6"/>
    </x:row>
  </x:sheetData>
  <x:mergeCells>
    <x:mergeCell ref="A1:J1"/>
  </x:mergeCells>
  <x:pageMargins left="0.7" right="0.7" top="0.75" bottom="0.75" header="0.3" footer="0.3"/>
</x:worksheet>
</file>

<file path=xl/worksheets/sheet40.xml><?xml version="1.0" encoding="utf-8"?>
<x:worksheet xmlns:x="http://schemas.openxmlformats.org/spreadsheetml/2006/main">
  <x:sheetViews>
    <x:sheetView showGridLines="1" workbookViewId="0"/>
  </x:sheetViews>
  <x:sheetFormatPr defaultColWidth="8.6796875" defaultRowHeight="12.75"/>
  <x:cols>
    <x:col min="1" max="3" width="36" style="1" hidden="0" customWidth="1"/>
    <x:col min="4" max="4" width="20" style="1" hidden="0" customWidth="1"/>
    <x:col min="5" max="5" width="36" style="1" hidden="0" customWidth="1"/>
    <x:col min="6" max="7" width="16" style="1" hidden="0" customWidth="1"/>
  </x:cols>
  <x:sheetData>
    <x:row r="1" s="1" customFormat="1" ht="39" hidden="0" customHeight="1">
      <x:c r="A1" s="2" t="s">
        <x:v>3214</x:v>
      </x:c>
      <x:c r="B1" s="3"/>
      <x:c r="C1" s="3"/>
      <x:c r="D1" s="3"/>
      <x:c r="E1" s="3"/>
      <x:c r="F1" s="3"/>
      <x:c r="G1" s="3"/>
    </x:row>
    <x:row r="2" s="1" customFormat="1" ht="92.25" hidden="0" customHeight="1">
      <x:c r="A2" s="4" t="s">
        <x:v>3215</x:v>
      </x:c>
      <x:c r="B2" s="6"/>
      <x:c r="C2" s="6"/>
      <x:c r="D2" s="6"/>
      <x:c r="E2" s="6"/>
      <x:c r="F2" s="6"/>
      <x:c r="G2" s="6"/>
    </x:row>
    <x:row r="3" s="1" customFormat="1" ht="12.75" hidden="0" customHeight="1">
      <x:c r="A3" s="6"/>
      <x:c r="B3" s="6"/>
      <x:c r="C3" s="6"/>
      <x:c r="D3" s="6"/>
      <x:c r="E3" s="6"/>
      <x:c r="F3" s="6"/>
      <x:c r="G3" s="6"/>
    </x:row>
    <x:row r="4" s="1" customFormat="1" ht="26.25" hidden="0" customHeight="1">
      <x:c r="A4" s="7" t="s">
        <x:v>346</x:v>
      </x:c>
      <x:c r="B4" s="5" t="s">
        <x:v>3216</x:v>
      </x:c>
      <x:c r="C4" s="5" t="s">
        <x:v>3217</x:v>
      </x:c>
      <x:c r="D4" s="5" t="s">
        <x:v>3218</x:v>
      </x:c>
      <x:c r="E4" s="5" t="s">
        <x:v>3219</x:v>
      </x:c>
      <x:c r="F4" s="5" t="s">
        <x:v>3220</x:v>
      </x:c>
      <x:c r="G4" s="5" t="s">
        <x:v>1203</x:v>
      </x:c>
    </x:row>
    <x:row r="5" s="1" customFormat="1" ht="12.75" hidden="0" customHeight="1">
      <x:c r="A5" s="7" t="s">
        <x:v>206</x:v>
      </x:c>
      <x:c r="B5" s="8" t="s">
        <x:v>764</x:v>
      </x:c>
      <x:c r="C5" s="8" t="s">
        <x:v>3221</x:v>
      </x:c>
      <x:c r="D5" s="8" t="s">
        <x:v>292</x:v>
      </x:c>
      <x:c r="E5" s="8" t="s">
        <x:v>764</x:v>
      </x:c>
      <x:c r="F5" s="8" t="s">
        <x:v>3222</x:v>
      </x:c>
      <x:c r="G5" s="6"/>
    </x:row>
    <x:row r="6" s="1" customFormat="1" ht="12.75" hidden="0" customHeight="1">
      <x:c r="A6" s="7" t="s">
        <x:v>209</x:v>
      </x:c>
      <x:c r="B6" s="5" t="s">
        <x:v>210</x:v>
      </x:c>
      <x:c r="C6" s="5" t="s">
        <x:v>3223</x:v>
      </x:c>
      <x:c r="D6" s="5" t="s">
        <x:v>292</x:v>
      </x:c>
      <x:c r="E6" s="5" t="s">
        <x:v>210</x:v>
      </x:c>
      <x:c r="F6" s="5" t="s">
        <x:v>3222</x:v>
      </x:c>
      <x:c r="G6" s="6"/>
    </x:row>
    <x:row r="7" s="1" customFormat="1" ht="12.75" hidden="0" customHeight="1">
      <x:c r="A7" s="7" t="s">
        <x:v>407</x:v>
      </x:c>
      <x:c r="B7" s="8" t="s">
        <x:v>408</x:v>
      </x:c>
      <x:c r="C7" s="8" t="s">
        <x:v>575</x:v>
      </x:c>
      <x:c r="D7" s="8" t="s">
        <x:v>292</x:v>
      </x:c>
      <x:c r="E7" s="8" t="s">
        <x:v>408</x:v>
      </x:c>
      <x:c r="F7" s="8" t="s">
        <x:v>3222</x:v>
      </x:c>
      <x:c r="G7" s="6"/>
    </x:row>
    <x:row r="8" s="1" customFormat="1" ht="12.75" hidden="0" customHeight="1">
      <x:c r="A8" s="7" t="s">
        <x:v>409</x:v>
      </x:c>
      <x:c r="B8" s="5" t="str">
        <x:v>RippleLogic Agent System v12.5</x:v>
      </x:c>
      <x:c r="C8" s="5" t="s">
        <x:v>578</x:v>
      </x:c>
      <x:c r="D8" s="5" t="s">
        <x:v>292</x:v>
      </x:c>
      <x:c r="E8" s="5" t="str">
        <x:v>RippleLogic Agent System v12.5</x:v>
      </x:c>
      <x:c r="F8" s="5" t="s">
        <x:v>3222</x:v>
      </x:c>
      <x:c r="G8" s="6"/>
    </x:row>
    <x:row r="9" s="1" customFormat="1" ht="12.75" hidden="0" customHeight="1">
      <x:c r="A9" s="7" t="s">
        <x:v>3224</x:v>
      </x:c>
      <x:c r="B9" s="8" t="s">
        <x:v>43</x:v>
      </x:c>
      <x:c r="C9" s="8" t="s">
        <x:v>3225</x:v>
      </x:c>
      <x:c r="D9" s="8" t="s">
        <x:v>292</x:v>
      </x:c>
      <x:c r="E9" s="8" t="s">
        <x:v>43</x:v>
      </x:c>
      <x:c r="F9" s="8" t="s">
        <x:v>3222</x:v>
      </x:c>
      <x:c r="G9" s="6"/>
    </x:row>
    <x:row r="10" s="1" customFormat="1" ht="12.75" hidden="0" customHeight="1">
      <x:c r="A10" s="7" t="s">
        <x:v>3226</x:v>
      </x:c>
      <x:c r="B10" s="5" t="s">
        <x:v>3227</x:v>
      </x:c>
      <x:c r="C10" s="5" t="s">
        <x:v>3031</x:v>
      </x:c>
      <x:c r="D10" s="5" t="s">
        <x:v>292</x:v>
      </x:c>
      <x:c r="E10" s="5" t="s">
        <x:v>3227</x:v>
      </x:c>
      <x:c r="F10" s="5" t="s">
        <x:v>3222</x:v>
      </x:c>
      <x:c r="G10" s="6"/>
    </x:row>
    <x:row r="11" s="1" customFormat="1" ht="12.75" hidden="0" customHeight="1">
      <x:c r="A11" s="7" t="s">
        <x:v>3228</x:v>
      </x:c>
      <x:c r="B11" s="8" t="s">
        <x:v>3229</x:v>
      </x:c>
      <x:c r="C11" s="8" t="s">
        <x:v>3230</x:v>
      </x:c>
      <x:c r="D11" s="8" t="s">
        <x:v>292</x:v>
      </x:c>
      <x:c r="E11" s="8" t="s">
        <x:v>3229</x:v>
      </x:c>
      <x:c r="F11" s="8" t="s">
        <x:v>3222</x:v>
      </x:c>
      <x:c r="G11" s="6"/>
    </x:row>
    <x:row r="12" s="1" customFormat="1" ht="12.75" hidden="0" customHeight="1">
      <x:c r="A12" s="7" t="s">
        <x:v>3231</x:v>
      </x:c>
      <x:c r="B12" s="5" t="s">
        <x:v>3232</x:v>
      </x:c>
      <x:c r="C12" s="5" t="s">
        <x:v>3035</x:v>
      </x:c>
      <x:c r="D12" s="5" t="s">
        <x:v>292</x:v>
      </x:c>
      <x:c r="E12" s="5" t="s">
        <x:v>3232</x:v>
      </x:c>
      <x:c r="F12" s="5" t="s">
        <x:v>3222</x:v>
      </x:c>
      <x:c r="G12" s="6"/>
    </x:row>
    <x:row r="13" s="1" customFormat="1" ht="12.75" hidden="0" customHeight="1">
      <x:c r="A13" s="7" t="s">
        <x:v>3233</x:v>
      </x:c>
      <x:c r="B13" s="8" t="s">
        <x:v>3234</x:v>
      </x:c>
      <x:c r="C13" s="8" t="s">
        <x:v>3041</x:v>
      </x:c>
      <x:c r="D13" s="8" t="s">
        <x:v>292</x:v>
      </x:c>
      <x:c r="E13" s="8" t="s">
        <x:v>3234</x:v>
      </x:c>
      <x:c r="F13" s="8" t="s">
        <x:v>3222</x:v>
      </x:c>
      <x:c r="G13" s="6"/>
    </x:row>
    <x:row r="14" s="1" customFormat="1" ht="12.75" hidden="0" customHeight="1">
      <x:c r="A14" s="7" t="s">
        <x:v>3235</x:v>
      </x:c>
      <x:c r="B14" s="5" t="s">
        <x:v>3236</x:v>
      </x:c>
      <x:c r="C14" s="5" t="s">
        <x:v>3041</x:v>
      </x:c>
      <x:c r="D14" s="5" t="s">
        <x:v>292</x:v>
      </x:c>
      <x:c r="E14" s="5" t="s">
        <x:v>3236</x:v>
      </x:c>
      <x:c r="F14" s="5" t="s">
        <x:v>3222</x:v>
      </x:c>
      <x:c r="G14" s="6"/>
    </x:row>
    <x:row r="15" s="1" customFormat="1" ht="12.75" hidden="0" customHeight="1">
      <x:c r="A15" s="7" t="s">
        <x:v>3237</x:v>
      </x:c>
      <x:c r="B15" s="8" t="n">
        <x:v>0.95</x:v>
      </x:c>
      <x:c r="C15" s="8" t="s">
        <x:v>3238</x:v>
      </x:c>
      <x:c r="D15" s="8" t="s">
        <x:v>292</x:v>
      </x:c>
      <x:c r="E15" s="8" t="n">
        <x:v>0.95</x:v>
      </x:c>
      <x:c r="F15" s="8" t="s">
        <x:v>3222</x:v>
      </x:c>
      <x:c r="G15" s="6"/>
    </x:row>
    <x:row r="16" s="1" customFormat="1" ht="12.75" hidden="0" customHeight="1">
      <x:c r="A16" s="7" t="s">
        <x:v>3239</x:v>
      </x:c>
      <x:c r="B16" s="5" t="s">
        <x:v>3240</x:v>
      </x:c>
      <x:c r="C16" s="5" t="s">
        <x:v>3049</x:v>
      </x:c>
      <x:c r="D16" s="5" t="s">
        <x:v>292</x:v>
      </x:c>
      <x:c r="E16" s="5" t="s">
        <x:v>3240</x:v>
      </x:c>
      <x:c r="F16" s="5" t="s">
        <x:v>3222</x:v>
      </x:c>
      <x:c r="G16" s="6"/>
    </x:row>
    <x:row r="17" s="1" customFormat="1" ht="12.75" hidden="0" customHeight="1">
      <x:c r="A17" s="7" t="s">
        <x:v>3241</x:v>
      </x:c>
      <x:c r="B17" s="8" t="s">
        <x:v>3242</x:v>
      </x:c>
      <x:c r="C17" s="8" t="s">
        <x:v>3243</x:v>
      </x:c>
      <x:c r="D17" s="8" t="s">
        <x:v>292</x:v>
      </x:c>
      <x:c r="E17" s="8" t="s">
        <x:v>3242</x:v>
      </x:c>
      <x:c r="F17" s="8" t="s">
        <x:v>3222</x:v>
      </x:c>
      <x:c r="G17" s="6"/>
    </x:row>
    <x:row r="18" s="1" customFormat="1" ht="12.75" hidden="0" customHeight="1">
      <x:c r="A18" s="7" t="s">
        <x:v>3244</x:v>
      </x:c>
      <x:c r="B18" s="5" t="s">
        <x:v>3245</x:v>
      </x:c>
      <x:c r="C18" s="5" t="s">
        <x:v>3028</x:v>
      </x:c>
      <x:c r="D18" s="5" t="s">
        <x:v>292</x:v>
      </x:c>
      <x:c r="E18" s="5" t="s">
        <x:v>3245</x:v>
      </x:c>
      <x:c r="F18" s="5" t="s">
        <x:v>3222</x:v>
      </x:c>
      <x:c r="G18" s="6"/>
    </x:row>
    <x:row r="19" s="1" customFormat="1" ht="12.75" hidden="0" customHeight="1">
      <x:c r="A19" s="7" t="s">
        <x:v>3246</x:v>
      </x:c>
      <x:c r="B19" s="8" t="s">
        <x:v>3245</x:v>
      </x:c>
      <x:c r="C19" s="8" t="s">
        <x:v>3028</x:v>
      </x:c>
      <x:c r="D19" s="8" t="s">
        <x:v>292</x:v>
      </x:c>
      <x:c r="E19" s="8" t="s">
        <x:v>3245</x:v>
      </x:c>
      <x:c r="F19" s="8" t="s">
        <x:v>3222</x:v>
      </x:c>
      <x:c r="G19" s="6"/>
    </x:row>
    <x:row r="20" s="1" customFormat="1" ht="26.25" hidden="0" customHeight="1">
      <x:c r="A20" s="7" t="s">
        <x:v>3247</x:v>
      </x:c>
      <x:c r="B20" s="5" t="s">
        <x:v>3248</x:v>
      </x:c>
      <x:c r="C20" s="5" t="s">
        <x:v>3249</x:v>
      </x:c>
      <x:c r="D20" s="5" t="s">
        <x:v>292</x:v>
      </x:c>
      <x:c r="E20" s="5" t="s">
        <x:v>3250</x:v>
      </x:c>
      <x:c r="F20" s="5" t="s">
        <x:v>3222</x:v>
      </x:c>
      <x:c r="G20" s="6" t="s">
        <x:v>3251</x:v>
      </x:c>
    </x:row>
    <x:row r="21" s="1" customFormat="1" ht="12.75" hidden="0" customHeight="1">
      <x:c r="A21" s="7" t="s">
        <x:v>3252</x:v>
      </x:c>
      <x:c r="B21" s="8" t="s">
        <x:v>3253</x:v>
      </x:c>
      <x:c r="C21" s="8" t="s">
        <x:v>3063</x:v>
      </x:c>
      <x:c r="D21" s="8" t="s">
        <x:v>292</x:v>
      </x:c>
      <x:c r="E21" s="8" t="s">
        <x:v>3253</x:v>
      </x:c>
      <x:c r="F21" s="8" t="s">
        <x:v>3222</x:v>
      </x:c>
      <x:c r="G21" s="6"/>
    </x:row>
    <x:row r="22" s="1" customFormat="1" ht="12.75" hidden="0" customHeight="1">
      <x:c r="A22" s="7" t="s">
        <x:v>3254</x:v>
      </x:c>
      <x:c r="B22" s="5" t="s">
        <x:v>404</x:v>
      </x:c>
      <x:c r="C22" s="5" t="s">
        <x:v>3255</x:v>
      </x:c>
      <x:c r="D22" s="5" t="s">
        <x:v>292</x:v>
      </x:c>
      <x:c r="E22" s="5" t="s">
        <x:v>404</x:v>
      </x:c>
      <x:c r="F22" s="5" t="s">
        <x:v>3222</x:v>
      </x:c>
      <x:c r="G22" s="6"/>
    </x:row>
    <x:row r="23" s="1" customFormat="1" ht="12.75" hidden="0" customHeight="1">
      <x:c r="A23" s="7" t="s">
        <x:v>3256</x:v>
      </x:c>
      <x:c r="B23" s="8" t="s">
        <x:v>3257</x:v>
      </x:c>
      <x:c r="C23" s="8" t="s">
        <x:v>3061</x:v>
      </x:c>
      <x:c r="D23" s="8" t="s">
        <x:v>292</x:v>
      </x:c>
      <x:c r="E23" s="8" t="s">
        <x:v>3257</x:v>
      </x:c>
      <x:c r="F23" s="8" t="s">
        <x:v>3222</x:v>
      </x:c>
      <x:c r="G23" s="6"/>
    </x:row>
    <x:row r="24" s="1" customFormat="1" ht="12.75" hidden="0" customHeight="1">
      <x:c r="A24" s="7" t="s">
        <x:v>3258</x:v>
      </x:c>
      <x:c r="B24" s="5" t="s">
        <x:v>3259</x:v>
      </x:c>
      <x:c r="C24" s="5" t="s">
        <x:v>3260</x:v>
      </x:c>
      <x:c r="D24" s="5" t="s">
        <x:v>292</x:v>
      </x:c>
      <x:c r="E24" s="5" t="s">
        <x:v>3259</x:v>
      </x:c>
      <x:c r="F24" s="5" t="s">
        <x:v>3222</x:v>
      </x:c>
      <x:c r="G24" s="6"/>
    </x:row>
    <x:row r="25" s="1" customFormat="1" ht="26.25" hidden="0" customHeight="1">
      <x:c r="A25" s="7" t="s">
        <x:v>3261</x:v>
      </x:c>
      <x:c r="B25" s="8" t="s">
        <x:v>3262</x:v>
      </x:c>
      <x:c r="C25" s="8" t="s">
        <x:v>598</x:v>
      </x:c>
      <x:c r="D25" s="8" t="s">
        <x:v>292</x:v>
      </x:c>
      <x:c r="E25" s="8" t="s">
        <x:v>3262</x:v>
      </x:c>
      <x:c r="F25" s="8" t="s">
        <x:v>3222</x:v>
      </x:c>
      <x:c r="G25" s="6"/>
    </x:row>
    <x:row r="26" s="1" customFormat="1" ht="12.75" hidden="0" customHeight="1">
      <x:c r="A26" s="7" t="s">
        <x:v>3263</x:v>
      </x:c>
      <x:c r="B26" s="6"/>
      <x:c r="C26" s="6"/>
      <x:c r="D26" s="6"/>
      <x:c r="E26" s="6"/>
      <x:c r="F26" s="6"/>
      <x:c r="G26" s="6"/>
    </x:row>
    <x:row r="27" s="1" customFormat="1" ht="39" hidden="0" customHeight="1">
      <x:c r="A27" s="7" t="s">
        <x:v>3264</x:v>
      </x:c>
      <x:c r="B27" s="8" t="s">
        <x:v>3265</x:v>
      </x:c>
      <x:c r="C27" s="6"/>
      <x:c r="D27" s="6"/>
      <x:c r="E27" s="6"/>
      <x:c r="F27" s="6"/>
      <x:c r="G27" s="6"/>
    </x:row>
    <x:row r="28" s="1" customFormat="1" ht="12.75" hidden="0" customHeight="1">
      <x:c r="A28" s="7" t="s">
        <x:v>3266</x:v>
      </x:c>
      <x:c r="B28" s="5" t="s">
        <x:v>3267</x:v>
      </x:c>
      <x:c r="C28" s="6"/>
      <x:c r="D28" s="6"/>
      <x:c r="E28" s="6"/>
      <x:c r="F28" s="6"/>
      <x:c r="G28" s="6"/>
    </x:row>
    <x:row r="29" s="1" customFormat="1" ht="12.75" hidden="0" customHeight="1">
      <x:c r="A29" s="7" t="s">
        <x:v>3268</x:v>
      </x:c>
      <x:c r="B29" s="8" t="s">
        <x:v>3269</x:v>
      </x:c>
      <x:c r="C29" s="6"/>
      <x:c r="D29" s="6"/>
      <x:c r="E29" s="6"/>
      <x:c r="F29" s="6"/>
      <x:c r="G29" s="6"/>
    </x:row>
    <x:row r="30" s="1" customFormat="1" ht="12.75" hidden="0" customHeight="1">
      <x:c r="A30" s="7" t="s">
        <x:v>3270</x:v>
      </x:c>
      <x:c r="B30" s="5" t="s">
        <x:v>3271</x:v>
      </x:c>
      <x:c r="C30" s="6"/>
      <x:c r="D30" s="6"/>
      <x:c r="E30" s="6"/>
      <x:c r="F30" s="6"/>
      <x:c r="G30" s="6"/>
    </x:row>
    <x:row r="31" s="1" customFormat="1" ht="12.75" hidden="0" customHeight="1">
      <x:c r="A31" s="6"/>
      <x:c r="B31" s="6"/>
      <x:c r="C31" s="6"/>
      <x:c r="D31" s="6"/>
      <x:c r="E31" s="6"/>
      <x:c r="F31" s="6"/>
      <x:c r="G31" s="6"/>
    </x:row>
    <x:row r="32" s="1" customFormat="1" ht="92.25" hidden="0" customHeight="1">
      <x:c r="A32" s="7" t="s">
        <x:v>3272</x:v>
      </x:c>
      <x:c r="B32" s="5" t="s">
        <x:v>3273</x:v>
      </x:c>
      <x:c r="C32" s="6"/>
      <x:c r="D32" s="6"/>
      <x:c r="E32" s="6"/>
      <x:c r="F32" s="6"/>
      <x:c r="G32" s="6"/>
    </x:row>
    <x:row r="33" s="1" customFormat="1" ht="39" hidden="0" customHeight="1">
      <x:c r="A33" s="7" t="s">
        <x:v>3274</x:v>
      </x:c>
      <x:c r="B33" s="8" t="s">
        <x:v>3275</x:v>
      </x:c>
      <x:c r="C33" s="8" t="s">
        <x:v>3276</x:v>
      </x:c>
      <x:c r="D33" s="6"/>
      <x:c r="E33" s="6"/>
      <x:c r="F33" s="6"/>
      <x:c r="G33" s="6"/>
    </x:row>
    <x:row r="34" s="1" customFormat="1" ht="12.75" hidden="0" customHeight="1">
      <x:c r="A34" s="6"/>
      <x:c r="B34" s="6"/>
      <x:c r="C34" s="6"/>
      <x:c r="D34" s="6"/>
      <x:c r="E34" s="6"/>
      <x:c r="F34" s="6"/>
      <x:c r="G34" s="6"/>
    </x:row>
    <x:row r="35" s="1" customFormat="1" ht="12.75" hidden="0" customHeight="1">
      <x:c r="A35" s="6"/>
      <x:c r="B35" s="6"/>
      <x:c r="C35" s="6"/>
      <x:c r="D35" s="6"/>
      <x:c r="E35" s="6"/>
      <x:c r="F35" s="6"/>
      <x:c r="G35" s="6"/>
    </x:row>
    <x:row r="36" s="1" customFormat="1" ht="26.25" hidden="0" customHeight="1">
      <x:c r="A36" s="7" t="s">
        <x:v>3277</x:v>
      </x:c>
      <x:c r="B36" s="5" t="s">
        <x:v>3278</x:v>
      </x:c>
      <x:c r="C36" s="6"/>
      <x:c r="D36" s="6"/>
      <x:c r="E36" s="6"/>
      <x:c r="F36" s="6"/>
      <x:c r="G36" s="6"/>
    </x:row>
    <x:row r="37" s="1" customFormat="1" ht="39" hidden="0" customHeight="1">
      <x:c r="A37" s="7" t="s">
        <x:v>3279</x:v>
      </x:c>
      <x:c r="B37" s="8" t="s">
        <x:v>3280</x:v>
      </x:c>
      <x:c r="C37" s="6"/>
      <x:c r="D37" s="6"/>
      <x:c r="E37" s="6"/>
      <x:c r="F37" s="6"/>
      <x:c r="G37" s="6"/>
    </x:row>
    <x:row r="38" s="1" customFormat="1" ht="26.25" hidden="0" customHeight="1">
      <x:c r="A38" s="7" t="s">
        <x:v>3281</x:v>
      </x:c>
      <x:c r="B38" s="5" t="s">
        <x:v>3282</x:v>
      </x:c>
      <x:c r="C38" s="6"/>
      <x:c r="D38" s="6"/>
      <x:c r="E38" s="6"/>
      <x:c r="F38" s="6"/>
      <x:c r="G38" s="6"/>
    </x:row>
    <x:row r="39" s="1" customFormat="1" ht="26.25" hidden="0" customHeight="1">
      <x:c r="A39" s="7" t="s">
        <x:v>3283</x:v>
      </x:c>
      <x:c r="B39" s="8" t="s">
        <x:v>3284</x:v>
      </x:c>
      <x:c r="C39" s="6"/>
      <x:c r="D39" s="6"/>
      <x:c r="E39" s="6"/>
      <x:c r="F39" s="6"/>
      <x:c r="G39" s="6"/>
    </x:row>
    <x:row r="40" s="1" customFormat="1" ht="12.75" hidden="0" customHeight="1">
      <x:c r="A40" s="6"/>
      <x:c r="B40" s="6"/>
      <x:c r="C40" s="6"/>
      <x:c r="D40" s="6"/>
      <x:c r="E40" s="6"/>
      <x:c r="F40" s="6"/>
      <x:c r="G40" s="6"/>
    </x:row>
    <x:row r="41" s="1" customFormat="1" ht="12.75" hidden="0" customHeight="1">
      <x:c r="A41" s="6"/>
      <x:c r="B41" s="6"/>
      <x:c r="C41" s="6"/>
      <x:c r="D41" s="6"/>
      <x:c r="E41" s="6"/>
      <x:c r="F41" s="6"/>
      <x:c r="G41" s="6"/>
    </x:row>
    <x:row r="42" s="1" customFormat="1" ht="12.75" hidden="0" customHeight="1">
      <x:c r="A42" s="6"/>
      <x:c r="B42" s="6"/>
      <x:c r="C42" s="6"/>
      <x:c r="D42" s="6"/>
      <x:c r="E42" s="6"/>
      <x:c r="F42" s="6"/>
      <x:c r="G42" s="6"/>
    </x:row>
    <x:row r="43" s="1" customFormat="1" ht="12.75" hidden="0" customHeight="1">
      <x:c r="A43" s="6"/>
      <x:c r="B43" s="6"/>
      <x:c r="C43" s="6"/>
      <x:c r="D43" s="6"/>
      <x:c r="E43" s="6"/>
      <x:c r="F43" s="6"/>
      <x:c r="G43" s="6"/>
    </x:row>
    <x:row r="44" s="1" customFormat="1" ht="12.75" hidden="0" customHeight="1">
      <x:c r="A44" s="6"/>
      <x:c r="B44" s="6"/>
      <x:c r="C44" s="6"/>
      <x:c r="D44" s="6"/>
      <x:c r="E44" s="6"/>
      <x:c r="F44" s="6"/>
      <x:c r="G44" s="6"/>
    </x:row>
    <x:row r="45" s="1" customFormat="1" ht="12.75" hidden="0" customHeight="1">
      <x:c r="A45" s="6"/>
      <x:c r="B45" s="6"/>
      <x:c r="C45" s="6"/>
      <x:c r="D45" s="6"/>
      <x:c r="E45" s="6"/>
      <x:c r="F45" s="6"/>
      <x:c r="G45" s="6"/>
    </x:row>
    <x:row r="46" s="1" customFormat="1" ht="12.75" hidden="0" customHeight="1">
      <x:c r="A46" s="6"/>
      <x:c r="B46" s="6"/>
      <x:c r="C46" s="6"/>
      <x:c r="D46" s="6"/>
      <x:c r="E46" s="6"/>
      <x:c r="F46" s="6"/>
      <x:c r="G46" s="6"/>
    </x:row>
    <x:row r="47" s="1" customFormat="1" ht="12.75" hidden="0" customHeight="1">
      <x:c r="A47" s="6"/>
      <x:c r="B47" s="6"/>
      <x:c r="C47" s="6"/>
      <x:c r="D47" s="6"/>
      <x:c r="E47" s="6"/>
      <x:c r="F47" s="6"/>
      <x:c r="G47" s="6"/>
    </x:row>
    <x:row r="48" s="1" customFormat="1" ht="12.75" hidden="0" customHeight="1">
      <x:c r="A48" s="6"/>
      <x:c r="B48" s="6"/>
      <x:c r="C48" s="6"/>
      <x:c r="D48" s="6"/>
      <x:c r="E48" s="6"/>
      <x:c r="F48" s="6"/>
      <x:c r="G48" s="6"/>
    </x:row>
    <x:row r="49" s="1" customFormat="1" ht="12.75" hidden="0" customHeight="1">
      <x:c r="A49" s="6"/>
      <x:c r="B49" s="6"/>
      <x:c r="C49" s="6"/>
      <x:c r="D49" s="6"/>
      <x:c r="E49" s="6"/>
      <x:c r="F49" s="6"/>
      <x:c r="G49" s="6"/>
    </x:row>
    <x:row r="50" s="1" customFormat="1" ht="12.75" hidden="0" customHeight="1">
      <x:c r="A50" s="6"/>
      <x:c r="B50" s="6"/>
      <x:c r="C50" s="6"/>
      <x:c r="D50" s="6"/>
      <x:c r="E50" s="6"/>
      <x:c r="F50" s="6"/>
      <x:c r="G50" s="6"/>
    </x:row>
    <x:row r="51" s="1" customFormat="1" ht="12.75" hidden="0" customHeight="1">
      <x:c r="A51" s="6"/>
      <x:c r="B51" s="6"/>
      <x:c r="C51" s="6"/>
      <x:c r="D51" s="6"/>
      <x:c r="E51" s="6"/>
      <x:c r="F51" s="6"/>
      <x:c r="G51" s="6"/>
    </x:row>
    <x:row r="52" s="1" customFormat="1" ht="12.75" hidden="0" customHeight="1">
      <x:c r="A52" s="6"/>
      <x:c r="B52" s="6"/>
      <x:c r="C52" s="6"/>
      <x:c r="D52" s="6"/>
      <x:c r="E52" s="6"/>
      <x:c r="F52" s="6"/>
      <x:c r="G52" s="6"/>
    </x:row>
    <x:row r="53" s="1" customFormat="1" ht="12.75" hidden="0" customHeight="1">
      <x:c r="A53" s="6"/>
      <x:c r="B53" s="6"/>
      <x:c r="C53" s="6"/>
      <x:c r="D53" s="6"/>
      <x:c r="E53" s="6"/>
      <x:c r="F53" s="6"/>
      <x:c r="G53" s="6"/>
    </x:row>
    <x:row r="54" s="1" customFormat="1" ht="12.75" hidden="0" customHeight="1">
      <x:c r="A54" s="6"/>
      <x:c r="B54" s="6"/>
      <x:c r="C54" s="6"/>
      <x:c r="D54" s="6"/>
      <x:c r="E54" s="6"/>
      <x:c r="F54" s="6"/>
      <x:c r="G54" s="6"/>
    </x:row>
    <x:row r="55" s="1" customFormat="1" ht="12.75" hidden="0" customHeight="1">
      <x:c r="A55" s="6"/>
      <x:c r="B55" s="6"/>
      <x:c r="C55" s="6"/>
      <x:c r="D55" s="6"/>
      <x:c r="E55" s="6"/>
      <x:c r="F55" s="6"/>
      <x:c r="G55" s="6"/>
    </x:row>
    <x:row r="56" s="1" customFormat="1" ht="12.75" hidden="0" customHeight="1">
      <x:c r="A56" s="6"/>
      <x:c r="B56" s="6"/>
      <x:c r="C56" s="6"/>
      <x:c r="D56" s="6"/>
      <x:c r="E56" s="6"/>
      <x:c r="F56" s="6"/>
      <x:c r="G56" s="6"/>
    </x:row>
    <x:row r="57" s="1" customFormat="1" ht="12.75" hidden="0" customHeight="1">
      <x:c r="A57" s="6"/>
      <x:c r="B57" s="6"/>
      <x:c r="C57" s="6"/>
      <x:c r="D57" s="6"/>
      <x:c r="E57" s="6"/>
      <x:c r="F57" s="6"/>
      <x:c r="G57" s="6"/>
    </x:row>
    <x:row r="58" s="1" customFormat="1" ht="12.75" hidden="0" customHeight="1">
      <x:c r="A58" s="6"/>
      <x:c r="B58" s="6"/>
      <x:c r="C58" s="6"/>
      <x:c r="D58" s="6"/>
      <x:c r="E58" s="6"/>
      <x:c r="F58" s="6"/>
      <x:c r="G58" s="6"/>
    </x:row>
    <x:row r="59" s="1" customFormat="1" ht="12.75" hidden="0" customHeight="1">
      <x:c r="A59" s="6"/>
      <x:c r="B59" s="6"/>
      <x:c r="C59" s="6"/>
      <x:c r="D59" s="6"/>
      <x:c r="E59" s="6"/>
      <x:c r="F59" s="6"/>
      <x:c r="G59" s="6"/>
    </x:row>
    <x:row r="60" s="1" customFormat="1" ht="12.75" hidden="0" customHeight="1">
      <x:c r="A60" s="6"/>
      <x:c r="B60" s="6"/>
      <x:c r="C60" s="6"/>
      <x:c r="D60" s="6"/>
      <x:c r="E60" s="6"/>
      <x:c r="F60" s="6"/>
      <x:c r="G60" s="6"/>
    </x:row>
  </x:sheetData>
  <x:pageMargins left="0.7" right="0.7" top="0.75" bottom="0.75" header="0.3" footer="0.3"/>
</x:worksheet>
</file>

<file path=xl/worksheets/sheet41.xml><?xml version="1.0" encoding="utf-8"?>
<x:worksheet xmlns:x="http://schemas.openxmlformats.org/spreadsheetml/2006/main">
  <x:sheetViews>
    <x:sheetView showGridLines="1" workbookViewId="0"/>
  </x:sheetViews>
  <x:sheetFormatPr defaultColWidth="8.6796875" defaultRowHeight="12.75"/>
  <x:cols>
    <x:col min="1" max="7" width="36" style="1" hidden="0" customWidth="1"/>
  </x:cols>
  <x:sheetData>
    <x:row r="1" s="1" customFormat="1" ht="19.200000762939453" hidden="0" customHeight="1">
      <x:c r="A1" s="148" t="s">
        <x:v>3285</x:v>
      </x:c>
      <x:c r="B1" s="148"/>
      <x:c r="C1" s="148"/>
      <x:c r="D1" s="148"/>
      <x:c r="E1" s="148"/>
      <x:c r="F1" s="148"/>
      <x:c r="G1" s="148"/>
    </x:row>
    <x:row r="2" s="1" customFormat="1" ht="13.199999809265137" hidden="0" customHeight="1">
      <x:c r="A2" s="149" t="s">
        <x:v>3286</x:v>
      </x:c>
      <x:c r="B2" s="149"/>
      <x:c r="C2" s="149"/>
      <x:c r="D2" s="149"/>
      <x:c r="E2" s="149"/>
      <x:c r="F2" s="149"/>
      <x:c r="G2" s="149"/>
    </x:row>
    <x:row r="3" s="1" customFormat="1" ht="12.75" hidden="0" customHeight="1">
      <x:c r="A3" s="6"/>
      <x:c r="B3" s="6"/>
      <x:c r="C3" s="6"/>
      <x:c r="D3" s="6"/>
      <x:c r="E3" s="6"/>
      <x:c r="F3" s="6"/>
      <x:c r="G3" s="6"/>
    </x:row>
    <x:row r="4" s="1" customFormat="1" ht="13.199999809265137" hidden="0" customHeight="1">
      <x:c r="A4" s="150" t="s">
        <x:v>346</x:v>
      </x:c>
      <x:c r="B4" s="150" t="s">
        <x:v>1845</x:v>
      </x:c>
      <x:c r="C4" s="150" t="s">
        <x:v>458</x:v>
      </x:c>
      <x:c r="D4" s="150" t="s">
        <x:v>290</x:v>
      </x:c>
      <x:c r="E4" s="150" t="s">
        <x:v>3287</x:v>
      </x:c>
      <x:c r="F4" s="150" t="s">
        <x:v>349</x:v>
      </x:c>
      <x:c r="G4" s="150" t="s">
        <x:v>3288</x:v>
      </x:c>
    </x:row>
    <x:row r="5" s="1" customFormat="1" ht="13.199999809265137" hidden="0" customHeight="1">
      <x:c r="A5" s="151" t="s">
        <x:v>3289</x:v>
      </x:c>
      <x:c r="B5" s="152" t="s">
        <x:v>3290</x:v>
      </x:c>
      <x:c r="C5" s="152" t="s">
        <x:v>3291</x:v>
      </x:c>
      <x:c r="D5" s="152" t="s">
        <x:v>292</x:v>
      </x:c>
      <x:c r="E5" s="152" t="s">
        <x:v>3290</x:v>
      </x:c>
      <x:c r="F5" s="152" t="str">
        <x:f aca="0">IF(B5=E5,"MATCH","MISMATCH")</x:f>
        <x:v>MATCH</x:v>
      </x:c>
      <x:c r="G5" s="153" t="s">
        <x:v>3292</x:v>
      </x:c>
    </x:row>
    <x:row r="6" s="1" customFormat="1" ht="13.199999809265137" hidden="0" customHeight="1">
      <x:c r="A6" s="151" t="s">
        <x:v>3293</x:v>
      </x:c>
      <x:c r="B6" s="154" t="s">
        <x:v>953</x:v>
      </x:c>
      <x:c r="C6" s="154" t="s">
        <x:v>3294</x:v>
      </x:c>
      <x:c r="D6" s="154" t="s">
        <x:v>292</x:v>
      </x:c>
      <x:c r="E6" s="154" t="s">
        <x:v>953</x:v>
      </x:c>
      <x:c r="F6" s="154" t="str">
        <x:f aca="0">IF(B6=E6,"MATCH","MISMATCH")</x:f>
        <x:v>MATCH</x:v>
      </x:c>
      <x:c r="G6" s="153" t="s">
        <x:v>3295</x:v>
      </x:c>
    </x:row>
    <x:row r="7" s="1" customFormat="1" ht="24" hidden="0" customHeight="1">
      <x:c r="A7" s="151" t="s">
        <x:v>3296</x:v>
      </x:c>
      <x:c r="B7" s="152" t="s">
        <x:v>3297</x:v>
      </x:c>
      <x:c r="C7" s="152" t="s">
        <x:v>3298</x:v>
      </x:c>
      <x:c r="D7" s="152" t="s">
        <x:v>292</x:v>
      </x:c>
      <x:c r="E7" s="152" t="s">
        <x:v>3297</x:v>
      </x:c>
      <x:c r="F7" s="152" t="str">
        <x:f aca="0">IF(B7=E7,"MATCH","MISMATCH")</x:f>
        <x:v>MATCH</x:v>
      </x:c>
      <x:c r="G7" s="153" t="s">
        <x:v>3299</x:v>
      </x:c>
    </x:row>
    <x:row r="8" s="1" customFormat="1" ht="24" hidden="0" customHeight="1">
      <x:c r="A8" s="151" t="s">
        <x:v>3300</x:v>
      </x:c>
      <x:c r="B8" s="154" t="s">
        <x:v>3301</x:v>
      </x:c>
      <x:c r="C8" s="154" t="s">
        <x:v>3298</x:v>
      </x:c>
      <x:c r="D8" s="154" t="s">
        <x:v>292</x:v>
      </x:c>
      <x:c r="E8" s="154" t="s">
        <x:v>3301</x:v>
      </x:c>
      <x:c r="F8" s="154" t="str">
        <x:f aca="0">IF(B8=E8,"MATCH","MISMATCH")</x:f>
        <x:v>MATCH</x:v>
      </x:c>
      <x:c r="G8" s="153" t="s">
        <x:v>3302</x:v>
      </x:c>
    </x:row>
    <x:row r="9" s="1" customFormat="1" ht="13.199999809265137" hidden="0" customHeight="1">
      <x:c r="A9" s="151" t="s">
        <x:v>3303</x:v>
      </x:c>
      <x:c r="B9" s="152" t="s">
        <x:v>3304</x:v>
      </x:c>
      <x:c r="C9" s="152" t="s">
        <x:v>731</x:v>
      </x:c>
      <x:c r="D9" s="152" t="s">
        <x:v>292</x:v>
      </x:c>
      <x:c r="E9" s="152" t="s">
        <x:v>3304</x:v>
      </x:c>
      <x:c r="F9" s="152" t="str">
        <x:f aca="0">IF(B9=E9,"MATCH","MISMATCH")</x:f>
        <x:v>MATCH</x:v>
      </x:c>
      <x:c r="G9" s="153" t="s">
        <x:v>3305</x:v>
      </x:c>
    </x:row>
    <x:row r="10" s="1" customFormat="1" ht="13.199999809265137" hidden="0" customHeight="1">
      <x:c r="A10" s="151" t="s">
        <x:v>3306</x:v>
      </x:c>
      <x:c r="B10" s="154" t="s">
        <x:v>3307</x:v>
      </x:c>
      <x:c r="C10" s="154" t="s">
        <x:v>731</x:v>
      </x:c>
      <x:c r="D10" s="154" t="s">
        <x:v>292</x:v>
      </x:c>
      <x:c r="E10" s="154" t="s">
        <x:v>3307</x:v>
      </x:c>
      <x:c r="F10" s="154" t="str">
        <x:f aca="0">IF(B10=E10,"MATCH","MISMATCH")</x:f>
        <x:v>MATCH</x:v>
      </x:c>
      <x:c r="G10" s="153" t="s">
        <x:v>3308</x:v>
      </x:c>
    </x:row>
    <x:row r="11" s="1" customFormat="1" ht="24" hidden="0" customHeight="1">
      <x:c r="A11" s="151" t="s">
        <x:v>3309</x:v>
      </x:c>
      <x:c r="B11" s="152" t="s">
        <x:v>3310</x:v>
      </x:c>
      <x:c r="C11" s="152" t="s">
        <x:v>731</x:v>
      </x:c>
      <x:c r="D11" s="152" t="s">
        <x:v>292</x:v>
      </x:c>
      <x:c r="E11" s="152" t="s">
        <x:v>3310</x:v>
      </x:c>
      <x:c r="F11" s="152" t="str">
        <x:f aca="0">IF(B11=E11,"MATCH","MISMATCH")</x:f>
        <x:v>MATCH</x:v>
      </x:c>
      <x:c r="G11" s="153" t="s">
        <x:v>3311</x:v>
      </x:c>
    </x:row>
    <x:row r="12" s="1" customFormat="1" ht="24" hidden="0" customHeight="1">
      <x:c r="A12" s="151" t="s">
        <x:v>3312</x:v>
      </x:c>
      <x:c r="B12" s="154" t="s">
        <x:v>3313</x:v>
      </x:c>
      <x:c r="C12" s="154" t="s">
        <x:v>731</x:v>
      </x:c>
      <x:c r="D12" s="154" t="s">
        <x:v>292</x:v>
      </x:c>
      <x:c r="E12" s="154" t="s">
        <x:v>3313</x:v>
      </x:c>
      <x:c r="F12" s="154" t="str">
        <x:f aca="0">IF(B12=E12,"MATCH","MISMATCH")</x:f>
        <x:v>MATCH</x:v>
      </x:c>
      <x:c r="G12" s="153" t="s">
        <x:v>3314</x:v>
      </x:c>
    </x:row>
    <x:row r="13" s="1" customFormat="1" ht="13.199999809265137" hidden="0" customHeight="1">
      <x:c r="A13" s="151" t="s">
        <x:v>3315</x:v>
      </x:c>
      <x:c r="B13" s="152" t="s">
        <x:v>3316</x:v>
      </x:c>
      <x:c r="C13" s="152" t="s">
        <x:v>731</x:v>
      </x:c>
      <x:c r="D13" s="152" t="s">
        <x:v>292</x:v>
      </x:c>
      <x:c r="E13" s="152" t="s">
        <x:v>3316</x:v>
      </x:c>
      <x:c r="F13" s="152" t="str">
        <x:f aca="0">IF(B13=E13,"MATCH","MISMATCH")</x:f>
        <x:v>MATCH</x:v>
      </x:c>
      <x:c r="G13" s="153" t="s">
        <x:v>3317</x:v>
      </x:c>
    </x:row>
    <x:row r="14" s="1" customFormat="1" ht="13.199999809265137" hidden="0" customHeight="1">
      <x:c r="A14" s="151" t="s">
        <x:v>3318</x:v>
      </x:c>
      <x:c r="B14" s="154" t="str">
        <x:v>RG supported; RF/TRC/CSV pass; framework non-decisive; authority-selected A</x:v>
      </x:c>
      <x:c r="C14" s="154" t="s">
        <x:v>3294</x:v>
      </x:c>
      <x:c r="D14" s="154" t="s">
        <x:v>292</x:v>
      </x:c>
      <x:c r="E14" s="154" t="str">
        <x:v>RG supported; RF/TRC/CSV pass; framework non-decisive; authority-selected A</x:v>
      </x:c>
      <x:c r="F14" s="154" t="str">
        <x:f aca="0">IF(B14=E14,"MATCH","MISMATCH")</x:f>
        <x:v>MATCH</x:v>
      </x:c>
      <x:c r="G14" s="153" t="s">
        <x:v>3319</x:v>
      </x:c>
    </x:row>
    <x:row r="15" s="1" customFormat="1" ht="24" hidden="0" customHeight="1">
      <x:c r="A15" s="151" t="s">
        <x:v>3320</x:v>
      </x:c>
      <x:c r="B15" s="152" t="s">
        <x:v>3301</x:v>
      </x:c>
      <x:c r="C15" s="152" t="s">
        <x:v>3291</x:v>
      </x:c>
      <x:c r="D15" s="152" t="s">
        <x:v>292</x:v>
      </x:c>
      <x:c r="E15" s="152" t="s">
        <x:v>3301</x:v>
      </x:c>
      <x:c r="F15" s="152" t="str">
        <x:f aca="0">IF(B15=E15,"MATCH","MISMATCH")</x:f>
        <x:v>MATCH</x:v>
      </x:c>
      <x:c r="G15" s="153" t="s">
        <x:v>3321</x:v>
      </x:c>
    </x:row>
    <x:row r="16" s="1" customFormat="1" ht="26.399999618530273" hidden="0" customHeight="1">
      <x:c r="A16" s="151" t="s">
        <x:v>3322</x:v>
      </x:c>
      <x:c r="B16" s="154" t="s">
        <x:v>3323</x:v>
      </x:c>
      <x:c r="C16" s="154" t="s">
        <x:v>3324</x:v>
      </x:c>
      <x:c r="D16" s="154" t="s">
        <x:v>292</x:v>
      </x:c>
      <x:c r="E16" s="154" t="s">
        <x:v>3323</x:v>
      </x:c>
      <x:c r="F16" s="154" t="str">
        <x:f aca="0">IF(B16=E16,"MATCH","MISMATCH")</x:f>
        <x:v>MATCH</x:v>
      </x:c>
      <x:c r="G16" s="153" t="s">
        <x:v>3325</x:v>
      </x:c>
    </x:row>
    <x:row r="17" s="1" customFormat="1" ht="13.199999809265137" hidden="0" customHeight="1">
      <x:c r="A17" s="151" t="s">
        <x:v>3326</x:v>
      </x:c>
      <x:c r="B17" s="152" t="s">
        <x:v>3327</x:v>
      </x:c>
      <x:c r="C17" s="152" t="s">
        <x:v>731</x:v>
      </x:c>
      <x:c r="D17" s="152" t="s">
        <x:v>292</x:v>
      </x:c>
      <x:c r="E17" s="152" t="s">
        <x:v>3327</x:v>
      </x:c>
      <x:c r="F17" s="152" t="str">
        <x:f aca="0">IF(B17=E17,"MATCH","MISMATCH")</x:f>
        <x:v>MATCH</x:v>
      </x:c>
      <x:c r="G17" s="153" t="s">
        <x:v>3328</x:v>
      </x:c>
    </x:row>
    <x:row r="18" s="1" customFormat="1" ht="26.399999618530273" hidden="0" customHeight="1">
      <x:c r="A18" s="151" t="s">
        <x:v>3329</x:v>
      </x:c>
      <x:c r="B18" s="154" t="s">
        <x:v>2672</x:v>
      </x:c>
      <x:c r="C18" s="154" t="s">
        <x:v>3330</x:v>
      </x:c>
      <x:c r="D18" s="154" t="s">
        <x:v>292</x:v>
      </x:c>
      <x:c r="E18" s="154" t="s">
        <x:v>2672</x:v>
      </x:c>
      <x:c r="F18" s="154" t="str">
        <x:f aca="0">IF(B18=E18,"MATCH","MISMATCH")</x:f>
        <x:v>MATCH</x:v>
      </x:c>
      <x:c r="G18" s="154" t="s">
        <x:v>3331</x:v>
      </x:c>
    </x:row>
    <x:row r="19" s="1" customFormat="1" ht="24" hidden="0" customHeight="1">
      <x:c r="A19" s="151" t="s">
        <x:v>3332</x:v>
      </x:c>
      <x:c r="B19" s="152" t="s">
        <x:v>3316</x:v>
      </x:c>
      <x:c r="C19" s="152" t="s">
        <x:v>3333</x:v>
      </x:c>
      <x:c r="D19" s="152" t="s">
        <x:v>3334</x:v>
      </x:c>
      <x:c r="E19" s="152" t="s">
        <x:v>3316</x:v>
      </x:c>
      <x:c r="F19" s="152" t="str">
        <x:f aca="0">IF(B19=E19,"MATCH","MISMATCH")</x:f>
        <x:v>MATCH</x:v>
      </x:c>
      <x:c r="G19" s="153" t="s">
        <x:v>3335</x:v>
      </x:c>
    </x:row>
    <x:row r="20" s="1" customFormat="1" ht="13.199999809265137" hidden="0" customHeight="1">
      <x:c r="A20" s="151" t="s">
        <x:v>3336</x:v>
      </x:c>
      <x:c r="B20" s="154" t="s">
        <x:v>3337</x:v>
      </x:c>
      <x:c r="C20" s="154" t="s">
        <x:v>652</x:v>
      </x:c>
      <x:c r="D20" s="154" t="s">
        <x:v>292</x:v>
      </x:c>
      <x:c r="E20" s="154" t="s">
        <x:v>3337</x:v>
      </x:c>
      <x:c r="F20" s="154" t="str">
        <x:f aca="0">IF(B20=E20,"MATCH","MISMATCH")</x:f>
        <x:v>MATCH</x:v>
      </x:c>
      <x:c r="G20" s="153" t="s">
        <x:v>3338</x:v>
      </x:c>
    </x:row>
    <x:row r="21" s="1" customFormat="1" ht="13.199999809265137" hidden="0" customHeight="1">
      <x:c r="A21" s="151" t="s">
        <x:v>3339</x:v>
      </x:c>
      <x:c r="B21" s="152" t="s">
        <x:v>3340</x:v>
      </x:c>
      <x:c r="C21" s="152" t="s">
        <x:v>652</x:v>
      </x:c>
      <x:c r="D21" s="152" t="s">
        <x:v>292</x:v>
      </x:c>
      <x:c r="E21" s="152" t="s">
        <x:v>3340</x:v>
      </x:c>
      <x:c r="F21" s="152" t="str">
        <x:f aca="0">IF(B21=E21,"MATCH","MISMATCH")</x:f>
        <x:v>MATCH</x:v>
      </x:c>
      <x:c r="G21" s="153" t="s">
        <x:v>3341</x:v>
      </x:c>
    </x:row>
    <x:row r="22" s="1" customFormat="1" ht="24" hidden="0" customHeight="1">
      <x:c r="A22" s="151" t="s">
        <x:v>3342</x:v>
      </x:c>
      <x:c r="B22" s="154" t="s">
        <x:v>3343</x:v>
      </x:c>
      <x:c r="C22" s="154" t="s">
        <x:v>652</x:v>
      </x:c>
      <x:c r="D22" s="154" t="s">
        <x:v>292</x:v>
      </x:c>
      <x:c r="E22" s="154" t="s">
        <x:v>3343</x:v>
      </x:c>
      <x:c r="F22" s="154" t="str">
        <x:f aca="0">IF(B22=E22,"MATCH","MISMATCH")</x:f>
        <x:v>MATCH</x:v>
      </x:c>
      <x:c r="G22" s="153" t="s">
        <x:v>3344</x:v>
      </x:c>
    </x:row>
    <x:row r="23" s="1" customFormat="1" ht="24" hidden="0" customHeight="1">
      <x:c r="A23" s="151" t="s">
        <x:v>3345</x:v>
      </x:c>
      <x:c r="B23" s="152" t="s">
        <x:v>3346</x:v>
      </x:c>
      <x:c r="C23" s="152" t="s">
        <x:v>19</x:v>
      </x:c>
      <x:c r="D23" s="152" t="s">
        <x:v>292</x:v>
      </x:c>
      <x:c r="E23" s="152" t="s">
        <x:v>3346</x:v>
      </x:c>
      <x:c r="F23" s="152" t="str">
        <x:f aca="0">IF(B23=E23,"MATCH","MISMATCH")</x:f>
        <x:v>MATCH</x:v>
      </x:c>
      <x:c r="G23" s="153" t="s">
        <x:v>3347</x:v>
      </x:c>
    </x:row>
    <x:row r="24" s="1" customFormat="1" ht="13.199999809265137" hidden="0" customHeight="1">
      <x:c r="A24" s="151" t="s">
        <x:v>3258</x:v>
      </x:c>
      <x:c r="B24" s="154" t="s">
        <x:v>3348</x:v>
      </x:c>
      <x:c r="C24" s="154" t="s">
        <x:v>19</x:v>
      </x:c>
      <x:c r="D24" s="154" t="s">
        <x:v>292</x:v>
      </x:c>
      <x:c r="E24" s="154" t="s">
        <x:v>3348</x:v>
      </x:c>
      <x:c r="F24" s="154" t="str">
        <x:f aca="0">IF(B24=E24,"MATCH","MISMATCH")</x:f>
        <x:v>MATCH</x:v>
      </x:c>
      <x:c r="G24" s="153" t="s">
        <x:v>3349</x:v>
      </x:c>
    </x:row>
    <x:row r="25" s="1" customFormat="1" ht="24" hidden="0" customHeight="1">
      <x:c r="A25" s="151" t="s">
        <x:v>3350</x:v>
      </x:c>
      <x:c r="B25" s="152" t="s">
        <x:v>3351</x:v>
      </x:c>
      <x:c r="C25" s="152" t="s">
        <x:v>652</x:v>
      </x:c>
      <x:c r="D25" s="152" t="s">
        <x:v>292</x:v>
      </x:c>
      <x:c r="E25" s="152" t="s">
        <x:v>3351</x:v>
      </x:c>
      <x:c r="F25" s="152" t="str">
        <x:f aca="0">IF(B25=E25,"MATCH","MISMATCH")</x:f>
        <x:v>MATCH</x:v>
      </x:c>
      <x:c r="G25" s="153" t="s">
        <x:v>3352</x:v>
      </x:c>
    </x:row>
    <x:row r="26" s="1" customFormat="1" ht="12.75" hidden="0" customHeight="1">
      <x:c r="A26" s="153" t="s">
        <x:v>3353</x:v>
      </x:c>
      <x:c r="B26" s="153" t="s">
        <x:v>44</x:v>
      </x:c>
      <x:c r="C26" s="153" t="s">
        <x:v>3354</x:v>
      </x:c>
      <x:c r="D26" s="153" t="s">
        <x:v>292</x:v>
      </x:c>
      <x:c r="E26" s="153" t="s">
        <x:v>44</x:v>
      </x:c>
      <x:c r="F26" s="153" t="str">
        <x:f aca="0">IF(B26=E26,"MATCH","MISMATCH")</x:f>
        <x:v>MATCH</x:v>
      </x:c>
      <x:c r="G26" s="153" t="s">
        <x:v>3355</x:v>
      </x:c>
    </x:row>
    <x:row r="27" s="1" customFormat="1" ht="13.199999809265137" hidden="0" customHeight="1">
      <x:c r="A27" s="151"/>
      <x:c r="B27" s="152"/>
      <x:c r="C27" s="153"/>
      <x:c r="D27" s="152"/>
      <x:c r="E27" s="152"/>
      <x:c r="F27" s="152"/>
      <x:c r="G27" s="153"/>
    </x:row>
    <x:row r="28" s="1" customFormat="1" ht="26.399999618530273" hidden="0" customHeight="1">
      <x:c r="A28" s="151" t="s">
        <x:v>3356</x:v>
      </x:c>
      <x:c r="B28" s="154" t="s">
        <x:v>3357</x:v>
      </x:c>
      <x:c r="C28" s="153"/>
      <x:c r="D28" s="154" t="s">
        <x:v>292</x:v>
      </x:c>
      <x:c r="E28" s="154" t="s">
        <x:v>3357</x:v>
      </x:c>
      <x:c r="F28" s="154" t="str">
        <x:f aca="0">IF(AND(F5="MATCH",F6="MATCH",F7="MATCH",F8="MATCH",F9="MATCH",F10="MATCH",F11="MATCH",F12="MATCH",F13="MATCH",F14="MATCH",F15="MATCH",F16="MATCH",F17="MATCH",F18="MATCH",F19="MATCH",F20="MATCH",F21="MATCH",F22="MATCH",F23="MATCH",F24="MATCH",F25="MATCH",F26="MATCH"),"QUALIFIED_RECORD_COMPLETE","BLOCK_OR_REQUALIFY")</x:f>
        <x:v>QUALIFIED_RECORD_COMPLETE</x:v>
      </x:c>
      <x:c r="G28" s="153" t="s">
        <x:v>3358</x:v>
      </x:c>
    </x:row>
    <x:row r="29" s="1" customFormat="1" ht="12.75" hidden="0" customHeight="1">
      <x:c r="A29" s="153"/>
      <x:c r="B29" s="153"/>
      <x:c r="C29" s="153"/>
      <x:c r="D29" s="153"/>
      <x:c r="E29" s="153"/>
      <x:c r="F29" s="153"/>
      <x:c r="G29" s="153"/>
    </x:row>
    <x:row r="30" s="1" customFormat="1" ht="13.199999809265137" hidden="0" customHeight="1">
      <x:c r="A30" s="155" t="s">
        <x:v>3359</x:v>
      </x:c>
      <x:c r="B30" s="156" t="s">
        <x:v>1846</x:v>
      </x:c>
      <x:c r="C30" s="156" t="s">
        <x:v>3360</x:v>
      </x:c>
      <x:c r="D30" s="156" t="s">
        <x:v>2680</x:v>
      </x:c>
      <x:c r="E30" s="156" t="s">
        <x:v>3361</x:v>
      </x:c>
      <x:c r="F30" s="156" t="s">
        <x:v>1918</x:v>
      </x:c>
      <x:c r="G30" s="156" t="s">
        <x:v>3362</x:v>
      </x:c>
    </x:row>
    <x:row r="31" s="1" customFormat="1" ht="13.199999809265137" hidden="0" customHeight="1">
      <x:c r="A31" s="151" t="s">
        <x:v>3363</x:v>
      </x:c>
      <x:c r="B31" s="152" t="s">
        <x:v>3364</x:v>
      </x:c>
      <x:c r="C31" s="152" t="s">
        <x:v>3364</x:v>
      </x:c>
      <x:c r="D31" s="152" t="s">
        <x:v>351</x:v>
      </x:c>
      <x:c r="E31" s="152" t="s">
        <x:v>3365</x:v>
      </x:c>
      <x:c r="F31" s="152" t="s">
        <x:v>1931</x:v>
      </x:c>
      <x:c r="G31" s="152" t="s">
        <x:v>3366</x:v>
      </x:c>
    </x:row>
    <x:row r="32" s="1" customFormat="1" ht="26.399999618530273" hidden="0" customHeight="1">
      <x:c r="A32" s="151" t="s">
        <x:v>3367</x:v>
      </x:c>
      <x:c r="B32" s="154" t="s">
        <x:v>3368</x:v>
      </x:c>
      <x:c r="C32" s="154" t="s">
        <x:v>3368</x:v>
      </x:c>
      <x:c r="D32" s="154" t="s">
        <x:v>351</x:v>
      </x:c>
      <x:c r="E32" s="154" t="s">
        <x:v>3369</x:v>
      </x:c>
      <x:c r="F32" s="154" t="s">
        <x:v>3370</x:v>
      </x:c>
      <x:c r="G32" s="154" t="s">
        <x:v>3371</x:v>
      </x:c>
    </x:row>
    <x:row r="33" s="1" customFormat="1" ht="13.199999809265137" hidden="0" customHeight="1">
      <x:c r="A33" s="151" t="s">
        <x:v>3372</x:v>
      </x:c>
      <x:c r="B33" s="152" t="s">
        <x:v>3316</x:v>
      </x:c>
      <x:c r="C33" s="152" t="s">
        <x:v>3316</x:v>
      </x:c>
      <x:c r="D33" s="152" t="s">
        <x:v>351</x:v>
      </x:c>
      <x:c r="E33" s="152" t="s">
        <x:v>3373</x:v>
      </x:c>
      <x:c r="F33" s="152" t="s">
        <x:v>1944</x:v>
      </x:c>
      <x:c r="G33" s="152" t="s">
        <x:v>3374</x:v>
      </x:c>
    </x:row>
    <x:row r="34" s="1" customFormat="1" ht="13.199999809265137" hidden="0" customHeight="1">
      <x:c r="A34" s="151" t="s">
        <x:v>3375</x:v>
      </x:c>
      <x:c r="B34" s="154" t="s">
        <x:v>3316</x:v>
      </x:c>
      <x:c r="C34" s="154" t="s">
        <x:v>3316</x:v>
      </x:c>
      <x:c r="D34" s="154" t="s">
        <x:v>351</x:v>
      </x:c>
      <x:c r="E34" s="154" t="s">
        <x:v>3376</x:v>
      </x:c>
      <x:c r="F34" s="154" t="s">
        <x:v>3377</x:v>
      </x:c>
      <x:c r="G34" s="154" t="s">
        <x:v>3378</x:v>
      </x:c>
    </x:row>
    <x:row r="35" s="1" customFormat="1" ht="13.199999809265137" hidden="0" customHeight="1">
      <x:c r="A35" s="151" t="s">
        <x:v>3379</x:v>
      </x:c>
      <x:c r="B35" s="152" t="s">
        <x:v>2672</x:v>
      </x:c>
      <x:c r="C35" s="152" t="s">
        <x:v>2672</x:v>
      </x:c>
      <x:c r="D35" s="152" t="s">
        <x:v>351</x:v>
      </x:c>
      <x:c r="E35" s="152" t="s">
        <x:v>3380</x:v>
      </x:c>
      <x:c r="F35" s="152" t="s">
        <x:v>3381</x:v>
      </x:c>
      <x:c r="G35" s="152" t="s">
        <x:v>3382</x:v>
      </x:c>
    </x:row>
    <x:row r="36" s="1" customFormat="1" ht="26.399999618530273" hidden="0" customHeight="1">
      <x:c r="A36" s="151" t="s">
        <x:v>3383</x:v>
      </x:c>
      <x:c r="B36" s="154" t="s">
        <x:v>3384</x:v>
      </x:c>
      <x:c r="C36" s="154" t="s">
        <x:v>3384</x:v>
      </x:c>
      <x:c r="D36" s="154" t="s">
        <x:v>351</x:v>
      </x:c>
      <x:c r="E36" s="154" t="s">
        <x:v>3385</x:v>
      </x:c>
      <x:c r="F36" s="154" t="s">
        <x:v>3386</x:v>
      </x:c>
      <x:c r="G36" s="154" t="s">
        <x:v>3387</x:v>
      </x:c>
    </x:row>
    <x:row r="37" s="1" customFormat="1" ht="12.75" hidden="0" customHeight="1">
      <x:c r="A37" s="6"/>
      <x:c r="B37" s="6"/>
      <x:c r="C37" s="6"/>
      <x:c r="D37" s="6"/>
      <x:c r="E37" s="6"/>
      <x:c r="F37" s="6"/>
      <x:c r="G37" s="6"/>
    </x:row>
    <x:row r="38" s="1" customFormat="1" ht="12.75" hidden="0" customHeight="1">
      <x:c r="A38" s="6"/>
      <x:c r="B38" s="6"/>
      <x:c r="C38" s="6"/>
      <x:c r="D38" s="6"/>
      <x:c r="E38" s="6"/>
      <x:c r="F38" s="6"/>
      <x:c r="G38" s="6"/>
    </x:row>
    <x:row r="39" s="1" customFormat="1" ht="12.75" hidden="0" customHeight="1">
      <x:c r="A39" s="6"/>
      <x:c r="B39" s="6"/>
      <x:c r="C39" s="6"/>
      <x:c r="D39" s="6"/>
      <x:c r="E39" s="6"/>
      <x:c r="F39" s="6"/>
      <x:c r="G39" s="6"/>
    </x:row>
    <x:row r="40" s="1" customFormat="1" ht="12.75" hidden="0" customHeight="1">
      <x:c r="A40" s="6"/>
      <x:c r="B40" s="6"/>
      <x:c r="C40" s="6"/>
      <x:c r="D40" s="6"/>
      <x:c r="E40" s="6"/>
      <x:c r="F40" s="6"/>
      <x:c r="G40" s="6"/>
    </x:row>
    <x:row r="41" s="1" customFormat="1" ht="12.75" hidden="0" customHeight="1">
      <x:c r="A41" s="6"/>
      <x:c r="B41" s="6"/>
      <x:c r="C41" s="6"/>
      <x:c r="D41" s="6"/>
      <x:c r="E41" s="6"/>
      <x:c r="F41" s="6"/>
      <x:c r="G41" s="6"/>
    </x:row>
    <x:row r="42" s="1" customFormat="1" ht="12.75" hidden="0" customHeight="1">
      <x:c r="A42" s="6"/>
      <x:c r="B42" s="6"/>
      <x:c r="C42" s="6"/>
      <x:c r="D42" s="6"/>
      <x:c r="E42" s="6"/>
      <x:c r="F42" s="6"/>
      <x:c r="G42" s="6"/>
    </x:row>
    <x:row r="43" s="1" customFormat="1" ht="12.75" hidden="0" customHeight="1">
      <x:c r="A43" s="6"/>
      <x:c r="B43" s="6"/>
      <x:c r="C43" s="6"/>
      <x:c r="D43" s="6"/>
      <x:c r="E43" s="6"/>
      <x:c r="F43" s="6"/>
      <x:c r="G43" s="6"/>
    </x:row>
    <x:row r="44" s="1" customFormat="1" ht="12.75" hidden="0" customHeight="1">
      <x:c r="A44" s="6"/>
      <x:c r="B44" s="6"/>
      <x:c r="C44" s="6"/>
      <x:c r="D44" s="6"/>
      <x:c r="E44" s="6"/>
      <x:c r="F44" s="6"/>
      <x:c r="G44" s="6"/>
    </x:row>
    <x:row r="45" s="1" customFormat="1" ht="12.75" hidden="0" customHeight="1">
      <x:c r="A45" s="6"/>
      <x:c r="B45" s="6"/>
      <x:c r="C45" s="6"/>
      <x:c r="D45" s="6"/>
      <x:c r="E45" s="6"/>
      <x:c r="F45" s="6"/>
      <x:c r="G45" s="6"/>
    </x:row>
    <x:row r="46" s="1" customFormat="1" ht="12.75" hidden="0" customHeight="1">
      <x:c r="A46" s="6"/>
      <x:c r="B46" s="6"/>
      <x:c r="C46" s="6"/>
      <x:c r="D46" s="6"/>
      <x:c r="E46" s="6"/>
      <x:c r="F46" s="6"/>
      <x:c r="G46" s="6"/>
    </x:row>
    <x:row r="47" s="1" customFormat="1" ht="12.75" hidden="0" customHeight="1">
      <x:c r="A47" s="6"/>
      <x:c r="B47" s="6"/>
      <x:c r="C47" s="6"/>
      <x:c r="D47" s="6"/>
      <x:c r="E47" s="6"/>
      <x:c r="F47" s="6"/>
      <x:c r="G47" s="6"/>
    </x:row>
    <x:row r="48" s="1" customFormat="1" ht="12.75" hidden="0" customHeight="1">
      <x:c r="A48" s="6"/>
      <x:c r="B48" s="6"/>
      <x:c r="C48" s="6"/>
      <x:c r="D48" s="6"/>
      <x:c r="E48" s="6"/>
      <x:c r="F48" s="6"/>
      <x:c r="G48" s="6"/>
    </x:row>
    <x:row r="49" s="1" customFormat="1" ht="12.75" hidden="0" customHeight="1">
      <x:c r="A49" s="6"/>
      <x:c r="B49" s="6"/>
      <x:c r="C49" s="6"/>
      <x:c r="D49" s="6"/>
      <x:c r="E49" s="6"/>
      <x:c r="F49" s="6"/>
      <x:c r="G49" s="6"/>
    </x:row>
    <x:row r="50" s="1" customFormat="1" ht="12.75" hidden="0" customHeight="1">
      <x:c r="A50" s="6"/>
      <x:c r="B50" s="6"/>
      <x:c r="C50" s="6"/>
      <x:c r="D50" s="6"/>
      <x:c r="E50" s="6"/>
      <x:c r="F50" s="6"/>
      <x:c r="G50" s="6"/>
    </x:row>
    <x:row r="51" s="1" customFormat="1" ht="12.75" hidden="0" customHeight="1">
      <x:c r="A51" s="6"/>
      <x:c r="B51" s="6"/>
      <x:c r="C51" s="6"/>
      <x:c r="D51" s="6"/>
      <x:c r="E51" s="6"/>
      <x:c r="F51" s="6"/>
      <x:c r="G51" s="6"/>
    </x:row>
    <x:row r="52" s="1" customFormat="1" ht="12.75" hidden="0" customHeight="1">
      <x:c r="A52" s="6"/>
      <x:c r="B52" s="6"/>
      <x:c r="C52" s="6"/>
      <x:c r="D52" s="6"/>
      <x:c r="E52" s="6"/>
      <x:c r="F52" s="6"/>
      <x:c r="G52" s="6"/>
    </x:row>
    <x:row r="53" s="1" customFormat="1" ht="12.75" hidden="0" customHeight="1">
      <x:c r="A53" s="6"/>
      <x:c r="B53" s="6"/>
      <x:c r="C53" s="6"/>
      <x:c r="D53" s="6"/>
      <x:c r="E53" s="6"/>
      <x:c r="F53" s="6"/>
      <x:c r="G53" s="6"/>
    </x:row>
    <x:row r="54" s="1" customFormat="1" ht="12.75" hidden="0" customHeight="1">
      <x:c r="A54" s="6"/>
      <x:c r="B54" s="6"/>
      <x:c r="C54" s="6"/>
      <x:c r="D54" s="6"/>
      <x:c r="E54" s="6"/>
      <x:c r="F54" s="6"/>
      <x:c r="G54" s="6"/>
    </x:row>
    <x:row r="55" s="1" customFormat="1" ht="12.75" hidden="0" customHeight="1">
      <x:c r="A55" s="6"/>
      <x:c r="B55" s="6"/>
      <x:c r="C55" s="6"/>
      <x:c r="D55" s="6"/>
      <x:c r="E55" s="6"/>
      <x:c r="F55" s="6"/>
      <x:c r="G55" s="6"/>
    </x:row>
    <x:row r="56" s="1" customFormat="1" ht="12.75" hidden="0" customHeight="1">
      <x:c r="A56" s="6"/>
      <x:c r="B56" s="6"/>
      <x:c r="C56" s="6"/>
      <x:c r="D56" s="6"/>
      <x:c r="E56" s="6"/>
      <x:c r="F56" s="6"/>
      <x:c r="G56" s="6"/>
    </x:row>
    <x:row r="57" s="1" customFormat="1" ht="12.75" hidden="0" customHeight="1">
      <x:c r="A57" s="6"/>
      <x:c r="B57" s="6"/>
      <x:c r="C57" s="6"/>
      <x:c r="D57" s="6"/>
      <x:c r="E57" s="6"/>
      <x:c r="F57" s="6"/>
      <x:c r="G57" s="6"/>
    </x:row>
    <x:row r="58" s="1" customFormat="1" ht="12.75" hidden="0" customHeight="1">
      <x:c r="A58" s="6"/>
      <x:c r="B58" s="6"/>
      <x:c r="C58" s="6"/>
      <x:c r="D58" s="6"/>
      <x:c r="E58" s="6"/>
      <x:c r="F58" s="6"/>
      <x:c r="G58" s="6"/>
    </x:row>
    <x:row r="59" s="1" customFormat="1" ht="12.75" hidden="0" customHeight="1">
      <x:c r="A59" s="6"/>
      <x:c r="B59" s="6"/>
      <x:c r="C59" s="6"/>
      <x:c r="D59" s="6"/>
      <x:c r="E59" s="6"/>
      <x:c r="F59" s="6"/>
      <x:c r="G59" s="6"/>
    </x:row>
    <x:row r="60" s="1" customFormat="1" ht="12.75" hidden="0" customHeight="1">
      <x:c r="A60" s="6"/>
      <x:c r="B60" s="6"/>
      <x:c r="C60" s="6"/>
      <x:c r="D60" s="6"/>
      <x:c r="E60" s="6"/>
      <x:c r="F60" s="6"/>
      <x:c r="G60" s="6"/>
    </x:row>
  </x:sheetData>
  <x:mergeCells>
    <x:mergeCell ref="A1:G1"/>
    <x:mergeCell ref="A2:G2"/>
  </x:mergeCells>
  <x:pageMargins left="0.7" right="0.7" top="0.75" bottom="0.75" header="0.3" footer="0.3"/>
</x:worksheet>
</file>

<file path=xl/worksheets/sheet42.xml><?xml version="1.0" encoding="utf-8"?>
<x:worksheet xmlns:x="http://schemas.openxmlformats.org/spreadsheetml/2006/main">
  <x:sheetViews>
    <x:sheetView showGridLines="1" workbookViewId="0"/>
  </x:sheetViews>
  <x:sheetFormatPr defaultColWidth="8.6796875" defaultRowHeight="12.75"/>
  <x:cols>
    <x:col min="1" max="1" width="14" style="1" hidden="0" customWidth="1"/>
    <x:col min="2" max="2" width="36" style="1" hidden="0" customWidth="1"/>
    <x:col min="3" max="3" width="22" style="1" hidden="0" customWidth="1"/>
    <x:col min="4" max="4" width="28" style="1" hidden="0" customWidth="1"/>
    <x:col min="5" max="5" width="34" style="1" hidden="0" customWidth="1"/>
    <x:col min="6" max="6" width="36" style="1" hidden="0" customWidth="1"/>
    <x:col min="7" max="7" width="25" style="1" hidden="0" customWidth="1"/>
    <x:col min="8" max="8" width="16" style="1" hidden="0" customWidth="1"/>
    <x:col min="9" max="9" width="35" style="1" hidden="0" customWidth="1"/>
    <x:col min="10" max="12" width="36" style="1" hidden="0" customWidth="1"/>
    <x:col min="13" max="13" width="17.110000610351562" style="1" hidden="0" customWidth="1"/>
    <x:col min="14" max="14" width="45.560001373291016" style="1" hidden="0" customWidth="1"/>
    <x:col min="15" max="15" width="48.33000183105469" style="1" hidden="0" customWidth="1"/>
    <x:col min="16" max="18" width="16" style="1" hidden="0" customWidth="1"/>
  </x:cols>
  <x:sheetData>
    <x:row r="1" s="1" customFormat="1" ht="26.25" hidden="0" customHeight="1">
      <x:c r="A1" s="2" t="s">
        <x:v>3388</x:v>
      </x:c>
      <x:c r="B1" s="2" t="s">
        <x:v>3389</x:v>
      </x:c>
      <x:c r="C1" s="2" t="s">
        <x:v>3390</x:v>
      </x:c>
      <x:c r="D1" s="2" t="s">
        <x:v>3391</x:v>
      </x:c>
      <x:c r="E1" s="2" t="s">
        <x:v>3392</x:v>
      </x:c>
      <x:c r="F1" s="2" t="s">
        <x:v>3393</x:v>
      </x:c>
      <x:c r="G1" s="2" t="s">
        <x:v>3394</x:v>
      </x:c>
      <x:c r="H1" s="2" t="s">
        <x:v>3395</x:v>
      </x:c>
      <x:c r="I1" s="2" t="s">
        <x:v>3396</x:v>
      </x:c>
      <x:c r="J1" s="2" t="s">
        <x:v>3397</x:v>
      </x:c>
      <x:c r="K1" s="2" t="s">
        <x:v>3398</x:v>
      </x:c>
      <x:c r="L1" s="2" t="s">
        <x:v>3399</x:v>
      </x:c>
      <x:c r="M1" s="2" t="s">
        <x:v>3400</x:v>
      </x:c>
      <x:c r="N1" s="2" t="s">
        <x:v>3401</x:v>
      </x:c>
      <x:c r="O1" s="2" t="s">
        <x:v>3402</x:v>
      </x:c>
      <x:c r="P1" s="2" t="s">
        <x:v>3403</x:v>
      </x:c>
      <x:c r="Q1" s="2" t="s">
        <x:v>3404</x:v>
      </x:c>
      <x:c r="R1" s="2" t="s">
        <x:v>3405</x:v>
      </x:c>
    </x:row>
    <x:row r="2" s="1" customFormat="1" ht="92.25" hidden="0" customHeight="1">
      <x:c r="A2" s="4" t="s">
        <x:v>3406</x:v>
      </x:c>
      <x:c r="B2" s="5" t="s">
        <x:v>3407</x:v>
      </x:c>
      <x:c r="C2" s="5" t="s">
        <x:v>3408</x:v>
      </x:c>
      <x:c r="D2" s="5" t="s">
        <x:v>3409</x:v>
      </x:c>
      <x:c r="E2" s="5" t="s">
        <x:v>3410</x:v>
      </x:c>
      <x:c r="F2" s="5" t="s">
        <x:v>3411</x:v>
      </x:c>
      <x:c r="G2" s="5" t="s">
        <x:v>3412</x:v>
      </x:c>
      <x:c r="H2" s="5" t="s">
        <x:v>488</x:v>
      </x:c>
      <x:c r="I2" s="5" t="s">
        <x:v>3413</x:v>
      </x:c>
      <x:c r="J2" s="5" t="s">
        <x:v>3414</x:v>
      </x:c>
      <x:c r="K2" s="5" t="s">
        <x:v>3415</x:v>
      </x:c>
      <x:c r="L2" s="5" t="s">
        <x:v>3416</x:v>
      </x:c>
      <x:c r="M2" s="5" t="s">
        <x:v>3417</x:v>
      </x:c>
      <x:c r="N2" s="5" t="s">
        <x:v>3418</x:v>
      </x:c>
      <x:c r="O2" s="5" t="s">
        <x:v>3419</x:v>
      </x:c>
      <x:c r="P2" s="5" t="s">
        <x:v>3420</x:v>
      </x:c>
      <x:c r="Q2" s="5" t="s">
        <x:v>3211</x:v>
      </x:c>
      <x:c r="R2" s="5" t="s">
        <x:v>3421</x:v>
      </x:c>
    </x:row>
    <x:row r="3" s="1" customFormat="1" ht="12.75" hidden="0" customHeight="1">
      <x:c r="A3" s="6"/>
      <x:c r="B3" s="6"/>
      <x:c r="C3" s="6"/>
      <x:c r="D3" s="6"/>
      <x:c r="E3" s="6"/>
      <x:c r="F3" s="6"/>
      <x:c r="G3" s="6"/>
      <x:c r="H3" s="6"/>
      <x:c r="I3" s="6"/>
      <x:c r="J3" s="6"/>
      <x:c r="K3" s="6"/>
      <x:c r="L3" s="6"/>
      <x:c r="M3" s="6"/>
      <x:c r="N3" s="6"/>
      <x:c r="O3" s="6"/>
      <x:c r="P3" s="6"/>
      <x:c r="Q3" s="6"/>
      <x:c r="R3" s="6"/>
    </x:row>
    <x:row r="4" s="1" customFormat="1" ht="12.75" hidden="0" customHeight="1">
      <x:c r="A4" s="6"/>
      <x:c r="B4" s="6"/>
      <x:c r="C4" s="6"/>
      <x:c r="D4" s="6"/>
      <x:c r="E4" s="6"/>
      <x:c r="F4" s="6"/>
      <x:c r="G4" s="6"/>
      <x:c r="H4" s="6"/>
      <x:c r="I4" s="6"/>
      <x:c r="J4" s="6"/>
      <x:c r="K4" s="6"/>
      <x:c r="L4" s="6"/>
      <x:c r="M4" s="6"/>
      <x:c r="N4" s="6"/>
      <x:c r="O4" s="6"/>
      <x:c r="P4" s="6"/>
      <x:c r="Q4" s="6"/>
      <x:c r="R4" s="6"/>
    </x:row>
    <x:row r="5" s="1" customFormat="1" ht="12.75" hidden="0" customHeight="1">
      <x:c r="A5" s="6"/>
      <x:c r="B5" s="6"/>
      <x:c r="C5" s="6"/>
      <x:c r="D5" s="6"/>
      <x:c r="E5" s="6"/>
      <x:c r="F5" s="6"/>
      <x:c r="G5" s="6"/>
      <x:c r="H5" s="6"/>
      <x:c r="I5" s="6"/>
      <x:c r="J5" s="6"/>
      <x:c r="K5" s="6"/>
      <x:c r="L5" s="6"/>
      <x:c r="M5" s="6"/>
      <x:c r="N5" s="6"/>
      <x:c r="O5" s="6"/>
      <x:c r="P5" s="6"/>
      <x:c r="Q5" s="6"/>
      <x:c r="R5" s="6"/>
    </x:row>
    <x:row r="6" s="1" customFormat="1" ht="12.75" hidden="0" customHeight="1">
      <x:c r="A6" s="6"/>
      <x:c r="B6" s="6"/>
      <x:c r="C6" s="6"/>
      <x:c r="D6" s="6"/>
      <x:c r="E6" s="6"/>
      <x:c r="F6" s="6"/>
      <x:c r="G6" s="6"/>
      <x:c r="H6" s="6"/>
      <x:c r="I6" s="6"/>
      <x:c r="J6" s="6"/>
      <x:c r="K6" s="6"/>
      <x:c r="L6" s="6"/>
      <x:c r="M6" s="6"/>
      <x:c r="N6" s="6"/>
      <x:c r="O6" s="6"/>
      <x:c r="P6" s="6"/>
      <x:c r="Q6" s="6"/>
      <x:c r="R6" s="6"/>
    </x:row>
    <x:row r="7" s="1" customFormat="1" ht="12.75" hidden="0" customHeight="1">
      <x:c r="A7" s="6"/>
      <x:c r="B7" s="6"/>
      <x:c r="C7" s="6"/>
      <x:c r="D7" s="6"/>
      <x:c r="E7" s="6"/>
      <x:c r="F7" s="6"/>
      <x:c r="G7" s="6"/>
      <x:c r="H7" s="6"/>
      <x:c r="I7" s="6"/>
      <x:c r="J7" s="6"/>
      <x:c r="K7" s="6"/>
      <x:c r="L7" s="6"/>
      <x:c r="M7" s="6"/>
      <x:c r="N7" s="6"/>
      <x:c r="O7" s="6"/>
      <x:c r="P7" s="6"/>
      <x:c r="Q7" s="6"/>
      <x:c r="R7" s="6"/>
    </x:row>
    <x:row r="8" s="1" customFormat="1" ht="12.75" hidden="0" customHeight="1">
      <x:c r="A8" s="6"/>
      <x:c r="B8" s="6"/>
      <x:c r="C8" s="6"/>
      <x:c r="D8" s="6"/>
      <x:c r="E8" s="6"/>
      <x:c r="F8" s="6"/>
      <x:c r="G8" s="6"/>
      <x:c r="H8" s="6"/>
      <x:c r="I8" s="6"/>
      <x:c r="J8" s="6"/>
      <x:c r="K8" s="6"/>
      <x:c r="L8" s="6"/>
      <x:c r="M8" s="6"/>
      <x:c r="N8" s="6"/>
      <x:c r="O8" s="6"/>
      <x:c r="P8" s="6"/>
      <x:c r="Q8" s="6"/>
      <x:c r="R8" s="6"/>
    </x:row>
    <x:row r="9" s="1" customFormat="1" ht="12.75" hidden="0" customHeight="1">
      <x:c r="A9" s="6"/>
      <x:c r="B9" s="6"/>
      <x:c r="C9" s="6"/>
      <x:c r="D9" s="6"/>
      <x:c r="E9" s="6"/>
      <x:c r="F9" s="6"/>
      <x:c r="G9" s="6"/>
      <x:c r="H9" s="6"/>
      <x:c r="I9" s="6"/>
      <x:c r="J9" s="6"/>
      <x:c r="K9" s="6"/>
      <x:c r="L9" s="6"/>
      <x:c r="M9" s="6"/>
      <x:c r="N9" s="6"/>
      <x:c r="O9" s="6"/>
      <x:c r="P9" s="6"/>
      <x:c r="Q9" s="6"/>
      <x:c r="R9" s="6"/>
    </x:row>
    <x:row r="10" s="1" customFormat="1" ht="12.75" hidden="0" customHeight="1">
      <x:c r="A10" s="6"/>
      <x:c r="B10" s="6"/>
      <x:c r="C10" s="6"/>
      <x:c r="D10" s="6"/>
      <x:c r="E10" s="6"/>
      <x:c r="F10" s="6"/>
      <x:c r="G10" s="6"/>
      <x:c r="H10" s="6"/>
      <x:c r="I10" s="6"/>
      <x:c r="J10" s="6"/>
      <x:c r="K10" s="6"/>
      <x:c r="L10" s="6"/>
      <x:c r="M10" s="6"/>
      <x:c r="N10" s="6"/>
      <x:c r="O10" s="6"/>
      <x:c r="P10" s="6"/>
      <x:c r="Q10" s="6"/>
      <x:c r="R10" s="6"/>
    </x:row>
    <x:row r="11" s="1" customFormat="1" ht="12.75" hidden="0" customHeight="1">
      <x:c r="A11" s="6"/>
      <x:c r="B11" s="6"/>
      <x:c r="C11" s="6"/>
      <x:c r="D11" s="6"/>
      <x:c r="E11" s="6"/>
      <x:c r="F11" s="6"/>
      <x:c r="G11" s="6"/>
      <x:c r="H11" s="6"/>
      <x:c r="I11" s="6"/>
      <x:c r="J11" s="6"/>
      <x:c r="K11" s="6"/>
      <x:c r="L11" s="6"/>
      <x:c r="M11" s="6"/>
      <x:c r="N11" s="6"/>
      <x:c r="O11" s="6"/>
      <x:c r="P11" s="6"/>
      <x:c r="Q11" s="6"/>
      <x:c r="R11" s="6"/>
    </x:row>
    <x:row r="12" s="1" customFormat="1" ht="12.75" hidden="0" customHeight="1">
      <x:c r="A12" s="6"/>
      <x:c r="B12" s="6"/>
      <x:c r="C12" s="6"/>
      <x:c r="D12" s="6"/>
      <x:c r="E12" s="6"/>
      <x:c r="F12" s="6"/>
      <x:c r="G12" s="6"/>
      <x:c r="H12" s="6"/>
      <x:c r="I12" s="6"/>
      <x:c r="J12" s="6"/>
      <x:c r="K12" s="6"/>
      <x:c r="L12" s="6"/>
      <x:c r="M12" s="6"/>
      <x:c r="N12" s="6"/>
      <x:c r="O12" s="6"/>
      <x:c r="P12" s="6"/>
      <x:c r="Q12" s="6"/>
      <x:c r="R12" s="6"/>
    </x:row>
    <x:row r="13" s="1" customFormat="1" ht="12.75" hidden="0" customHeight="1">
      <x:c r="A13" s="6"/>
      <x:c r="B13" s="6"/>
      <x:c r="C13" s="6"/>
      <x:c r="D13" s="6"/>
      <x:c r="E13" s="6"/>
      <x:c r="F13" s="6"/>
      <x:c r="G13" s="6"/>
      <x:c r="H13" s="6"/>
      <x:c r="I13" s="6"/>
      <x:c r="J13" s="6"/>
      <x:c r="K13" s="6"/>
      <x:c r="L13" s="6"/>
      <x:c r="M13" s="6"/>
      <x:c r="N13" s="6"/>
      <x:c r="O13" s="6"/>
      <x:c r="P13" s="6"/>
      <x:c r="Q13" s="6"/>
      <x:c r="R13" s="6"/>
    </x:row>
    <x:row r="14" s="1" customFormat="1" ht="12.75" hidden="0" customHeight="1">
      <x:c r="A14" s="6"/>
      <x:c r="B14" s="6"/>
      <x:c r="C14" s="6"/>
      <x:c r="D14" s="6"/>
      <x:c r="E14" s="6"/>
      <x:c r="F14" s="6"/>
      <x:c r="G14" s="6"/>
      <x:c r="H14" s="6"/>
      <x:c r="I14" s="6"/>
      <x:c r="J14" s="6"/>
      <x:c r="K14" s="6"/>
      <x:c r="L14" s="6"/>
      <x:c r="M14" s="6"/>
      <x:c r="N14" s="6"/>
      <x:c r="O14" s="6"/>
      <x:c r="P14" s="6"/>
      <x:c r="Q14" s="6"/>
      <x:c r="R14" s="6"/>
    </x:row>
    <x:row r="15" s="1" customFormat="1" ht="12.75" hidden="0" customHeight="1">
      <x:c r="A15" s="6"/>
      <x:c r="B15" s="6"/>
      <x:c r="C15" s="6"/>
      <x:c r="D15" s="6"/>
      <x:c r="E15" s="6"/>
      <x:c r="F15" s="6"/>
      <x:c r="G15" s="6"/>
      <x:c r="H15" s="6"/>
      <x:c r="I15" s="6"/>
      <x:c r="J15" s="6"/>
      <x:c r="K15" s="6"/>
      <x:c r="L15" s="6"/>
      <x:c r="M15" s="6"/>
      <x:c r="N15" s="6"/>
      <x:c r="O15" s="6"/>
      <x:c r="P15" s="6"/>
      <x:c r="Q15" s="6"/>
      <x:c r="R15" s="6"/>
    </x:row>
    <x:row r="16" s="1" customFormat="1" ht="12.75" hidden="0" customHeight="1">
      <x:c r="A16" s="6"/>
      <x:c r="B16" s="6"/>
      <x:c r="C16" s="6"/>
      <x:c r="D16" s="6"/>
      <x:c r="E16" s="6"/>
      <x:c r="F16" s="6"/>
      <x:c r="G16" s="6"/>
      <x:c r="H16" s="6"/>
      <x:c r="I16" s="6"/>
      <x:c r="J16" s="6"/>
      <x:c r="K16" s="6"/>
      <x:c r="L16" s="6"/>
      <x:c r="M16" s="6"/>
      <x:c r="N16" s="6"/>
      <x:c r="O16" s="6"/>
      <x:c r="P16" s="6"/>
      <x:c r="Q16" s="6"/>
      <x:c r="R16" s="6"/>
    </x:row>
    <x:row r="17" s="1" customFormat="1" ht="12.75" hidden="0" customHeight="1">
      <x:c r="A17" s="6"/>
      <x:c r="B17" s="6"/>
      <x:c r="C17" s="6"/>
      <x:c r="D17" s="6"/>
      <x:c r="E17" s="6"/>
      <x:c r="F17" s="6"/>
      <x:c r="G17" s="6"/>
      <x:c r="H17" s="6"/>
      <x:c r="I17" s="6"/>
      <x:c r="J17" s="6"/>
      <x:c r="K17" s="6"/>
      <x:c r="L17" s="6"/>
      <x:c r="M17" s="6"/>
      <x:c r="N17" s="6"/>
      <x:c r="O17" s="6"/>
      <x:c r="P17" s="6"/>
      <x:c r="Q17" s="6"/>
      <x:c r="R17" s="6"/>
    </x:row>
    <x:row r="18" s="1" customFormat="1" ht="12.75" hidden="0" customHeight="1">
      <x:c r="A18" s="6"/>
      <x:c r="B18" s="6"/>
      <x:c r="C18" s="6"/>
      <x:c r="D18" s="6"/>
      <x:c r="E18" s="6"/>
      <x:c r="F18" s="6"/>
      <x:c r="G18" s="6"/>
      <x:c r="H18" s="6"/>
      <x:c r="I18" s="6"/>
      <x:c r="J18" s="6"/>
      <x:c r="K18" s="6"/>
      <x:c r="L18" s="6"/>
      <x:c r="M18" s="6"/>
      <x:c r="N18" s="6"/>
      <x:c r="O18" s="6"/>
      <x:c r="P18" s="6"/>
      <x:c r="Q18" s="6"/>
      <x:c r="R18" s="6"/>
    </x:row>
    <x:row r="19" s="1" customFormat="1" ht="12.75" hidden="0" customHeight="1">
      <x:c r="A19" s="6"/>
      <x:c r="B19" s="6"/>
      <x:c r="C19" s="6"/>
      <x:c r="D19" s="6"/>
      <x:c r="E19" s="6"/>
      <x:c r="F19" s="6"/>
      <x:c r="G19" s="6"/>
      <x:c r="H19" s="6"/>
      <x:c r="I19" s="6"/>
      <x:c r="J19" s="6"/>
      <x:c r="K19" s="6"/>
      <x:c r="L19" s="6"/>
      <x:c r="M19" s="6"/>
      <x:c r="N19" s="6"/>
      <x:c r="O19" s="6"/>
      <x:c r="P19" s="6"/>
      <x:c r="Q19" s="6"/>
      <x:c r="R19" s="6"/>
    </x:row>
    <x:row r="20" s="1" customFormat="1" ht="12.75" hidden="0" customHeight="1">
      <x:c r="A20" s="6"/>
      <x:c r="B20" s="6"/>
      <x:c r="C20" s="6"/>
      <x:c r="D20" s="6"/>
      <x:c r="E20" s="6"/>
      <x:c r="F20" s="6"/>
      <x:c r="G20" s="6"/>
      <x:c r="H20" s="6"/>
      <x:c r="I20" s="6"/>
      <x:c r="J20" s="6"/>
      <x:c r="K20" s="6"/>
      <x:c r="L20" s="6"/>
      <x:c r="M20" s="6"/>
      <x:c r="N20" s="6"/>
      <x:c r="O20" s="6"/>
      <x:c r="P20" s="6"/>
      <x:c r="Q20" s="6"/>
      <x:c r="R20" s="6"/>
    </x:row>
  </x:sheetData>
  <x:pageMargins left="0.7" right="0.7" top="0.75" bottom="0.75" header="0.3" footer="0.3"/>
</x:worksheet>
</file>

<file path=xl/worksheets/sheet43.xml><?xml version="1.0" encoding="utf-8"?>
<x:worksheet xmlns:x="http://schemas.openxmlformats.org/spreadsheetml/2006/main">
  <x:sheetViews>
    <x:sheetView showGridLines="1" workbookViewId="0"/>
  </x:sheetViews>
  <x:sheetFormatPr defaultColWidth="8.6796875" defaultRowHeight="12.75"/>
  <x:cols>
    <x:col min="1" max="1" width="16" style="1" hidden="0" customWidth="1"/>
    <x:col min="2" max="2" width="21" style="1" hidden="0" customWidth="1"/>
    <x:col min="3" max="3" width="30" style="1" hidden="0" customWidth="1"/>
    <x:col min="4" max="4" width="36" style="1" hidden="0" customWidth="1"/>
    <x:col min="5" max="5" width="16" style="1" hidden="0" customWidth="1"/>
    <x:col min="6" max="6" width="36" style="1" hidden="0" customWidth="1"/>
    <x:col min="7" max="7" width="32" style="1" hidden="0" customWidth="1"/>
    <x:col min="8" max="9" width="16" style="1" hidden="0" customWidth="1"/>
    <x:col min="10" max="10" width="36" style="1" hidden="0" customWidth="1"/>
  </x:cols>
  <x:sheetData>
    <x:row r="1" s="1" customFormat="1" ht="26.25" hidden="0" customHeight="1">
      <x:c r="A1" s="2" t="s">
        <x:v>3422</x:v>
      </x:c>
      <x:c r="B1" s="2" t="s">
        <x:v>3423</x:v>
      </x:c>
      <x:c r="C1" s="2" t="s">
        <x:v>3424</x:v>
      </x:c>
      <x:c r="D1" s="2" t="s">
        <x:v>3425</x:v>
      </x:c>
      <x:c r="E1" s="2" t="s">
        <x:v>3426</x:v>
      </x:c>
      <x:c r="F1" s="2" t="s">
        <x:v>3427</x:v>
      </x:c>
      <x:c r="G1" s="2" t="s">
        <x:v>3428</x:v>
      </x:c>
      <x:c r="H1" s="2" t="s">
        <x:v>3429</x:v>
      </x:c>
      <x:c r="I1" s="2" t="s">
        <x:v>3430</x:v>
      </x:c>
      <x:c r="J1" s="2" t="s">
        <x:v>3431</x:v>
      </x:c>
    </x:row>
    <x:row r="2" s="1" customFormat="1" ht="26.25" hidden="0" customHeight="1">
      <x:c r="A2" s="4" t="s">
        <x:v>3432</x:v>
      </x:c>
      <x:c r="B2" s="5" t="s">
        <x:v>3406</x:v>
      </x:c>
      <x:c r="C2" s="5" t="s">
        <x:v>3433</x:v>
      </x:c>
      <x:c r="D2" s="5" t="s">
        <x:v>3434</x:v>
      </x:c>
      <x:c r="E2" s="5" t="s">
        <x:v>351</x:v>
      </x:c>
      <x:c r="F2" s="5" t="s">
        <x:v>3435</x:v>
      </x:c>
      <x:c r="G2" s="5" t="s">
        <x:v>3436</x:v>
      </x:c>
      <x:c r="H2" s="6"/>
      <x:c r="I2" s="5" t="s">
        <x:v>2074</x:v>
      </x:c>
      <x:c r="J2" s="5" t="s">
        <x:v>3437</x:v>
      </x:c>
    </x:row>
    <x:row r="3" s="1" customFormat="1" ht="26.25" hidden="0" customHeight="1">
      <x:c r="A3" s="7" t="s">
        <x:v>3438</x:v>
      </x:c>
      <x:c r="B3" s="8" t="s">
        <x:v>3439</x:v>
      </x:c>
      <x:c r="C3" s="8" t="s">
        <x:v>3440</x:v>
      </x:c>
      <x:c r="D3" s="8" t="s">
        <x:v>3441</x:v>
      </x:c>
      <x:c r="E3" s="8" t="s">
        <x:v>3442</x:v>
      </x:c>
      <x:c r="F3" s="8" t="s">
        <x:v>3443</x:v>
      </x:c>
      <x:c r="G3" s="8" t="s">
        <x:v>3444</x:v>
      </x:c>
      <x:c r="H3" s="6"/>
      <x:c r="I3" s="8" t="s">
        <x:v>2074</x:v>
      </x:c>
      <x:c r="J3" s="8" t="s">
        <x:v>3445</x:v>
      </x:c>
    </x:row>
    <x:row r="4" s="1" customFormat="1" ht="12.75" hidden="0" customHeight="1">
      <x:c r="A4" s="6"/>
      <x:c r="B4" s="6"/>
      <x:c r="C4" s="6"/>
      <x:c r="D4" s="6"/>
      <x:c r="E4" s="6"/>
      <x:c r="F4" s="6"/>
      <x:c r="G4" s="6"/>
      <x:c r="H4" s="6"/>
      <x:c r="I4" s="6"/>
      <x:c r="J4" s="6"/>
    </x:row>
    <x:row r="5" s="1" customFormat="1" ht="12.75" hidden="0" customHeight="1">
      <x:c r="A5" s="6"/>
      <x:c r="B5" s="6"/>
      <x:c r="C5" s="6"/>
      <x:c r="D5" s="6"/>
      <x:c r="E5" s="6"/>
      <x:c r="F5" s="6"/>
      <x:c r="G5" s="6"/>
      <x:c r="H5" s="6"/>
      <x:c r="I5" s="6"/>
      <x:c r="J5" s="6"/>
    </x:row>
    <x:row r="6" s="1" customFormat="1" ht="12.75" hidden="0" customHeight="1">
      <x:c r="A6" s="6"/>
      <x:c r="B6" s="6"/>
      <x:c r="C6" s="6"/>
      <x:c r="D6" s="6"/>
      <x:c r="E6" s="6"/>
      <x:c r="F6" s="6"/>
      <x:c r="G6" s="6"/>
      <x:c r="H6" s="6"/>
      <x:c r="I6" s="6"/>
      <x:c r="J6" s="6"/>
    </x:row>
    <x:row r="7" s="1" customFormat="1" ht="12.75" hidden="0" customHeight="1">
      <x:c r="A7" s="6"/>
      <x:c r="B7" s="6"/>
      <x:c r="C7" s="6"/>
      <x:c r="D7" s="6"/>
      <x:c r="E7" s="6"/>
      <x:c r="F7" s="6"/>
      <x:c r="G7" s="6"/>
      <x:c r="H7" s="6"/>
      <x:c r="I7" s="6"/>
      <x:c r="J7" s="6"/>
    </x:row>
    <x:row r="8" s="1" customFormat="1" ht="12.75" hidden="0" customHeight="1">
      <x:c r="A8" s="6"/>
      <x:c r="B8" s="6"/>
      <x:c r="C8" s="6"/>
      <x:c r="D8" s="6"/>
      <x:c r="E8" s="6"/>
      <x:c r="F8" s="6"/>
      <x:c r="G8" s="6"/>
      <x:c r="H8" s="6"/>
      <x:c r="I8" s="6"/>
      <x:c r="J8" s="6"/>
    </x:row>
    <x:row r="9" s="1" customFormat="1" ht="12.75" hidden="0" customHeight="1">
      <x:c r="A9" s="6"/>
      <x:c r="B9" s="6"/>
      <x:c r="C9" s="6"/>
      <x:c r="D9" s="6"/>
      <x:c r="E9" s="6"/>
      <x:c r="F9" s="6"/>
      <x:c r="G9" s="6"/>
      <x:c r="H9" s="6"/>
      <x:c r="I9" s="6"/>
      <x:c r="J9" s="6"/>
    </x:row>
    <x:row r="10" s="1" customFormat="1" ht="12.75" hidden="0" customHeight="1">
      <x:c r="A10" s="6"/>
      <x:c r="B10" s="6"/>
      <x:c r="C10" s="6"/>
      <x:c r="D10" s="6"/>
      <x:c r="E10" s="6"/>
      <x:c r="F10" s="6"/>
      <x:c r="G10" s="6"/>
      <x:c r="H10" s="6"/>
      <x:c r="I10" s="6"/>
      <x:c r="J10" s="6"/>
    </x:row>
    <x:row r="11" s="1" customFormat="1" ht="12.75" hidden="0" customHeight="1">
      <x:c r="A11" s="6"/>
      <x:c r="B11" s="6"/>
      <x:c r="C11" s="6"/>
      <x:c r="D11" s="6"/>
      <x:c r="E11" s="6"/>
      <x:c r="F11" s="6"/>
      <x:c r="G11" s="6"/>
      <x:c r="H11" s="6"/>
      <x:c r="I11" s="6"/>
      <x:c r="J11" s="6"/>
    </x:row>
    <x:row r="12" s="1" customFormat="1" ht="12.75" hidden="0" customHeight="1">
      <x:c r="A12" s="6"/>
      <x:c r="B12" s="6"/>
      <x:c r="C12" s="6"/>
      <x:c r="D12" s="6"/>
      <x:c r="E12" s="6"/>
      <x:c r="F12" s="6"/>
      <x:c r="G12" s="6"/>
      <x:c r="H12" s="6"/>
      <x:c r="I12" s="6"/>
      <x:c r="J12" s="6"/>
    </x:row>
    <x:row r="13" s="1" customFormat="1" ht="12.75" hidden="0" customHeight="1">
      <x:c r="A13" s="6"/>
      <x:c r="B13" s="6"/>
      <x:c r="C13" s="6"/>
      <x:c r="D13" s="6"/>
      <x:c r="E13" s="6"/>
      <x:c r="F13" s="6"/>
      <x:c r="G13" s="6"/>
      <x:c r="H13" s="6"/>
      <x:c r="I13" s="6"/>
      <x:c r="J13" s="6"/>
    </x:row>
    <x:row r="14" s="1" customFormat="1" ht="12.75" hidden="0" customHeight="1">
      <x:c r="A14" s="6"/>
      <x:c r="B14" s="6"/>
      <x:c r="C14" s="6"/>
      <x:c r="D14" s="6"/>
      <x:c r="E14" s="6"/>
      <x:c r="F14" s="6"/>
      <x:c r="G14" s="6"/>
      <x:c r="H14" s="6"/>
      <x:c r="I14" s="6"/>
      <x:c r="J14" s="6"/>
    </x:row>
    <x:row r="15" s="1" customFormat="1" ht="12.75" hidden="0" customHeight="1">
      <x:c r="A15" s="6"/>
      <x:c r="B15" s="6"/>
      <x:c r="C15" s="6"/>
      <x:c r="D15" s="6"/>
      <x:c r="E15" s="6"/>
      <x:c r="F15" s="6"/>
      <x:c r="G15" s="6"/>
      <x:c r="H15" s="6"/>
      <x:c r="I15" s="6"/>
      <x:c r="J15" s="6"/>
    </x:row>
    <x:row r="16" s="1" customFormat="1" ht="12.75" hidden="0" customHeight="1">
      <x:c r="A16" s="6"/>
      <x:c r="B16" s="6"/>
      <x:c r="C16" s="6"/>
      <x:c r="D16" s="6"/>
      <x:c r="E16" s="6"/>
      <x:c r="F16" s="6"/>
      <x:c r="G16" s="6"/>
      <x:c r="H16" s="6"/>
      <x:c r="I16" s="6"/>
      <x:c r="J16" s="6"/>
    </x:row>
    <x:row r="17" s="1" customFormat="1" ht="12.75" hidden="0" customHeight="1">
      <x:c r="A17" s="6"/>
      <x:c r="B17" s="6"/>
      <x:c r="C17" s="6"/>
      <x:c r="D17" s="6"/>
      <x:c r="E17" s="6"/>
      <x:c r="F17" s="6"/>
      <x:c r="G17" s="6"/>
      <x:c r="H17" s="6"/>
      <x:c r="I17" s="6"/>
      <x:c r="J17" s="6"/>
    </x:row>
    <x:row r="18" s="1" customFormat="1" ht="12.75" hidden="0" customHeight="1">
      <x:c r="A18" s="6"/>
      <x:c r="B18" s="6"/>
      <x:c r="C18" s="6"/>
      <x:c r="D18" s="6"/>
      <x:c r="E18" s="6"/>
      <x:c r="F18" s="6"/>
      <x:c r="G18" s="6"/>
      <x:c r="H18" s="6"/>
      <x:c r="I18" s="6"/>
      <x:c r="J18" s="6"/>
    </x:row>
    <x:row r="19" s="1" customFormat="1" ht="12.75" hidden="0" customHeight="1">
      <x:c r="A19" s="6"/>
      <x:c r="B19" s="6"/>
      <x:c r="C19" s="6"/>
      <x:c r="D19" s="6"/>
      <x:c r="E19" s="6"/>
      <x:c r="F19" s="6"/>
      <x:c r="G19" s="6"/>
      <x:c r="H19" s="6"/>
      <x:c r="I19" s="6"/>
      <x:c r="J19" s="6"/>
    </x:row>
    <x:row r="20" s="1" customFormat="1" ht="12.75" hidden="0" customHeight="1">
      <x:c r="A20" s="6"/>
      <x:c r="B20" s="6"/>
      <x:c r="C20" s="6"/>
      <x:c r="D20" s="6"/>
      <x:c r="E20" s="6"/>
      <x:c r="F20" s="6"/>
      <x:c r="G20" s="6"/>
      <x:c r="H20" s="6"/>
      <x:c r="I20" s="6"/>
      <x:c r="J20" s="6"/>
    </x:row>
    <x:row r="21" s="1" customFormat="1" ht="12.75" hidden="0" customHeight="1">
      <x:c r="A21" s="6"/>
      <x:c r="B21" s="6"/>
      <x:c r="C21" s="6"/>
      <x:c r="D21" s="6"/>
      <x:c r="E21" s="6"/>
      <x:c r="F21" s="6"/>
      <x:c r="G21" s="6"/>
      <x:c r="H21" s="6"/>
      <x:c r="I21" s="6"/>
      <x:c r="J21" s="6"/>
    </x:row>
    <x:row r="22" s="1" customFormat="1" ht="12.75" hidden="0" customHeight="1">
      <x:c r="A22" s="6"/>
      <x:c r="B22" s="6"/>
      <x:c r="C22" s="6"/>
      <x:c r="D22" s="6"/>
      <x:c r="E22" s="6"/>
      <x:c r="F22" s="6"/>
      <x:c r="G22" s="6"/>
      <x:c r="H22" s="6"/>
      <x:c r="I22" s="6"/>
      <x:c r="J22" s="6"/>
    </x:row>
    <x:row r="23" s="1" customFormat="1" ht="12.75" hidden="0" customHeight="1">
      <x:c r="A23" s="6"/>
      <x:c r="B23" s="6"/>
      <x:c r="C23" s="6"/>
      <x:c r="D23" s="6"/>
      <x:c r="E23" s="6"/>
      <x:c r="F23" s="6"/>
      <x:c r="G23" s="6"/>
      <x:c r="H23" s="6"/>
      <x:c r="I23" s="6"/>
      <x:c r="J23" s="6"/>
    </x:row>
    <x:row r="24" s="1" customFormat="1" ht="12.75" hidden="0" customHeight="1">
      <x:c r="A24" s="6"/>
      <x:c r="B24" s="6"/>
      <x:c r="C24" s="6"/>
      <x:c r="D24" s="6"/>
      <x:c r="E24" s="6"/>
      <x:c r="F24" s="6"/>
      <x:c r="G24" s="6"/>
      <x:c r="H24" s="6"/>
      <x:c r="I24" s="6"/>
      <x:c r="J24" s="6"/>
    </x:row>
    <x:row r="25" s="1" customFormat="1" ht="12.75" hidden="0" customHeight="1">
      <x:c r="A25" s="6"/>
      <x:c r="B25" s="6"/>
      <x:c r="C25" s="6"/>
      <x:c r="D25" s="6"/>
      <x:c r="E25" s="6"/>
      <x:c r="F25" s="6"/>
      <x:c r="G25" s="6"/>
      <x:c r="H25" s="6"/>
      <x:c r="I25" s="6"/>
      <x:c r="J25" s="6"/>
    </x:row>
    <x:row r="26" s="1" customFormat="1" ht="12.75" hidden="0" customHeight="1">
      <x:c r="A26" s="6"/>
      <x:c r="B26" s="6"/>
      <x:c r="C26" s="6"/>
      <x:c r="D26" s="6"/>
      <x:c r="E26" s="6"/>
      <x:c r="F26" s="6"/>
      <x:c r="G26" s="6"/>
      <x:c r="H26" s="6"/>
      <x:c r="I26" s="6"/>
      <x:c r="J26" s="6"/>
    </x:row>
    <x:row r="27" s="1" customFormat="1" ht="12.75" hidden="0" customHeight="1">
      <x:c r="A27" s="6"/>
      <x:c r="B27" s="6"/>
      <x:c r="C27" s="6"/>
      <x:c r="D27" s="6"/>
      <x:c r="E27" s="6"/>
      <x:c r="F27" s="6"/>
      <x:c r="G27" s="6"/>
      <x:c r="H27" s="6"/>
      <x:c r="I27" s="6"/>
      <x:c r="J27" s="6"/>
    </x:row>
    <x:row r="28" s="1" customFormat="1" ht="12.75" hidden="0" customHeight="1">
      <x:c r="A28" s="6"/>
      <x:c r="B28" s="6"/>
      <x:c r="C28" s="6"/>
      <x:c r="D28" s="6"/>
      <x:c r="E28" s="6"/>
      <x:c r="F28" s="6"/>
      <x:c r="G28" s="6"/>
      <x:c r="H28" s="6"/>
      <x:c r="I28" s="6"/>
      <x:c r="J28" s="6"/>
    </x:row>
    <x:row r="29" s="1" customFormat="1" ht="12.75" hidden="0" customHeight="1">
      <x:c r="A29" s="6"/>
      <x:c r="B29" s="6"/>
      <x:c r="C29" s="6"/>
      <x:c r="D29" s="6"/>
      <x:c r="E29" s="6"/>
      <x:c r="F29" s="6"/>
      <x:c r="G29" s="6"/>
      <x:c r="H29" s="6"/>
      <x:c r="I29" s="6"/>
      <x:c r="J29" s="6"/>
    </x:row>
    <x:row r="30" s="1" customFormat="1" ht="12.75" hidden="0" customHeight="1">
      <x:c r="A30" s="6"/>
      <x:c r="B30" s="6"/>
      <x:c r="C30" s="6"/>
      <x:c r="D30" s="6"/>
      <x:c r="E30" s="6"/>
      <x:c r="F30" s="6"/>
      <x:c r="G30" s="6"/>
      <x:c r="H30" s="6"/>
      <x:c r="I30" s="6"/>
      <x:c r="J30" s="6"/>
    </x:row>
    <x:row r="31" s="1" customFormat="1" ht="12.75" hidden="0" customHeight="1">
      <x:c r="A31" s="6"/>
      <x:c r="B31" s="6"/>
      <x:c r="C31" s="6"/>
      <x:c r="D31" s="6"/>
      <x:c r="E31" s="6"/>
      <x:c r="F31" s="6"/>
      <x:c r="G31" s="6"/>
      <x:c r="H31" s="6"/>
      <x:c r="I31" s="6"/>
      <x:c r="J31" s="6"/>
    </x:row>
    <x:row r="32" s="1" customFormat="1" ht="12.75" hidden="0" customHeight="1">
      <x:c r="A32" s="6"/>
      <x:c r="B32" s="6"/>
      <x:c r="C32" s="6"/>
      <x:c r="D32" s="6"/>
      <x:c r="E32" s="6"/>
      <x:c r="F32" s="6"/>
      <x:c r="G32" s="6"/>
      <x:c r="H32" s="6"/>
      <x:c r="I32" s="6"/>
      <x:c r="J32" s="6"/>
    </x:row>
    <x:row r="33" s="1" customFormat="1" ht="12.75" hidden="0" customHeight="1">
      <x:c r="A33" s="6"/>
      <x:c r="B33" s="6"/>
      <x:c r="C33" s="6"/>
      <x:c r="D33" s="6"/>
      <x:c r="E33" s="6"/>
      <x:c r="F33" s="6"/>
      <x:c r="G33" s="6"/>
      <x:c r="H33" s="6"/>
      <x:c r="I33" s="6"/>
      <x:c r="J33" s="6"/>
    </x:row>
    <x:row r="34" s="1" customFormat="1" ht="12.75" hidden="0" customHeight="1">
      <x:c r="A34" s="6"/>
      <x:c r="B34" s="6"/>
      <x:c r="C34" s="6"/>
      <x:c r="D34" s="6"/>
      <x:c r="E34" s="6"/>
      <x:c r="F34" s="6"/>
      <x:c r="G34" s="6"/>
      <x:c r="H34" s="6"/>
      <x:c r="I34" s="6"/>
      <x:c r="J34" s="6"/>
    </x:row>
    <x:row r="35" s="1" customFormat="1" ht="12.75" hidden="0" customHeight="1">
      <x:c r="A35" s="6"/>
      <x:c r="B35" s="6"/>
      <x:c r="C35" s="6"/>
      <x:c r="D35" s="6"/>
      <x:c r="E35" s="6"/>
      <x:c r="F35" s="6"/>
      <x:c r="G35" s="6"/>
      <x:c r="H35" s="6"/>
      <x:c r="I35" s="6"/>
      <x:c r="J35" s="6"/>
    </x:row>
    <x:row r="36" s="1" customFormat="1" ht="12.75" hidden="0" customHeight="1">
      <x:c r="A36" s="6"/>
      <x:c r="B36" s="6"/>
      <x:c r="C36" s="6"/>
      <x:c r="D36" s="6"/>
      <x:c r="E36" s="6"/>
      <x:c r="F36" s="6"/>
      <x:c r="G36" s="6"/>
      <x:c r="H36" s="6"/>
      <x:c r="I36" s="6"/>
      <x:c r="J36" s="6"/>
    </x:row>
    <x:row r="37" s="1" customFormat="1" ht="12.75" hidden="0" customHeight="1">
      <x:c r="A37" s="6"/>
      <x:c r="B37" s="6"/>
      <x:c r="C37" s="6"/>
      <x:c r="D37" s="6"/>
      <x:c r="E37" s="6"/>
      <x:c r="F37" s="6"/>
      <x:c r="G37" s="6"/>
      <x:c r="H37" s="6"/>
      <x:c r="I37" s="6"/>
      <x:c r="J37" s="6"/>
    </x:row>
    <x:row r="38" s="1" customFormat="1" ht="12.75" hidden="0" customHeight="1">
      <x:c r="A38" s="6"/>
      <x:c r="B38" s="6"/>
      <x:c r="C38" s="6"/>
      <x:c r="D38" s="6"/>
      <x:c r="E38" s="6"/>
      <x:c r="F38" s="6"/>
      <x:c r="G38" s="6"/>
      <x:c r="H38" s="6"/>
      <x:c r="I38" s="6"/>
      <x:c r="J38" s="6"/>
    </x:row>
    <x:row r="39" s="1" customFormat="1" ht="12.75" hidden="0" customHeight="1">
      <x:c r="A39" s="6"/>
      <x:c r="B39" s="6"/>
      <x:c r="C39" s="6"/>
      <x:c r="D39" s="6"/>
      <x:c r="E39" s="6"/>
      <x:c r="F39" s="6"/>
      <x:c r="G39" s="6"/>
      <x:c r="H39" s="6"/>
      <x:c r="I39" s="6"/>
      <x:c r="J39" s="6"/>
    </x:row>
    <x:row r="40" s="1" customFormat="1" ht="12.75" hidden="0" customHeight="1">
      <x:c r="A40" s="6"/>
      <x:c r="B40" s="6"/>
      <x:c r="C40" s="6"/>
      <x:c r="D40" s="6"/>
      <x:c r="E40" s="6"/>
      <x:c r="F40" s="6"/>
      <x:c r="G40" s="6"/>
      <x:c r="H40" s="6"/>
      <x:c r="I40" s="6"/>
      <x:c r="J40" s="6"/>
    </x:row>
  </x:sheetData>
  <x:pageMargins left="0.7" right="0.7" top="0.75" bottom="0.75" header="0.3" footer="0.3"/>
</x:worksheet>
</file>

<file path=xl/worksheets/sheet44.xml><?xml version="1.0" encoding="utf-8"?>
<x:worksheet xmlns:x="http://schemas.openxmlformats.org/spreadsheetml/2006/main">
  <x:sheetViews>
    <x:sheetView showGridLines="1" workbookViewId="0"/>
  </x:sheetViews>
  <x:sheetFormatPr defaultColWidth="8.6796875" defaultRowHeight="12.75"/>
  <x:cols>
    <x:col min="1" max="1" width="14" style="1" hidden="0" customWidth="1"/>
    <x:col min="2" max="2" width="21" style="1" hidden="0" customWidth="1"/>
    <x:col min="3" max="7" width="36" style="1" hidden="0" customWidth="1"/>
    <x:col min="8" max="8" width="35" style="1" hidden="0" customWidth="1"/>
  </x:cols>
  <x:sheetData>
    <x:row r="1" s="1" customFormat="1" ht="26.25" hidden="0" customHeight="1">
      <x:c r="A1" s="2" t="s">
        <x:v>3446</x:v>
      </x:c>
      <x:c r="B1" s="2" t="s">
        <x:v>3447</x:v>
      </x:c>
      <x:c r="C1" s="2" t="s">
        <x:v>3448</x:v>
      </x:c>
      <x:c r="D1" s="2" t="s">
        <x:v>3449</x:v>
      </x:c>
      <x:c r="E1" s="2" t="s">
        <x:v>3402</x:v>
      </x:c>
      <x:c r="F1" s="2" t="s">
        <x:v>3450</x:v>
      </x:c>
      <x:c r="G1" s="2" t="s">
        <x:v>3451</x:v>
      </x:c>
      <x:c r="H1" s="2" t="s">
        <x:v>3452</x:v>
      </x:c>
    </x:row>
    <x:row r="2" s="1" customFormat="1" ht="52.5" hidden="0" customHeight="1">
      <x:c r="A2" s="4" t="s">
        <x:v>3453</x:v>
      </x:c>
      <x:c r="B2" s="5" t="s">
        <x:v>3406</x:v>
      </x:c>
      <x:c r="C2" s="5" t="s">
        <x:v>3454</x:v>
      </x:c>
      <x:c r="D2" s="5" t="s">
        <x:v>3455</x:v>
      </x:c>
      <x:c r="E2" s="5" t="s">
        <x:v>3456</x:v>
      </x:c>
      <x:c r="F2" s="5" t="s">
        <x:v>3457</x:v>
      </x:c>
      <x:c r="G2" s="5" t="s">
        <x:v>3458</x:v>
      </x:c>
      <x:c r="H2" s="5" t="s">
        <x:v>3459</x:v>
      </x:c>
    </x:row>
    <x:row r="3" s="1" customFormat="1" ht="52.5" hidden="0" customHeight="1">
      <x:c r="A3" s="7" t="s">
        <x:v>3460</x:v>
      </x:c>
      <x:c r="B3" s="8" t="s">
        <x:v>3461</x:v>
      </x:c>
      <x:c r="C3" s="8" t="s">
        <x:v>3462</x:v>
      </x:c>
      <x:c r="D3" s="8" t="s">
        <x:v>3463</x:v>
      </x:c>
      <x:c r="E3" s="8" t="s">
        <x:v>3464</x:v>
      </x:c>
      <x:c r="F3" s="8" t="s">
        <x:v>3465</x:v>
      </x:c>
      <x:c r="G3" s="8" t="s">
        <x:v>3466</x:v>
      </x:c>
      <x:c r="H3" s="8" t="s">
        <x:v>3459</x:v>
      </x:c>
    </x:row>
    <x:row r="4" s="1" customFormat="1" ht="12.75" hidden="0" customHeight="1">
      <x:c r="A4" s="6"/>
      <x:c r="B4" s="6"/>
      <x:c r="C4" s="6"/>
      <x:c r="D4" s="6"/>
      <x:c r="E4" s="6"/>
      <x:c r="F4" s="6"/>
      <x:c r="G4" s="6"/>
      <x:c r="H4" s="6"/>
    </x:row>
    <x:row r="5" s="1" customFormat="1" ht="12.75" hidden="0" customHeight="1">
      <x:c r="A5" s="6"/>
      <x:c r="B5" s="6"/>
      <x:c r="C5" s="6"/>
      <x:c r="D5" s="6"/>
      <x:c r="E5" s="6"/>
      <x:c r="F5" s="6"/>
      <x:c r="G5" s="6"/>
      <x:c r="H5" s="6"/>
    </x:row>
    <x:row r="6" s="1" customFormat="1" ht="12.75" hidden="0" customHeight="1">
      <x:c r="A6" s="6"/>
      <x:c r="B6" s="6"/>
      <x:c r="C6" s="6"/>
      <x:c r="D6" s="6"/>
      <x:c r="E6" s="6"/>
      <x:c r="F6" s="6"/>
      <x:c r="G6" s="6"/>
      <x:c r="H6" s="6"/>
    </x:row>
    <x:row r="7" s="1" customFormat="1" ht="12.75" hidden="0" customHeight="1">
      <x:c r="A7" s="6"/>
      <x:c r="B7" s="6"/>
      <x:c r="C7" s="6"/>
      <x:c r="D7" s="6"/>
      <x:c r="E7" s="6"/>
      <x:c r="F7" s="6"/>
      <x:c r="G7" s="6"/>
      <x:c r="H7" s="6"/>
    </x:row>
    <x:row r="8" s="1" customFormat="1" ht="12.75" hidden="0" customHeight="1">
      <x:c r="A8" s="6"/>
      <x:c r="B8" s="6"/>
      <x:c r="C8" s="6"/>
      <x:c r="D8" s="6"/>
      <x:c r="E8" s="6"/>
      <x:c r="F8" s="6"/>
      <x:c r="G8" s="6"/>
      <x:c r="H8" s="6"/>
    </x:row>
    <x:row r="9" s="1" customFormat="1" ht="12.75" hidden="0" customHeight="1">
      <x:c r="A9" s="6"/>
      <x:c r="B9" s="6"/>
      <x:c r="C9" s="6"/>
      <x:c r="D9" s="6"/>
      <x:c r="E9" s="6"/>
      <x:c r="F9" s="6"/>
      <x:c r="G9" s="6"/>
      <x:c r="H9" s="6"/>
    </x:row>
    <x:row r="10" s="1" customFormat="1" ht="12.75" hidden="0" customHeight="1">
      <x:c r="A10" s="6"/>
      <x:c r="B10" s="6"/>
      <x:c r="C10" s="6"/>
      <x:c r="D10" s="6"/>
      <x:c r="E10" s="6"/>
      <x:c r="F10" s="6"/>
      <x:c r="G10" s="6"/>
      <x:c r="H10" s="6"/>
    </x:row>
    <x:row r="11" s="1" customFormat="1" ht="12.75" hidden="0" customHeight="1">
      <x:c r="A11" s="6"/>
      <x:c r="B11" s="6"/>
      <x:c r="C11" s="6"/>
      <x:c r="D11" s="6"/>
      <x:c r="E11" s="6"/>
      <x:c r="F11" s="6"/>
      <x:c r="G11" s="6"/>
      <x:c r="H11" s="6"/>
    </x:row>
    <x:row r="12" s="1" customFormat="1" ht="12.75" hidden="0" customHeight="1">
      <x:c r="A12" s="6"/>
      <x:c r="B12" s="6"/>
      <x:c r="C12" s="6"/>
      <x:c r="D12" s="6"/>
      <x:c r="E12" s="6"/>
      <x:c r="F12" s="6"/>
      <x:c r="G12" s="6"/>
      <x:c r="H12" s="6"/>
    </x:row>
    <x:row r="13" s="1" customFormat="1" ht="12.75" hidden="0" customHeight="1">
      <x:c r="A13" s="6"/>
      <x:c r="B13" s="6"/>
      <x:c r="C13" s="6"/>
      <x:c r="D13" s="6"/>
      <x:c r="E13" s="6"/>
      <x:c r="F13" s="6"/>
      <x:c r="G13" s="6"/>
      <x:c r="H13" s="6"/>
    </x:row>
    <x:row r="14" s="1" customFormat="1" ht="12.75" hidden="0" customHeight="1">
      <x:c r="A14" s="6"/>
      <x:c r="B14" s="6"/>
      <x:c r="C14" s="6"/>
      <x:c r="D14" s="6"/>
      <x:c r="E14" s="6"/>
      <x:c r="F14" s="6"/>
      <x:c r="G14" s="6"/>
      <x:c r="H14" s="6"/>
    </x:row>
    <x:row r="15" s="1" customFormat="1" ht="12.75" hidden="0" customHeight="1">
      <x:c r="A15" s="6"/>
      <x:c r="B15" s="6"/>
      <x:c r="C15" s="6"/>
      <x:c r="D15" s="6"/>
      <x:c r="E15" s="6"/>
      <x:c r="F15" s="6"/>
      <x:c r="G15" s="6"/>
      <x:c r="H15" s="6"/>
    </x:row>
    <x:row r="16" s="1" customFormat="1" ht="12.75" hidden="0" customHeight="1">
      <x:c r="A16" s="6"/>
      <x:c r="B16" s="6"/>
      <x:c r="C16" s="6"/>
      <x:c r="D16" s="6"/>
      <x:c r="E16" s="6"/>
      <x:c r="F16" s="6"/>
      <x:c r="G16" s="6"/>
      <x:c r="H16" s="6"/>
    </x:row>
    <x:row r="17" s="1" customFormat="1" ht="12.75" hidden="0" customHeight="1">
      <x:c r="A17" s="6"/>
      <x:c r="B17" s="6"/>
      <x:c r="C17" s="6"/>
      <x:c r="D17" s="6"/>
      <x:c r="E17" s="6"/>
      <x:c r="F17" s="6"/>
      <x:c r="G17" s="6"/>
      <x:c r="H17" s="6"/>
    </x:row>
    <x:row r="18" s="1" customFormat="1" ht="12.75" hidden="0" customHeight="1">
      <x:c r="A18" s="6"/>
      <x:c r="B18" s="6"/>
      <x:c r="C18" s="6"/>
      <x:c r="D18" s="6"/>
      <x:c r="E18" s="6"/>
      <x:c r="F18" s="6"/>
      <x:c r="G18" s="6"/>
      <x:c r="H18" s="6"/>
    </x:row>
    <x:row r="19" s="1" customFormat="1" ht="12.75" hidden="0" customHeight="1">
      <x:c r="A19" s="6"/>
      <x:c r="B19" s="6"/>
      <x:c r="C19" s="6"/>
      <x:c r="D19" s="6"/>
      <x:c r="E19" s="6"/>
      <x:c r="F19" s="6"/>
      <x:c r="G19" s="6"/>
      <x:c r="H19" s="6"/>
    </x:row>
    <x:row r="20" s="1" customFormat="1" ht="12.75" hidden="0" customHeight="1">
      <x:c r="A20" s="6"/>
      <x:c r="B20" s="6"/>
      <x:c r="C20" s="6"/>
      <x:c r="D20" s="6"/>
      <x:c r="E20" s="6"/>
      <x:c r="F20" s="6"/>
      <x:c r="G20" s="6"/>
      <x:c r="H20" s="6"/>
    </x:row>
    <x:row r="21" s="1" customFormat="1" ht="12.75" hidden="0" customHeight="1">
      <x:c r="A21" s="6"/>
      <x:c r="B21" s="6"/>
      <x:c r="C21" s="6"/>
      <x:c r="D21" s="6"/>
      <x:c r="E21" s="6"/>
      <x:c r="F21" s="6"/>
      <x:c r="G21" s="6"/>
      <x:c r="H21" s="6"/>
    </x:row>
    <x:row r="22" s="1" customFormat="1" ht="12.75" hidden="0" customHeight="1">
      <x:c r="A22" s="6"/>
      <x:c r="B22" s="6"/>
      <x:c r="C22" s="6"/>
      <x:c r="D22" s="6"/>
      <x:c r="E22" s="6"/>
      <x:c r="F22" s="6"/>
      <x:c r="G22" s="6"/>
      <x:c r="H22" s="6"/>
    </x:row>
    <x:row r="23" s="1" customFormat="1" ht="12.75" hidden="0" customHeight="1">
      <x:c r="A23" s="6"/>
      <x:c r="B23" s="6"/>
      <x:c r="C23" s="6"/>
      <x:c r="D23" s="6"/>
      <x:c r="E23" s="6"/>
      <x:c r="F23" s="6"/>
      <x:c r="G23" s="6"/>
      <x:c r="H23" s="6"/>
    </x:row>
    <x:row r="24" s="1" customFormat="1" ht="12.75" hidden="0" customHeight="1">
      <x:c r="A24" s="6"/>
      <x:c r="B24" s="6"/>
      <x:c r="C24" s="6"/>
      <x:c r="D24" s="6"/>
      <x:c r="E24" s="6"/>
      <x:c r="F24" s="6"/>
      <x:c r="G24" s="6"/>
      <x:c r="H24" s="6"/>
    </x:row>
    <x:row r="25" s="1" customFormat="1" ht="12.75" hidden="0" customHeight="1">
      <x:c r="A25" s="6"/>
      <x:c r="B25" s="6"/>
      <x:c r="C25" s="6"/>
      <x:c r="D25" s="6"/>
      <x:c r="E25" s="6"/>
      <x:c r="F25" s="6"/>
      <x:c r="G25" s="6"/>
      <x:c r="H25" s="6"/>
    </x:row>
    <x:row r="26" s="1" customFormat="1" ht="12.75" hidden="0" customHeight="1">
      <x:c r="A26" s="6"/>
      <x:c r="B26" s="6"/>
      <x:c r="C26" s="6"/>
      <x:c r="D26" s="6"/>
      <x:c r="E26" s="6"/>
      <x:c r="F26" s="6"/>
      <x:c r="G26" s="6"/>
      <x:c r="H26" s="6"/>
    </x:row>
    <x:row r="27" s="1" customFormat="1" ht="12.75" hidden="0" customHeight="1">
      <x:c r="A27" s="6"/>
      <x:c r="B27" s="6"/>
      <x:c r="C27" s="6"/>
      <x:c r="D27" s="6"/>
      <x:c r="E27" s="6"/>
      <x:c r="F27" s="6"/>
      <x:c r="G27" s="6"/>
      <x:c r="H27" s="6"/>
    </x:row>
    <x:row r="28" s="1" customFormat="1" ht="12.75" hidden="0" customHeight="1">
      <x:c r="A28" s="6"/>
      <x:c r="B28" s="6"/>
      <x:c r="C28" s="6"/>
      <x:c r="D28" s="6"/>
      <x:c r="E28" s="6"/>
      <x:c r="F28" s="6"/>
      <x:c r="G28" s="6"/>
      <x:c r="H28" s="6"/>
    </x:row>
    <x:row r="29" s="1" customFormat="1" ht="12.75" hidden="0" customHeight="1">
      <x:c r="A29" s="6"/>
      <x:c r="B29" s="6"/>
      <x:c r="C29" s="6"/>
      <x:c r="D29" s="6"/>
      <x:c r="E29" s="6"/>
      <x:c r="F29" s="6"/>
      <x:c r="G29" s="6"/>
      <x:c r="H29" s="6"/>
    </x:row>
    <x:row r="30" s="1" customFormat="1" ht="12.75" hidden="0" customHeight="1">
      <x:c r="A30" s="6"/>
      <x:c r="B30" s="6"/>
      <x:c r="C30" s="6"/>
      <x:c r="D30" s="6"/>
      <x:c r="E30" s="6"/>
      <x:c r="F30" s="6"/>
      <x:c r="G30" s="6"/>
      <x:c r="H30" s="6"/>
    </x:row>
    <x:row r="31" s="1" customFormat="1" ht="12.75" hidden="0" customHeight="1">
      <x:c r="A31" s="6"/>
      <x:c r="B31" s="6"/>
      <x:c r="C31" s="6"/>
      <x:c r="D31" s="6"/>
      <x:c r="E31" s="6"/>
      <x:c r="F31" s="6"/>
      <x:c r="G31" s="6"/>
      <x:c r="H31" s="6"/>
    </x:row>
    <x:row r="32" s="1" customFormat="1" ht="12.75" hidden="0" customHeight="1">
      <x:c r="A32" s="6"/>
      <x:c r="B32" s="6"/>
      <x:c r="C32" s="6"/>
      <x:c r="D32" s="6"/>
      <x:c r="E32" s="6"/>
      <x:c r="F32" s="6"/>
      <x:c r="G32" s="6"/>
      <x:c r="H32" s="6"/>
    </x:row>
    <x:row r="33" s="1" customFormat="1" ht="12.75" hidden="0" customHeight="1">
      <x:c r="A33" s="6"/>
      <x:c r="B33" s="6"/>
      <x:c r="C33" s="6"/>
      <x:c r="D33" s="6"/>
      <x:c r="E33" s="6"/>
      <x:c r="F33" s="6"/>
      <x:c r="G33" s="6"/>
      <x:c r="H33" s="6"/>
    </x:row>
    <x:row r="34" s="1" customFormat="1" ht="12.75" hidden="0" customHeight="1">
      <x:c r="A34" s="6"/>
      <x:c r="B34" s="6"/>
      <x:c r="C34" s="6"/>
      <x:c r="D34" s="6"/>
      <x:c r="E34" s="6"/>
      <x:c r="F34" s="6"/>
      <x:c r="G34" s="6"/>
      <x:c r="H34" s="6"/>
    </x:row>
    <x:row r="35" s="1" customFormat="1" ht="12.75" hidden="0" customHeight="1">
      <x:c r="A35" s="6"/>
      <x:c r="B35" s="6"/>
      <x:c r="C35" s="6"/>
      <x:c r="D35" s="6"/>
      <x:c r="E35" s="6"/>
      <x:c r="F35" s="6"/>
      <x:c r="G35" s="6"/>
      <x:c r="H35" s="6"/>
    </x:row>
    <x:row r="36" s="1" customFormat="1" ht="12.75" hidden="0" customHeight="1">
      <x:c r="A36" s="6"/>
      <x:c r="B36" s="6"/>
      <x:c r="C36" s="6"/>
      <x:c r="D36" s="6"/>
      <x:c r="E36" s="6"/>
      <x:c r="F36" s="6"/>
      <x:c r="G36" s="6"/>
      <x:c r="H36" s="6"/>
    </x:row>
    <x:row r="37" s="1" customFormat="1" ht="12.75" hidden="0" customHeight="1">
      <x:c r="A37" s="6"/>
      <x:c r="B37" s="6"/>
      <x:c r="C37" s="6"/>
      <x:c r="D37" s="6"/>
      <x:c r="E37" s="6"/>
      <x:c r="F37" s="6"/>
      <x:c r="G37" s="6"/>
      <x:c r="H37" s="6"/>
    </x:row>
    <x:row r="38" s="1" customFormat="1" ht="12.75" hidden="0" customHeight="1">
      <x:c r="A38" s="6"/>
      <x:c r="B38" s="6"/>
      <x:c r="C38" s="6"/>
      <x:c r="D38" s="6"/>
      <x:c r="E38" s="6"/>
      <x:c r="F38" s="6"/>
      <x:c r="G38" s="6"/>
      <x:c r="H38" s="6"/>
    </x:row>
    <x:row r="39" s="1" customFormat="1" ht="12.75" hidden="0" customHeight="1">
      <x:c r="A39" s="6"/>
      <x:c r="B39" s="6"/>
      <x:c r="C39" s="6"/>
      <x:c r="D39" s="6"/>
      <x:c r="E39" s="6"/>
      <x:c r="F39" s="6"/>
      <x:c r="G39" s="6"/>
      <x:c r="H39" s="6"/>
    </x:row>
    <x:row r="40" s="1" customFormat="1" ht="12.75" hidden="0" customHeight="1">
      <x:c r="A40" s="6"/>
      <x:c r="B40" s="6"/>
      <x:c r="C40" s="6"/>
      <x:c r="D40" s="6"/>
      <x:c r="E40" s="6"/>
      <x:c r="F40" s="6"/>
      <x:c r="G40" s="6"/>
      <x:c r="H40" s="6"/>
    </x:row>
  </x:sheetData>
  <x:pageMargins left="0.7" right="0.7" top="0.75" bottom="0.75" header="0.3" footer="0.3"/>
</x:worksheet>
</file>

<file path=xl/worksheets/sheet45.xml><?xml version="1.0" encoding="utf-8"?>
<x:worksheet xmlns:x="http://schemas.openxmlformats.org/spreadsheetml/2006/main">
  <x:sheetViews>
    <x:sheetView showGridLines="1" workbookViewId="0"/>
  </x:sheetViews>
  <x:sheetFormatPr defaultColWidth="8.6796875" defaultRowHeight="12.75"/>
  <x:cols>
    <x:col min="1" max="1" width="14" style="1" hidden="0" customWidth="1"/>
    <x:col min="2" max="2" width="28" style="1" hidden="0" customWidth="1"/>
    <x:col min="3" max="5" width="36" style="1" hidden="0" customWidth="1"/>
  </x:cols>
  <x:sheetData>
    <x:row r="1" s="1" customFormat="1" ht="26.25" hidden="0" customHeight="1">
      <x:c r="A1" s="2" t="s">
        <x:v>3467</x:v>
      </x:c>
      <x:c r="B1" s="2" t="s">
        <x:v>3468</x:v>
      </x:c>
      <x:c r="C1" s="2" t="s">
        <x:v>3469</x:v>
      </x:c>
      <x:c r="D1" s="2" t="s">
        <x:v>1949</x:v>
      </x:c>
      <x:c r="E1" s="2" t="s">
        <x:v>3470</x:v>
      </x:c>
    </x:row>
    <x:row r="2" s="1" customFormat="1" ht="12.75" hidden="0" customHeight="1">
      <x:c r="A2" s="4" t="s">
        <x:v>3471</x:v>
      </x:c>
      <x:c r="B2" s="5" t="s">
        <x:v>3472</x:v>
      </x:c>
      <x:c r="C2" s="5" t="s">
        <x:v>3473</x:v>
      </x:c>
      <x:c r="D2" s="5" t="s">
        <x:v>3474</x:v>
      </x:c>
      <x:c r="E2" s="5" t="s">
        <x:v>3475</x:v>
      </x:c>
    </x:row>
    <x:row r="3" s="1" customFormat="1" ht="26.25" hidden="0" customHeight="1">
      <x:c r="A3" s="7" t="s">
        <x:v>2497</x:v>
      </x:c>
      <x:c r="B3" s="8" t="s">
        <x:v>3476</x:v>
      </x:c>
      <x:c r="C3" s="8" t="s">
        <x:v>3477</x:v>
      </x:c>
      <x:c r="D3" s="8" t="s">
        <x:v>3478</x:v>
      </x:c>
      <x:c r="E3" s="8" t="s">
        <x:v>3479</x:v>
      </x:c>
    </x:row>
    <x:row r="4" s="1" customFormat="1" ht="12.75" hidden="0" customHeight="1">
      <x:c r="A4" s="7" t="s">
        <x:v>2500</x:v>
      </x:c>
      <x:c r="B4" s="5" t="s">
        <x:v>3480</x:v>
      </x:c>
      <x:c r="C4" s="5" t="s">
        <x:v>3481</x:v>
      </x:c>
      <x:c r="D4" s="5" t="s">
        <x:v>3482</x:v>
      </x:c>
      <x:c r="E4" s="5" t="s">
        <x:v>3483</x:v>
      </x:c>
    </x:row>
    <x:row r="5" s="1" customFormat="1" ht="26.25" hidden="0" customHeight="1">
      <x:c r="A5" s="7" t="s">
        <x:v>2502</x:v>
      </x:c>
      <x:c r="B5" s="8" t="s">
        <x:v>3484</x:v>
      </x:c>
      <x:c r="C5" s="8" t="s">
        <x:v>3485</x:v>
      </x:c>
      <x:c r="D5" s="8" t="s">
        <x:v>3486</x:v>
      </x:c>
      <x:c r="E5" s="8" t="s">
        <x:v>3487</x:v>
      </x:c>
    </x:row>
    <x:row r="6" s="1" customFormat="1" ht="26.25" hidden="0" customHeight="1">
      <x:c r="A6" s="7" t="s">
        <x:v>2504</x:v>
      </x:c>
      <x:c r="B6" s="5" t="s">
        <x:v>3488</x:v>
      </x:c>
      <x:c r="C6" s="5" t="s">
        <x:v>3489</x:v>
      </x:c>
      <x:c r="D6" s="5" t="s">
        <x:v>3490</x:v>
      </x:c>
      <x:c r="E6" s="5" t="s">
        <x:v>3491</x:v>
      </x:c>
    </x:row>
    <x:row r="7" s="1" customFormat="1" ht="12.75" hidden="0" customHeight="1">
      <x:c r="A7" s="7" t="s">
        <x:v>2506</x:v>
      </x:c>
      <x:c r="B7" s="8" t="s">
        <x:v>3492</x:v>
      </x:c>
      <x:c r="C7" s="8" t="s">
        <x:v>3493</x:v>
      </x:c>
      <x:c r="D7" s="8" t="s">
        <x:v>3494</x:v>
      </x:c>
      <x:c r="E7" s="8" t="s">
        <x:v>3495</x:v>
      </x:c>
    </x:row>
    <x:row r="8" s="1" customFormat="1" ht="12.75" hidden="0" customHeight="1">
      <x:c r="A8" s="7" t="s">
        <x:v>3496</x:v>
      </x:c>
      <x:c r="B8" s="5" t="s">
        <x:v>3497</x:v>
      </x:c>
      <x:c r="C8" s="5" t="s">
        <x:v>3498</x:v>
      </x:c>
      <x:c r="D8" s="5" t="s">
        <x:v>3499</x:v>
      </x:c>
      <x:c r="E8" s="5" t="s">
        <x:v>3500</x:v>
      </x:c>
    </x:row>
    <x:row r="9" s="1" customFormat="1" ht="12.75" hidden="0" customHeight="1">
      <x:c r="A9" s="7" t="s">
        <x:v>3501</x:v>
      </x:c>
      <x:c r="B9" s="8" t="s">
        <x:v>3502</x:v>
      </x:c>
      <x:c r="C9" s="8" t="s">
        <x:v>3503</x:v>
      </x:c>
      <x:c r="D9" s="8" t="s">
        <x:v>3504</x:v>
      </x:c>
      <x:c r="E9" s="8" t="s">
        <x:v>3505</x:v>
      </x:c>
    </x:row>
    <x:row r="10" s="1" customFormat="1" ht="26.25" hidden="0" customHeight="1">
      <x:c r="A10" s="7" t="s">
        <x:v>3506</x:v>
      </x:c>
      <x:c r="B10" s="5" t="s">
        <x:v>3507</x:v>
      </x:c>
      <x:c r="C10" s="5" t="s">
        <x:v>3508</x:v>
      </x:c>
      <x:c r="D10" s="5" t="s">
        <x:v>3509</x:v>
      </x:c>
      <x:c r="E10" s="5" t="s">
        <x:v>3510</x:v>
      </x:c>
    </x:row>
    <x:row r="11" s="1" customFormat="1" ht="26.25" hidden="0" customHeight="1">
      <x:c r="A11" s="7" t="s">
        <x:v>3511</x:v>
      </x:c>
      <x:c r="B11" s="8" t="s">
        <x:v>3512</x:v>
      </x:c>
      <x:c r="C11" s="8" t="s">
        <x:v>3513</x:v>
      </x:c>
      <x:c r="D11" s="8" t="s">
        <x:v>3514</x:v>
      </x:c>
      <x:c r="E11" s="8" t="s">
        <x:v>3515</x:v>
      </x:c>
    </x:row>
    <x:row r="12" s="1" customFormat="1" ht="12.75" hidden="0" customHeight="1">
      <x:c r="A12" s="6"/>
      <x:c r="B12" s="6"/>
      <x:c r="C12" s="6"/>
      <x:c r="D12" s="6"/>
      <x:c r="E12" s="6"/>
    </x:row>
    <x:row r="13" s="1" customFormat="1" ht="12.75" hidden="0" customHeight="1">
      <x:c r="A13" s="6"/>
      <x:c r="B13" s="6"/>
      <x:c r="C13" s="6"/>
      <x:c r="D13" s="6"/>
      <x:c r="E13" s="6"/>
    </x:row>
    <x:row r="14" s="1" customFormat="1" ht="12.75" hidden="0" customHeight="1">
      <x:c r="A14" s="6"/>
      <x:c r="B14" s="6"/>
      <x:c r="C14" s="6"/>
      <x:c r="D14" s="6"/>
      <x:c r="E14" s="6"/>
    </x:row>
    <x:row r="15" s="1" customFormat="1" ht="12.75" hidden="0" customHeight="1">
      <x:c r="A15" s="6"/>
      <x:c r="B15" s="6"/>
      <x:c r="C15" s="6"/>
      <x:c r="D15" s="6"/>
      <x:c r="E15" s="6"/>
    </x:row>
    <x:row r="16" s="1" customFormat="1" ht="12.75" hidden="0" customHeight="1">
      <x:c r="A16" s="6"/>
      <x:c r="B16" s="6"/>
      <x:c r="C16" s="6"/>
      <x:c r="D16" s="6"/>
      <x:c r="E16" s="6"/>
    </x:row>
    <x:row r="17" s="1" customFormat="1" ht="12.75" hidden="0" customHeight="1">
      <x:c r="A17" s="6"/>
      <x:c r="B17" s="6"/>
      <x:c r="C17" s="6"/>
      <x:c r="D17" s="6"/>
      <x:c r="E17" s="6"/>
    </x:row>
    <x:row r="18" s="1" customFormat="1" ht="12.75" hidden="0" customHeight="1">
      <x:c r="A18" s="6"/>
      <x:c r="B18" s="6"/>
      <x:c r="C18" s="6"/>
      <x:c r="D18" s="6"/>
      <x:c r="E18" s="6"/>
    </x:row>
    <x:row r="19" s="1" customFormat="1" ht="12.75" hidden="0" customHeight="1">
      <x:c r="A19" s="6"/>
      <x:c r="B19" s="6"/>
      <x:c r="C19" s="6"/>
      <x:c r="D19" s="6"/>
      <x:c r="E19" s="6"/>
    </x:row>
    <x:row r="20" s="1" customFormat="1" ht="12.75" hidden="0" customHeight="1">
      <x:c r="A20" s="6"/>
      <x:c r="B20" s="6"/>
      <x:c r="C20" s="6"/>
      <x:c r="D20" s="6"/>
      <x:c r="E20" s="6"/>
    </x:row>
  </x:sheetData>
  <x:pageMargins left="0.7" right="0.7" top="0.75" bottom="0.75" header="0.3" footer="0.3"/>
</x:worksheet>
</file>

<file path=xl/worksheets/sheet46.xml><?xml version="1.0" encoding="utf-8"?>
<x:worksheet xmlns:x="http://schemas.openxmlformats.org/spreadsheetml/2006/main">
  <x:sheetViews>
    <x:sheetView showGridLines="1" workbookViewId="0"/>
  </x:sheetViews>
  <x:sheetFormatPr defaultColWidth="8.6796875" defaultRowHeight="12.75"/>
  <x:cols>
    <x:col min="1" max="1" width="14" style="1" hidden="0" customWidth="1"/>
    <x:col min="2" max="2" width="36" style="1" hidden="0" customWidth="1"/>
    <x:col min="3" max="3" width="16" style="1" hidden="0" customWidth="1"/>
    <x:col min="4" max="5" width="36" style="1" hidden="0" customWidth="1"/>
    <x:col min="6" max="26" width="16" style="1" hidden="0" customWidth="1"/>
  </x:cols>
  <x:sheetData>
    <x:row r="1" s="1" customFormat="1" ht="26.25" hidden="0" customHeight="1">
      <x:c r="A1" s="2" t="s">
        <x:v>3516</x:v>
      </x:c>
      <x:c r="B1" s="2" t="s">
        <x:v>3517</x:v>
      </x:c>
      <x:c r="C1" s="2" t="s">
        <x:v>3518</x:v>
      </x:c>
      <x:c r="D1" s="2" t="s">
        <x:v>3519</x:v>
      </x:c>
      <x:c r="E1" s="2" t="s">
        <x:v>3431</x:v>
      </x:c>
      <x:c r="F1" s="3"/>
      <x:c r="G1" s="3"/>
      <x:c r="H1" s="3"/>
      <x:c r="I1" s="3"/>
      <x:c r="J1" s="3"/>
      <x:c r="K1" s="3"/>
      <x:c r="L1" s="3"/>
      <x:c r="M1" s="3"/>
      <x:c r="N1" s="3"/>
      <x:c r="O1" s="3"/>
      <x:c r="P1" s="3"/>
      <x:c r="Q1" s="3"/>
      <x:c r="R1" s="3"/>
      <x:c r="S1" s="3"/>
      <x:c r="T1" s="3"/>
      <x:c r="U1" s="3"/>
      <x:c r="V1" s="3"/>
      <x:c r="W1" s="3"/>
      <x:c r="X1" s="3"/>
      <x:c r="Y1" s="3"/>
      <x:c r="Z1" s="3"/>
    </x:row>
    <x:row r="2" s="1" customFormat="1" ht="26.25" hidden="0" customHeight="1">
      <x:c r="A2" s="4" t="s">
        <x:v>3520</x:v>
      </x:c>
      <x:c r="B2" s="5" t="s">
        <x:v>3521</x:v>
      </x:c>
      <x:c r="C2" s="5" t="s">
        <x:v>351</x:v>
      </x:c>
      <x:c r="D2" s="5" t="s">
        <x:v>3522</x:v>
      </x:c>
      <x:c r="E2" s="6"/>
      <x:c r="F2" s="6"/>
      <x:c r="G2" s="6"/>
      <x:c r="H2" s="6"/>
      <x:c r="I2" s="6"/>
      <x:c r="J2" s="6"/>
      <x:c r="K2" s="6"/>
      <x:c r="L2" s="6"/>
      <x:c r="M2" s="6"/>
      <x:c r="N2" s="6"/>
      <x:c r="O2" s="6"/>
      <x:c r="P2" s="6"/>
      <x:c r="Q2" s="6"/>
      <x:c r="R2" s="6"/>
      <x:c r="S2" s="6"/>
      <x:c r="T2" s="6"/>
      <x:c r="U2" s="6"/>
      <x:c r="V2" s="6"/>
      <x:c r="W2" s="6"/>
      <x:c r="X2" s="6"/>
      <x:c r="Y2" s="6"/>
      <x:c r="Z2" s="6"/>
    </x:row>
    <x:row r="3" s="1" customFormat="1" ht="26.25" hidden="0" customHeight="1">
      <x:c r="A3" s="7" t="s">
        <x:v>3523</x:v>
      </x:c>
      <x:c r="B3" s="8" t="s">
        <x:v>3524</x:v>
      </x:c>
      <x:c r="C3" s="8" t="s">
        <x:v>351</x:v>
      </x:c>
      <x:c r="D3" s="8" t="s">
        <x:v>3522</x:v>
      </x:c>
      <x:c r="E3" s="6"/>
      <x:c r="F3" s="6"/>
      <x:c r="G3" s="6"/>
      <x:c r="H3" s="6"/>
      <x:c r="I3" s="6"/>
      <x:c r="J3" s="6"/>
      <x:c r="K3" s="6"/>
      <x:c r="L3" s="6"/>
      <x:c r="M3" s="6"/>
      <x:c r="N3" s="6"/>
      <x:c r="O3" s="6"/>
      <x:c r="P3" s="6"/>
      <x:c r="Q3" s="6"/>
      <x:c r="R3" s="6"/>
      <x:c r="S3" s="6"/>
      <x:c r="T3" s="6"/>
      <x:c r="U3" s="6"/>
      <x:c r="V3" s="6"/>
      <x:c r="W3" s="6"/>
      <x:c r="X3" s="6"/>
      <x:c r="Y3" s="6"/>
      <x:c r="Z3" s="6"/>
    </x:row>
    <x:row r="4" s="1" customFormat="1" ht="26.25" hidden="0" customHeight="1">
      <x:c r="A4" s="7" t="s">
        <x:v>3525</x:v>
      </x:c>
      <x:c r="B4" s="5" t="s">
        <x:v>3526</x:v>
      </x:c>
      <x:c r="C4" s="5" t="s">
        <x:v>351</x:v>
      </x:c>
      <x:c r="D4" s="5" t="s">
        <x:v>3522</x:v>
      </x:c>
      <x:c r="E4" s="6"/>
      <x:c r="F4" s="6"/>
      <x:c r="G4" s="6"/>
      <x:c r="H4" s="6"/>
      <x:c r="I4" s="6"/>
      <x:c r="J4" s="6"/>
      <x:c r="K4" s="6"/>
      <x:c r="L4" s="6"/>
      <x:c r="M4" s="6"/>
      <x:c r="N4" s="6"/>
      <x:c r="O4" s="6"/>
      <x:c r="P4" s="6"/>
      <x:c r="Q4" s="6"/>
      <x:c r="R4" s="6"/>
      <x:c r="S4" s="6"/>
      <x:c r="T4" s="6"/>
      <x:c r="U4" s="6"/>
      <x:c r="V4" s="6"/>
      <x:c r="W4" s="6"/>
      <x:c r="X4" s="6"/>
      <x:c r="Y4" s="6"/>
      <x:c r="Z4" s="6"/>
    </x:row>
    <x:row r="5" s="1" customFormat="1" ht="26.25" hidden="0" customHeight="1">
      <x:c r="A5" s="7" t="s">
        <x:v>3527</x:v>
      </x:c>
      <x:c r="B5" s="8" t="s">
        <x:v>3528</x:v>
      </x:c>
      <x:c r="C5" s="8" t="s">
        <x:v>351</x:v>
      </x:c>
      <x:c r="D5" s="8" t="s">
        <x:v>3522</x:v>
      </x:c>
      <x:c r="E5" s="6"/>
      <x:c r="F5" s="6"/>
      <x:c r="G5" s="6"/>
      <x:c r="H5" s="6"/>
      <x:c r="I5" s="6"/>
      <x:c r="J5" s="6"/>
      <x:c r="K5" s="6"/>
      <x:c r="L5" s="6"/>
      <x:c r="M5" s="6"/>
      <x:c r="N5" s="6"/>
      <x:c r="O5" s="6"/>
      <x:c r="P5" s="6"/>
      <x:c r="Q5" s="6"/>
      <x:c r="R5" s="6"/>
      <x:c r="S5" s="6"/>
      <x:c r="T5" s="6"/>
      <x:c r="U5" s="6"/>
      <x:c r="V5" s="6"/>
      <x:c r="W5" s="6"/>
      <x:c r="X5" s="6"/>
      <x:c r="Y5" s="6"/>
      <x:c r="Z5" s="6"/>
    </x:row>
    <x:row r="6" s="1" customFormat="1" ht="26.25" hidden="0" customHeight="1">
      <x:c r="A6" s="7" t="s">
        <x:v>3529</x:v>
      </x:c>
      <x:c r="B6" s="5" t="s">
        <x:v>3530</x:v>
      </x:c>
      <x:c r="C6" s="5" t="s">
        <x:v>351</x:v>
      </x:c>
      <x:c r="D6" s="5" t="s">
        <x:v>3069</x:v>
      </x:c>
      <x:c r="E6" s="6"/>
      <x:c r="F6" s="6"/>
      <x:c r="G6" s="6"/>
      <x:c r="H6" s="6"/>
      <x:c r="I6" s="6"/>
      <x:c r="J6" s="6"/>
      <x:c r="K6" s="6"/>
      <x:c r="L6" s="6"/>
      <x:c r="M6" s="6"/>
      <x:c r="N6" s="6"/>
      <x:c r="O6" s="6"/>
      <x:c r="P6" s="6"/>
      <x:c r="Q6" s="6"/>
      <x:c r="R6" s="6"/>
      <x:c r="S6" s="6"/>
      <x:c r="T6" s="6"/>
      <x:c r="U6" s="6"/>
      <x:c r="V6" s="6"/>
      <x:c r="W6" s="6"/>
      <x:c r="X6" s="6"/>
      <x:c r="Y6" s="6"/>
      <x:c r="Z6" s="6"/>
    </x:row>
    <x:row r="7" s="1" customFormat="1" ht="26.25" hidden="0" customHeight="1">
      <x:c r="A7" s="7" t="s">
        <x:v>3531</x:v>
      </x:c>
      <x:c r="B7" s="8" t="s">
        <x:v>3532</x:v>
      </x:c>
      <x:c r="C7" s="8" t="s">
        <x:v>351</x:v>
      </x:c>
      <x:c r="D7" s="8" t="s">
        <x:v>3071</x:v>
      </x:c>
      <x:c r="E7" s="6"/>
      <x:c r="F7" s="6"/>
      <x:c r="G7" s="6"/>
      <x:c r="H7" s="6"/>
      <x:c r="I7" s="6"/>
      <x:c r="J7" s="6"/>
      <x:c r="K7" s="6"/>
      <x:c r="L7" s="6"/>
      <x:c r="M7" s="6"/>
      <x:c r="N7" s="6"/>
      <x:c r="O7" s="6"/>
      <x:c r="P7" s="6"/>
      <x:c r="Q7" s="6"/>
      <x:c r="R7" s="6"/>
      <x:c r="S7" s="6"/>
      <x:c r="T7" s="6"/>
      <x:c r="U7" s="6"/>
      <x:c r="V7" s="6"/>
      <x:c r="W7" s="6"/>
      <x:c r="X7" s="6"/>
      <x:c r="Y7" s="6"/>
      <x:c r="Z7" s="6"/>
    </x:row>
    <x:row r="8" s="1" customFormat="1" ht="26.25" hidden="0" customHeight="1">
      <x:c r="A8" s="7" t="s">
        <x:v>3533</x:v>
      </x:c>
      <x:c r="B8" s="5" t="s">
        <x:v>3534</x:v>
      </x:c>
      <x:c r="C8" s="5" t="s">
        <x:v>351</x:v>
      </x:c>
      <x:c r="D8" s="5" t="s">
        <x:v>3073</x:v>
      </x:c>
      <x:c r="E8" s="6"/>
      <x:c r="F8" s="6"/>
      <x:c r="G8" s="6"/>
      <x:c r="H8" s="6"/>
      <x:c r="I8" s="6"/>
      <x:c r="J8" s="6"/>
      <x:c r="K8" s="6"/>
      <x:c r="L8" s="6"/>
      <x:c r="M8" s="6"/>
      <x:c r="N8" s="6"/>
      <x:c r="O8" s="6"/>
      <x:c r="P8" s="6"/>
      <x:c r="Q8" s="6"/>
      <x:c r="R8" s="6"/>
      <x:c r="S8" s="6"/>
      <x:c r="T8" s="6"/>
      <x:c r="U8" s="6"/>
      <x:c r="V8" s="6"/>
      <x:c r="W8" s="6"/>
      <x:c r="X8" s="6"/>
      <x:c r="Y8" s="6"/>
      <x:c r="Z8" s="6"/>
    </x:row>
    <x:row r="9" s="1" customFormat="1" ht="26.25" hidden="0" customHeight="1">
      <x:c r="A9" s="7" t="s">
        <x:v>3535</x:v>
      </x:c>
      <x:c r="B9" s="8" t="s">
        <x:v>3536</x:v>
      </x:c>
      <x:c r="C9" s="8" t="s">
        <x:v>351</x:v>
      </x:c>
      <x:c r="D9" s="8" t="s">
        <x:v>3075</x:v>
      </x:c>
      <x:c r="E9" s="6"/>
      <x:c r="F9" s="6"/>
      <x:c r="G9" s="6"/>
      <x:c r="H9" s="6"/>
      <x:c r="I9" s="6"/>
      <x:c r="J9" s="6"/>
      <x:c r="K9" s="6"/>
      <x:c r="L9" s="6"/>
      <x:c r="M9" s="6"/>
      <x:c r="N9" s="6"/>
      <x:c r="O9" s="6"/>
      <x:c r="P9" s="6"/>
      <x:c r="Q9" s="6"/>
      <x:c r="R9" s="6"/>
      <x:c r="S9" s="6"/>
      <x:c r="T9" s="6"/>
      <x:c r="U9" s="6"/>
      <x:c r="V9" s="6"/>
      <x:c r="W9" s="6"/>
      <x:c r="X9" s="6"/>
      <x:c r="Y9" s="6"/>
      <x:c r="Z9" s="6"/>
    </x:row>
    <x:row r="10" s="1" customFormat="1" ht="26.25" hidden="0" customHeight="1">
      <x:c r="A10" s="7" t="s">
        <x:v>3537</x:v>
      </x:c>
      <x:c r="B10" s="5" t="s">
        <x:v>3538</x:v>
      </x:c>
      <x:c r="C10" s="5" t="s">
        <x:v>351</x:v>
      </x:c>
      <x:c r="D10" s="5" t="s">
        <x:v>3539</x:v>
      </x:c>
      <x:c r="E10" s="5" t="s">
        <x:v>3540</x:v>
      </x:c>
      <x:c r="F10" s="6"/>
      <x:c r="G10" s="6"/>
      <x:c r="H10" s="6"/>
      <x:c r="I10" s="6"/>
      <x:c r="J10" s="6"/>
      <x:c r="K10" s="6"/>
      <x:c r="L10" s="6"/>
      <x:c r="M10" s="6"/>
      <x:c r="N10" s="6"/>
      <x:c r="O10" s="6"/>
      <x:c r="P10" s="6"/>
      <x:c r="Q10" s="6"/>
      <x:c r="R10" s="6"/>
      <x:c r="S10" s="6"/>
      <x:c r="T10" s="6"/>
      <x:c r="U10" s="6"/>
      <x:c r="V10" s="6"/>
      <x:c r="W10" s="6"/>
      <x:c r="X10" s="6"/>
      <x:c r="Y10" s="6"/>
      <x:c r="Z10" s="6"/>
    </x:row>
    <x:row r="11" s="1" customFormat="1" ht="26.25" hidden="0" customHeight="1">
      <x:c r="A11" s="7" t="s">
        <x:v>3541</x:v>
      </x:c>
      <x:c r="B11" s="8" t="s">
        <x:v>3542</x:v>
      </x:c>
      <x:c r="C11" s="8" t="s">
        <x:v>351</x:v>
      </x:c>
      <x:c r="D11" s="8" t="s">
        <x:v>3543</x:v>
      </x:c>
      <x:c r="E11" s="8" t="s">
        <x:v>3544</x:v>
      </x:c>
      <x:c r="F11" s="6"/>
      <x:c r="G11" s="6"/>
      <x:c r="H11" s="6"/>
      <x:c r="I11" s="6"/>
      <x:c r="J11" s="6"/>
      <x:c r="K11" s="6"/>
      <x:c r="L11" s="6"/>
      <x:c r="M11" s="6"/>
      <x:c r="N11" s="6"/>
      <x:c r="O11" s="6"/>
      <x:c r="P11" s="6"/>
      <x:c r="Q11" s="6"/>
      <x:c r="R11" s="6"/>
      <x:c r="S11" s="6"/>
      <x:c r="T11" s="6"/>
      <x:c r="U11" s="6"/>
      <x:c r="V11" s="6"/>
      <x:c r="W11" s="6"/>
      <x:c r="X11" s="6"/>
      <x:c r="Y11" s="6"/>
      <x:c r="Z11" s="6"/>
    </x:row>
    <x:row r="12" s="1" customFormat="1" ht="26.25" hidden="0" customHeight="1">
      <x:c r="A12" s="7" t="s">
        <x:v>3545</x:v>
      </x:c>
      <x:c r="B12" s="5" t="s">
        <x:v>3546</x:v>
      </x:c>
      <x:c r="C12" s="5" t="s">
        <x:v>3547</x:v>
      </x:c>
      <x:c r="D12" s="5" t="s">
        <x:v>3548</x:v>
      </x:c>
      <x:c r="E12" s="5" t="s">
        <x:v>3549</x:v>
      </x:c>
      <x:c r="F12" s="6"/>
      <x:c r="G12" s="6"/>
      <x:c r="H12" s="6"/>
      <x:c r="I12" s="6"/>
      <x:c r="J12" s="6"/>
      <x:c r="K12" s="6"/>
      <x:c r="L12" s="6"/>
      <x:c r="M12" s="6"/>
      <x:c r="N12" s="6"/>
      <x:c r="O12" s="6"/>
      <x:c r="P12" s="6"/>
      <x:c r="Q12" s="6"/>
      <x:c r="R12" s="6"/>
      <x:c r="S12" s="6"/>
      <x:c r="T12" s="6"/>
      <x:c r="U12" s="6"/>
      <x:c r="V12" s="6"/>
      <x:c r="W12" s="6"/>
      <x:c r="X12" s="6"/>
      <x:c r="Y12" s="6"/>
      <x:c r="Z12" s="6"/>
    </x:row>
    <x:row r="13" s="1" customFormat="1" ht="26.25" hidden="0" customHeight="1">
      <x:c r="A13" s="7" t="s">
        <x:v>3550</x:v>
      </x:c>
      <x:c r="B13" s="8" t="s">
        <x:v>3551</x:v>
      </x:c>
      <x:c r="C13" s="8" t="s">
        <x:v>3552</x:v>
      </x:c>
      <x:c r="D13" s="8" t="s">
        <x:v>616</x:v>
      </x:c>
      <x:c r="E13" s="8" t="s">
        <x:v>3553</x:v>
      </x:c>
      <x:c r="F13" s="6"/>
      <x:c r="G13" s="6"/>
      <x:c r="H13" s="6"/>
      <x:c r="I13" s="6"/>
      <x:c r="J13" s="6"/>
      <x:c r="K13" s="6"/>
      <x:c r="L13" s="6"/>
      <x:c r="M13" s="6"/>
      <x:c r="N13" s="6"/>
      <x:c r="O13" s="6"/>
      <x:c r="P13" s="6"/>
      <x:c r="Q13" s="6"/>
      <x:c r="R13" s="6"/>
      <x:c r="S13" s="6"/>
      <x:c r="T13" s="6"/>
      <x:c r="U13" s="6"/>
      <x:c r="V13" s="6"/>
      <x:c r="W13" s="6"/>
      <x:c r="X13" s="6"/>
      <x:c r="Y13" s="6"/>
      <x:c r="Z13" s="6"/>
    </x:row>
    <x:row r="14" s="1" customFormat="1" ht="26.25" hidden="0" customHeight="1">
      <x:c r="A14" s="7" t="s">
        <x:v>3554</x:v>
      </x:c>
      <x:c r="B14" s="5" t="s">
        <x:v>3555</x:v>
      </x:c>
      <x:c r="C14" s="5" t="s">
        <x:v>351</x:v>
      </x:c>
      <x:c r="D14" s="5" t="s">
        <x:v>619</x:v>
      </x:c>
      <x:c r="E14" s="5" t="s">
        <x:v>3556</x:v>
      </x:c>
      <x:c r="F14" s="6"/>
      <x:c r="G14" s="6"/>
      <x:c r="H14" s="6"/>
      <x:c r="I14" s="6"/>
      <x:c r="J14" s="6"/>
      <x:c r="K14" s="6"/>
      <x:c r="L14" s="6"/>
      <x:c r="M14" s="6"/>
      <x:c r="N14" s="6"/>
      <x:c r="O14" s="6"/>
      <x:c r="P14" s="6"/>
      <x:c r="Q14" s="6"/>
      <x:c r="R14" s="6"/>
      <x:c r="S14" s="6"/>
      <x:c r="T14" s="6"/>
      <x:c r="U14" s="6"/>
      <x:c r="V14" s="6"/>
      <x:c r="W14" s="6"/>
      <x:c r="X14" s="6"/>
      <x:c r="Y14" s="6"/>
      <x:c r="Z14" s="6"/>
    </x:row>
    <x:row r="15" s="1" customFormat="1" ht="26.25" hidden="0" customHeight="1">
      <x:c r="A15" s="7" t="s">
        <x:v>3557</x:v>
      </x:c>
      <x:c r="B15" s="8" t="s">
        <x:v>3558</x:v>
      </x:c>
      <x:c r="C15" s="8" t="s">
        <x:v>351</x:v>
      </x:c>
      <x:c r="D15" s="8" t="s">
        <x:v>622</x:v>
      </x:c>
      <x:c r="E15" s="8" t="s">
        <x:v>3559</x:v>
      </x:c>
      <x:c r="F15" s="6"/>
      <x:c r="G15" s="6"/>
      <x:c r="H15" s="6"/>
      <x:c r="I15" s="6"/>
      <x:c r="J15" s="6"/>
      <x:c r="K15" s="6"/>
      <x:c r="L15" s="6"/>
      <x:c r="M15" s="6"/>
      <x:c r="N15" s="6"/>
      <x:c r="O15" s="6"/>
      <x:c r="P15" s="6"/>
      <x:c r="Q15" s="6"/>
      <x:c r="R15" s="6"/>
      <x:c r="S15" s="6"/>
      <x:c r="T15" s="6"/>
      <x:c r="U15" s="6"/>
      <x:c r="V15" s="6"/>
      <x:c r="W15" s="6"/>
      <x:c r="X15" s="6"/>
      <x:c r="Y15" s="6"/>
      <x:c r="Z15" s="6"/>
    </x:row>
    <x:row r="16" s="1" customFormat="1" ht="26.25" hidden="0" customHeight="1">
      <x:c r="A16" s="7" t="s">
        <x:v>3560</x:v>
      </x:c>
      <x:c r="B16" s="5" t="s">
        <x:v>3561</x:v>
      </x:c>
      <x:c r="C16" s="5" t="s">
        <x:v>351</x:v>
      </x:c>
      <x:c r="D16" s="5" t="s">
        <x:v>625</x:v>
      </x:c>
      <x:c r="E16" s="5" t="s">
        <x:v>3562</x:v>
      </x:c>
      <x:c r="F16" s="6"/>
      <x:c r="G16" s="6"/>
      <x:c r="H16" s="6"/>
      <x:c r="I16" s="6"/>
      <x:c r="J16" s="6"/>
      <x:c r="K16" s="6"/>
      <x:c r="L16" s="6"/>
      <x:c r="M16" s="6"/>
      <x:c r="N16" s="6"/>
      <x:c r="O16" s="6"/>
      <x:c r="P16" s="6"/>
      <x:c r="Q16" s="6"/>
      <x:c r="R16" s="6"/>
      <x:c r="S16" s="6"/>
      <x:c r="T16" s="6"/>
      <x:c r="U16" s="6"/>
      <x:c r="V16" s="6"/>
      <x:c r="W16" s="6"/>
      <x:c r="X16" s="6"/>
      <x:c r="Y16" s="6"/>
      <x:c r="Z16" s="6"/>
    </x:row>
    <x:row r="17" s="1" customFormat="1" ht="26.25" hidden="0" customHeight="1">
      <x:c r="A17" s="7" t="s">
        <x:v>3563</x:v>
      </x:c>
      <x:c r="B17" s="8" t="s">
        <x:v>3564</x:v>
      </x:c>
      <x:c r="C17" s="8" t="s">
        <x:v>351</x:v>
      </x:c>
      <x:c r="D17" s="8" t="s">
        <x:v>628</x:v>
      </x:c>
      <x:c r="E17" s="8" t="s">
        <x:v>3565</x:v>
      </x:c>
      <x:c r="F17" s="6"/>
      <x:c r="G17" s="6"/>
      <x:c r="H17" s="6"/>
      <x:c r="I17" s="6"/>
      <x:c r="J17" s="6"/>
      <x:c r="K17" s="6"/>
      <x:c r="L17" s="6"/>
      <x:c r="M17" s="6"/>
      <x:c r="N17" s="6"/>
      <x:c r="O17" s="6"/>
      <x:c r="P17" s="6"/>
      <x:c r="Q17" s="6"/>
      <x:c r="R17" s="6"/>
      <x:c r="S17" s="6"/>
      <x:c r="T17" s="6"/>
      <x:c r="U17" s="6"/>
      <x:c r="V17" s="6"/>
      <x:c r="W17" s="6"/>
      <x:c r="X17" s="6"/>
      <x:c r="Y17" s="6"/>
      <x:c r="Z17" s="6"/>
    </x:row>
    <x:row r="18" s="1" customFormat="1" ht="26.25" hidden="0" customHeight="1">
      <x:c r="A18" s="7" t="s">
        <x:v>3566</x:v>
      </x:c>
      <x:c r="B18" s="5" t="s">
        <x:v>3567</x:v>
      </x:c>
      <x:c r="C18" s="5" t="s">
        <x:v>351</x:v>
      </x:c>
      <x:c r="D18" s="5" t="s">
        <x:v>631</x:v>
      </x:c>
      <x:c r="E18" s="5" t="s">
        <x:v>3568</x:v>
      </x:c>
      <x:c r="F18" s="6"/>
      <x:c r="G18" s="6"/>
      <x:c r="H18" s="6"/>
      <x:c r="I18" s="6"/>
      <x:c r="J18" s="6"/>
      <x:c r="K18" s="6"/>
      <x:c r="L18" s="6"/>
      <x:c r="M18" s="6"/>
      <x:c r="N18" s="6"/>
      <x:c r="O18" s="6"/>
      <x:c r="P18" s="6"/>
      <x:c r="Q18" s="6"/>
      <x:c r="R18" s="6"/>
      <x:c r="S18" s="6"/>
      <x:c r="T18" s="6"/>
      <x:c r="U18" s="6"/>
      <x:c r="V18" s="6"/>
      <x:c r="W18" s="6"/>
      <x:c r="X18" s="6"/>
      <x:c r="Y18" s="6"/>
      <x:c r="Z18" s="6"/>
    </x:row>
    <x:row r="19" s="1" customFormat="1" ht="26.25" hidden="0" customHeight="1">
      <x:c r="A19" s="7" t="s">
        <x:v>3569</x:v>
      </x:c>
      <x:c r="B19" s="8" t="s">
        <x:v>3570</x:v>
      </x:c>
      <x:c r="C19" s="8" t="s">
        <x:v>351</x:v>
      </x:c>
      <x:c r="D19" s="8" t="s">
        <x:v>634</x:v>
      </x:c>
      <x:c r="E19" s="8" t="s">
        <x:v>3571</x:v>
      </x:c>
      <x:c r="F19" s="6"/>
      <x:c r="G19" s="6"/>
      <x:c r="H19" s="6"/>
      <x:c r="I19" s="6"/>
      <x:c r="J19" s="6"/>
      <x:c r="K19" s="6"/>
      <x:c r="L19" s="6"/>
      <x:c r="M19" s="6"/>
      <x:c r="N19" s="6"/>
      <x:c r="O19" s="6"/>
      <x:c r="P19" s="6"/>
      <x:c r="Q19" s="6"/>
      <x:c r="R19" s="6"/>
      <x:c r="S19" s="6"/>
      <x:c r="T19" s="6"/>
      <x:c r="U19" s="6"/>
      <x:c r="V19" s="6"/>
      <x:c r="W19" s="6"/>
      <x:c r="X19" s="6"/>
      <x:c r="Y19" s="6"/>
      <x:c r="Z19" s="6"/>
    </x:row>
    <x:row r="20" s="1" customFormat="1" ht="26.25" hidden="0" customHeight="1">
      <x:c r="A20" s="7" t="s">
        <x:v>3572</x:v>
      </x:c>
      <x:c r="B20" s="5" t="s">
        <x:v>3573</x:v>
      </x:c>
      <x:c r="C20" s="5" t="s">
        <x:v>351</x:v>
      </x:c>
      <x:c r="D20" s="5" t="s">
        <x:v>619</x:v>
      </x:c>
      <x:c r="E20" s="5" t="s">
        <x:v>3574</x:v>
      </x:c>
      <x:c r="F20" s="6"/>
      <x:c r="G20" s="6"/>
      <x:c r="H20" s="6"/>
      <x:c r="I20" s="6"/>
      <x:c r="J20" s="6"/>
      <x:c r="K20" s="6"/>
      <x:c r="L20" s="6"/>
      <x:c r="M20" s="6"/>
      <x:c r="N20" s="6"/>
      <x:c r="O20" s="6"/>
      <x:c r="P20" s="6"/>
      <x:c r="Q20" s="6"/>
      <x:c r="R20" s="6"/>
      <x:c r="S20" s="6"/>
      <x:c r="T20" s="6"/>
      <x:c r="U20" s="6"/>
      <x:c r="V20" s="6"/>
      <x:c r="W20" s="6"/>
      <x:c r="X20" s="6"/>
      <x:c r="Y20" s="6"/>
      <x:c r="Z20" s="6"/>
    </x:row>
    <x:row r="21" s="1" customFormat="1" ht="26.25" hidden="0" customHeight="1">
      <x:c r="A21" s="7" t="s">
        <x:v>3575</x:v>
      </x:c>
      <x:c r="B21" s="8" t="s">
        <x:v>3576</x:v>
      </x:c>
      <x:c r="C21" s="8" t="s">
        <x:v>351</x:v>
      </x:c>
      <x:c r="D21" s="8" t="s">
        <x:v>622</x:v>
      </x:c>
      <x:c r="E21" s="8" t="s">
        <x:v>3577</x:v>
      </x:c>
      <x:c r="F21" s="6"/>
      <x:c r="G21" s="6"/>
      <x:c r="H21" s="6"/>
      <x:c r="I21" s="6"/>
      <x:c r="J21" s="6"/>
      <x:c r="K21" s="6"/>
      <x:c r="L21" s="6"/>
      <x:c r="M21" s="6"/>
      <x:c r="N21" s="6"/>
      <x:c r="O21" s="6"/>
      <x:c r="P21" s="6"/>
      <x:c r="Q21" s="6"/>
      <x:c r="R21" s="6"/>
      <x:c r="S21" s="6"/>
      <x:c r="T21" s="6"/>
      <x:c r="U21" s="6"/>
      <x:c r="V21" s="6"/>
      <x:c r="W21" s="6"/>
      <x:c r="X21" s="6"/>
      <x:c r="Y21" s="6"/>
      <x:c r="Z21" s="6"/>
    </x:row>
    <x:row r="22" s="1" customFormat="1" ht="26.25" hidden="0" customHeight="1">
      <x:c r="A22" s="7" t="s">
        <x:v>3578</x:v>
      </x:c>
      <x:c r="B22" s="5" t="s">
        <x:v>3579</x:v>
      </x:c>
      <x:c r="C22" s="5" t="s">
        <x:v>351</x:v>
      </x:c>
      <x:c r="D22" s="5" t="s">
        <x:v>625</x:v>
      </x:c>
      <x:c r="E22" s="5" t="s">
        <x:v>3580</x:v>
      </x:c>
      <x:c r="F22" s="6"/>
      <x:c r="G22" s="6"/>
      <x:c r="H22" s="6"/>
      <x:c r="I22" s="6"/>
      <x:c r="J22" s="6"/>
      <x:c r="K22" s="6"/>
      <x:c r="L22" s="6"/>
      <x:c r="M22" s="6"/>
      <x:c r="N22" s="6"/>
      <x:c r="O22" s="6"/>
      <x:c r="P22" s="6"/>
      <x:c r="Q22" s="6"/>
      <x:c r="R22" s="6"/>
      <x:c r="S22" s="6"/>
      <x:c r="T22" s="6"/>
      <x:c r="U22" s="6"/>
      <x:c r="V22" s="6"/>
      <x:c r="W22" s="6"/>
      <x:c r="X22" s="6"/>
      <x:c r="Y22" s="6"/>
      <x:c r="Z22" s="6"/>
    </x:row>
    <x:row r="23" s="1" customFormat="1" ht="26.25" hidden="0" customHeight="1">
      <x:c r="A23" s="7" t="s">
        <x:v>3581</x:v>
      </x:c>
      <x:c r="B23" s="8" t="s">
        <x:v>3582</x:v>
      </x:c>
      <x:c r="C23" s="8" t="s">
        <x:v>351</x:v>
      </x:c>
      <x:c r="D23" s="8" t="s">
        <x:v>628</x:v>
      </x:c>
      <x:c r="E23" s="8" t="s">
        <x:v>3583</x:v>
      </x:c>
      <x:c r="F23" s="6"/>
      <x:c r="G23" s="6"/>
      <x:c r="H23" s="6"/>
      <x:c r="I23" s="6"/>
      <x:c r="J23" s="6"/>
      <x:c r="K23" s="6"/>
      <x:c r="L23" s="6"/>
      <x:c r="M23" s="6"/>
      <x:c r="N23" s="6"/>
      <x:c r="O23" s="6"/>
      <x:c r="P23" s="6"/>
      <x:c r="Q23" s="6"/>
      <x:c r="R23" s="6"/>
      <x:c r="S23" s="6"/>
      <x:c r="T23" s="6"/>
      <x:c r="U23" s="6"/>
      <x:c r="V23" s="6"/>
      <x:c r="W23" s="6"/>
      <x:c r="X23" s="6"/>
      <x:c r="Y23" s="6"/>
      <x:c r="Z23" s="6"/>
    </x:row>
    <x:row r="24" s="1" customFormat="1" ht="26.25" hidden="0" customHeight="1">
      <x:c r="A24" s="7" t="s">
        <x:v>3584</x:v>
      </x:c>
      <x:c r="B24" s="5" t="s">
        <x:v>3585</x:v>
      </x:c>
      <x:c r="C24" s="5" t="s">
        <x:v>351</x:v>
      </x:c>
      <x:c r="D24" s="5" t="s">
        <x:v>631</x:v>
      </x:c>
      <x:c r="E24" s="5" t="s">
        <x:v>3586</x:v>
      </x:c>
      <x:c r="F24" s="6"/>
      <x:c r="G24" s="6"/>
      <x:c r="H24" s="6"/>
      <x:c r="I24" s="6"/>
      <x:c r="J24" s="6"/>
      <x:c r="K24" s="6"/>
      <x:c r="L24" s="6"/>
      <x:c r="M24" s="6"/>
      <x:c r="N24" s="6"/>
      <x:c r="O24" s="6"/>
      <x:c r="P24" s="6"/>
      <x:c r="Q24" s="6"/>
      <x:c r="R24" s="6"/>
      <x:c r="S24" s="6"/>
      <x:c r="T24" s="6"/>
      <x:c r="U24" s="6"/>
      <x:c r="V24" s="6"/>
      <x:c r="W24" s="6"/>
      <x:c r="X24" s="6"/>
      <x:c r="Y24" s="6"/>
      <x:c r="Z24" s="6"/>
    </x:row>
    <x:row r="25" s="1" customFormat="1" ht="26.25" hidden="0" customHeight="1">
      <x:c r="A25" s="7" t="s">
        <x:v>3587</x:v>
      </x:c>
      <x:c r="B25" s="8" t="s">
        <x:v>3588</x:v>
      </x:c>
      <x:c r="C25" s="8" t="s">
        <x:v>351</x:v>
      </x:c>
      <x:c r="D25" s="8" t="s">
        <x:v>634</x:v>
      </x:c>
      <x:c r="E25" s="8" t="s">
        <x:v>3589</x:v>
      </x:c>
      <x:c r="F25" s="6"/>
      <x:c r="G25" s="6"/>
      <x:c r="H25" s="6"/>
      <x:c r="I25" s="6"/>
      <x:c r="J25" s="6"/>
      <x:c r="K25" s="6"/>
      <x:c r="L25" s="6"/>
      <x:c r="M25" s="6"/>
      <x:c r="N25" s="6"/>
      <x:c r="O25" s="6"/>
      <x:c r="P25" s="6"/>
      <x:c r="Q25" s="6"/>
      <x:c r="R25" s="6"/>
      <x:c r="S25" s="6"/>
      <x:c r="T25" s="6"/>
      <x:c r="U25" s="6"/>
      <x:c r="V25" s="6"/>
      <x:c r="W25" s="6"/>
      <x:c r="X25" s="6"/>
      <x:c r="Y25" s="6"/>
      <x:c r="Z25" s="6"/>
    </x:row>
    <x:row r="26" s="1" customFormat="1" ht="23.25" hidden="0" customHeight="1">
      <x:c r="A26" s="7" t="s">
        <x:v>3590</x:v>
      </x:c>
      <x:c r="B26" s="5" t="s">
        <x:v>3591</x:v>
      </x:c>
      <x:c r="C26" s="5" t="s">
        <x:v>351</x:v>
      </x:c>
      <x:c r="D26" s="5" t="s">
        <x:v>3592</x:v>
      </x:c>
      <x:c r="E26" s="5" t="s">
        <x:v>3593</x:v>
      </x:c>
      <x:c r="F26" s="6"/>
      <x:c r="G26" s="6"/>
      <x:c r="H26" s="6"/>
      <x:c r="I26" s="6"/>
      <x:c r="J26" s="6"/>
      <x:c r="K26" s="6"/>
      <x:c r="L26" s="6"/>
      <x:c r="M26" s="6"/>
      <x:c r="N26" s="6"/>
      <x:c r="O26" s="6"/>
      <x:c r="P26" s="6"/>
      <x:c r="Q26" s="6"/>
      <x:c r="R26" s="6"/>
      <x:c r="S26" s="6"/>
      <x:c r="T26" s="6"/>
      <x:c r="U26" s="6"/>
      <x:c r="V26" s="6"/>
      <x:c r="W26" s="6"/>
      <x:c r="X26" s="6"/>
      <x:c r="Y26" s="6"/>
      <x:c r="Z26" s="6"/>
    </x:row>
    <x:row r="27" s="1" customFormat="1" ht="23.25" hidden="0" customHeight="1">
      <x:c r="A27" s="7" t="s">
        <x:v>3594</x:v>
      </x:c>
      <x:c r="B27" s="8" t="s">
        <x:v>3595</x:v>
      </x:c>
      <x:c r="C27" s="8" t="s">
        <x:v>351</x:v>
      </x:c>
      <x:c r="D27" s="8" t="s">
        <x:v>3596</x:v>
      </x:c>
      <x:c r="E27" s="8" t="s">
        <x:v>3597</x:v>
      </x:c>
      <x:c r="F27" s="6"/>
      <x:c r="G27" s="6"/>
      <x:c r="H27" s="6"/>
      <x:c r="I27" s="6"/>
      <x:c r="J27" s="6"/>
      <x:c r="K27" s="6"/>
      <x:c r="L27" s="6"/>
      <x:c r="M27" s="6"/>
      <x:c r="N27" s="6"/>
      <x:c r="O27" s="6"/>
      <x:c r="P27" s="6"/>
      <x:c r="Q27" s="6"/>
      <x:c r="R27" s="6"/>
      <x:c r="S27" s="6"/>
      <x:c r="T27" s="6"/>
      <x:c r="U27" s="6"/>
      <x:c r="V27" s="6"/>
      <x:c r="W27" s="6"/>
      <x:c r="X27" s="6"/>
      <x:c r="Y27" s="6"/>
      <x:c r="Z27" s="6"/>
    </x:row>
    <x:row r="28" s="1" customFormat="1" ht="23.25" hidden="0" customHeight="1">
      <x:c r="A28" s="7" t="s">
        <x:v>3598</x:v>
      </x:c>
      <x:c r="B28" s="5" t="s">
        <x:v>3599</x:v>
      </x:c>
      <x:c r="C28" s="5" t="s">
        <x:v>351</x:v>
      </x:c>
      <x:c r="D28" s="5" t="s">
        <x:v>3600</x:v>
      </x:c>
      <x:c r="E28" s="5" t="s">
        <x:v>3601</x:v>
      </x:c>
      <x:c r="F28" s="6"/>
      <x:c r="G28" s="6"/>
      <x:c r="H28" s="6"/>
      <x:c r="I28" s="6"/>
      <x:c r="J28" s="6"/>
      <x:c r="K28" s="6"/>
      <x:c r="L28" s="6"/>
      <x:c r="M28" s="6"/>
      <x:c r="N28" s="6"/>
      <x:c r="O28" s="6"/>
      <x:c r="P28" s="6"/>
      <x:c r="Q28" s="6"/>
      <x:c r="R28" s="6"/>
      <x:c r="S28" s="6"/>
      <x:c r="T28" s="6"/>
      <x:c r="U28" s="6"/>
      <x:c r="V28" s="6"/>
      <x:c r="W28" s="6"/>
      <x:c r="X28" s="6"/>
      <x:c r="Y28" s="6"/>
      <x:c r="Z28" s="6"/>
    </x:row>
    <x:row r="29" s="1" customFormat="1" ht="23.25" hidden="0" customHeight="1">
      <x:c r="A29" s="7" t="s">
        <x:v>3602</x:v>
      </x:c>
      <x:c r="B29" s="8" t="s">
        <x:v>3603</x:v>
      </x:c>
      <x:c r="C29" s="8" t="s">
        <x:v>351</x:v>
      </x:c>
      <x:c r="D29" s="8" t="s">
        <x:v>3604</x:v>
      </x:c>
      <x:c r="E29" s="8" t="s">
        <x:v>3605</x:v>
      </x:c>
      <x:c r="F29" s="6"/>
      <x:c r="G29" s="6"/>
      <x:c r="H29" s="6"/>
      <x:c r="I29" s="6"/>
      <x:c r="J29" s="6"/>
      <x:c r="K29" s="6"/>
      <x:c r="L29" s="6"/>
      <x:c r="M29" s="6"/>
      <x:c r="N29" s="6"/>
      <x:c r="O29" s="6"/>
      <x:c r="P29" s="6"/>
      <x:c r="Q29" s="6"/>
      <x:c r="R29" s="6"/>
      <x:c r="S29" s="6"/>
      <x:c r="T29" s="6"/>
      <x:c r="U29" s="6"/>
      <x:c r="V29" s="6"/>
      <x:c r="W29" s="6"/>
      <x:c r="X29" s="6"/>
      <x:c r="Y29" s="6"/>
      <x:c r="Z29" s="6"/>
    </x:row>
    <x:row r="30" s="1" customFormat="1" ht="23.25" hidden="0" customHeight="1">
      <x:c r="A30" s="7" t="s">
        <x:v>3606</x:v>
      </x:c>
      <x:c r="B30" s="5" t="s">
        <x:v>3607</x:v>
      </x:c>
      <x:c r="C30" s="5" t="s">
        <x:v>351</x:v>
      </x:c>
      <x:c r="D30" s="5" t="s">
        <x:v>3608</x:v>
      </x:c>
      <x:c r="E30" s="5" t="s">
        <x:v>3609</x:v>
      </x:c>
      <x:c r="F30" s="6"/>
      <x:c r="G30" s="6"/>
      <x:c r="H30" s="6"/>
      <x:c r="I30" s="6"/>
      <x:c r="J30" s="6"/>
      <x:c r="K30" s="6"/>
      <x:c r="L30" s="6"/>
      <x:c r="M30" s="6"/>
      <x:c r="N30" s="6"/>
      <x:c r="O30" s="6"/>
      <x:c r="P30" s="6"/>
      <x:c r="Q30" s="6"/>
      <x:c r="R30" s="6"/>
      <x:c r="S30" s="6"/>
      <x:c r="T30" s="6"/>
      <x:c r="U30" s="6"/>
      <x:c r="V30" s="6"/>
      <x:c r="W30" s="6"/>
      <x:c r="X30" s="6"/>
      <x:c r="Y30" s="6"/>
      <x:c r="Z30" s="6"/>
    </x:row>
    <x:row r="31" s="1" customFormat="1" ht="12.75" hidden="0" customHeight="1">
      <x:c r="A31" s="6"/>
      <x:c r="B31" s="6"/>
      <x:c r="C31" s="6"/>
      <x:c r="D31" s="6"/>
      <x:c r="E31" s="6"/>
      <x:c r="F31" s="6"/>
      <x:c r="G31" s="6"/>
      <x:c r="H31" s="6"/>
      <x:c r="I31" s="6"/>
      <x:c r="J31" s="6"/>
      <x:c r="K31" s="6"/>
      <x:c r="L31" s="6"/>
      <x:c r="M31" s="6"/>
      <x:c r="N31" s="6"/>
      <x:c r="O31" s="6"/>
      <x:c r="P31" s="6"/>
      <x:c r="Q31" s="6"/>
      <x:c r="R31" s="6"/>
      <x:c r="S31" s="6"/>
      <x:c r="T31" s="6"/>
      <x:c r="U31" s="6"/>
      <x:c r="V31" s="6"/>
      <x:c r="W31" s="6"/>
      <x:c r="X31" s="6"/>
      <x:c r="Y31" s="6"/>
      <x:c r="Z31" s="6"/>
    </x:row>
    <x:row r="32" s="1" customFormat="1" ht="12.75" hidden="0" customHeight="1">
      <x:c r="A32" s="6"/>
      <x:c r="B32" s="6"/>
      <x:c r="C32" s="6"/>
      <x:c r="D32" s="6"/>
      <x:c r="E32" s="6"/>
      <x:c r="F32" s="6"/>
      <x:c r="G32" s="6"/>
      <x:c r="H32" s="6"/>
      <x:c r="I32" s="6"/>
      <x:c r="J32" s="6"/>
      <x:c r="K32" s="6"/>
      <x:c r="L32" s="6"/>
      <x:c r="M32" s="6"/>
      <x:c r="N32" s="6"/>
      <x:c r="O32" s="6"/>
      <x:c r="P32" s="6"/>
      <x:c r="Q32" s="6"/>
      <x:c r="R32" s="6"/>
      <x:c r="S32" s="6"/>
      <x:c r="T32" s="6"/>
      <x:c r="U32" s="6"/>
      <x:c r="V32" s="6"/>
      <x:c r="W32" s="6"/>
      <x:c r="X32" s="6"/>
      <x:c r="Y32" s="6"/>
      <x:c r="Z32" s="6"/>
    </x:row>
    <x:row r="33" s="1" customFormat="1" ht="12.75" hidden="0" customHeight="1">
      <x:c r="A33" s="6"/>
      <x:c r="B33" s="6"/>
      <x:c r="C33" s="6"/>
      <x:c r="D33" s="6"/>
      <x:c r="E33" s="6"/>
      <x:c r="F33" s="6"/>
      <x:c r="G33" s="6"/>
      <x:c r="H33" s="6"/>
      <x:c r="I33" s="6"/>
      <x:c r="J33" s="6"/>
      <x:c r="K33" s="6"/>
      <x:c r="L33" s="6"/>
      <x:c r="M33" s="6"/>
      <x:c r="N33" s="6"/>
      <x:c r="O33" s="6"/>
      <x:c r="P33" s="6"/>
      <x:c r="Q33" s="6"/>
      <x:c r="R33" s="6"/>
      <x:c r="S33" s="6"/>
      <x:c r="T33" s="6"/>
      <x:c r="U33" s="6"/>
      <x:c r="V33" s="6"/>
      <x:c r="W33" s="6"/>
      <x:c r="X33" s="6"/>
      <x:c r="Y33" s="6"/>
      <x:c r="Z33" s="6"/>
    </x:row>
    <x:row r="34" s="1" customFormat="1" ht="12.75" hidden="0" customHeight="1">
      <x:c r="A34" s="6"/>
      <x:c r="B34" s="6"/>
      <x:c r="C34" s="6"/>
      <x:c r="D34" s="6"/>
      <x:c r="E34" s="6"/>
      <x:c r="F34" s="6"/>
      <x:c r="G34" s="6"/>
      <x:c r="H34" s="6"/>
      <x:c r="I34" s="6"/>
      <x:c r="J34" s="6"/>
      <x:c r="K34" s="6"/>
      <x:c r="L34" s="6"/>
      <x:c r="M34" s="6"/>
      <x:c r="N34" s="6"/>
      <x:c r="O34" s="6"/>
      <x:c r="P34" s="6"/>
      <x:c r="Q34" s="6"/>
      <x:c r="R34" s="6"/>
      <x:c r="S34" s="6"/>
      <x:c r="T34" s="6"/>
      <x:c r="U34" s="6"/>
      <x:c r="V34" s="6"/>
      <x:c r="W34" s="6"/>
      <x:c r="X34" s="6"/>
      <x:c r="Y34" s="6"/>
      <x:c r="Z34" s="6"/>
    </x:row>
    <x:row r="35" s="1" customFormat="1" ht="12.75" hidden="0" customHeight="1">
      <x:c r="A35" s="6"/>
      <x:c r="B35" s="6"/>
      <x:c r="C35" s="6"/>
      <x:c r="D35" s="6"/>
      <x:c r="E35" s="6"/>
      <x:c r="F35" s="6"/>
      <x:c r="G35" s="6"/>
      <x:c r="H35" s="6"/>
      <x:c r="I35" s="6"/>
      <x:c r="J35" s="6"/>
      <x:c r="K35" s="6"/>
      <x:c r="L35" s="6"/>
      <x:c r="M35" s="6"/>
      <x:c r="N35" s="6"/>
      <x:c r="O35" s="6"/>
      <x:c r="P35" s="6"/>
      <x:c r="Q35" s="6"/>
      <x:c r="R35" s="6"/>
      <x:c r="S35" s="6"/>
      <x:c r="T35" s="6"/>
      <x:c r="U35" s="6"/>
      <x:c r="V35" s="6"/>
      <x:c r="W35" s="6"/>
      <x:c r="X35" s="6"/>
      <x:c r="Y35" s="6"/>
      <x:c r="Z35" s="6"/>
    </x:row>
    <x:row r="36" s="1" customFormat="1" ht="12.75" hidden="0" customHeight="1">
      <x:c r="A36" s="6"/>
      <x:c r="B36" s="6"/>
      <x:c r="C36" s="6"/>
      <x:c r="D36" s="6"/>
      <x:c r="E36" s="6"/>
      <x:c r="F36" s="6"/>
      <x:c r="G36" s="6"/>
      <x:c r="H36" s="6"/>
      <x:c r="I36" s="6"/>
      <x:c r="J36" s="6"/>
      <x:c r="K36" s="6"/>
      <x:c r="L36" s="6"/>
      <x:c r="M36" s="6"/>
      <x:c r="N36" s="6"/>
      <x:c r="O36" s="6"/>
      <x:c r="P36" s="6"/>
      <x:c r="Q36" s="6"/>
      <x:c r="R36" s="6"/>
      <x:c r="S36" s="6"/>
      <x:c r="T36" s="6"/>
      <x:c r="U36" s="6"/>
      <x:c r="V36" s="6"/>
      <x:c r="W36" s="6"/>
      <x:c r="X36" s="6"/>
      <x:c r="Y36" s="6"/>
      <x:c r="Z36" s="6"/>
    </x:row>
    <x:row r="37" s="1" customFormat="1" ht="12.75" hidden="0" customHeight="1">
      <x:c r="A37" s="6"/>
      <x:c r="B37" s="6"/>
      <x:c r="C37" s="6"/>
      <x:c r="D37" s="6"/>
      <x:c r="E37" s="6"/>
      <x:c r="F37" s="6"/>
      <x:c r="G37" s="6"/>
      <x:c r="H37" s="6"/>
      <x:c r="I37" s="6"/>
      <x:c r="J37" s="6"/>
      <x:c r="K37" s="6"/>
      <x:c r="L37" s="6"/>
      <x:c r="M37" s="6"/>
      <x:c r="N37" s="6"/>
      <x:c r="O37" s="6"/>
      <x:c r="P37" s="6"/>
      <x:c r="Q37" s="6"/>
      <x:c r="R37" s="6"/>
      <x:c r="S37" s="6"/>
      <x:c r="T37" s="6"/>
      <x:c r="U37" s="6"/>
      <x:c r="V37" s="6"/>
      <x:c r="W37" s="6"/>
      <x:c r="X37" s="6"/>
      <x:c r="Y37" s="6"/>
      <x:c r="Z37" s="6"/>
    </x:row>
    <x:row r="38" s="1" customFormat="1" ht="12.75" hidden="0" customHeight="1">
      <x:c r="A38" s="6"/>
      <x:c r="B38" s="6"/>
      <x:c r="C38" s="6"/>
      <x:c r="D38" s="6"/>
      <x:c r="E38" s="6"/>
      <x:c r="F38" s="6"/>
      <x:c r="G38" s="6"/>
      <x:c r="H38" s="6"/>
      <x:c r="I38" s="6"/>
      <x:c r="J38" s="6"/>
      <x:c r="K38" s="6"/>
      <x:c r="L38" s="6"/>
      <x:c r="M38" s="6"/>
      <x:c r="N38" s="6"/>
      <x:c r="O38" s="6"/>
      <x:c r="P38" s="6"/>
      <x:c r="Q38" s="6"/>
      <x:c r="R38" s="6"/>
      <x:c r="S38" s="6"/>
      <x:c r="T38" s="6"/>
      <x:c r="U38" s="6"/>
      <x:c r="V38" s="6"/>
      <x:c r="W38" s="6"/>
      <x:c r="X38" s="6"/>
      <x:c r="Y38" s="6"/>
      <x:c r="Z38" s="6"/>
    </x:row>
    <x:row r="39" s="1" customFormat="1" ht="12.75" hidden="0" customHeight="1">
      <x:c r="A39" s="6"/>
      <x:c r="B39" s="6"/>
      <x:c r="C39" s="6"/>
      <x:c r="D39" s="6"/>
      <x:c r="E39" s="6"/>
      <x:c r="F39" s="6"/>
      <x:c r="G39" s="6"/>
      <x:c r="H39" s="6"/>
      <x:c r="I39" s="6"/>
      <x:c r="J39" s="6"/>
      <x:c r="K39" s="6"/>
      <x:c r="L39" s="6"/>
      <x:c r="M39" s="6"/>
      <x:c r="N39" s="6"/>
      <x:c r="O39" s="6"/>
      <x:c r="P39" s="6"/>
      <x:c r="Q39" s="6"/>
      <x:c r="R39" s="6"/>
      <x:c r="S39" s="6"/>
      <x:c r="T39" s="6"/>
      <x:c r="U39" s="6"/>
      <x:c r="V39" s="6"/>
      <x:c r="W39" s="6"/>
      <x:c r="X39" s="6"/>
      <x:c r="Y39" s="6"/>
      <x:c r="Z39" s="6"/>
    </x:row>
    <x:row r="40" s="1" customFormat="1" ht="12.75" hidden="0" customHeight="1">
      <x:c r="A40" s="6"/>
      <x:c r="B40" s="6"/>
      <x:c r="C40" s="6"/>
      <x:c r="D40" s="6"/>
      <x:c r="E40" s="6"/>
      <x:c r="F40" s="6"/>
      <x:c r="G40" s="6"/>
      <x:c r="H40" s="6"/>
      <x:c r="I40" s="6"/>
      <x:c r="J40" s="6"/>
      <x:c r="K40" s="6"/>
      <x:c r="L40" s="6"/>
      <x:c r="M40" s="6"/>
      <x:c r="N40" s="6"/>
      <x:c r="O40" s="6"/>
      <x:c r="P40" s="6"/>
      <x:c r="Q40" s="6"/>
      <x:c r="R40" s="6"/>
      <x:c r="S40" s="6"/>
      <x:c r="T40" s="6"/>
      <x:c r="U40" s="6"/>
      <x:c r="V40" s="6"/>
      <x:c r="W40" s="6"/>
      <x:c r="X40" s="6"/>
      <x:c r="Y40" s="6"/>
      <x:c r="Z40" s="6"/>
    </x:row>
    <x:row r="41" s="1" customFormat="1" ht="12.75" hidden="0" customHeight="1">
      <x:c r="A41" s="6"/>
      <x:c r="B41" s="6"/>
      <x:c r="C41" s="6"/>
      <x:c r="D41" s="6"/>
      <x:c r="E41" s="6"/>
      <x:c r="F41" s="6"/>
      <x:c r="G41" s="6"/>
      <x:c r="H41" s="6"/>
      <x:c r="I41" s="6"/>
      <x:c r="J41" s="6"/>
      <x:c r="K41" s="6"/>
      <x:c r="L41" s="6"/>
      <x:c r="M41" s="6"/>
      <x:c r="N41" s="6"/>
      <x:c r="O41" s="6"/>
      <x:c r="P41" s="6"/>
      <x:c r="Q41" s="6"/>
      <x:c r="R41" s="6"/>
      <x:c r="S41" s="6"/>
      <x:c r="T41" s="6"/>
      <x:c r="U41" s="6"/>
      <x:c r="V41" s="6"/>
      <x:c r="W41" s="6"/>
      <x:c r="X41" s="6"/>
      <x:c r="Y41" s="6"/>
      <x:c r="Z41" s="6"/>
    </x:row>
    <x:row r="42" s="1" customFormat="1" ht="12.75" hidden="0" customHeight="1">
      <x:c r="A42" s="6"/>
      <x:c r="B42" s="6"/>
      <x:c r="C42" s="6"/>
      <x:c r="D42" s="6"/>
      <x:c r="E42" s="6"/>
      <x:c r="F42" s="6"/>
      <x:c r="G42" s="6"/>
      <x:c r="H42" s="6"/>
      <x:c r="I42" s="6"/>
      <x:c r="J42" s="6"/>
      <x:c r="K42" s="6"/>
      <x:c r="L42" s="6"/>
      <x:c r="M42" s="6"/>
      <x:c r="N42" s="6"/>
      <x:c r="O42" s="6"/>
      <x:c r="P42" s="6"/>
      <x:c r="Q42" s="6"/>
      <x:c r="R42" s="6"/>
      <x:c r="S42" s="6"/>
      <x:c r="T42" s="6"/>
      <x:c r="U42" s="6"/>
      <x:c r="V42" s="6"/>
      <x:c r="W42" s="6"/>
      <x:c r="X42" s="6"/>
      <x:c r="Y42" s="6"/>
      <x:c r="Z42" s="6"/>
    </x:row>
    <x:row r="43" s="1" customFormat="1" ht="12.75" hidden="0" customHeight="1">
      <x:c r="A43" s="6"/>
      <x:c r="B43" s="6"/>
      <x:c r="C43" s="6"/>
      <x:c r="D43" s="6"/>
      <x:c r="E43" s="6"/>
      <x:c r="F43" s="6"/>
      <x:c r="G43" s="6"/>
      <x:c r="H43" s="6"/>
      <x:c r="I43" s="6"/>
      <x:c r="J43" s="6"/>
      <x:c r="K43" s="6"/>
      <x:c r="L43" s="6"/>
      <x:c r="M43" s="6"/>
      <x:c r="N43" s="6"/>
      <x:c r="O43" s="6"/>
      <x:c r="P43" s="6"/>
      <x:c r="Q43" s="6"/>
      <x:c r="R43" s="6"/>
      <x:c r="S43" s="6"/>
      <x:c r="T43" s="6"/>
      <x:c r="U43" s="6"/>
      <x:c r="V43" s="6"/>
      <x:c r="W43" s="6"/>
      <x:c r="X43" s="6"/>
      <x:c r="Y43" s="6"/>
      <x:c r="Z43" s="6"/>
    </x:row>
    <x:row r="44" s="1" customFormat="1" ht="12.75" hidden="0" customHeight="1">
      <x:c r="A44" s="6"/>
      <x:c r="B44" s="6"/>
      <x:c r="C44" s="6"/>
      <x:c r="D44" s="6"/>
      <x:c r="E44" s="6"/>
      <x:c r="F44" s="6"/>
      <x:c r="G44" s="6"/>
      <x:c r="H44" s="6"/>
      <x:c r="I44" s="6"/>
      <x:c r="J44" s="6"/>
      <x:c r="K44" s="6"/>
      <x:c r="L44" s="6"/>
      <x:c r="M44" s="6"/>
      <x:c r="N44" s="6"/>
      <x:c r="O44" s="6"/>
      <x:c r="P44" s="6"/>
      <x:c r="Q44" s="6"/>
      <x:c r="R44" s="6"/>
      <x:c r="S44" s="6"/>
      <x:c r="T44" s="6"/>
      <x:c r="U44" s="6"/>
      <x:c r="V44" s="6"/>
      <x:c r="W44" s="6"/>
      <x:c r="X44" s="6"/>
      <x:c r="Y44" s="6"/>
      <x:c r="Z44" s="6"/>
    </x:row>
    <x:row r="45" s="1" customFormat="1" ht="12.75" hidden="0" customHeight="1">
      <x:c r="A45" s="6"/>
      <x:c r="B45" s="6"/>
      <x:c r="C45" s="6"/>
      <x:c r="D45" s="6"/>
      <x:c r="E45" s="6"/>
      <x:c r="F45" s="6"/>
      <x:c r="G45" s="6"/>
      <x:c r="H45" s="6"/>
      <x:c r="I45" s="6"/>
      <x:c r="J45" s="6"/>
      <x:c r="K45" s="6"/>
      <x:c r="L45" s="6"/>
      <x:c r="M45" s="6"/>
      <x:c r="N45" s="6"/>
      <x:c r="O45" s="6"/>
      <x:c r="P45" s="6"/>
      <x:c r="Q45" s="6"/>
      <x:c r="R45" s="6"/>
      <x:c r="S45" s="6"/>
      <x:c r="T45" s="6"/>
      <x:c r="U45" s="6"/>
      <x:c r="V45" s="6"/>
      <x:c r="W45" s="6"/>
      <x:c r="X45" s="6"/>
      <x:c r="Y45" s="6"/>
      <x:c r="Z45" s="6"/>
    </x:row>
    <x:row r="46" s="1" customFormat="1" ht="12.75" hidden="0" customHeight="1">
      <x:c r="A46" s="6"/>
      <x:c r="B46" s="6"/>
      <x:c r="C46" s="6"/>
      <x:c r="D46" s="6"/>
      <x:c r="E46" s="6"/>
      <x:c r="F46" s="6"/>
      <x:c r="G46" s="6"/>
      <x:c r="H46" s="6"/>
      <x:c r="I46" s="6"/>
      <x:c r="J46" s="6"/>
      <x:c r="K46" s="6"/>
      <x:c r="L46" s="6"/>
      <x:c r="M46" s="6"/>
      <x:c r="N46" s="6"/>
      <x:c r="O46" s="6"/>
      <x:c r="P46" s="6"/>
      <x:c r="Q46" s="6"/>
      <x:c r="R46" s="6"/>
      <x:c r="S46" s="6"/>
      <x:c r="T46" s="6"/>
      <x:c r="U46" s="6"/>
      <x:c r="V46" s="6"/>
      <x:c r="W46" s="6"/>
      <x:c r="X46" s="6"/>
      <x:c r="Y46" s="6"/>
      <x:c r="Z46" s="6"/>
    </x:row>
    <x:row r="47" s="1" customFormat="1" ht="12.75" hidden="0" customHeight="1">
      <x:c r="A47" s="6"/>
      <x:c r="B47" s="6"/>
      <x:c r="C47" s="6"/>
      <x:c r="D47" s="6"/>
      <x:c r="E47" s="6"/>
      <x:c r="F47" s="6"/>
      <x:c r="G47" s="6"/>
      <x:c r="H47" s="6"/>
      <x:c r="I47" s="6"/>
      <x:c r="J47" s="6"/>
      <x:c r="K47" s="6"/>
      <x:c r="L47" s="6"/>
      <x:c r="M47" s="6"/>
      <x:c r="N47" s="6"/>
      <x:c r="O47" s="6"/>
      <x:c r="P47" s="6"/>
      <x:c r="Q47" s="6"/>
      <x:c r="R47" s="6"/>
      <x:c r="S47" s="6"/>
      <x:c r="T47" s="6"/>
      <x:c r="U47" s="6"/>
      <x:c r="V47" s="6"/>
      <x:c r="W47" s="6"/>
      <x:c r="X47" s="6"/>
      <x:c r="Y47" s="6"/>
      <x:c r="Z47" s="6"/>
    </x:row>
    <x:row r="48" s="1" customFormat="1" ht="12.75" hidden="0" customHeight="1">
      <x:c r="A48" s="6"/>
      <x:c r="B48" s="6"/>
      <x:c r="C48" s="6"/>
      <x:c r="D48" s="6"/>
      <x:c r="E48" s="6"/>
      <x:c r="F48" s="6"/>
      <x:c r="G48" s="6"/>
      <x:c r="H48" s="6"/>
      <x:c r="I48" s="6"/>
      <x:c r="J48" s="6"/>
      <x:c r="K48" s="6"/>
      <x:c r="L48" s="6"/>
      <x:c r="M48" s="6"/>
      <x:c r="N48" s="6"/>
      <x:c r="O48" s="6"/>
      <x:c r="P48" s="6"/>
      <x:c r="Q48" s="6"/>
      <x:c r="R48" s="6"/>
      <x:c r="S48" s="6"/>
      <x:c r="T48" s="6"/>
      <x:c r="U48" s="6"/>
      <x:c r="V48" s="6"/>
      <x:c r="W48" s="6"/>
      <x:c r="X48" s="6"/>
      <x:c r="Y48" s="6"/>
      <x:c r="Z48" s="6"/>
    </x:row>
    <x:row r="49" s="1" customFormat="1" ht="12.75" hidden="0" customHeight="1">
      <x:c r="A49" s="6"/>
      <x:c r="B49" s="6"/>
      <x:c r="C49" s="6"/>
      <x:c r="D49" s="6"/>
      <x:c r="E49" s="6"/>
      <x:c r="F49" s="6"/>
      <x:c r="G49" s="6"/>
      <x:c r="H49" s="6"/>
      <x:c r="I49" s="6"/>
      <x:c r="J49" s="6"/>
      <x:c r="K49" s="6"/>
      <x:c r="L49" s="6"/>
      <x:c r="M49" s="6"/>
      <x:c r="N49" s="6"/>
      <x:c r="O49" s="6"/>
      <x:c r="P49" s="6"/>
      <x:c r="Q49" s="6"/>
      <x:c r="R49" s="6"/>
      <x:c r="S49" s="6"/>
      <x:c r="T49" s="6"/>
      <x:c r="U49" s="6"/>
      <x:c r="V49" s="6"/>
      <x:c r="W49" s="6"/>
      <x:c r="X49" s="6"/>
      <x:c r="Y49" s="6"/>
      <x:c r="Z49" s="6"/>
    </x:row>
    <x:row r="50" s="1" customFormat="1" ht="12.75" hidden="0" customHeight="1">
      <x:c r="A50" s="6"/>
      <x:c r="B50" s="6"/>
      <x:c r="C50" s="6"/>
      <x:c r="D50" s="6"/>
      <x:c r="E50" s="6"/>
      <x:c r="F50" s="6"/>
      <x:c r="G50" s="6"/>
      <x:c r="H50" s="6"/>
      <x:c r="I50" s="6"/>
      <x:c r="J50" s="6"/>
      <x:c r="K50" s="6"/>
      <x:c r="L50" s="6"/>
      <x:c r="M50" s="6"/>
      <x:c r="N50" s="6"/>
      <x:c r="O50" s="6"/>
      <x:c r="P50" s="6"/>
      <x:c r="Q50" s="6"/>
      <x:c r="R50" s="6"/>
      <x:c r="S50" s="6"/>
      <x:c r="T50" s="6"/>
      <x:c r="U50" s="6"/>
      <x:c r="V50" s="6"/>
      <x:c r="W50" s="6"/>
      <x:c r="X50" s="6"/>
      <x:c r="Y50" s="6"/>
      <x:c r="Z50" s="6"/>
    </x:row>
    <x:row r="51" s="1" customFormat="1" ht="12.75" hidden="0" customHeight="1">
      <x:c r="A51" s="6"/>
      <x:c r="B51" s="6"/>
      <x:c r="C51" s="6"/>
      <x:c r="D51" s="6"/>
      <x:c r="E51" s="6"/>
      <x:c r="F51" s="6"/>
      <x:c r="G51" s="6"/>
      <x:c r="H51" s="6"/>
      <x:c r="I51" s="6"/>
      <x:c r="J51" s="6"/>
      <x:c r="K51" s="6"/>
      <x:c r="L51" s="6"/>
      <x:c r="M51" s="6"/>
      <x:c r="N51" s="6"/>
      <x:c r="O51" s="6"/>
      <x:c r="P51" s="6"/>
      <x:c r="Q51" s="6"/>
      <x:c r="R51" s="6"/>
      <x:c r="S51" s="6"/>
      <x:c r="T51" s="6"/>
      <x:c r="U51" s="6"/>
      <x:c r="V51" s="6"/>
      <x:c r="W51" s="6"/>
      <x:c r="X51" s="6"/>
      <x:c r="Y51" s="6"/>
      <x:c r="Z51" s="6"/>
    </x:row>
    <x:row r="52" s="1" customFormat="1" ht="12.75" hidden="0" customHeight="1">
      <x:c r="A52" s="6"/>
      <x:c r="B52" s="6"/>
      <x:c r="C52" s="6"/>
      <x:c r="D52" s="6"/>
      <x:c r="E52" s="6"/>
      <x:c r="F52" s="6"/>
      <x:c r="G52" s="6"/>
      <x:c r="H52" s="6"/>
      <x:c r="I52" s="6"/>
      <x:c r="J52" s="6"/>
      <x:c r="K52" s="6"/>
      <x:c r="L52" s="6"/>
      <x:c r="M52" s="6"/>
      <x:c r="N52" s="6"/>
      <x:c r="O52" s="6"/>
      <x:c r="P52" s="6"/>
      <x:c r="Q52" s="6"/>
      <x:c r="R52" s="6"/>
      <x:c r="S52" s="6"/>
      <x:c r="T52" s="6"/>
      <x:c r="U52" s="6"/>
      <x:c r="V52" s="6"/>
      <x:c r="W52" s="6"/>
      <x:c r="X52" s="6"/>
      <x:c r="Y52" s="6"/>
      <x:c r="Z52" s="6"/>
    </x:row>
    <x:row r="53" s="1" customFormat="1" ht="12.75" hidden="0" customHeight="1">
      <x:c r="A53" s="6"/>
      <x:c r="B53" s="6"/>
      <x:c r="C53" s="6"/>
      <x:c r="D53" s="6"/>
      <x:c r="E53" s="6"/>
      <x:c r="F53" s="6"/>
      <x:c r="G53" s="6"/>
      <x:c r="H53" s="6"/>
      <x:c r="I53" s="6"/>
      <x:c r="J53" s="6"/>
      <x:c r="K53" s="6"/>
      <x:c r="L53" s="6"/>
      <x:c r="M53" s="6"/>
      <x:c r="N53" s="6"/>
      <x:c r="O53" s="6"/>
      <x:c r="P53" s="6"/>
      <x:c r="Q53" s="6"/>
      <x:c r="R53" s="6"/>
      <x:c r="S53" s="6"/>
      <x:c r="T53" s="6"/>
      <x:c r="U53" s="6"/>
      <x:c r="V53" s="6"/>
      <x:c r="W53" s="6"/>
      <x:c r="X53" s="6"/>
      <x:c r="Y53" s="6"/>
      <x:c r="Z53" s="6"/>
    </x:row>
    <x:row r="54" s="1" customFormat="1" ht="12.75" hidden="0" customHeight="1">
      <x:c r="A54" s="6"/>
      <x:c r="B54" s="6"/>
      <x:c r="C54" s="6"/>
      <x:c r="D54" s="6"/>
      <x:c r="E54" s="6"/>
      <x:c r="F54" s="6"/>
      <x:c r="G54" s="6"/>
      <x:c r="H54" s="6"/>
      <x:c r="I54" s="6"/>
      <x:c r="J54" s="6"/>
      <x:c r="K54" s="6"/>
      <x:c r="L54" s="6"/>
      <x:c r="M54" s="6"/>
      <x:c r="N54" s="6"/>
      <x:c r="O54" s="6"/>
      <x:c r="P54" s="6"/>
      <x:c r="Q54" s="6"/>
      <x:c r="R54" s="6"/>
      <x:c r="S54" s="6"/>
      <x:c r="T54" s="6"/>
      <x:c r="U54" s="6"/>
      <x:c r="V54" s="6"/>
      <x:c r="W54" s="6"/>
      <x:c r="X54" s="6"/>
      <x:c r="Y54" s="6"/>
      <x:c r="Z54" s="6"/>
    </x:row>
    <x:row r="55" s="1" customFormat="1" ht="12.75" hidden="0" customHeight="1">
      <x:c r="A55" s="6"/>
      <x:c r="B55" s="6"/>
      <x:c r="C55" s="6"/>
      <x:c r="D55" s="6"/>
      <x:c r="E55" s="6"/>
      <x:c r="F55" s="6"/>
      <x:c r="G55" s="6"/>
      <x:c r="H55" s="6"/>
      <x:c r="I55" s="6"/>
      <x:c r="J55" s="6"/>
      <x:c r="K55" s="6"/>
      <x:c r="L55" s="6"/>
      <x:c r="M55" s="6"/>
      <x:c r="N55" s="6"/>
      <x:c r="O55" s="6"/>
      <x:c r="P55" s="6"/>
      <x:c r="Q55" s="6"/>
      <x:c r="R55" s="6"/>
      <x:c r="S55" s="6"/>
      <x:c r="T55" s="6"/>
      <x:c r="U55" s="6"/>
      <x:c r="V55" s="6"/>
      <x:c r="W55" s="6"/>
      <x:c r="X55" s="6"/>
      <x:c r="Y55" s="6"/>
      <x:c r="Z55" s="6"/>
    </x:row>
    <x:row r="56" s="1" customFormat="1" ht="12.75" hidden="0" customHeight="1">
      <x:c r="A56" s="6"/>
      <x:c r="B56" s="6"/>
      <x:c r="C56" s="6"/>
      <x:c r="D56" s="6"/>
      <x:c r="E56" s="6"/>
      <x:c r="F56" s="6"/>
      <x:c r="G56" s="6"/>
      <x:c r="H56" s="6"/>
      <x:c r="I56" s="6"/>
      <x:c r="J56" s="6"/>
      <x:c r="K56" s="6"/>
      <x:c r="L56" s="6"/>
      <x:c r="M56" s="6"/>
      <x:c r="N56" s="6"/>
      <x:c r="O56" s="6"/>
      <x:c r="P56" s="6"/>
      <x:c r="Q56" s="6"/>
      <x:c r="R56" s="6"/>
      <x:c r="S56" s="6"/>
      <x:c r="T56" s="6"/>
      <x:c r="U56" s="6"/>
      <x:c r="V56" s="6"/>
      <x:c r="W56" s="6"/>
      <x:c r="X56" s="6"/>
      <x:c r="Y56" s="6"/>
      <x:c r="Z56" s="6"/>
    </x:row>
    <x:row r="57" s="1" customFormat="1" ht="12.75" hidden="0" customHeight="1">
      <x:c r="A57" s="6"/>
      <x:c r="B57" s="6"/>
      <x:c r="C57" s="6"/>
      <x:c r="D57" s="6"/>
      <x:c r="E57" s="6"/>
      <x:c r="F57" s="6"/>
      <x:c r="G57" s="6"/>
      <x:c r="H57" s="6"/>
      <x:c r="I57" s="6"/>
      <x:c r="J57" s="6"/>
      <x:c r="K57" s="6"/>
      <x:c r="L57" s="6"/>
      <x:c r="M57" s="6"/>
      <x:c r="N57" s="6"/>
      <x:c r="O57" s="6"/>
      <x:c r="P57" s="6"/>
      <x:c r="Q57" s="6"/>
      <x:c r="R57" s="6"/>
      <x:c r="S57" s="6"/>
      <x:c r="T57" s="6"/>
      <x:c r="U57" s="6"/>
      <x:c r="V57" s="6"/>
      <x:c r="W57" s="6"/>
      <x:c r="X57" s="6"/>
      <x:c r="Y57" s="6"/>
      <x:c r="Z57" s="6"/>
    </x:row>
    <x:row r="58" s="1" customFormat="1" ht="12.75" hidden="0" customHeight="1">
      <x:c r="A58" s="6"/>
      <x:c r="B58" s="6"/>
      <x:c r="C58" s="6"/>
      <x:c r="D58" s="6"/>
      <x:c r="E58" s="6"/>
      <x:c r="F58" s="6"/>
      <x:c r="G58" s="6"/>
      <x:c r="H58" s="6"/>
      <x:c r="I58" s="6"/>
      <x:c r="J58" s="6"/>
      <x:c r="K58" s="6"/>
      <x:c r="L58" s="6"/>
      <x:c r="M58" s="6"/>
      <x:c r="N58" s="6"/>
      <x:c r="O58" s="6"/>
      <x:c r="P58" s="6"/>
      <x:c r="Q58" s="6"/>
      <x:c r="R58" s="6"/>
      <x:c r="S58" s="6"/>
      <x:c r="T58" s="6"/>
      <x:c r="U58" s="6"/>
      <x:c r="V58" s="6"/>
      <x:c r="W58" s="6"/>
      <x:c r="X58" s="6"/>
      <x:c r="Y58" s="6"/>
      <x:c r="Z58" s="6"/>
    </x:row>
    <x:row r="59" s="1" customFormat="1" ht="12.75" hidden="0" customHeight="1">
      <x:c r="A59" s="6"/>
      <x:c r="B59" s="6"/>
      <x:c r="C59" s="6"/>
      <x:c r="D59" s="6"/>
      <x:c r="E59" s="6"/>
      <x:c r="F59" s="6"/>
      <x:c r="G59" s="6"/>
      <x:c r="H59" s="6"/>
      <x:c r="I59" s="6"/>
      <x:c r="J59" s="6"/>
      <x:c r="K59" s="6"/>
      <x:c r="L59" s="6"/>
      <x:c r="M59" s="6"/>
      <x:c r="N59" s="6"/>
      <x:c r="O59" s="6"/>
      <x:c r="P59" s="6"/>
      <x:c r="Q59" s="6"/>
      <x:c r="R59" s="6"/>
      <x:c r="S59" s="6"/>
      <x:c r="T59" s="6"/>
      <x:c r="U59" s="6"/>
      <x:c r="V59" s="6"/>
      <x:c r="W59" s="6"/>
      <x:c r="X59" s="6"/>
      <x:c r="Y59" s="6"/>
      <x:c r="Z59" s="6"/>
    </x:row>
    <x:row r="60" s="1" customFormat="1" ht="12.75" hidden="0" customHeight="1">
      <x:c r="A60" s="6"/>
      <x:c r="B60" s="6"/>
      <x:c r="C60" s="6"/>
      <x:c r="D60" s="6"/>
      <x:c r="E60" s="6"/>
      <x:c r="F60" s="6"/>
      <x:c r="G60" s="6"/>
      <x:c r="H60" s="6"/>
      <x:c r="I60" s="6"/>
      <x:c r="J60" s="6"/>
      <x:c r="K60" s="6"/>
      <x:c r="L60" s="6"/>
      <x:c r="M60" s="6"/>
      <x:c r="N60" s="6"/>
      <x:c r="O60" s="6"/>
      <x:c r="P60" s="6"/>
      <x:c r="Q60" s="6"/>
      <x:c r="R60" s="6"/>
      <x:c r="S60" s="6"/>
      <x:c r="T60" s="6"/>
      <x:c r="U60" s="6"/>
      <x:c r="V60" s="6"/>
      <x:c r="W60" s="6"/>
      <x:c r="X60" s="6"/>
      <x:c r="Y60" s="6"/>
      <x:c r="Z60" s="6"/>
    </x:row>
    <x:row r="61" s="1" customFormat="1" ht="12.75" hidden="0" customHeight="1">
      <x:c r="A61" s="6"/>
      <x:c r="B61" s="6"/>
      <x:c r="C61" s="6"/>
      <x:c r="D61" s="6"/>
      <x:c r="E61" s="6"/>
      <x:c r="F61" s="6"/>
      <x:c r="G61" s="6"/>
      <x:c r="H61" s="6"/>
      <x:c r="I61" s="6"/>
      <x:c r="J61" s="6"/>
      <x:c r="K61" s="6"/>
      <x:c r="L61" s="6"/>
      <x:c r="M61" s="6"/>
      <x:c r="N61" s="6"/>
      <x:c r="O61" s="6"/>
      <x:c r="P61" s="6"/>
      <x:c r="Q61" s="6"/>
      <x:c r="R61" s="6"/>
      <x:c r="S61" s="6"/>
      <x:c r="T61" s="6"/>
      <x:c r="U61" s="6"/>
      <x:c r="V61" s="6"/>
      <x:c r="W61" s="6"/>
      <x:c r="X61" s="6"/>
      <x:c r="Y61" s="6"/>
      <x:c r="Z61" s="6"/>
    </x:row>
    <x:row r="62" s="1" customFormat="1" ht="12.75" hidden="0" customHeight="1">
      <x:c r="A62" s="6"/>
      <x:c r="B62" s="6"/>
      <x:c r="C62" s="6"/>
      <x:c r="D62" s="6"/>
      <x:c r="E62" s="6"/>
      <x:c r="F62" s="6"/>
      <x:c r="G62" s="6"/>
      <x:c r="H62" s="6"/>
      <x:c r="I62" s="6"/>
      <x:c r="J62" s="6"/>
      <x:c r="K62" s="6"/>
      <x:c r="L62" s="6"/>
      <x:c r="M62" s="6"/>
      <x:c r="N62" s="6"/>
      <x:c r="O62" s="6"/>
      <x:c r="P62" s="6"/>
      <x:c r="Q62" s="6"/>
      <x:c r="R62" s="6"/>
      <x:c r="S62" s="6"/>
      <x:c r="T62" s="6"/>
      <x:c r="U62" s="6"/>
      <x:c r="V62" s="6"/>
      <x:c r="W62" s="6"/>
      <x:c r="X62" s="6"/>
      <x:c r="Y62" s="6"/>
      <x:c r="Z62" s="6"/>
    </x:row>
    <x:row r="63" s="1" customFormat="1" ht="12.75" hidden="0" customHeight="1">
      <x:c r="A63" s="6"/>
      <x:c r="B63" s="6"/>
      <x:c r="C63" s="6"/>
      <x:c r="D63" s="6"/>
      <x:c r="E63" s="6"/>
      <x:c r="F63" s="6"/>
      <x:c r="G63" s="6"/>
      <x:c r="H63" s="6"/>
      <x:c r="I63" s="6"/>
      <x:c r="J63" s="6"/>
      <x:c r="K63" s="6"/>
      <x:c r="L63" s="6"/>
      <x:c r="M63" s="6"/>
      <x:c r="N63" s="6"/>
      <x:c r="O63" s="6"/>
      <x:c r="P63" s="6"/>
      <x:c r="Q63" s="6"/>
      <x:c r="R63" s="6"/>
      <x:c r="S63" s="6"/>
      <x:c r="T63" s="6"/>
      <x:c r="U63" s="6"/>
      <x:c r="V63" s="6"/>
      <x:c r="W63" s="6"/>
      <x:c r="X63" s="6"/>
      <x:c r="Y63" s="6"/>
      <x:c r="Z63" s="6"/>
    </x:row>
    <x:row r="64" s="1" customFormat="1" ht="12.75" hidden="0" customHeight="1">
      <x:c r="A64" s="6"/>
      <x:c r="B64" s="6"/>
      <x:c r="C64" s="6"/>
      <x:c r="D64" s="6"/>
      <x:c r="E64" s="6"/>
      <x:c r="F64" s="6"/>
      <x:c r="G64" s="6"/>
      <x:c r="H64" s="6"/>
      <x:c r="I64" s="6"/>
      <x:c r="J64" s="6"/>
      <x:c r="K64" s="6"/>
      <x:c r="L64" s="6"/>
      <x:c r="M64" s="6"/>
      <x:c r="N64" s="6"/>
      <x:c r="O64" s="6"/>
      <x:c r="P64" s="6"/>
      <x:c r="Q64" s="6"/>
      <x:c r="R64" s="6"/>
      <x:c r="S64" s="6"/>
      <x:c r="T64" s="6"/>
      <x:c r="U64" s="6"/>
      <x:c r="V64" s="6"/>
      <x:c r="W64" s="6"/>
      <x:c r="X64" s="6"/>
      <x:c r="Y64" s="6"/>
      <x:c r="Z64" s="6"/>
    </x:row>
    <x:row r="65" s="1" customFormat="1" ht="12.75" hidden="0" customHeight="1">
      <x:c r="A65" s="6"/>
      <x:c r="B65" s="6"/>
      <x:c r="C65" s="6"/>
      <x:c r="D65" s="6"/>
      <x:c r="E65" s="6"/>
      <x:c r="F65" s="6"/>
      <x:c r="G65" s="6"/>
      <x:c r="H65" s="6"/>
      <x:c r="I65" s="6"/>
      <x:c r="J65" s="6"/>
      <x:c r="K65" s="6"/>
      <x:c r="L65" s="6"/>
      <x:c r="M65" s="6"/>
      <x:c r="N65" s="6"/>
      <x:c r="O65" s="6"/>
      <x:c r="P65" s="6"/>
      <x:c r="Q65" s="6"/>
      <x:c r="R65" s="6"/>
      <x:c r="S65" s="6"/>
      <x:c r="T65" s="6"/>
      <x:c r="U65" s="6"/>
      <x:c r="V65" s="6"/>
      <x:c r="W65" s="6"/>
      <x:c r="X65" s="6"/>
      <x:c r="Y65" s="6"/>
      <x:c r="Z65" s="6"/>
    </x:row>
    <x:row r="66" s="1" customFormat="1" ht="12.75" hidden="0" customHeight="1">
      <x:c r="A66" s="6"/>
      <x:c r="B66" s="6"/>
      <x:c r="C66" s="6"/>
      <x:c r="D66" s="6"/>
      <x:c r="E66" s="6"/>
      <x:c r="F66" s="6"/>
      <x:c r="G66" s="6"/>
      <x:c r="H66" s="6"/>
      <x:c r="I66" s="6"/>
      <x:c r="J66" s="6"/>
      <x:c r="K66" s="6"/>
      <x:c r="L66" s="6"/>
      <x:c r="M66" s="6"/>
      <x:c r="N66" s="6"/>
      <x:c r="O66" s="6"/>
      <x:c r="P66" s="6"/>
      <x:c r="Q66" s="6"/>
      <x:c r="R66" s="6"/>
      <x:c r="S66" s="6"/>
      <x:c r="T66" s="6"/>
      <x:c r="U66" s="6"/>
      <x:c r="V66" s="6"/>
      <x:c r="W66" s="6"/>
      <x:c r="X66" s="6"/>
      <x:c r="Y66" s="6"/>
      <x:c r="Z66" s="6"/>
    </x:row>
    <x:row r="67" s="1" customFormat="1" ht="12.75" hidden="0" customHeight="1">
      <x:c r="A67" s="6"/>
      <x:c r="B67" s="6"/>
      <x:c r="C67" s="6"/>
      <x:c r="D67" s="6"/>
      <x:c r="E67" s="6"/>
      <x:c r="F67" s="6"/>
      <x:c r="G67" s="6"/>
      <x:c r="H67" s="6"/>
      <x:c r="I67" s="6"/>
      <x:c r="J67" s="6"/>
      <x:c r="K67" s="6"/>
      <x:c r="L67" s="6"/>
      <x:c r="M67" s="6"/>
      <x:c r="N67" s="6"/>
      <x:c r="O67" s="6"/>
      <x:c r="P67" s="6"/>
      <x:c r="Q67" s="6"/>
      <x:c r="R67" s="6"/>
      <x:c r="S67" s="6"/>
      <x:c r="T67" s="6"/>
      <x:c r="U67" s="6"/>
      <x:c r="V67" s="6"/>
      <x:c r="W67" s="6"/>
      <x:c r="X67" s="6"/>
      <x:c r="Y67" s="6"/>
      <x:c r="Z67" s="6"/>
    </x:row>
    <x:row r="68" s="1" customFormat="1" ht="12.75" hidden="0" customHeight="1">
      <x:c r="A68" s="6"/>
      <x:c r="B68" s="6"/>
      <x:c r="C68" s="6"/>
      <x:c r="D68" s="6"/>
      <x:c r="E68" s="6"/>
      <x:c r="F68" s="6"/>
      <x:c r="G68" s="6"/>
      <x:c r="H68" s="6"/>
      <x:c r="I68" s="6"/>
      <x:c r="J68" s="6"/>
      <x:c r="K68" s="6"/>
      <x:c r="L68" s="6"/>
      <x:c r="M68" s="6"/>
      <x:c r="N68" s="6"/>
      <x:c r="O68" s="6"/>
      <x:c r="P68" s="6"/>
      <x:c r="Q68" s="6"/>
      <x:c r="R68" s="6"/>
      <x:c r="S68" s="6"/>
      <x:c r="T68" s="6"/>
      <x:c r="U68" s="6"/>
      <x:c r="V68" s="6"/>
      <x:c r="W68" s="6"/>
      <x:c r="X68" s="6"/>
      <x:c r="Y68" s="6"/>
      <x:c r="Z68" s="6"/>
    </x:row>
    <x:row r="69" s="1" customFormat="1" ht="12.75" hidden="0" customHeight="1">
      <x:c r="A69" s="6"/>
      <x:c r="B69" s="6"/>
      <x:c r="C69" s="6"/>
      <x:c r="D69" s="6"/>
      <x:c r="E69" s="6"/>
      <x:c r="F69" s="6"/>
      <x:c r="G69" s="6"/>
      <x:c r="H69" s="6"/>
      <x:c r="I69" s="6"/>
      <x:c r="J69" s="6"/>
      <x:c r="K69" s="6"/>
      <x:c r="L69" s="6"/>
      <x:c r="M69" s="6"/>
      <x:c r="N69" s="6"/>
      <x:c r="O69" s="6"/>
      <x:c r="P69" s="6"/>
      <x:c r="Q69" s="6"/>
      <x:c r="R69" s="6"/>
      <x:c r="S69" s="6"/>
      <x:c r="T69" s="6"/>
      <x:c r="U69" s="6"/>
      <x:c r="V69" s="6"/>
      <x:c r="W69" s="6"/>
      <x:c r="X69" s="6"/>
      <x:c r="Y69" s="6"/>
      <x:c r="Z69" s="6"/>
    </x:row>
    <x:row r="70" s="1" customFormat="1" ht="12.75" hidden="0" customHeight="1">
      <x:c r="A70" s="6"/>
      <x:c r="B70" s="6"/>
      <x:c r="C70" s="6"/>
      <x:c r="D70" s="6"/>
      <x:c r="E70" s="6"/>
      <x:c r="F70" s="6"/>
      <x:c r="G70" s="6"/>
      <x:c r="H70" s="6"/>
      <x:c r="I70" s="6"/>
      <x:c r="J70" s="6"/>
      <x:c r="K70" s="6"/>
      <x:c r="L70" s="6"/>
      <x:c r="M70" s="6"/>
      <x:c r="N70" s="6"/>
      <x:c r="O70" s="6"/>
      <x:c r="P70" s="6"/>
      <x:c r="Q70" s="6"/>
      <x:c r="R70" s="6"/>
      <x:c r="S70" s="6"/>
      <x:c r="T70" s="6"/>
      <x:c r="U70" s="6"/>
      <x:c r="V70" s="6"/>
      <x:c r="W70" s="6"/>
      <x:c r="X70" s="6"/>
      <x:c r="Y70" s="6"/>
      <x:c r="Z70" s="6"/>
    </x:row>
    <x:row r="71" s="1" customFormat="1" ht="12.75" hidden="0" customHeight="1">
      <x:c r="A71" s="6"/>
      <x:c r="B71" s="6"/>
      <x:c r="C71" s="6"/>
      <x:c r="D71" s="6"/>
      <x:c r="E71" s="6"/>
      <x:c r="F71" s="6"/>
      <x:c r="G71" s="6"/>
      <x:c r="H71" s="6"/>
      <x:c r="I71" s="6"/>
      <x:c r="J71" s="6"/>
      <x:c r="K71" s="6"/>
      <x:c r="L71" s="6"/>
      <x:c r="M71" s="6"/>
      <x:c r="N71" s="6"/>
      <x:c r="O71" s="6"/>
      <x:c r="P71" s="6"/>
      <x:c r="Q71" s="6"/>
      <x:c r="R71" s="6"/>
      <x:c r="S71" s="6"/>
      <x:c r="T71" s="6"/>
      <x:c r="U71" s="6"/>
      <x:c r="V71" s="6"/>
      <x:c r="W71" s="6"/>
      <x:c r="X71" s="6"/>
      <x:c r="Y71" s="6"/>
      <x:c r="Z71" s="6"/>
    </x:row>
    <x:row r="72" s="1" customFormat="1" ht="12.75" hidden="0" customHeight="1">
      <x:c r="A72" s="6"/>
      <x:c r="B72" s="6"/>
      <x:c r="C72" s="6"/>
      <x:c r="D72" s="6"/>
      <x:c r="E72" s="6"/>
      <x:c r="F72" s="6"/>
      <x:c r="G72" s="6"/>
      <x:c r="H72" s="6"/>
      <x:c r="I72" s="6"/>
      <x:c r="J72" s="6"/>
      <x:c r="K72" s="6"/>
      <x:c r="L72" s="6"/>
      <x:c r="M72" s="6"/>
      <x:c r="N72" s="6"/>
      <x:c r="O72" s="6"/>
      <x:c r="P72" s="6"/>
      <x:c r="Q72" s="6"/>
      <x:c r="R72" s="6"/>
      <x:c r="S72" s="6"/>
      <x:c r="T72" s="6"/>
      <x:c r="U72" s="6"/>
      <x:c r="V72" s="6"/>
      <x:c r="W72" s="6"/>
      <x:c r="X72" s="6"/>
      <x:c r="Y72" s="6"/>
      <x:c r="Z72" s="6"/>
    </x:row>
    <x:row r="73" s="1" customFormat="1" ht="12.75" hidden="0" customHeight="1">
      <x:c r="A73" s="6"/>
      <x:c r="B73" s="6"/>
      <x:c r="C73" s="6"/>
      <x:c r="D73" s="6"/>
      <x:c r="E73" s="6"/>
      <x:c r="F73" s="6"/>
      <x:c r="G73" s="6"/>
      <x:c r="H73" s="6"/>
      <x:c r="I73" s="6"/>
      <x:c r="J73" s="6"/>
      <x:c r="K73" s="6"/>
      <x:c r="L73" s="6"/>
      <x:c r="M73" s="6"/>
      <x:c r="N73" s="6"/>
      <x:c r="O73" s="6"/>
      <x:c r="P73" s="6"/>
      <x:c r="Q73" s="6"/>
      <x:c r="R73" s="6"/>
      <x:c r="S73" s="6"/>
      <x:c r="T73" s="6"/>
      <x:c r="U73" s="6"/>
      <x:c r="V73" s="6"/>
      <x:c r="W73" s="6"/>
      <x:c r="X73" s="6"/>
      <x:c r="Y73" s="6"/>
      <x:c r="Z73" s="6"/>
    </x:row>
    <x:row r="74" s="1" customFormat="1" ht="12.75" hidden="0" customHeight="1">
      <x:c r="A74" s="6"/>
      <x:c r="B74" s="6"/>
      <x:c r="C74" s="6"/>
      <x:c r="D74" s="6"/>
      <x:c r="E74" s="6"/>
      <x:c r="F74" s="6"/>
      <x:c r="G74" s="6"/>
      <x:c r="H74" s="6"/>
      <x:c r="I74" s="6"/>
      <x:c r="J74" s="6"/>
      <x:c r="K74" s="6"/>
      <x:c r="L74" s="6"/>
      <x:c r="M74" s="6"/>
      <x:c r="N74" s="6"/>
      <x:c r="O74" s="6"/>
      <x:c r="P74" s="6"/>
      <x:c r="Q74" s="6"/>
      <x:c r="R74" s="6"/>
      <x:c r="S74" s="6"/>
      <x:c r="T74" s="6"/>
      <x:c r="U74" s="6"/>
      <x:c r="V74" s="6"/>
      <x:c r="W74" s="6"/>
      <x:c r="X74" s="6"/>
      <x:c r="Y74" s="6"/>
      <x:c r="Z74" s="6"/>
    </x:row>
    <x:row r="75" s="1" customFormat="1" ht="12.75" hidden="0" customHeight="1">
      <x:c r="A75" s="6"/>
      <x:c r="B75" s="6"/>
      <x:c r="C75" s="6"/>
      <x:c r="D75" s="6"/>
      <x:c r="E75" s="6"/>
      <x:c r="F75" s="6"/>
      <x:c r="G75" s="6"/>
      <x:c r="H75" s="6"/>
      <x:c r="I75" s="6"/>
      <x:c r="J75" s="6"/>
      <x:c r="K75" s="6"/>
      <x:c r="L75" s="6"/>
      <x:c r="M75" s="6"/>
      <x:c r="N75" s="6"/>
      <x:c r="O75" s="6"/>
      <x:c r="P75" s="6"/>
      <x:c r="Q75" s="6"/>
      <x:c r="R75" s="6"/>
      <x:c r="S75" s="6"/>
      <x:c r="T75" s="6"/>
      <x:c r="U75" s="6"/>
      <x:c r="V75" s="6"/>
      <x:c r="W75" s="6"/>
      <x:c r="X75" s="6"/>
      <x:c r="Y75" s="6"/>
      <x:c r="Z75" s="6"/>
    </x:row>
    <x:row r="76" s="1" customFormat="1" ht="12.75" hidden="0" customHeight="1">
      <x:c r="A76" s="6"/>
      <x:c r="B76" s="6"/>
      <x:c r="C76" s="6"/>
      <x:c r="D76" s="6"/>
      <x:c r="E76" s="6"/>
      <x:c r="F76" s="6"/>
      <x:c r="G76" s="6"/>
      <x:c r="H76" s="6"/>
      <x:c r="I76" s="6"/>
      <x:c r="J76" s="6"/>
      <x:c r="K76" s="6"/>
      <x:c r="L76" s="6"/>
      <x:c r="M76" s="6"/>
      <x:c r="N76" s="6"/>
      <x:c r="O76" s="6"/>
      <x:c r="P76" s="6"/>
      <x:c r="Q76" s="6"/>
      <x:c r="R76" s="6"/>
      <x:c r="S76" s="6"/>
      <x:c r="T76" s="6"/>
      <x:c r="U76" s="6"/>
      <x:c r="V76" s="6"/>
      <x:c r="W76" s="6"/>
      <x:c r="X76" s="6"/>
      <x:c r="Y76" s="6"/>
      <x:c r="Z76" s="6"/>
    </x:row>
    <x:row r="77" s="1" customFormat="1" ht="12.75" hidden="0" customHeight="1">
      <x:c r="A77" s="6"/>
      <x:c r="B77" s="6"/>
      <x:c r="C77" s="6"/>
      <x:c r="D77" s="6"/>
      <x:c r="E77" s="6"/>
      <x:c r="F77" s="6"/>
      <x:c r="G77" s="6"/>
      <x:c r="H77" s="6"/>
      <x:c r="I77" s="6"/>
      <x:c r="J77" s="6"/>
      <x:c r="K77" s="6"/>
      <x:c r="L77" s="6"/>
      <x:c r="M77" s="6"/>
      <x:c r="N77" s="6"/>
      <x:c r="O77" s="6"/>
      <x:c r="P77" s="6"/>
      <x:c r="Q77" s="6"/>
      <x:c r="R77" s="6"/>
      <x:c r="S77" s="6"/>
      <x:c r="T77" s="6"/>
      <x:c r="U77" s="6"/>
      <x:c r="V77" s="6"/>
      <x:c r="W77" s="6"/>
      <x:c r="X77" s="6"/>
      <x:c r="Y77" s="6"/>
      <x:c r="Z77" s="6"/>
    </x:row>
    <x:row r="78" s="1" customFormat="1" ht="12.75" hidden="0" customHeight="1">
      <x:c r="A78" s="6"/>
      <x:c r="B78" s="6"/>
      <x:c r="C78" s="6"/>
      <x:c r="D78" s="6"/>
      <x:c r="E78" s="6"/>
      <x:c r="F78" s="6"/>
      <x:c r="G78" s="6"/>
      <x:c r="H78" s="6"/>
      <x:c r="I78" s="6"/>
      <x:c r="J78" s="6"/>
      <x:c r="K78" s="6"/>
      <x:c r="L78" s="6"/>
      <x:c r="M78" s="6"/>
      <x:c r="N78" s="6"/>
      <x:c r="O78" s="6"/>
      <x:c r="P78" s="6"/>
      <x:c r="Q78" s="6"/>
      <x:c r="R78" s="6"/>
      <x:c r="S78" s="6"/>
      <x:c r="T78" s="6"/>
      <x:c r="U78" s="6"/>
      <x:c r="V78" s="6"/>
      <x:c r="W78" s="6"/>
      <x:c r="X78" s="6"/>
      <x:c r="Y78" s="6"/>
      <x:c r="Z78" s="6"/>
    </x:row>
    <x:row r="79" s="1" customFormat="1" ht="12.75" hidden="0" customHeight="1">
      <x:c r="A79" s="6"/>
      <x:c r="B79" s="6"/>
      <x:c r="C79" s="6"/>
      <x:c r="D79" s="6"/>
      <x:c r="E79" s="6"/>
      <x:c r="F79" s="6"/>
      <x:c r="G79" s="6"/>
      <x:c r="H79" s="6"/>
      <x:c r="I79" s="6"/>
      <x:c r="J79" s="6"/>
      <x:c r="K79" s="6"/>
      <x:c r="L79" s="6"/>
      <x:c r="M79" s="6"/>
      <x:c r="N79" s="6"/>
      <x:c r="O79" s="6"/>
      <x:c r="P79" s="6"/>
      <x:c r="Q79" s="6"/>
      <x:c r="R79" s="6"/>
      <x:c r="S79" s="6"/>
      <x:c r="T79" s="6"/>
      <x:c r="U79" s="6"/>
      <x:c r="V79" s="6"/>
      <x:c r="W79" s="6"/>
      <x:c r="X79" s="6"/>
      <x:c r="Y79" s="6"/>
      <x:c r="Z79" s="6"/>
    </x:row>
    <x:row r="80" s="1" customFormat="1" ht="12.75" hidden="0" customHeight="1">
      <x:c r="A80" s="6"/>
      <x:c r="B80" s="6"/>
      <x:c r="C80" s="6"/>
      <x:c r="D80" s="6"/>
      <x:c r="E80" s="6"/>
      <x:c r="F80" s="6"/>
      <x:c r="G80" s="6"/>
      <x:c r="H80" s="6"/>
      <x:c r="I80" s="6"/>
      <x:c r="J80" s="6"/>
      <x:c r="K80" s="6"/>
      <x:c r="L80" s="6"/>
      <x:c r="M80" s="6"/>
      <x:c r="N80" s="6"/>
      <x:c r="O80" s="6"/>
      <x:c r="P80" s="6"/>
      <x:c r="Q80" s="6"/>
      <x:c r="R80" s="6"/>
      <x:c r="S80" s="6"/>
      <x:c r="T80" s="6"/>
      <x:c r="U80" s="6"/>
      <x:c r="V80" s="6"/>
      <x:c r="W80" s="6"/>
      <x:c r="X80" s="6"/>
      <x:c r="Y80" s="6"/>
      <x:c r="Z80" s="6"/>
    </x:row>
    <x:row r="81" s="1" customFormat="1" ht="12.75" hidden="0" customHeight="1">
      <x:c r="A81" s="6"/>
      <x:c r="B81" s="6"/>
      <x:c r="C81" s="6"/>
      <x:c r="D81" s="6"/>
      <x:c r="E81" s="6"/>
      <x:c r="F81" s="6"/>
      <x:c r="G81" s="6"/>
      <x:c r="H81" s="6"/>
      <x:c r="I81" s="6"/>
      <x:c r="J81" s="6"/>
      <x:c r="K81" s="6"/>
      <x:c r="L81" s="6"/>
      <x:c r="M81" s="6"/>
      <x:c r="N81" s="6"/>
      <x:c r="O81" s="6"/>
      <x:c r="P81" s="6"/>
      <x:c r="Q81" s="6"/>
      <x:c r="R81" s="6"/>
      <x:c r="S81" s="6"/>
      <x:c r="T81" s="6"/>
      <x:c r="U81" s="6"/>
      <x:c r="V81" s="6"/>
      <x:c r="W81" s="6"/>
      <x:c r="X81" s="6"/>
      <x:c r="Y81" s="6"/>
      <x:c r="Z81" s="6"/>
    </x:row>
    <x:row r="82" s="1" customFormat="1" ht="12.75" hidden="0" customHeight="1">
      <x:c r="A82" s="6"/>
      <x:c r="B82" s="6"/>
      <x:c r="C82" s="6"/>
      <x:c r="D82" s="6"/>
      <x:c r="E82" s="6"/>
      <x:c r="F82" s="6"/>
      <x:c r="G82" s="6"/>
      <x:c r="H82" s="6"/>
      <x:c r="I82" s="6"/>
      <x:c r="J82" s="6"/>
      <x:c r="K82" s="6"/>
      <x:c r="L82" s="6"/>
      <x:c r="M82" s="6"/>
      <x:c r="N82" s="6"/>
      <x:c r="O82" s="6"/>
      <x:c r="P82" s="6"/>
      <x:c r="Q82" s="6"/>
      <x:c r="R82" s="6"/>
      <x:c r="S82" s="6"/>
      <x:c r="T82" s="6"/>
      <x:c r="U82" s="6"/>
      <x:c r="V82" s="6"/>
      <x:c r="W82" s="6"/>
      <x:c r="X82" s="6"/>
      <x:c r="Y82" s="6"/>
      <x:c r="Z82" s="6"/>
    </x:row>
    <x:row r="83" s="1" customFormat="1" ht="12.75" hidden="0" customHeight="1">
      <x:c r="A83" s="6"/>
      <x:c r="B83" s="6"/>
      <x:c r="C83" s="6"/>
      <x:c r="D83" s="6"/>
      <x:c r="E83" s="6"/>
      <x:c r="F83" s="6"/>
      <x:c r="G83" s="6"/>
      <x:c r="H83" s="6"/>
      <x:c r="I83" s="6"/>
      <x:c r="J83" s="6"/>
      <x:c r="K83" s="6"/>
      <x:c r="L83" s="6"/>
      <x:c r="M83" s="6"/>
      <x:c r="N83" s="6"/>
      <x:c r="O83" s="6"/>
      <x:c r="P83" s="6"/>
      <x:c r="Q83" s="6"/>
      <x:c r="R83" s="6"/>
      <x:c r="S83" s="6"/>
      <x:c r="T83" s="6"/>
      <x:c r="U83" s="6"/>
      <x:c r="V83" s="6"/>
      <x:c r="W83" s="6"/>
      <x:c r="X83" s="6"/>
      <x:c r="Y83" s="6"/>
      <x:c r="Z83" s="6"/>
    </x:row>
    <x:row r="84" s="1" customFormat="1" ht="12.75" hidden="0" customHeight="1">
      <x:c r="A84" s="6"/>
      <x:c r="B84" s="6"/>
      <x:c r="C84" s="6"/>
      <x:c r="D84" s="6"/>
      <x:c r="E84" s="6"/>
      <x:c r="F84" s="6"/>
      <x:c r="G84" s="6"/>
      <x:c r="H84" s="6"/>
      <x:c r="I84" s="6"/>
      <x:c r="J84" s="6"/>
      <x:c r="K84" s="6"/>
      <x:c r="L84" s="6"/>
      <x:c r="M84" s="6"/>
      <x:c r="N84" s="6"/>
      <x:c r="O84" s="6"/>
      <x:c r="P84" s="6"/>
      <x:c r="Q84" s="6"/>
      <x:c r="R84" s="6"/>
      <x:c r="S84" s="6"/>
      <x:c r="T84" s="6"/>
      <x:c r="U84" s="6"/>
      <x:c r="V84" s="6"/>
      <x:c r="W84" s="6"/>
      <x:c r="X84" s="6"/>
      <x:c r="Y84" s="6"/>
      <x:c r="Z84" s="6"/>
    </x:row>
    <x:row r="85" s="1" customFormat="1" ht="12.75" hidden="0" customHeight="1">
      <x:c r="A85" s="6"/>
      <x:c r="B85" s="6"/>
      <x:c r="C85" s="6"/>
      <x:c r="D85" s="6"/>
      <x:c r="E85" s="6"/>
      <x:c r="F85" s="6"/>
      <x:c r="G85" s="6"/>
      <x:c r="H85" s="6"/>
      <x:c r="I85" s="6"/>
      <x:c r="J85" s="6"/>
      <x:c r="K85" s="6"/>
      <x:c r="L85" s="6"/>
      <x:c r="M85" s="6"/>
      <x:c r="N85" s="6"/>
      <x:c r="O85" s="6"/>
      <x:c r="P85" s="6"/>
      <x:c r="Q85" s="6"/>
      <x:c r="R85" s="6"/>
      <x:c r="S85" s="6"/>
      <x:c r="T85" s="6"/>
      <x:c r="U85" s="6"/>
      <x:c r="V85" s="6"/>
      <x:c r="W85" s="6"/>
      <x:c r="X85" s="6"/>
      <x:c r="Y85" s="6"/>
      <x:c r="Z85" s="6"/>
    </x:row>
    <x:row r="86" s="1" customFormat="1" ht="12.75" hidden="0" customHeight="1">
      <x:c r="A86" s="6"/>
      <x:c r="B86" s="6"/>
      <x:c r="C86" s="6"/>
      <x:c r="D86" s="6"/>
      <x:c r="E86" s="6"/>
      <x:c r="F86" s="6"/>
      <x:c r="G86" s="6"/>
      <x:c r="H86" s="6"/>
      <x:c r="I86" s="6"/>
      <x:c r="J86" s="6"/>
      <x:c r="K86" s="6"/>
      <x:c r="L86" s="6"/>
      <x:c r="M86" s="6"/>
      <x:c r="N86" s="6"/>
      <x:c r="O86" s="6"/>
      <x:c r="P86" s="6"/>
      <x:c r="Q86" s="6"/>
      <x:c r="R86" s="6"/>
      <x:c r="S86" s="6"/>
      <x:c r="T86" s="6"/>
      <x:c r="U86" s="6"/>
      <x:c r="V86" s="6"/>
      <x:c r="W86" s="6"/>
      <x:c r="X86" s="6"/>
      <x:c r="Y86" s="6"/>
      <x:c r="Z86" s="6"/>
    </x:row>
    <x:row r="87" s="1" customFormat="1" ht="12.75" hidden="0" customHeight="1">
      <x:c r="A87" s="6"/>
      <x:c r="B87" s="6"/>
      <x:c r="C87" s="6"/>
      <x:c r="D87" s="6"/>
      <x:c r="E87" s="6"/>
      <x:c r="F87" s="6"/>
      <x:c r="G87" s="6"/>
      <x:c r="H87" s="6"/>
      <x:c r="I87" s="6"/>
      <x:c r="J87" s="6"/>
      <x:c r="K87" s="6"/>
      <x:c r="L87" s="6"/>
      <x:c r="M87" s="6"/>
      <x:c r="N87" s="6"/>
      <x:c r="O87" s="6"/>
      <x:c r="P87" s="6"/>
      <x:c r="Q87" s="6"/>
      <x:c r="R87" s="6"/>
      <x:c r="S87" s="6"/>
      <x:c r="T87" s="6"/>
      <x:c r="U87" s="6"/>
      <x:c r="V87" s="6"/>
      <x:c r="W87" s="6"/>
      <x:c r="X87" s="6"/>
      <x:c r="Y87" s="6"/>
      <x:c r="Z87" s="6"/>
    </x:row>
    <x:row r="88" s="1" customFormat="1" ht="12.75" hidden="0" customHeight="1">
      <x:c r="A88" s="6"/>
      <x:c r="B88" s="6"/>
      <x:c r="C88" s="6"/>
      <x:c r="D88" s="6"/>
      <x:c r="E88" s="6"/>
      <x:c r="F88" s="6"/>
      <x:c r="G88" s="6"/>
      <x:c r="H88" s="6"/>
      <x:c r="I88" s="6"/>
      <x:c r="J88" s="6"/>
      <x:c r="K88" s="6"/>
      <x:c r="L88" s="6"/>
      <x:c r="M88" s="6"/>
      <x:c r="N88" s="6"/>
      <x:c r="O88" s="6"/>
      <x:c r="P88" s="6"/>
      <x:c r="Q88" s="6"/>
      <x:c r="R88" s="6"/>
      <x:c r="S88" s="6"/>
      <x:c r="T88" s="6"/>
      <x:c r="U88" s="6"/>
      <x:c r="V88" s="6"/>
      <x:c r="W88" s="6"/>
      <x:c r="X88" s="6"/>
      <x:c r="Y88" s="6"/>
      <x:c r="Z88" s="6"/>
    </x:row>
    <x:row r="89" s="1" customFormat="1" ht="12.75" hidden="0" customHeight="1">
      <x:c r="A89" s="6"/>
      <x:c r="B89" s="6"/>
      <x:c r="C89" s="6"/>
      <x:c r="D89" s="6"/>
      <x:c r="E89" s="6"/>
      <x:c r="F89" s="6"/>
      <x:c r="G89" s="6"/>
      <x:c r="H89" s="6"/>
      <x:c r="I89" s="6"/>
      <x:c r="J89" s="6"/>
      <x:c r="K89" s="6"/>
      <x:c r="L89" s="6"/>
      <x:c r="M89" s="6"/>
      <x:c r="N89" s="6"/>
      <x:c r="O89" s="6"/>
      <x:c r="P89" s="6"/>
      <x:c r="Q89" s="6"/>
      <x:c r="R89" s="6"/>
      <x:c r="S89" s="6"/>
      <x:c r="T89" s="6"/>
      <x:c r="U89" s="6"/>
      <x:c r="V89" s="6"/>
      <x:c r="W89" s="6"/>
      <x:c r="X89" s="6"/>
      <x:c r="Y89" s="6"/>
      <x:c r="Z89" s="6"/>
    </x:row>
    <x:row r="90" s="1" customFormat="1" ht="12.75" hidden="0" customHeight="1">
      <x:c r="A90" s="6"/>
      <x:c r="B90" s="6"/>
      <x:c r="C90" s="6"/>
      <x:c r="D90" s="6"/>
      <x:c r="E90" s="6"/>
      <x:c r="F90" s="6"/>
      <x:c r="G90" s="6"/>
      <x:c r="H90" s="6"/>
      <x:c r="I90" s="6"/>
      <x:c r="J90" s="6"/>
      <x:c r="K90" s="6"/>
      <x:c r="L90" s="6"/>
      <x:c r="M90" s="6"/>
      <x:c r="N90" s="6"/>
      <x:c r="O90" s="6"/>
      <x:c r="P90" s="6"/>
      <x:c r="Q90" s="6"/>
      <x:c r="R90" s="6"/>
      <x:c r="S90" s="6"/>
      <x:c r="T90" s="6"/>
      <x:c r="U90" s="6"/>
      <x:c r="V90" s="6"/>
      <x:c r="W90" s="6"/>
      <x:c r="X90" s="6"/>
      <x:c r="Y90" s="6"/>
      <x:c r="Z90" s="6"/>
    </x:row>
    <x:row r="91" s="1" customFormat="1" ht="12.75" hidden="0" customHeight="1">
      <x:c r="A91" s="6"/>
      <x:c r="B91" s="6"/>
      <x:c r="C91" s="6"/>
      <x:c r="D91" s="6"/>
      <x:c r="E91" s="6"/>
      <x:c r="F91" s="6"/>
      <x:c r="G91" s="6"/>
      <x:c r="H91" s="6"/>
      <x:c r="I91" s="6"/>
      <x:c r="J91" s="6"/>
      <x:c r="K91" s="6"/>
      <x:c r="L91" s="6"/>
      <x:c r="M91" s="6"/>
      <x:c r="N91" s="6"/>
      <x:c r="O91" s="6"/>
      <x:c r="P91" s="6"/>
      <x:c r="Q91" s="6"/>
      <x:c r="R91" s="6"/>
      <x:c r="S91" s="6"/>
      <x:c r="T91" s="6"/>
      <x:c r="U91" s="6"/>
      <x:c r="V91" s="6"/>
      <x:c r="W91" s="6"/>
      <x:c r="X91" s="6"/>
      <x:c r="Y91" s="6"/>
      <x:c r="Z91" s="6"/>
    </x:row>
    <x:row r="92" s="1" customFormat="1" ht="12.75" hidden="0" customHeight="1">
      <x:c r="A92" s="6"/>
      <x:c r="B92" s="6"/>
      <x:c r="C92" s="6"/>
      <x:c r="D92" s="6"/>
      <x:c r="E92" s="6"/>
      <x:c r="F92" s="6"/>
      <x:c r="G92" s="6"/>
      <x:c r="H92" s="6"/>
      <x:c r="I92" s="6"/>
      <x:c r="J92" s="6"/>
      <x:c r="K92" s="6"/>
      <x:c r="L92" s="6"/>
      <x:c r="M92" s="6"/>
      <x:c r="N92" s="6"/>
      <x:c r="O92" s="6"/>
      <x:c r="P92" s="6"/>
      <x:c r="Q92" s="6"/>
      <x:c r="R92" s="6"/>
      <x:c r="S92" s="6"/>
      <x:c r="T92" s="6"/>
      <x:c r="U92" s="6"/>
      <x:c r="V92" s="6"/>
      <x:c r="W92" s="6"/>
      <x:c r="X92" s="6"/>
      <x:c r="Y92" s="6"/>
      <x:c r="Z92" s="6"/>
    </x:row>
    <x:row r="93" s="1" customFormat="1" ht="12.75" hidden="0" customHeight="1">
      <x:c r="A93" s="6"/>
      <x:c r="B93" s="6"/>
      <x:c r="C93" s="6"/>
      <x:c r="D93" s="6"/>
      <x:c r="E93" s="6"/>
      <x:c r="F93" s="6"/>
      <x:c r="G93" s="6"/>
      <x:c r="H93" s="6"/>
      <x:c r="I93" s="6"/>
      <x:c r="J93" s="6"/>
      <x:c r="K93" s="6"/>
      <x:c r="L93" s="6"/>
      <x:c r="M93" s="6"/>
      <x:c r="N93" s="6"/>
      <x:c r="O93" s="6"/>
      <x:c r="P93" s="6"/>
      <x:c r="Q93" s="6"/>
      <x:c r="R93" s="6"/>
      <x:c r="S93" s="6"/>
      <x:c r="T93" s="6"/>
      <x:c r="U93" s="6"/>
      <x:c r="V93" s="6"/>
      <x:c r="W93" s="6"/>
      <x:c r="X93" s="6"/>
      <x:c r="Y93" s="6"/>
      <x:c r="Z93" s="6"/>
    </x:row>
    <x:row r="94" s="1" customFormat="1" ht="12.75" hidden="0" customHeight="1">
      <x:c r="A94" s="6"/>
      <x:c r="B94" s="6"/>
      <x:c r="C94" s="6"/>
      <x:c r="D94" s="6"/>
      <x:c r="E94" s="6"/>
      <x:c r="F94" s="6"/>
      <x:c r="G94" s="6"/>
      <x:c r="H94" s="6"/>
      <x:c r="I94" s="6"/>
      <x:c r="J94" s="6"/>
      <x:c r="K94" s="6"/>
      <x:c r="L94" s="6"/>
      <x:c r="M94" s="6"/>
      <x:c r="N94" s="6"/>
      <x:c r="O94" s="6"/>
      <x:c r="P94" s="6"/>
      <x:c r="Q94" s="6"/>
      <x:c r="R94" s="6"/>
      <x:c r="S94" s="6"/>
      <x:c r="T94" s="6"/>
      <x:c r="U94" s="6"/>
      <x:c r="V94" s="6"/>
      <x:c r="W94" s="6"/>
      <x:c r="X94" s="6"/>
      <x:c r="Y94" s="6"/>
      <x:c r="Z94" s="6"/>
    </x:row>
    <x:row r="95" s="1" customFormat="1" ht="12.75" hidden="0" customHeight="1">
      <x:c r="A95" s="6"/>
      <x:c r="B95" s="6"/>
      <x:c r="C95" s="6"/>
      <x:c r="D95" s="6"/>
      <x:c r="E95" s="6"/>
      <x:c r="F95" s="6"/>
      <x:c r="G95" s="6"/>
      <x:c r="H95" s="6"/>
      <x:c r="I95" s="6"/>
      <x:c r="J95" s="6"/>
      <x:c r="K95" s="6"/>
      <x:c r="L95" s="6"/>
      <x:c r="M95" s="6"/>
      <x:c r="N95" s="6"/>
      <x:c r="O95" s="6"/>
      <x:c r="P95" s="6"/>
      <x:c r="Q95" s="6"/>
      <x:c r="R95" s="6"/>
      <x:c r="S95" s="6"/>
      <x:c r="T95" s="6"/>
      <x:c r="U95" s="6"/>
      <x:c r="V95" s="6"/>
      <x:c r="W95" s="6"/>
      <x:c r="X95" s="6"/>
      <x:c r="Y95" s="6"/>
      <x:c r="Z95" s="6"/>
    </x:row>
    <x:row r="96" s="1" customFormat="1" ht="12.75" hidden="0" customHeight="1">
      <x:c r="A96" s="6"/>
      <x:c r="B96" s="6"/>
      <x:c r="C96" s="6"/>
      <x:c r="D96" s="6"/>
      <x:c r="E96" s="6"/>
      <x:c r="F96" s="6"/>
      <x:c r="G96" s="6"/>
      <x:c r="H96" s="6"/>
      <x:c r="I96" s="6"/>
      <x:c r="J96" s="6"/>
      <x:c r="K96" s="6"/>
      <x:c r="L96" s="6"/>
      <x:c r="M96" s="6"/>
      <x:c r="N96" s="6"/>
      <x:c r="O96" s="6"/>
      <x:c r="P96" s="6"/>
      <x:c r="Q96" s="6"/>
      <x:c r="R96" s="6"/>
      <x:c r="S96" s="6"/>
      <x:c r="T96" s="6"/>
      <x:c r="U96" s="6"/>
      <x:c r="V96" s="6"/>
      <x:c r="W96" s="6"/>
      <x:c r="X96" s="6"/>
      <x:c r="Y96" s="6"/>
      <x:c r="Z96" s="6"/>
    </x:row>
    <x:row r="97" s="1" customFormat="1" ht="12.75" hidden="0" customHeight="1">
      <x:c r="A97" s="6"/>
      <x:c r="B97" s="6"/>
      <x:c r="C97" s="6"/>
      <x:c r="D97" s="6"/>
      <x:c r="E97" s="6"/>
      <x:c r="F97" s="6"/>
      <x:c r="G97" s="6"/>
      <x:c r="H97" s="6"/>
      <x:c r="I97" s="6"/>
      <x:c r="J97" s="6"/>
      <x:c r="K97" s="6"/>
      <x:c r="L97" s="6"/>
      <x:c r="M97" s="6"/>
      <x:c r="N97" s="6"/>
      <x:c r="O97" s="6"/>
      <x:c r="P97" s="6"/>
      <x:c r="Q97" s="6"/>
      <x:c r="R97" s="6"/>
      <x:c r="S97" s="6"/>
      <x:c r="T97" s="6"/>
      <x:c r="U97" s="6"/>
      <x:c r="V97" s="6"/>
      <x:c r="W97" s="6"/>
      <x:c r="X97" s="6"/>
      <x:c r="Y97" s="6"/>
      <x:c r="Z97" s="6"/>
    </x:row>
    <x:row r="98" s="1" customFormat="1" ht="12.75" hidden="0" customHeight="1">
      <x:c r="A98" s="6"/>
      <x:c r="B98" s="6"/>
      <x:c r="C98" s="6"/>
      <x:c r="D98" s="6"/>
      <x:c r="E98" s="6"/>
      <x:c r="F98" s="6"/>
      <x:c r="G98" s="6"/>
      <x:c r="H98" s="6"/>
      <x:c r="I98" s="6"/>
      <x:c r="J98" s="6"/>
      <x:c r="K98" s="6"/>
      <x:c r="L98" s="6"/>
      <x:c r="M98" s="6"/>
      <x:c r="N98" s="6"/>
      <x:c r="O98" s="6"/>
      <x:c r="P98" s="6"/>
      <x:c r="Q98" s="6"/>
      <x:c r="R98" s="6"/>
      <x:c r="S98" s="6"/>
      <x:c r="T98" s="6"/>
      <x:c r="U98" s="6"/>
      <x:c r="V98" s="6"/>
      <x:c r="W98" s="6"/>
      <x:c r="X98" s="6"/>
      <x:c r="Y98" s="6"/>
      <x:c r="Z98" s="6"/>
    </x:row>
    <x:row r="99" s="1" customFormat="1" ht="12.75" hidden="0" customHeight="1">
      <x:c r="A99" s="6"/>
      <x:c r="B99" s="6"/>
      <x:c r="C99" s="6"/>
      <x:c r="D99" s="6"/>
      <x:c r="E99" s="6"/>
      <x:c r="F99" s="6"/>
      <x:c r="G99" s="6"/>
      <x:c r="H99" s="6"/>
      <x:c r="I99" s="6"/>
      <x:c r="J99" s="6"/>
      <x:c r="K99" s="6"/>
      <x:c r="L99" s="6"/>
      <x:c r="M99" s="6"/>
      <x:c r="N99" s="6"/>
      <x:c r="O99" s="6"/>
      <x:c r="P99" s="6"/>
      <x:c r="Q99" s="6"/>
      <x:c r="R99" s="6"/>
      <x:c r="S99" s="6"/>
      <x:c r="T99" s="6"/>
      <x:c r="U99" s="6"/>
      <x:c r="V99" s="6"/>
      <x:c r="W99" s="6"/>
      <x:c r="X99" s="6"/>
      <x:c r="Y99" s="6"/>
      <x:c r="Z99" s="6"/>
    </x:row>
    <x:row r="100" s="1" customFormat="1" ht="12.75" hidden="0" customHeight="1">
      <x:c r="A100" s="6"/>
      <x:c r="B100" s="6"/>
      <x:c r="C100" s="6"/>
      <x:c r="D100" s="6"/>
      <x:c r="E100" s="6"/>
      <x:c r="F100" s="6"/>
      <x:c r="G100" s="6"/>
      <x:c r="H100" s="6"/>
      <x:c r="I100" s="6"/>
      <x:c r="J100" s="6"/>
      <x:c r="K100" s="6"/>
      <x:c r="L100" s="6"/>
      <x:c r="M100" s="6"/>
      <x:c r="N100" s="6"/>
      <x:c r="O100" s="6"/>
      <x:c r="P100" s="6"/>
      <x:c r="Q100" s="6"/>
      <x:c r="R100" s="6"/>
      <x:c r="S100" s="6"/>
      <x:c r="T100" s="6"/>
      <x:c r="U100" s="6"/>
      <x:c r="V100" s="6"/>
      <x:c r="W100" s="6"/>
      <x:c r="X100" s="6"/>
      <x:c r="Y100" s="6"/>
      <x:c r="Z100" s="6"/>
    </x:row>
  </x:sheetData>
  <x:pageMargins left="0.7" right="0.7" top="0.75" bottom="0.75" header="0.3" footer="0.3"/>
</x:worksheet>
</file>

<file path=xl/worksheets/sheet47.xml><?xml version="1.0" encoding="utf-8"?>
<x:worksheet xmlns:x="http://schemas.openxmlformats.org/spreadsheetml/2006/main">
  <x:sheetViews>
    <x:sheetView showGridLines="1" workbookViewId="0"/>
  </x:sheetViews>
  <x:sheetFormatPr defaultColWidth="8.6796875" defaultRowHeight="12.75"/>
  <x:cols>
    <x:col min="1" max="1" width="34" style="1" hidden="0" customWidth="1"/>
    <x:col min="2" max="2" width="38" style="1" hidden="0" customWidth="1"/>
    <x:col min="3" max="3" width="24" style="1" hidden="0" customWidth="1"/>
    <x:col min="4" max="4" width="18" style="1" hidden="0" customWidth="1"/>
    <x:col min="5" max="5" width="38" hidden="0" customWidth="1"/>
    <x:col min="6" max="6" width="28" hidden="0" customWidth="1"/>
    <x:col min="7" max="7" width="44" hidden="0" customWidth="1"/>
  </x:cols>
  <x:sheetData>
    <x:row r="1" s="1" customFormat="1" ht="19.200000762939453" hidden="0" customHeight="1">
      <x:c r="A1" s="148" t="s">
        <x:v>3610</x:v>
      </x:c>
      <x:c r="B1" s="148"/>
      <x:c r="C1" s="148"/>
      <x:c r="D1" s="148"/>
      <x:c r="E1" s="148"/>
      <x:c r="F1" s="148"/>
      <x:c r="G1" s="148"/>
    </x:row>
    <x:row r="2" s="1" customFormat="1" ht="13.199999809265137" hidden="0" customHeight="1">
      <x:c r="A2" s="149" t="s">
        <x:v>3611</x:v>
      </x:c>
      <x:c r="B2" s="149"/>
      <x:c r="C2" s="149"/>
      <x:c r="D2" s="149"/>
      <x:c r="E2" s="149"/>
      <x:c r="F2" s="149"/>
      <x:c r="G2" s="149"/>
    </x:row>
    <x:row r="3" s="1" customFormat="1" ht="13.199999809265137" hidden="0" customHeight="1">
      <x:c r="A3" s="7"/>
      <x:c r="B3" s="8"/>
      <x:c r="C3" s="8"/>
      <x:c r="D3" s="8"/>
    </x:row>
    <x:row r="4" s="1" customFormat="1" ht="13.199999809265137" hidden="0" customHeight="1">
      <x:c r="A4" s="150" t="s">
        <x:v>346</x:v>
      </x:c>
      <x:c r="B4" s="150" t="s">
        <x:v>3612</x:v>
      </x:c>
      <x:c r="C4" s="150" t="s">
        <x:v>349</x:v>
      </x:c>
      <x:c r="D4" s="150" t="s">
        <x:v>1475</x:v>
      </x:c>
      <x:c r="E4" s="157" t="s">
        <x:v>3613</x:v>
      </x:c>
      <x:c r="F4" s="157" t="s">
        <x:v>3614</x:v>
      </x:c>
      <x:c r="G4" s="157" t="s">
        <x:v>3615</x:v>
      </x:c>
    </x:row>
    <x:row r="5" s="1" customFormat="1" ht="26.399999618530273" hidden="0" customHeight="1">
      <x:c r="A5" s="151" t="s">
        <x:v>3616</x:v>
      </x:c>
      <x:c r="B5" s="152" t="s">
        <x:v>3617</x:v>
      </x:c>
      <x:c r="C5" s="152" t="s">
        <x:v>3618</x:v>
      </x:c>
      <x:c r="D5" s="152" t="s">
        <x:v>3619</x:v>
      </x:c>
      <x:c r="E5" s="158" t="s">
        <x:v>3620</x:v>
      </x:c>
      <x:c r="F5" s="158" t="s">
        <x:v>3621</x:v>
      </x:c>
      <x:c r="G5" s="158" t="s">
        <x:v>3386</x:v>
      </x:c>
    </x:row>
    <x:row r="6" s="1" customFormat="1" ht="26.399999618530273" hidden="0" customHeight="1">
      <x:c r="A6" s="151" t="s">
        <x:v>3296</x:v>
      </x:c>
      <x:c r="B6" s="154" t="s">
        <x:v>3297</x:v>
      </x:c>
      <x:c r="C6" s="154" t="s">
        <x:v>3368</x:v>
      </x:c>
      <x:c r="D6" s="154" t="s">
        <x:v>598</x:v>
      </x:c>
      <x:c r="E6" s="158" t="s">
        <x:v>3622</x:v>
      </x:c>
      <x:c r="F6" s="158" t="s">
        <x:v>3623</x:v>
      </x:c>
      <x:c r="G6" s="158" t="s">
        <x:v>3624</x:v>
      </x:c>
    </x:row>
    <x:row r="7" s="1" customFormat="1" ht="13.199999809265137" hidden="0" customHeight="1">
      <x:c r="A7" s="151" t="s">
        <x:v>3293</x:v>
      </x:c>
      <x:c r="B7" s="152" t="s">
        <x:v>953</x:v>
      </x:c>
      <x:c r="C7" s="152" t="s">
        <x:v>3368</x:v>
      </x:c>
      <x:c r="D7" s="152" t="s">
        <x:v>3625</x:v>
      </x:c>
      <x:c r="E7" s="158" t="s">
        <x:v>3622</x:v>
      </x:c>
      <x:c r="F7" s="158" t="s">
        <x:v>3626</x:v>
      </x:c>
      <x:c r="G7" s="158" t="s">
        <x:v>1931</x:v>
      </x:c>
    </x:row>
    <x:row r="8" s="1" customFormat="1" ht="26.399999618530273" hidden="0" customHeight="1">
      <x:c r="A8" s="151" t="s">
        <x:v>3303</x:v>
      </x:c>
      <x:c r="B8" s="154" t="s">
        <x:v>3304</x:v>
      </x:c>
      <x:c r="C8" s="154" t="s">
        <x:v>3368</x:v>
      </x:c>
      <x:c r="D8" s="154" t="s">
        <x:v>731</x:v>
      </x:c>
      <x:c r="E8" s="158" t="s">
        <x:v>3627</x:v>
      </x:c>
      <x:c r="F8" s="158" t="s">
        <x:v>3628</x:v>
      </x:c>
      <x:c r="G8" s="158" t="s">
        <x:v>3370</x:v>
      </x:c>
    </x:row>
    <x:row r="9" s="1" customFormat="1" ht="13.199999809265137" hidden="0" customHeight="1">
      <x:c r="A9" s="151" t="s">
        <x:v>3629</x:v>
      </x:c>
      <x:c r="B9" s="152" t="s">
        <x:v>3630</x:v>
      </x:c>
      <x:c r="C9" s="152" t="s">
        <x:v>2081</x:v>
      </x:c>
      <x:c r="D9" s="152" t="s">
        <x:v>3631</x:v>
      </x:c>
      <x:c r="E9" s="158" t="s">
        <x:v>3632</x:v>
      </x:c>
      <x:c r="F9" s="158" t="s">
        <x:v>3633</x:v>
      </x:c>
      <x:c r="G9" s="158" t="s">
        <x:v>3386</x:v>
      </x:c>
    </x:row>
    <x:row r="10" s="1" customFormat="1" ht="39.599998474121094" hidden="0" customHeight="1">
      <x:c r="A10" s="151" t="s">
        <x:v>3634</x:v>
      </x:c>
      <x:c r="B10" s="154" t="s">
        <x:v>3635</x:v>
      </x:c>
      <x:c r="C10" s="154" t="s">
        <x:v>3636</x:v>
      </x:c>
      <x:c r="D10" s="154" t="s">
        <x:v>3071</x:v>
      </x:c>
      <x:c r="E10" s="158" t="s">
        <x:v>3637</x:v>
      </x:c>
      <x:c r="F10" s="158" t="s">
        <x:v>3638</x:v>
      </x:c>
      <x:c r="G10" s="158" t="s">
        <x:v>1944</x:v>
      </x:c>
    </x:row>
    <x:row r="11" s="1" customFormat="1" ht="13.199999809265137" hidden="0" customHeight="1">
      <x:c r="A11" s="151" t="s">
        <x:v>3639</x:v>
      </x:c>
      <x:c r="B11" s="152" t="s">
        <x:v>3640</x:v>
      </x:c>
      <x:c r="C11" s="152" t="s">
        <x:v>2081</x:v>
      </x:c>
      <x:c r="D11" s="152" t="s">
        <x:v>19</x:v>
      </x:c>
      <x:c r="E11" s="158" t="s">
        <x:v>3641</x:v>
      </x:c>
      <x:c r="F11" s="158" t="s">
        <x:v>3642</x:v>
      </x:c>
      <x:c r="G11" s="158" t="s">
        <x:v>3386</x:v>
      </x:c>
    </x:row>
    <x:row r="12" s="1" customFormat="1" ht="26.399999618530273" hidden="0" customHeight="1">
      <x:c r="A12" s="151" t="s">
        <x:v>3643</x:v>
      </x:c>
      <x:c r="B12" s="154" t="s">
        <x:v>3644</x:v>
      </x:c>
      <x:c r="C12" s="154" t="s">
        <x:v>3645</x:v>
      </x:c>
      <x:c r="D12" s="154" t="s">
        <x:v>3646</x:v>
      </x:c>
      <x:c r="E12" s="158" t="s">
        <x:v>3647</x:v>
      </x:c>
      <x:c r="F12" s="158" t="s">
        <x:v>3648</x:v>
      </x:c>
      <x:c r="G12" s="158" t="s">
        <x:v>1944</x:v>
      </x:c>
    </x:row>
    <x:row r="13" s="1" customFormat="1" ht="24" hidden="0" customHeight="1">
      <x:c r="A13" s="151" t="s">
        <x:v>3649</x:v>
      </x:c>
      <x:c r="B13" s="152" t="s">
        <x:v>3644</x:v>
      </x:c>
      <x:c r="C13" s="152" t="s">
        <x:v>3645</x:v>
      </x:c>
      <x:c r="D13" s="152" t="s">
        <x:v>3650</x:v>
      </x:c>
      <x:c r="E13" s="158" t="s">
        <x:v>3651</x:v>
      </x:c>
      <x:c r="F13" s="158" t="s">
        <x:v>3652</x:v>
      </x:c>
      <x:c r="G13" s="158" t="s">
        <x:v>3653</x:v>
      </x:c>
    </x:row>
    <x:row r="14" s="1" customFormat="1" ht="26.399999618530273" hidden="0" customHeight="1">
      <x:c r="A14" s="151" t="s">
        <x:v>3654</x:v>
      </x:c>
      <x:c r="B14" s="154" t="s">
        <x:v>3655</x:v>
      </x:c>
      <x:c r="C14" s="154" t="s">
        <x:v>3618</x:v>
      </x:c>
      <x:c r="D14" s="154" t="s">
        <x:v>652</x:v>
      </x:c>
      <x:c r="E14" s="158" t="s">
        <x:v>3656</x:v>
      </x:c>
      <x:c r="F14" s="158" t="s">
        <x:v>3657</x:v>
      </x:c>
      <x:c r="G14" s="158" t="s">
        <x:v>3658</x:v>
      </x:c>
    </x:row>
    <x:row r="15" s="1" customFormat="1" ht="13.199999809265137" hidden="0" customHeight="1">
      <x:c r="A15" s="151" t="s">
        <x:v>3659</x:v>
      </x:c>
      <x:c r="B15" s="152" t="s">
        <x:v>3660</x:v>
      </x:c>
      <x:c r="C15" s="152" t="s">
        <x:v>2081</x:v>
      </x:c>
      <x:c r="D15" s="152" t="s">
        <x:v>3661</x:v>
      </x:c>
      <x:c r="E15" s="158" t="s">
        <x:v>3662</x:v>
      </x:c>
      <x:c r="F15" s="158" t="s">
        <x:v>3663</x:v>
      </x:c>
      <x:c r="G15" s="158" t="s">
        <x:v>3664</x:v>
      </x:c>
    </x:row>
    <x:row r="16" s="1" customFormat="1" ht="13.199999809265137" hidden="0" customHeight="1">
      <x:c r="A16" s="151" t="s">
        <x:v>3665</x:v>
      </x:c>
      <x:c r="B16" s="154" t="s">
        <x:v>3660</x:v>
      </x:c>
      <x:c r="C16" s="154" t="s">
        <x:v>2081</x:v>
      </x:c>
      <x:c r="D16" s="154" t="s">
        <x:v>3666</x:v>
      </x:c>
      <x:c r="E16" s="158" t="s">
        <x:v>3667</x:v>
      </x:c>
      <x:c r="F16" s="158" t="s">
        <x:v>3668</x:v>
      </x:c>
      <x:c r="G16" s="158" t="s">
        <x:v>3669</x:v>
      </x:c>
    </x:row>
    <x:row r="17" ht="12.75" hidden="0" customHeight="1">
      <x:c r="A17" s="158" t="s">
        <x:v>3670</x:v>
      </x:c>
      <x:c r="B17" s="158" t="s">
        <x:v>3660</x:v>
      </x:c>
      <x:c r="C17" s="158" t="s">
        <x:v>2081</x:v>
      </x:c>
      <x:c r="D17" s="158" t="s">
        <x:v>3671</x:v>
      </x:c>
      <x:c r="E17" s="158" t="s">
        <x:v>3672</x:v>
      </x:c>
      <x:c r="F17" s="158" t="s">
        <x:v>3673</x:v>
      </x:c>
      <x:c r="G17" s="158" t="s">
        <x:v>3674</x:v>
      </x:c>
    </x:row>
    <x:row r="18" ht="12.75" hidden="0" customHeight="1">
      <x:c r="A18" s="158" t="s">
        <x:v>3675</x:v>
      </x:c>
      <x:c r="B18" s="158" t="s">
        <x:v>3676</x:v>
      </x:c>
      <x:c r="C18" s="158" t="s">
        <x:v>2081</x:v>
      </x:c>
      <x:c r="D18" s="158" t="s">
        <x:v>3677</x:v>
      </x:c>
      <x:c r="E18" s="158" t="s">
        <x:v>3678</x:v>
      </x:c>
      <x:c r="F18" s="158" t="s">
        <x:v>3679</x:v>
      </x:c>
      <x:c r="G18" s="158" t="s">
        <x:v>3680</x:v>
      </x:c>
    </x:row>
    <x:row r="19" ht="24" hidden="0" customHeight="1">
      <x:c r="A19" s="158" t="s">
        <x:v>3681</x:v>
      </x:c>
      <x:c r="B19" s="158" t="s">
        <x:v>3676</x:v>
      </x:c>
      <x:c r="C19" s="158" t="s">
        <x:v>2081</x:v>
      </x:c>
      <x:c r="D19" s="158" t="s">
        <x:v>3682</x:v>
      </x:c>
      <x:c r="E19" s="158" t="s">
        <x:v>3683</x:v>
      </x:c>
      <x:c r="F19" s="158" t="s">
        <x:v>3684</x:v>
      </x:c>
      <x:c r="G19" s="158" t="s">
        <x:v>1944</x:v>
      </x:c>
    </x:row>
    <x:row r="20" ht="36" hidden="0" customHeight="1">
      <x:c r="A20" s="158" t="s">
        <x:v>3685</x:v>
      </x:c>
      <x:c r="B20" s="158" t="s">
        <x:v>3686</x:v>
      </x:c>
      <x:c r="C20" s="158" t="s">
        <x:v>3687</x:v>
      </x:c>
      <x:c r="D20" s="158" t="s">
        <x:v>731</x:v>
      </x:c>
      <x:c r="E20" s="158" t="s">
        <x:v>3688</x:v>
      </x:c>
      <x:c r="F20" s="158" t="s">
        <x:v>3689</x:v>
      </x:c>
      <x:c r="G20" s="158" t="s">
        <x:v>3653</x:v>
      </x:c>
    </x:row>
    <x:row r="21" ht="24" hidden="0" customHeight="1">
      <x:c r="A21" s="158" t="s">
        <x:v>3690</x:v>
      </x:c>
      <x:c r="B21" s="158" t="s">
        <x:v>3691</x:v>
      </x:c>
      <x:c r="C21" s="158" t="s">
        <x:v>3316</x:v>
      </x:c>
      <x:c r="D21" s="158" t="s">
        <x:v>3692</x:v>
      </x:c>
      <x:c r="E21" s="158" t="s">
        <x:v>3693</x:v>
      </x:c>
      <x:c r="F21" s="158" t="s">
        <x:v>3694</x:v>
      </x:c>
      <x:c r="G21" s="158" t="s">
        <x:v>1944</x:v>
      </x:c>
    </x:row>
    <x:row r="22" ht="24" hidden="0" customHeight="1">
      <x:c r="A22" s="158" t="s">
        <x:v>3695</x:v>
      </x:c>
      <x:c r="B22" s="158" t="s">
        <x:v>72</x:v>
      </x:c>
      <x:c r="C22" s="158" t="s">
        <x:v>3691</x:v>
      </x:c>
      <x:c r="D22" s="158" t="s">
        <x:v>3696</x:v>
      </x:c>
      <x:c r="E22" s="158" t="s">
        <x:v>3697</x:v>
      </x:c>
      <x:c r="F22" s="158" t="s">
        <x:v>3698</x:v>
      </x:c>
      <x:c r="G22" s="158" t="s">
        <x:v>3699</x:v>
      </x:c>
    </x:row>
    <x:row r="23" ht="12.75" hidden="0" customHeight="1">
      <x:c r="A23" s="158" t="s">
        <x:v>3700</x:v>
      </x:c>
      <x:c r="B23" s="158" t="s">
        <x:v>3701</x:v>
      </x:c>
      <x:c r="C23" s="158" t="s">
        <x:v>3645</x:v>
      </x:c>
      <x:c r="D23" s="158" t="s">
        <x:v>3702</x:v>
      </x:c>
      <x:c r="E23" s="158" t="s">
        <x:v>3703</x:v>
      </x:c>
      <x:c r="F23" s="158" t="s">
        <x:v>3704</x:v>
      </x:c>
      <x:c r="G23" s="158" t="s">
        <x:v>3370</x:v>
      </x:c>
    </x:row>
    <x:row r="24" ht="24" hidden="0" customHeight="1">
      <x:c r="A24" s="158" t="s">
        <x:v>3705</x:v>
      </x:c>
      <x:c r="B24" s="158" t="s">
        <x:v>3706</x:v>
      </x:c>
      <x:c r="C24" s="158" t="s">
        <x:v>734</x:v>
      </x:c>
      <x:c r="D24" s="158" t="s">
        <x:v>19</x:v>
      </x:c>
      <x:c r="E24" s="158" t="s">
        <x:v>3707</x:v>
      </x:c>
      <x:c r="F24" s="158" t="s">
        <x:v>3708</x:v>
      </x:c>
      <x:c r="G24" s="158" t="s">
        <x:v>3709</x:v>
      </x:c>
    </x:row>
    <x:row r="25" ht="24" hidden="0" customHeight="1">
      <x:c r="A25" s="158" t="s">
        <x:v>3710</x:v>
      </x:c>
      <x:c r="B25" s="158" t="s">
        <x:v>3711</x:v>
      </x:c>
      <x:c r="C25" s="158" t="s">
        <x:v>3618</x:v>
      </x:c>
      <x:c r="D25" s="158" t="s">
        <x:v>761</x:v>
      </x:c>
      <x:c r="E25" s="158" t="s">
        <x:v>3712</x:v>
      </x:c>
      <x:c r="F25" s="158" t="s">
        <x:v>3713</x:v>
      </x:c>
      <x:c r="G25" s="158" t="s">
        <x:v>3714</x:v>
      </x:c>
    </x:row>
    <x:row r="26" ht="12.75" hidden="0" customHeight="1">
      <x:c r="A26" s="158"/>
      <x:c r="B26" s="158"/>
      <x:c r="C26" s="158"/>
      <x:c r="D26" s="158"/>
      <x:c r="E26" s="158"/>
      <x:c r="F26" s="158"/>
      <x:c r="G26" s="158"/>
    </x:row>
    <x:row r="27" ht="12.75" hidden="0" customHeight="1">
      <x:c r="A27" s="159" t="s">
        <x:v>3715</x:v>
      </x:c>
      <x:c r="B27" s="159"/>
      <x:c r="C27" s="159"/>
      <x:c r="D27" s="159"/>
      <x:c r="E27" s="159"/>
      <x:c r="F27" s="159"/>
      <x:c r="G27" s="159"/>
    </x:row>
    <x:row r="28" ht="12.75" hidden="0" customHeight="1">
      <x:c r="A28" s="158"/>
      <x:c r="B28" s="158"/>
      <x:c r="C28" s="158"/>
      <x:c r="D28" s="158"/>
      <x:c r="E28" s="158"/>
      <x:c r="F28" s="158"/>
      <x:c r="G28" s="158"/>
    </x:row>
    <x:row r="29" ht="12.75" hidden="0" customHeight="1">
      <x:c r="A29" s="158"/>
      <x:c r="B29" s="158"/>
      <x:c r="C29" s="158"/>
      <x:c r="D29" s="158"/>
      <x:c r="E29" s="158"/>
      <x:c r="F29" s="158"/>
      <x:c r="G29" s="158"/>
    </x:row>
    <x:row r="30" ht="12.75" hidden="0" customHeight="1">
      <x:c r="A30" s="158"/>
      <x:c r="B30" s="158"/>
      <x:c r="C30" s="158"/>
      <x:c r="D30" s="158"/>
      <x:c r="E30" s="158"/>
      <x:c r="F30" s="158"/>
      <x:c r="G30" s="158"/>
    </x:row>
    <x:row r="31" ht="12.75" hidden="0" customHeight="1">
      <x:c r="A31" s="158"/>
      <x:c r="B31" s="158"/>
      <x:c r="C31" s="158"/>
      <x:c r="D31" s="158"/>
      <x:c r="E31" s="158"/>
      <x:c r="F31" s="158"/>
      <x:c r="G31" s="158"/>
    </x:row>
    <x:row r="32" ht="12.75" hidden="0" customHeight="1">
      <x:c r="A32" s="158"/>
      <x:c r="B32" s="158"/>
      <x:c r="C32" s="158"/>
      <x:c r="D32" s="158"/>
      <x:c r="E32" s="158"/>
      <x:c r="F32" s="158"/>
      <x:c r="G32" s="158"/>
    </x:row>
    <x:row r="33" ht="12.75" hidden="0" customHeight="1">
      <x:c r="A33" s="158"/>
      <x:c r="B33" s="158"/>
      <x:c r="C33" s="158"/>
      <x:c r="D33" s="158"/>
      <x:c r="E33" s="158"/>
      <x:c r="F33" s="158"/>
      <x:c r="G33" s="158"/>
    </x:row>
    <x:row r="34" ht="12.75" hidden="0" customHeight="1">
      <x:c r="A34" s="158"/>
      <x:c r="B34" s="158"/>
      <x:c r="C34" s="158"/>
      <x:c r="D34" s="158"/>
      <x:c r="E34" s="158"/>
      <x:c r="F34" s="158"/>
      <x:c r="G34" s="158"/>
    </x:row>
    <x:row r="35" ht="12.75" hidden="0" customHeight="1">
      <x:c r="A35" s="158"/>
      <x:c r="B35" s="158"/>
      <x:c r="C35" s="158"/>
      <x:c r="D35" s="158"/>
      <x:c r="E35" s="158"/>
      <x:c r="F35" s="158"/>
      <x:c r="G35" s="158"/>
    </x:row>
    <x:row r="36" ht="12.75" hidden="0" customHeight="1">
      <x:c r="A36" s="158"/>
      <x:c r="B36" s="158"/>
      <x:c r="C36" s="158"/>
      <x:c r="D36" s="158"/>
      <x:c r="E36" s="158"/>
      <x:c r="F36" s="158"/>
      <x:c r="G36" s="158"/>
    </x:row>
  </x:sheetData>
  <x:mergeCells>
    <x:mergeCell ref="A1:G1"/>
    <x:mergeCell ref="A2:G2"/>
    <x:mergeCell ref="A27:G27"/>
  </x:mergeCells>
  <x:pageMargins left="0.7" right="0.7" top="0.75" bottom="0.75" header="0.3" footer="0.3"/>
</x:worksheet>
</file>

<file path=xl/worksheets/sheet48.xml><?xml version="1.0" encoding="utf-8"?>
<x:worksheet xmlns:x="http://schemas.openxmlformats.org/spreadsheetml/2006/main">
  <x:sheetViews>
    <x:sheetView showGridLines="1" workbookViewId="0"/>
  </x:sheetViews>
  <x:sheetFormatPr defaultColWidth="8.6796875" defaultRowHeight="12.75"/>
  <x:cols>
    <x:col min="1" max="3" width="36" style="1" hidden="0" customWidth="1"/>
    <x:col min="4" max="26" width="16" style="1" hidden="0" customWidth="1"/>
  </x:cols>
  <x:sheetData>
    <x:row r="1" s="1" customFormat="1" ht="12.75" hidden="0" customHeight="1">
      <x:c r="A1" s="2" t="s">
        <x:v>346</x:v>
      </x:c>
      <x:c r="B1" s="2" t="s">
        <x:v>347</x:v>
      </x:c>
      <x:c r="C1" s="2" t="s">
        <x:v>1203</x:v>
      </x:c>
      <x:c r="D1" s="3"/>
      <x:c r="E1" s="3"/>
      <x:c r="F1" s="3"/>
      <x:c r="G1" s="3"/>
      <x:c r="H1" s="3"/>
      <x:c r="I1" s="3"/>
      <x:c r="J1" s="3"/>
      <x:c r="K1" s="3"/>
      <x:c r="L1" s="3"/>
      <x:c r="M1" s="3"/>
      <x:c r="N1" s="3"/>
      <x:c r="O1" s="3"/>
      <x:c r="P1" s="3"/>
      <x:c r="Q1" s="3"/>
      <x:c r="R1" s="3"/>
      <x:c r="S1" s="3"/>
      <x:c r="T1" s="3"/>
      <x:c r="U1" s="3"/>
      <x:c r="V1" s="3"/>
      <x:c r="W1" s="3"/>
      <x:c r="X1" s="3"/>
      <x:c r="Y1" s="3"/>
      <x:c r="Z1" s="3"/>
    </x:row>
    <x:row r="2" s="1" customFormat="1" ht="26.25" hidden="0" customHeight="1">
      <x:c r="A2" s="4" t="s">
        <x:v>2703</x:v>
      </x:c>
      <x:c r="B2" s="5" t="s">
        <x:v>2704</x:v>
      </x:c>
      <x:c r="C2" s="5" t="s">
        <x:v>3716</x:v>
      </x:c>
      <x:c r="D2" s="6"/>
      <x:c r="E2" s="6"/>
      <x:c r="F2" s="6"/>
      <x:c r="G2" s="6"/>
      <x:c r="H2" s="6"/>
      <x:c r="I2" s="6"/>
      <x:c r="J2" s="6"/>
      <x:c r="K2" s="6"/>
      <x:c r="L2" s="6"/>
      <x:c r="M2" s="6"/>
      <x:c r="N2" s="6"/>
      <x:c r="O2" s="6"/>
      <x:c r="P2" s="6"/>
      <x:c r="Q2" s="6"/>
      <x:c r="R2" s="6"/>
      <x:c r="S2" s="6"/>
      <x:c r="T2" s="6"/>
      <x:c r="U2" s="6"/>
      <x:c r="V2" s="6"/>
      <x:c r="W2" s="6"/>
      <x:c r="X2" s="6"/>
      <x:c r="Y2" s="6"/>
      <x:c r="Z2" s="6"/>
    </x:row>
    <x:row r="3" s="1" customFormat="1" ht="26.25" hidden="0" customHeight="1">
      <x:c r="A3" s="7" t="s">
        <x:v>3717</x:v>
      </x:c>
      <x:c r="B3" s="8" t="s">
        <x:v>3718</x:v>
      </x:c>
      <x:c r="C3" s="8" t="s">
        <x:v>3719</x:v>
      </x:c>
      <x:c r="D3" s="6"/>
      <x:c r="E3" s="6"/>
      <x:c r="F3" s="6"/>
      <x:c r="G3" s="6"/>
      <x:c r="H3" s="6"/>
      <x:c r="I3" s="6"/>
      <x:c r="J3" s="6"/>
      <x:c r="K3" s="6"/>
      <x:c r="L3" s="6"/>
      <x:c r="M3" s="6"/>
      <x:c r="N3" s="6"/>
      <x:c r="O3" s="6"/>
      <x:c r="P3" s="6"/>
      <x:c r="Q3" s="6"/>
      <x:c r="R3" s="6"/>
      <x:c r="S3" s="6"/>
      <x:c r="T3" s="6"/>
      <x:c r="U3" s="6"/>
      <x:c r="V3" s="6"/>
      <x:c r="W3" s="6"/>
      <x:c r="X3" s="6"/>
      <x:c r="Y3" s="6"/>
      <x:c r="Z3" s="6"/>
    </x:row>
    <x:row r="4" s="1" customFormat="1" ht="12.75" hidden="0" customHeight="1">
      <x:c r="A4" s="7" t="s">
        <x:v>3720</x:v>
      </x:c>
      <x:c r="B4" s="5" t="s">
        <x:v>3721</x:v>
      </x:c>
      <x:c r="C4" s="5" t="s">
        <x:v>3722</x:v>
      </x:c>
      <x:c r="D4" s="6"/>
      <x:c r="E4" s="6"/>
      <x:c r="F4" s="6"/>
      <x:c r="G4" s="6"/>
      <x:c r="H4" s="6"/>
      <x:c r="I4" s="6"/>
      <x:c r="J4" s="6"/>
      <x:c r="K4" s="6"/>
      <x:c r="L4" s="6"/>
      <x:c r="M4" s="6"/>
      <x:c r="N4" s="6"/>
      <x:c r="O4" s="6"/>
      <x:c r="P4" s="6"/>
      <x:c r="Q4" s="6"/>
      <x:c r="R4" s="6"/>
      <x:c r="S4" s="6"/>
      <x:c r="T4" s="6"/>
      <x:c r="U4" s="6"/>
      <x:c r="V4" s="6"/>
      <x:c r="W4" s="6"/>
      <x:c r="X4" s="6"/>
      <x:c r="Y4" s="6"/>
      <x:c r="Z4" s="6"/>
    </x:row>
    <x:row r="5" s="1" customFormat="1" ht="26.25" hidden="0" customHeight="1">
      <x:c r="A5" s="7" t="s">
        <x:v>3723</x:v>
      </x:c>
      <x:c r="B5" s="8" t="s">
        <x:v>3724</x:v>
      </x:c>
      <x:c r="C5" s="8" t="s">
        <x:v>3725</x:v>
      </x:c>
      <x:c r="D5" s="6"/>
      <x:c r="E5" s="6"/>
      <x:c r="F5" s="6"/>
      <x:c r="G5" s="6"/>
      <x:c r="H5" s="6"/>
      <x:c r="I5" s="6"/>
      <x:c r="J5" s="6"/>
      <x:c r="K5" s="6"/>
      <x:c r="L5" s="6"/>
      <x:c r="M5" s="6"/>
      <x:c r="N5" s="6"/>
      <x:c r="O5" s="6"/>
      <x:c r="P5" s="6"/>
      <x:c r="Q5" s="6"/>
      <x:c r="R5" s="6"/>
      <x:c r="S5" s="6"/>
      <x:c r="T5" s="6"/>
      <x:c r="U5" s="6"/>
      <x:c r="V5" s="6"/>
      <x:c r="W5" s="6"/>
      <x:c r="X5" s="6"/>
      <x:c r="Y5" s="6"/>
      <x:c r="Z5" s="6"/>
    </x:row>
    <x:row r="6" s="1" customFormat="1" ht="12.75" hidden="0" customHeight="1">
      <x:c r="A6" s="7" t="s">
        <x:v>3726</x:v>
      </x:c>
      <x:c r="B6" s="5" t="s">
        <x:v>3727</x:v>
      </x:c>
      <x:c r="C6" s="5" t="s">
        <x:v>3728</x:v>
      </x:c>
      <x:c r="D6" s="6"/>
      <x:c r="E6" s="6"/>
      <x:c r="F6" s="6"/>
      <x:c r="G6" s="6"/>
      <x:c r="H6" s="6"/>
      <x:c r="I6" s="6"/>
      <x:c r="J6" s="6"/>
      <x:c r="K6" s="6"/>
      <x:c r="L6" s="6"/>
      <x:c r="M6" s="6"/>
      <x:c r="N6" s="6"/>
      <x:c r="O6" s="6"/>
      <x:c r="P6" s="6"/>
      <x:c r="Q6" s="6"/>
      <x:c r="R6" s="6"/>
      <x:c r="S6" s="6"/>
      <x:c r="T6" s="6"/>
      <x:c r="U6" s="6"/>
      <x:c r="V6" s="6"/>
      <x:c r="W6" s="6"/>
      <x:c r="X6" s="6"/>
      <x:c r="Y6" s="6"/>
      <x:c r="Z6" s="6"/>
    </x:row>
    <x:row r="7" s="1" customFormat="1" ht="12.75" hidden="0" customHeight="1">
      <x:c r="A7" s="7" t="s">
        <x:v>3729</x:v>
      </x:c>
      <x:c r="B7" s="8" t="s">
        <x:v>3730</x:v>
      </x:c>
      <x:c r="C7" s="8" t="s">
        <x:v>3731</x:v>
      </x:c>
      <x:c r="D7" s="6"/>
      <x:c r="E7" s="6"/>
      <x:c r="F7" s="6"/>
      <x:c r="G7" s="6"/>
      <x:c r="H7" s="6"/>
      <x:c r="I7" s="6"/>
      <x:c r="J7" s="6"/>
      <x:c r="K7" s="6"/>
      <x:c r="L7" s="6"/>
      <x:c r="M7" s="6"/>
      <x:c r="N7" s="6"/>
      <x:c r="O7" s="6"/>
      <x:c r="P7" s="6"/>
      <x:c r="Q7" s="6"/>
      <x:c r="R7" s="6"/>
      <x:c r="S7" s="6"/>
      <x:c r="T7" s="6"/>
      <x:c r="U7" s="6"/>
      <x:c r="V7" s="6"/>
      <x:c r="W7" s="6"/>
      <x:c r="X7" s="6"/>
      <x:c r="Y7" s="6"/>
      <x:c r="Z7" s="6"/>
    </x:row>
    <x:row r="8" s="1" customFormat="1" ht="12.75" hidden="0" customHeight="1">
      <x:c r="A8" s="6"/>
      <x:c r="B8" s="6"/>
      <x:c r="C8" s="6"/>
      <x:c r="D8" s="6"/>
      <x:c r="E8" s="6"/>
      <x:c r="F8" s="6"/>
      <x:c r="G8" s="6"/>
      <x:c r="H8" s="6"/>
      <x:c r="I8" s="6"/>
      <x:c r="J8" s="6"/>
      <x:c r="K8" s="6"/>
      <x:c r="L8" s="6"/>
      <x:c r="M8" s="6"/>
      <x:c r="N8" s="6"/>
      <x:c r="O8" s="6"/>
      <x:c r="P8" s="6"/>
      <x:c r="Q8" s="6"/>
      <x:c r="R8" s="6"/>
      <x:c r="S8" s="6"/>
      <x:c r="T8" s="6"/>
      <x:c r="U8" s="6"/>
      <x:c r="V8" s="6"/>
      <x:c r="W8" s="6"/>
      <x:c r="X8" s="6"/>
      <x:c r="Y8" s="6"/>
      <x:c r="Z8" s="6"/>
    </x:row>
    <x:row r="9" s="1" customFormat="1" ht="12.75" hidden="0" customHeight="1">
      <x:c r="A9" s="6"/>
      <x:c r="B9" s="6"/>
      <x:c r="C9" s="6"/>
      <x:c r="D9" s="6"/>
      <x:c r="E9" s="6"/>
      <x:c r="F9" s="6"/>
      <x:c r="G9" s="6"/>
      <x:c r="H9" s="6"/>
      <x:c r="I9" s="6"/>
      <x:c r="J9" s="6"/>
      <x:c r="K9" s="6"/>
      <x:c r="L9" s="6"/>
      <x:c r="M9" s="6"/>
      <x:c r="N9" s="6"/>
      <x:c r="O9" s="6"/>
      <x:c r="P9" s="6"/>
      <x:c r="Q9" s="6"/>
      <x:c r="R9" s="6"/>
      <x:c r="S9" s="6"/>
      <x:c r="T9" s="6"/>
      <x:c r="U9" s="6"/>
      <x:c r="V9" s="6"/>
      <x:c r="W9" s="6"/>
      <x:c r="X9" s="6"/>
      <x:c r="Y9" s="6"/>
      <x:c r="Z9" s="6"/>
    </x:row>
    <x:row r="10" s="1" customFormat="1" ht="12.75" hidden="0" customHeight="1">
      <x:c r="A10" s="6"/>
      <x:c r="B10" s="6"/>
      <x:c r="C10" s="6"/>
      <x:c r="D10" s="6"/>
      <x:c r="E10" s="6"/>
      <x:c r="F10" s="6"/>
      <x:c r="G10" s="6"/>
      <x:c r="H10" s="6"/>
      <x:c r="I10" s="6"/>
      <x:c r="J10" s="6"/>
      <x:c r="K10" s="6"/>
      <x:c r="L10" s="6"/>
      <x:c r="M10" s="6"/>
      <x:c r="N10" s="6"/>
      <x:c r="O10" s="6"/>
      <x:c r="P10" s="6"/>
      <x:c r="Q10" s="6"/>
      <x:c r="R10" s="6"/>
      <x:c r="S10" s="6"/>
      <x:c r="T10" s="6"/>
      <x:c r="U10" s="6"/>
      <x:c r="V10" s="6"/>
      <x:c r="W10" s="6"/>
      <x:c r="X10" s="6"/>
      <x:c r="Y10" s="6"/>
      <x:c r="Z10" s="6"/>
    </x:row>
    <x:row r="11" s="1" customFormat="1" ht="12.75" hidden="0" customHeight="1">
      <x:c r="A11" s="6"/>
      <x:c r="B11" s="6"/>
      <x:c r="C11" s="6"/>
      <x:c r="D11" s="6"/>
      <x:c r="E11" s="6"/>
      <x:c r="F11" s="6"/>
      <x:c r="G11" s="6"/>
      <x:c r="H11" s="6"/>
      <x:c r="I11" s="6"/>
      <x:c r="J11" s="6"/>
      <x:c r="K11" s="6"/>
      <x:c r="L11" s="6"/>
      <x:c r="M11" s="6"/>
      <x:c r="N11" s="6"/>
      <x:c r="O11" s="6"/>
      <x:c r="P11" s="6"/>
      <x:c r="Q11" s="6"/>
      <x:c r="R11" s="6"/>
      <x:c r="S11" s="6"/>
      <x:c r="T11" s="6"/>
      <x:c r="U11" s="6"/>
      <x:c r="V11" s="6"/>
      <x:c r="W11" s="6"/>
      <x:c r="X11" s="6"/>
      <x:c r="Y11" s="6"/>
      <x:c r="Z11" s="6"/>
    </x:row>
    <x:row r="12" s="1" customFormat="1" ht="12.75" hidden="0" customHeight="1">
      <x:c r="A12" s="6"/>
      <x:c r="B12" s="6"/>
      <x:c r="C12" s="6"/>
      <x:c r="D12" s="6"/>
      <x:c r="E12" s="6"/>
      <x:c r="F12" s="6"/>
      <x:c r="G12" s="6"/>
      <x:c r="H12" s="6"/>
      <x:c r="I12" s="6"/>
      <x:c r="J12" s="6"/>
      <x:c r="K12" s="6"/>
      <x:c r="L12" s="6"/>
      <x:c r="M12" s="6"/>
      <x:c r="N12" s="6"/>
      <x:c r="O12" s="6"/>
      <x:c r="P12" s="6"/>
      <x:c r="Q12" s="6"/>
      <x:c r="R12" s="6"/>
      <x:c r="S12" s="6"/>
      <x:c r="T12" s="6"/>
      <x:c r="U12" s="6"/>
      <x:c r="V12" s="6"/>
      <x:c r="W12" s="6"/>
      <x:c r="X12" s="6"/>
      <x:c r="Y12" s="6"/>
      <x:c r="Z12" s="6"/>
    </x:row>
    <x:row r="13" s="1" customFormat="1" ht="12.75" hidden="0" customHeight="1">
      <x:c r="A13" s="6"/>
      <x:c r="B13" s="6"/>
      <x:c r="C13" s="6"/>
      <x:c r="D13" s="6"/>
      <x:c r="E13" s="6"/>
      <x:c r="F13" s="6"/>
      <x:c r="G13" s="6"/>
      <x:c r="H13" s="6"/>
      <x:c r="I13" s="6"/>
      <x:c r="J13" s="6"/>
      <x:c r="K13" s="6"/>
      <x:c r="L13" s="6"/>
      <x:c r="M13" s="6"/>
      <x:c r="N13" s="6"/>
      <x:c r="O13" s="6"/>
      <x:c r="P13" s="6"/>
      <x:c r="Q13" s="6"/>
      <x:c r="R13" s="6"/>
      <x:c r="S13" s="6"/>
      <x:c r="T13" s="6"/>
      <x:c r="U13" s="6"/>
      <x:c r="V13" s="6"/>
      <x:c r="W13" s="6"/>
      <x:c r="X13" s="6"/>
      <x:c r="Y13" s="6"/>
      <x:c r="Z13" s="6"/>
    </x:row>
    <x:row r="14" s="1" customFormat="1" ht="12.75" hidden="0" customHeight="1">
      <x:c r="A14" s="6"/>
      <x:c r="B14" s="6"/>
      <x:c r="C14" s="6"/>
      <x:c r="D14" s="6"/>
      <x:c r="E14" s="6"/>
      <x:c r="F14" s="6"/>
      <x:c r="G14" s="6"/>
      <x:c r="H14" s="6"/>
      <x:c r="I14" s="6"/>
      <x:c r="J14" s="6"/>
      <x:c r="K14" s="6"/>
      <x:c r="L14" s="6"/>
      <x:c r="M14" s="6"/>
      <x:c r="N14" s="6"/>
      <x:c r="O14" s="6"/>
      <x:c r="P14" s="6"/>
      <x:c r="Q14" s="6"/>
      <x:c r="R14" s="6"/>
      <x:c r="S14" s="6"/>
      <x:c r="T14" s="6"/>
      <x:c r="U14" s="6"/>
      <x:c r="V14" s="6"/>
      <x:c r="W14" s="6"/>
      <x:c r="X14" s="6"/>
      <x:c r="Y14" s="6"/>
      <x:c r="Z14" s="6"/>
    </x:row>
    <x:row r="15" s="1" customFormat="1" ht="12.75" hidden="0" customHeight="1">
      <x:c r="A15" s="6"/>
      <x:c r="B15" s="6"/>
      <x:c r="C15" s="6"/>
      <x:c r="D15" s="6"/>
      <x:c r="E15" s="6"/>
      <x:c r="F15" s="6"/>
      <x:c r="G15" s="6"/>
      <x:c r="H15" s="6"/>
      <x:c r="I15" s="6"/>
      <x:c r="J15" s="6"/>
      <x:c r="K15" s="6"/>
      <x:c r="L15" s="6"/>
      <x:c r="M15" s="6"/>
      <x:c r="N15" s="6"/>
      <x:c r="O15" s="6"/>
      <x:c r="P15" s="6"/>
      <x:c r="Q15" s="6"/>
      <x:c r="R15" s="6"/>
      <x:c r="S15" s="6"/>
      <x:c r="T15" s="6"/>
      <x:c r="U15" s="6"/>
      <x:c r="V15" s="6"/>
      <x:c r="W15" s="6"/>
      <x:c r="X15" s="6"/>
      <x:c r="Y15" s="6"/>
      <x:c r="Z15" s="6"/>
    </x:row>
    <x:row r="16" s="1" customFormat="1" ht="12.75" hidden="0" customHeight="1">
      <x:c r="A16" s="6"/>
      <x:c r="B16" s="6"/>
      <x:c r="C16" s="6"/>
      <x:c r="D16" s="6"/>
      <x:c r="E16" s="6"/>
      <x:c r="F16" s="6"/>
      <x:c r="G16" s="6"/>
      <x:c r="H16" s="6"/>
      <x:c r="I16" s="6"/>
      <x:c r="J16" s="6"/>
      <x:c r="K16" s="6"/>
      <x:c r="L16" s="6"/>
      <x:c r="M16" s="6"/>
      <x:c r="N16" s="6"/>
      <x:c r="O16" s="6"/>
      <x:c r="P16" s="6"/>
      <x:c r="Q16" s="6"/>
      <x:c r="R16" s="6"/>
      <x:c r="S16" s="6"/>
      <x:c r="T16" s="6"/>
      <x:c r="U16" s="6"/>
      <x:c r="V16" s="6"/>
      <x:c r="W16" s="6"/>
      <x:c r="X16" s="6"/>
      <x:c r="Y16" s="6"/>
      <x:c r="Z16" s="6"/>
    </x:row>
    <x:row r="17" s="1" customFormat="1" ht="12.75" hidden="0" customHeight="1">
      <x:c r="A17" s="6"/>
      <x:c r="B17" s="6"/>
      <x:c r="C17" s="6"/>
      <x:c r="D17" s="6"/>
      <x:c r="E17" s="6"/>
      <x:c r="F17" s="6"/>
      <x:c r="G17" s="6"/>
      <x:c r="H17" s="6"/>
      <x:c r="I17" s="6"/>
      <x:c r="J17" s="6"/>
      <x:c r="K17" s="6"/>
      <x:c r="L17" s="6"/>
      <x:c r="M17" s="6"/>
      <x:c r="N17" s="6"/>
      <x:c r="O17" s="6"/>
      <x:c r="P17" s="6"/>
      <x:c r="Q17" s="6"/>
      <x:c r="R17" s="6"/>
      <x:c r="S17" s="6"/>
      <x:c r="T17" s="6"/>
      <x:c r="U17" s="6"/>
      <x:c r="V17" s="6"/>
      <x:c r="W17" s="6"/>
      <x:c r="X17" s="6"/>
      <x:c r="Y17" s="6"/>
      <x:c r="Z17" s="6"/>
    </x:row>
    <x:row r="18" s="1" customFormat="1" ht="12.75" hidden="0" customHeight="1">
      <x:c r="A18" s="6"/>
      <x:c r="B18" s="6"/>
      <x:c r="C18" s="6"/>
      <x:c r="D18" s="6"/>
      <x:c r="E18" s="6"/>
      <x:c r="F18" s="6"/>
      <x:c r="G18" s="6"/>
      <x:c r="H18" s="6"/>
      <x:c r="I18" s="6"/>
      <x:c r="J18" s="6"/>
      <x:c r="K18" s="6"/>
      <x:c r="L18" s="6"/>
      <x:c r="M18" s="6"/>
      <x:c r="N18" s="6"/>
      <x:c r="O18" s="6"/>
      <x:c r="P18" s="6"/>
      <x:c r="Q18" s="6"/>
      <x:c r="R18" s="6"/>
      <x:c r="S18" s="6"/>
      <x:c r="T18" s="6"/>
      <x:c r="U18" s="6"/>
      <x:c r="V18" s="6"/>
      <x:c r="W18" s="6"/>
      <x:c r="X18" s="6"/>
      <x:c r="Y18" s="6"/>
      <x:c r="Z18" s="6"/>
    </x:row>
    <x:row r="19" s="1" customFormat="1" ht="12.75" hidden="0" customHeight="1">
      <x:c r="A19" s="6"/>
      <x:c r="B19" s="6"/>
      <x:c r="C19" s="6"/>
      <x:c r="D19" s="6"/>
      <x:c r="E19" s="6"/>
      <x:c r="F19" s="6"/>
      <x:c r="G19" s="6"/>
      <x:c r="H19" s="6"/>
      <x:c r="I19" s="6"/>
      <x:c r="J19" s="6"/>
      <x:c r="K19" s="6"/>
      <x:c r="L19" s="6"/>
      <x:c r="M19" s="6"/>
      <x:c r="N19" s="6"/>
      <x:c r="O19" s="6"/>
      <x:c r="P19" s="6"/>
      <x:c r="Q19" s="6"/>
      <x:c r="R19" s="6"/>
      <x:c r="S19" s="6"/>
      <x:c r="T19" s="6"/>
      <x:c r="U19" s="6"/>
      <x:c r="V19" s="6"/>
      <x:c r="W19" s="6"/>
      <x:c r="X19" s="6"/>
      <x:c r="Y19" s="6"/>
      <x:c r="Z19" s="6"/>
    </x:row>
    <x:row r="20" s="1" customFormat="1" ht="12.75" hidden="0" customHeight="1">
      <x:c r="A20" s="6"/>
      <x:c r="B20" s="6"/>
      <x:c r="C20" s="6"/>
      <x:c r="D20" s="6"/>
      <x:c r="E20" s="6"/>
      <x:c r="F20" s="6"/>
      <x:c r="G20" s="6"/>
      <x:c r="H20" s="6"/>
      <x:c r="I20" s="6"/>
      <x:c r="J20" s="6"/>
      <x:c r="K20" s="6"/>
      <x:c r="L20" s="6"/>
      <x:c r="M20" s="6"/>
      <x:c r="N20" s="6"/>
      <x:c r="O20" s="6"/>
      <x:c r="P20" s="6"/>
      <x:c r="Q20" s="6"/>
      <x:c r="R20" s="6"/>
      <x:c r="S20" s="6"/>
      <x:c r="T20" s="6"/>
      <x:c r="U20" s="6"/>
      <x:c r="V20" s="6"/>
      <x:c r="W20" s="6"/>
      <x:c r="X20" s="6"/>
      <x:c r="Y20" s="6"/>
      <x:c r="Z20" s="6"/>
    </x:row>
    <x:row r="21" s="1" customFormat="1" ht="12.75" hidden="0" customHeight="1">
      <x:c r="A21" s="6"/>
      <x:c r="B21" s="6"/>
      <x:c r="C21" s="6"/>
      <x:c r="D21" s="6"/>
      <x:c r="E21" s="6"/>
      <x:c r="F21" s="6"/>
      <x:c r="G21" s="6"/>
      <x:c r="H21" s="6"/>
      <x:c r="I21" s="6"/>
      <x:c r="J21" s="6"/>
      <x:c r="K21" s="6"/>
      <x:c r="L21" s="6"/>
      <x:c r="M21" s="6"/>
      <x:c r="N21" s="6"/>
      <x:c r="O21" s="6"/>
      <x:c r="P21" s="6"/>
      <x:c r="Q21" s="6"/>
      <x:c r="R21" s="6"/>
      <x:c r="S21" s="6"/>
      <x:c r="T21" s="6"/>
      <x:c r="U21" s="6"/>
      <x:c r="V21" s="6"/>
      <x:c r="W21" s="6"/>
      <x:c r="X21" s="6"/>
      <x:c r="Y21" s="6"/>
      <x:c r="Z21" s="6"/>
    </x:row>
    <x:row r="22" s="1" customFormat="1" ht="12.75" hidden="0" customHeight="1">
      <x:c r="A22" s="6"/>
      <x:c r="B22" s="6"/>
      <x:c r="C22" s="6"/>
      <x:c r="D22" s="6"/>
      <x:c r="E22" s="6"/>
      <x:c r="F22" s="6"/>
      <x:c r="G22" s="6"/>
      <x:c r="H22" s="6"/>
      <x:c r="I22" s="6"/>
      <x:c r="J22" s="6"/>
      <x:c r="K22" s="6"/>
      <x:c r="L22" s="6"/>
      <x:c r="M22" s="6"/>
      <x:c r="N22" s="6"/>
      <x:c r="O22" s="6"/>
      <x:c r="P22" s="6"/>
      <x:c r="Q22" s="6"/>
      <x:c r="R22" s="6"/>
      <x:c r="S22" s="6"/>
      <x:c r="T22" s="6"/>
      <x:c r="U22" s="6"/>
      <x:c r="V22" s="6"/>
      <x:c r="W22" s="6"/>
      <x:c r="X22" s="6"/>
      <x:c r="Y22" s="6"/>
      <x:c r="Z22" s="6"/>
    </x:row>
    <x:row r="23" s="1" customFormat="1" ht="12.75" hidden="0" customHeight="1">
      <x:c r="A23" s="6"/>
      <x:c r="B23" s="6"/>
      <x:c r="C23" s="6"/>
      <x:c r="D23" s="6"/>
      <x:c r="E23" s="6"/>
      <x:c r="F23" s="6"/>
      <x:c r="G23" s="6"/>
      <x:c r="H23" s="6"/>
      <x:c r="I23" s="6"/>
      <x:c r="J23" s="6"/>
      <x:c r="K23" s="6"/>
      <x:c r="L23" s="6"/>
      <x:c r="M23" s="6"/>
      <x:c r="N23" s="6"/>
      <x:c r="O23" s="6"/>
      <x:c r="P23" s="6"/>
      <x:c r="Q23" s="6"/>
      <x:c r="R23" s="6"/>
      <x:c r="S23" s="6"/>
      <x:c r="T23" s="6"/>
      <x:c r="U23" s="6"/>
      <x:c r="V23" s="6"/>
      <x:c r="W23" s="6"/>
      <x:c r="X23" s="6"/>
      <x:c r="Y23" s="6"/>
      <x:c r="Z23" s="6"/>
    </x:row>
    <x:row r="24" s="1" customFormat="1" ht="12.75" hidden="0" customHeight="1">
      <x:c r="A24" s="6"/>
      <x:c r="B24" s="6"/>
      <x:c r="C24" s="6"/>
      <x:c r="D24" s="6"/>
      <x:c r="E24" s="6"/>
      <x:c r="F24" s="6"/>
      <x:c r="G24" s="6"/>
      <x:c r="H24" s="6"/>
      <x:c r="I24" s="6"/>
      <x:c r="J24" s="6"/>
      <x:c r="K24" s="6"/>
      <x:c r="L24" s="6"/>
      <x:c r="M24" s="6"/>
      <x:c r="N24" s="6"/>
      <x:c r="O24" s="6"/>
      <x:c r="P24" s="6"/>
      <x:c r="Q24" s="6"/>
      <x:c r="R24" s="6"/>
      <x:c r="S24" s="6"/>
      <x:c r="T24" s="6"/>
      <x:c r="U24" s="6"/>
      <x:c r="V24" s="6"/>
      <x:c r="W24" s="6"/>
      <x:c r="X24" s="6"/>
      <x:c r="Y24" s="6"/>
      <x:c r="Z24" s="6"/>
    </x:row>
    <x:row r="25" s="1" customFormat="1" ht="12.75" hidden="0" customHeight="1">
      <x:c r="A25" s="6"/>
      <x:c r="B25" s="6"/>
      <x:c r="C25" s="6"/>
      <x:c r="D25" s="6"/>
      <x:c r="E25" s="6"/>
      <x:c r="F25" s="6"/>
      <x:c r="G25" s="6"/>
      <x:c r="H25" s="6"/>
      <x:c r="I25" s="6"/>
      <x:c r="J25" s="6"/>
      <x:c r="K25" s="6"/>
      <x:c r="L25" s="6"/>
      <x:c r="M25" s="6"/>
      <x:c r="N25" s="6"/>
      <x:c r="O25" s="6"/>
      <x:c r="P25" s="6"/>
      <x:c r="Q25" s="6"/>
      <x:c r="R25" s="6"/>
      <x:c r="S25" s="6"/>
      <x:c r="T25" s="6"/>
      <x:c r="U25" s="6"/>
      <x:c r="V25" s="6"/>
      <x:c r="W25" s="6"/>
      <x:c r="X25" s="6"/>
      <x:c r="Y25" s="6"/>
      <x:c r="Z25" s="6"/>
    </x:row>
    <x:row r="26" s="1" customFormat="1" ht="12.75" hidden="0" customHeight="1">
      <x:c r="A26" s="6"/>
      <x:c r="B26" s="6"/>
      <x:c r="C26" s="6"/>
      <x:c r="D26" s="6"/>
      <x:c r="E26" s="6"/>
      <x:c r="F26" s="6"/>
      <x:c r="G26" s="6"/>
      <x:c r="H26" s="6"/>
      <x:c r="I26" s="6"/>
      <x:c r="J26" s="6"/>
      <x:c r="K26" s="6"/>
      <x:c r="L26" s="6"/>
      <x:c r="M26" s="6"/>
      <x:c r="N26" s="6"/>
      <x:c r="O26" s="6"/>
      <x:c r="P26" s="6"/>
      <x:c r="Q26" s="6"/>
      <x:c r="R26" s="6"/>
      <x:c r="S26" s="6"/>
      <x:c r="T26" s="6"/>
      <x:c r="U26" s="6"/>
      <x:c r="V26" s="6"/>
      <x:c r="W26" s="6"/>
      <x:c r="X26" s="6"/>
      <x:c r="Y26" s="6"/>
      <x:c r="Z26" s="6"/>
    </x:row>
    <x:row r="27" s="1" customFormat="1" ht="12.75" hidden="0" customHeight="1">
      <x:c r="A27" s="6"/>
      <x:c r="B27" s="6"/>
      <x:c r="C27" s="6"/>
      <x:c r="D27" s="6"/>
      <x:c r="E27" s="6"/>
      <x:c r="F27" s="6"/>
      <x:c r="G27" s="6"/>
      <x:c r="H27" s="6"/>
      <x:c r="I27" s="6"/>
      <x:c r="J27" s="6"/>
      <x:c r="K27" s="6"/>
      <x:c r="L27" s="6"/>
      <x:c r="M27" s="6"/>
      <x:c r="N27" s="6"/>
      <x:c r="O27" s="6"/>
      <x:c r="P27" s="6"/>
      <x:c r="Q27" s="6"/>
      <x:c r="R27" s="6"/>
      <x:c r="S27" s="6"/>
      <x:c r="T27" s="6"/>
      <x:c r="U27" s="6"/>
      <x:c r="V27" s="6"/>
      <x:c r="W27" s="6"/>
      <x:c r="X27" s="6"/>
      <x:c r="Y27" s="6"/>
      <x:c r="Z27" s="6"/>
    </x:row>
    <x:row r="28" s="1" customFormat="1" ht="12.75" hidden="0" customHeight="1">
      <x:c r="A28" s="6"/>
      <x:c r="B28" s="6"/>
      <x:c r="C28" s="6"/>
      <x:c r="D28" s="6"/>
      <x:c r="E28" s="6"/>
      <x:c r="F28" s="6"/>
      <x:c r="G28" s="6"/>
      <x:c r="H28" s="6"/>
      <x:c r="I28" s="6"/>
      <x:c r="J28" s="6"/>
      <x:c r="K28" s="6"/>
      <x:c r="L28" s="6"/>
      <x:c r="M28" s="6"/>
      <x:c r="N28" s="6"/>
      <x:c r="O28" s="6"/>
      <x:c r="P28" s="6"/>
      <x:c r="Q28" s="6"/>
      <x:c r="R28" s="6"/>
      <x:c r="S28" s="6"/>
      <x:c r="T28" s="6"/>
      <x:c r="U28" s="6"/>
      <x:c r="V28" s="6"/>
      <x:c r="W28" s="6"/>
      <x:c r="X28" s="6"/>
      <x:c r="Y28" s="6"/>
      <x:c r="Z28" s="6"/>
    </x:row>
    <x:row r="29" s="1" customFormat="1" ht="12.75" hidden="0" customHeight="1">
      <x:c r="A29" s="6"/>
      <x:c r="B29" s="6"/>
      <x:c r="C29" s="6"/>
      <x:c r="D29" s="6"/>
      <x:c r="E29" s="6"/>
      <x:c r="F29" s="6"/>
      <x:c r="G29" s="6"/>
      <x:c r="H29" s="6"/>
      <x:c r="I29" s="6"/>
      <x:c r="J29" s="6"/>
      <x:c r="K29" s="6"/>
      <x:c r="L29" s="6"/>
      <x:c r="M29" s="6"/>
      <x:c r="N29" s="6"/>
      <x:c r="O29" s="6"/>
      <x:c r="P29" s="6"/>
      <x:c r="Q29" s="6"/>
      <x:c r="R29" s="6"/>
      <x:c r="S29" s="6"/>
      <x:c r="T29" s="6"/>
      <x:c r="U29" s="6"/>
      <x:c r="V29" s="6"/>
      <x:c r="W29" s="6"/>
      <x:c r="X29" s="6"/>
      <x:c r="Y29" s="6"/>
      <x:c r="Z29" s="6"/>
    </x:row>
    <x:row r="30" s="1" customFormat="1" ht="12.75" hidden="0" customHeight="1">
      <x:c r="A30" s="6"/>
      <x:c r="B30" s="6"/>
      <x:c r="C30" s="6"/>
      <x:c r="D30" s="6"/>
      <x:c r="E30" s="6"/>
      <x:c r="F30" s="6"/>
      <x:c r="G30" s="6"/>
      <x:c r="H30" s="6"/>
      <x:c r="I30" s="6"/>
      <x:c r="J30" s="6"/>
      <x:c r="K30" s="6"/>
      <x:c r="L30" s="6"/>
      <x:c r="M30" s="6"/>
      <x:c r="N30" s="6"/>
      <x:c r="O30" s="6"/>
      <x:c r="P30" s="6"/>
      <x:c r="Q30" s="6"/>
      <x:c r="R30" s="6"/>
      <x:c r="S30" s="6"/>
      <x:c r="T30" s="6"/>
      <x:c r="U30" s="6"/>
      <x:c r="V30" s="6"/>
      <x:c r="W30" s="6"/>
      <x:c r="X30" s="6"/>
      <x:c r="Y30" s="6"/>
      <x:c r="Z30" s="6"/>
    </x:row>
    <x:row r="31" s="1" customFormat="1" ht="12.75" hidden="0" customHeight="1">
      <x:c r="A31" s="6"/>
      <x:c r="B31" s="6"/>
      <x:c r="C31" s="6"/>
      <x:c r="D31" s="6"/>
      <x:c r="E31" s="6"/>
      <x:c r="F31" s="6"/>
      <x:c r="G31" s="6"/>
      <x:c r="H31" s="6"/>
      <x:c r="I31" s="6"/>
      <x:c r="J31" s="6"/>
      <x:c r="K31" s="6"/>
      <x:c r="L31" s="6"/>
      <x:c r="M31" s="6"/>
      <x:c r="N31" s="6"/>
      <x:c r="O31" s="6"/>
      <x:c r="P31" s="6"/>
      <x:c r="Q31" s="6"/>
      <x:c r="R31" s="6"/>
      <x:c r="S31" s="6"/>
      <x:c r="T31" s="6"/>
      <x:c r="U31" s="6"/>
      <x:c r="V31" s="6"/>
      <x:c r="W31" s="6"/>
      <x:c r="X31" s="6"/>
      <x:c r="Y31" s="6"/>
      <x:c r="Z31" s="6"/>
    </x:row>
    <x:row r="32" s="1" customFormat="1" ht="12.75" hidden="0" customHeight="1">
      <x:c r="A32" s="6"/>
      <x:c r="B32" s="6"/>
      <x:c r="C32" s="6"/>
      <x:c r="D32" s="6"/>
      <x:c r="E32" s="6"/>
      <x:c r="F32" s="6"/>
      <x:c r="G32" s="6"/>
      <x:c r="H32" s="6"/>
      <x:c r="I32" s="6"/>
      <x:c r="J32" s="6"/>
      <x:c r="K32" s="6"/>
      <x:c r="L32" s="6"/>
      <x:c r="M32" s="6"/>
      <x:c r="N32" s="6"/>
      <x:c r="O32" s="6"/>
      <x:c r="P32" s="6"/>
      <x:c r="Q32" s="6"/>
      <x:c r="R32" s="6"/>
      <x:c r="S32" s="6"/>
      <x:c r="T32" s="6"/>
      <x:c r="U32" s="6"/>
      <x:c r="V32" s="6"/>
      <x:c r="W32" s="6"/>
      <x:c r="X32" s="6"/>
      <x:c r="Y32" s="6"/>
      <x:c r="Z32" s="6"/>
    </x:row>
    <x:row r="33" s="1" customFormat="1" ht="12.75" hidden="0" customHeight="1">
      <x:c r="A33" s="6"/>
      <x:c r="B33" s="6"/>
      <x:c r="C33" s="6"/>
      <x:c r="D33" s="6"/>
      <x:c r="E33" s="6"/>
      <x:c r="F33" s="6"/>
      <x:c r="G33" s="6"/>
      <x:c r="H33" s="6"/>
      <x:c r="I33" s="6"/>
      <x:c r="J33" s="6"/>
      <x:c r="K33" s="6"/>
      <x:c r="L33" s="6"/>
      <x:c r="M33" s="6"/>
      <x:c r="N33" s="6"/>
      <x:c r="O33" s="6"/>
      <x:c r="P33" s="6"/>
      <x:c r="Q33" s="6"/>
      <x:c r="R33" s="6"/>
      <x:c r="S33" s="6"/>
      <x:c r="T33" s="6"/>
      <x:c r="U33" s="6"/>
      <x:c r="V33" s="6"/>
      <x:c r="W33" s="6"/>
      <x:c r="X33" s="6"/>
      <x:c r="Y33" s="6"/>
      <x:c r="Z33" s="6"/>
    </x:row>
    <x:row r="34" s="1" customFormat="1" ht="12.75" hidden="0" customHeight="1">
      <x:c r="A34" s="6"/>
      <x:c r="B34" s="6"/>
      <x:c r="C34" s="6"/>
      <x:c r="D34" s="6"/>
      <x:c r="E34" s="6"/>
      <x:c r="F34" s="6"/>
      <x:c r="G34" s="6"/>
      <x:c r="H34" s="6"/>
      <x:c r="I34" s="6"/>
      <x:c r="J34" s="6"/>
      <x:c r="K34" s="6"/>
      <x:c r="L34" s="6"/>
      <x:c r="M34" s="6"/>
      <x:c r="N34" s="6"/>
      <x:c r="O34" s="6"/>
      <x:c r="P34" s="6"/>
      <x:c r="Q34" s="6"/>
      <x:c r="R34" s="6"/>
      <x:c r="S34" s="6"/>
      <x:c r="T34" s="6"/>
      <x:c r="U34" s="6"/>
      <x:c r="V34" s="6"/>
      <x:c r="W34" s="6"/>
      <x:c r="X34" s="6"/>
      <x:c r="Y34" s="6"/>
      <x:c r="Z34" s="6"/>
    </x:row>
    <x:row r="35" s="1" customFormat="1" ht="12.75" hidden="0" customHeight="1">
      <x:c r="A35" s="6"/>
      <x:c r="B35" s="6"/>
      <x:c r="C35" s="6"/>
      <x:c r="D35" s="6"/>
      <x:c r="E35" s="6"/>
      <x:c r="F35" s="6"/>
      <x:c r="G35" s="6"/>
      <x:c r="H35" s="6"/>
      <x:c r="I35" s="6"/>
      <x:c r="J35" s="6"/>
      <x:c r="K35" s="6"/>
      <x:c r="L35" s="6"/>
      <x:c r="M35" s="6"/>
      <x:c r="N35" s="6"/>
      <x:c r="O35" s="6"/>
      <x:c r="P35" s="6"/>
      <x:c r="Q35" s="6"/>
      <x:c r="R35" s="6"/>
      <x:c r="S35" s="6"/>
      <x:c r="T35" s="6"/>
      <x:c r="U35" s="6"/>
      <x:c r="V35" s="6"/>
      <x:c r="W35" s="6"/>
      <x:c r="X35" s="6"/>
      <x:c r="Y35" s="6"/>
      <x:c r="Z35" s="6"/>
    </x:row>
    <x:row r="36" s="1" customFormat="1" ht="12.75" hidden="0" customHeight="1">
      <x:c r="A36" s="6"/>
      <x:c r="B36" s="6"/>
      <x:c r="C36" s="6"/>
      <x:c r="D36" s="6"/>
      <x:c r="E36" s="6"/>
      <x:c r="F36" s="6"/>
      <x:c r="G36" s="6"/>
      <x:c r="H36" s="6"/>
      <x:c r="I36" s="6"/>
      <x:c r="J36" s="6"/>
      <x:c r="K36" s="6"/>
      <x:c r="L36" s="6"/>
      <x:c r="M36" s="6"/>
      <x:c r="N36" s="6"/>
      <x:c r="O36" s="6"/>
      <x:c r="P36" s="6"/>
      <x:c r="Q36" s="6"/>
      <x:c r="R36" s="6"/>
      <x:c r="S36" s="6"/>
      <x:c r="T36" s="6"/>
      <x:c r="U36" s="6"/>
      <x:c r="V36" s="6"/>
      <x:c r="W36" s="6"/>
      <x:c r="X36" s="6"/>
      <x:c r="Y36" s="6"/>
      <x:c r="Z36" s="6"/>
    </x:row>
    <x:row r="37" s="1" customFormat="1" ht="12.75" hidden="0" customHeight="1">
      <x:c r="A37" s="6"/>
      <x:c r="B37" s="6"/>
      <x:c r="C37" s="6"/>
      <x:c r="D37" s="6"/>
      <x:c r="E37" s="6"/>
      <x:c r="F37" s="6"/>
      <x:c r="G37" s="6"/>
      <x:c r="H37" s="6"/>
      <x:c r="I37" s="6"/>
      <x:c r="J37" s="6"/>
      <x:c r="K37" s="6"/>
      <x:c r="L37" s="6"/>
      <x:c r="M37" s="6"/>
      <x:c r="N37" s="6"/>
      <x:c r="O37" s="6"/>
      <x:c r="P37" s="6"/>
      <x:c r="Q37" s="6"/>
      <x:c r="R37" s="6"/>
      <x:c r="S37" s="6"/>
      <x:c r="T37" s="6"/>
      <x:c r="U37" s="6"/>
      <x:c r="V37" s="6"/>
      <x:c r="W37" s="6"/>
      <x:c r="X37" s="6"/>
      <x:c r="Y37" s="6"/>
      <x:c r="Z37" s="6"/>
    </x:row>
    <x:row r="38" s="1" customFormat="1" ht="12.75" hidden="0" customHeight="1">
      <x:c r="A38" s="6"/>
      <x:c r="B38" s="6"/>
      <x:c r="C38" s="6"/>
      <x:c r="D38" s="6"/>
      <x:c r="E38" s="6"/>
      <x:c r="F38" s="6"/>
      <x:c r="G38" s="6"/>
      <x:c r="H38" s="6"/>
      <x:c r="I38" s="6"/>
      <x:c r="J38" s="6"/>
      <x:c r="K38" s="6"/>
      <x:c r="L38" s="6"/>
      <x:c r="M38" s="6"/>
      <x:c r="N38" s="6"/>
      <x:c r="O38" s="6"/>
      <x:c r="P38" s="6"/>
      <x:c r="Q38" s="6"/>
      <x:c r="R38" s="6"/>
      <x:c r="S38" s="6"/>
      <x:c r="T38" s="6"/>
      <x:c r="U38" s="6"/>
      <x:c r="V38" s="6"/>
      <x:c r="W38" s="6"/>
      <x:c r="X38" s="6"/>
      <x:c r="Y38" s="6"/>
      <x:c r="Z38" s="6"/>
    </x:row>
    <x:row r="39" s="1" customFormat="1" ht="12.75" hidden="0" customHeight="1">
      <x:c r="A39" s="6"/>
      <x:c r="B39" s="6"/>
      <x:c r="C39" s="6"/>
      <x:c r="D39" s="6"/>
      <x:c r="E39" s="6"/>
      <x:c r="F39" s="6"/>
      <x:c r="G39" s="6"/>
      <x:c r="H39" s="6"/>
      <x:c r="I39" s="6"/>
      <x:c r="J39" s="6"/>
      <x:c r="K39" s="6"/>
      <x:c r="L39" s="6"/>
      <x:c r="M39" s="6"/>
      <x:c r="N39" s="6"/>
      <x:c r="O39" s="6"/>
      <x:c r="P39" s="6"/>
      <x:c r="Q39" s="6"/>
      <x:c r="R39" s="6"/>
      <x:c r="S39" s="6"/>
      <x:c r="T39" s="6"/>
      <x:c r="U39" s="6"/>
      <x:c r="V39" s="6"/>
      <x:c r="W39" s="6"/>
      <x:c r="X39" s="6"/>
      <x:c r="Y39" s="6"/>
      <x:c r="Z39" s="6"/>
    </x:row>
    <x:row r="40" s="1" customFormat="1" ht="12.75" hidden="0" customHeight="1">
      <x:c r="A40" s="6"/>
      <x:c r="B40" s="6"/>
      <x:c r="C40" s="6"/>
      <x:c r="D40" s="6"/>
      <x:c r="E40" s="6"/>
      <x:c r="F40" s="6"/>
      <x:c r="G40" s="6"/>
      <x:c r="H40" s="6"/>
      <x:c r="I40" s="6"/>
      <x:c r="J40" s="6"/>
      <x:c r="K40" s="6"/>
      <x:c r="L40" s="6"/>
      <x:c r="M40" s="6"/>
      <x:c r="N40" s="6"/>
      <x:c r="O40" s="6"/>
      <x:c r="P40" s="6"/>
      <x:c r="Q40" s="6"/>
      <x:c r="R40" s="6"/>
      <x:c r="S40" s="6"/>
      <x:c r="T40" s="6"/>
      <x:c r="U40" s="6"/>
      <x:c r="V40" s="6"/>
      <x:c r="W40" s="6"/>
      <x:c r="X40" s="6"/>
      <x:c r="Y40" s="6"/>
      <x:c r="Z40" s="6"/>
    </x:row>
    <x:row r="41" s="1" customFormat="1" ht="12.75" hidden="0" customHeight="1">
      <x:c r="A41" s="6"/>
      <x:c r="B41" s="6"/>
      <x:c r="C41" s="6"/>
      <x:c r="D41" s="6"/>
      <x:c r="E41" s="6"/>
      <x:c r="F41" s="6"/>
      <x:c r="G41" s="6"/>
      <x:c r="H41" s="6"/>
      <x:c r="I41" s="6"/>
      <x:c r="J41" s="6"/>
      <x:c r="K41" s="6"/>
      <x:c r="L41" s="6"/>
      <x:c r="M41" s="6"/>
      <x:c r="N41" s="6"/>
      <x:c r="O41" s="6"/>
      <x:c r="P41" s="6"/>
      <x:c r="Q41" s="6"/>
      <x:c r="R41" s="6"/>
      <x:c r="S41" s="6"/>
      <x:c r="T41" s="6"/>
      <x:c r="U41" s="6"/>
      <x:c r="V41" s="6"/>
      <x:c r="W41" s="6"/>
      <x:c r="X41" s="6"/>
      <x:c r="Y41" s="6"/>
      <x:c r="Z41" s="6"/>
    </x:row>
    <x:row r="42" s="1" customFormat="1" ht="12.75" hidden="0" customHeight="1">
      <x:c r="A42" s="6"/>
      <x:c r="B42" s="6"/>
      <x:c r="C42" s="6"/>
      <x:c r="D42" s="6"/>
      <x:c r="E42" s="6"/>
      <x:c r="F42" s="6"/>
      <x:c r="G42" s="6"/>
      <x:c r="H42" s="6"/>
      <x:c r="I42" s="6"/>
      <x:c r="J42" s="6"/>
      <x:c r="K42" s="6"/>
      <x:c r="L42" s="6"/>
      <x:c r="M42" s="6"/>
      <x:c r="N42" s="6"/>
      <x:c r="O42" s="6"/>
      <x:c r="P42" s="6"/>
      <x:c r="Q42" s="6"/>
      <x:c r="R42" s="6"/>
      <x:c r="S42" s="6"/>
      <x:c r="T42" s="6"/>
      <x:c r="U42" s="6"/>
      <x:c r="V42" s="6"/>
      <x:c r="W42" s="6"/>
      <x:c r="X42" s="6"/>
      <x:c r="Y42" s="6"/>
      <x:c r="Z42" s="6"/>
    </x:row>
    <x:row r="43" s="1" customFormat="1" ht="12.75" hidden="0" customHeight="1">
      <x:c r="A43" s="6"/>
      <x:c r="B43" s="6"/>
      <x:c r="C43" s="6"/>
      <x:c r="D43" s="6"/>
      <x:c r="E43" s="6"/>
      <x:c r="F43" s="6"/>
      <x:c r="G43" s="6"/>
      <x:c r="H43" s="6"/>
      <x:c r="I43" s="6"/>
      <x:c r="J43" s="6"/>
      <x:c r="K43" s="6"/>
      <x:c r="L43" s="6"/>
      <x:c r="M43" s="6"/>
      <x:c r="N43" s="6"/>
      <x:c r="O43" s="6"/>
      <x:c r="P43" s="6"/>
      <x:c r="Q43" s="6"/>
      <x:c r="R43" s="6"/>
      <x:c r="S43" s="6"/>
      <x:c r="T43" s="6"/>
      <x:c r="U43" s="6"/>
      <x:c r="V43" s="6"/>
      <x:c r="W43" s="6"/>
      <x:c r="X43" s="6"/>
      <x:c r="Y43" s="6"/>
      <x:c r="Z43" s="6"/>
    </x:row>
    <x:row r="44" s="1" customFormat="1" ht="12.75" hidden="0" customHeight="1">
      <x:c r="A44" s="6"/>
      <x:c r="B44" s="6"/>
      <x:c r="C44" s="6"/>
      <x:c r="D44" s="6"/>
      <x:c r="E44" s="6"/>
      <x:c r="F44" s="6"/>
      <x:c r="G44" s="6"/>
      <x:c r="H44" s="6"/>
      <x:c r="I44" s="6"/>
      <x:c r="J44" s="6"/>
      <x:c r="K44" s="6"/>
      <x:c r="L44" s="6"/>
      <x:c r="M44" s="6"/>
      <x:c r="N44" s="6"/>
      <x:c r="O44" s="6"/>
      <x:c r="P44" s="6"/>
      <x:c r="Q44" s="6"/>
      <x:c r="R44" s="6"/>
      <x:c r="S44" s="6"/>
      <x:c r="T44" s="6"/>
      <x:c r="U44" s="6"/>
      <x:c r="V44" s="6"/>
      <x:c r="W44" s="6"/>
      <x:c r="X44" s="6"/>
      <x:c r="Y44" s="6"/>
      <x:c r="Z44" s="6"/>
    </x:row>
    <x:row r="45" s="1" customFormat="1" ht="12.75" hidden="0" customHeight="1">
      <x:c r="A45" s="6"/>
      <x:c r="B45" s="6"/>
      <x:c r="C45" s="6"/>
      <x:c r="D45" s="6"/>
      <x:c r="E45" s="6"/>
      <x:c r="F45" s="6"/>
      <x:c r="G45" s="6"/>
      <x:c r="H45" s="6"/>
      <x:c r="I45" s="6"/>
      <x:c r="J45" s="6"/>
      <x:c r="K45" s="6"/>
      <x:c r="L45" s="6"/>
      <x:c r="M45" s="6"/>
      <x:c r="N45" s="6"/>
      <x:c r="O45" s="6"/>
      <x:c r="P45" s="6"/>
      <x:c r="Q45" s="6"/>
      <x:c r="R45" s="6"/>
      <x:c r="S45" s="6"/>
      <x:c r="T45" s="6"/>
      <x:c r="U45" s="6"/>
      <x:c r="V45" s="6"/>
      <x:c r="W45" s="6"/>
      <x:c r="X45" s="6"/>
      <x:c r="Y45" s="6"/>
      <x:c r="Z45" s="6"/>
    </x:row>
    <x:row r="46" s="1" customFormat="1" ht="12.75" hidden="0" customHeight="1">
      <x:c r="A46" s="6"/>
      <x:c r="B46" s="6"/>
      <x:c r="C46" s="6"/>
      <x:c r="D46" s="6"/>
      <x:c r="E46" s="6"/>
      <x:c r="F46" s="6"/>
      <x:c r="G46" s="6"/>
      <x:c r="H46" s="6"/>
      <x:c r="I46" s="6"/>
      <x:c r="J46" s="6"/>
      <x:c r="K46" s="6"/>
      <x:c r="L46" s="6"/>
      <x:c r="M46" s="6"/>
      <x:c r="N46" s="6"/>
      <x:c r="O46" s="6"/>
      <x:c r="P46" s="6"/>
      <x:c r="Q46" s="6"/>
      <x:c r="R46" s="6"/>
      <x:c r="S46" s="6"/>
      <x:c r="T46" s="6"/>
      <x:c r="U46" s="6"/>
      <x:c r="V46" s="6"/>
      <x:c r="W46" s="6"/>
      <x:c r="X46" s="6"/>
      <x:c r="Y46" s="6"/>
      <x:c r="Z46" s="6"/>
    </x:row>
    <x:row r="47" s="1" customFormat="1" ht="12.75" hidden="0" customHeight="1">
      <x:c r="A47" s="6"/>
      <x:c r="B47" s="6"/>
      <x:c r="C47" s="6"/>
      <x:c r="D47" s="6"/>
      <x:c r="E47" s="6"/>
      <x:c r="F47" s="6"/>
      <x:c r="G47" s="6"/>
      <x:c r="H47" s="6"/>
      <x:c r="I47" s="6"/>
      <x:c r="J47" s="6"/>
      <x:c r="K47" s="6"/>
      <x:c r="L47" s="6"/>
      <x:c r="M47" s="6"/>
      <x:c r="N47" s="6"/>
      <x:c r="O47" s="6"/>
      <x:c r="P47" s="6"/>
      <x:c r="Q47" s="6"/>
      <x:c r="R47" s="6"/>
      <x:c r="S47" s="6"/>
      <x:c r="T47" s="6"/>
      <x:c r="U47" s="6"/>
      <x:c r="V47" s="6"/>
      <x:c r="W47" s="6"/>
      <x:c r="X47" s="6"/>
      <x:c r="Y47" s="6"/>
      <x:c r="Z47" s="6"/>
    </x:row>
    <x:row r="48" s="1" customFormat="1" ht="12.75" hidden="0" customHeight="1">
      <x:c r="A48" s="6"/>
      <x:c r="B48" s="6"/>
      <x:c r="C48" s="6"/>
      <x:c r="D48" s="6"/>
      <x:c r="E48" s="6"/>
      <x:c r="F48" s="6"/>
      <x:c r="G48" s="6"/>
      <x:c r="H48" s="6"/>
      <x:c r="I48" s="6"/>
      <x:c r="J48" s="6"/>
      <x:c r="K48" s="6"/>
      <x:c r="L48" s="6"/>
      <x:c r="M48" s="6"/>
      <x:c r="N48" s="6"/>
      <x:c r="O48" s="6"/>
      <x:c r="P48" s="6"/>
      <x:c r="Q48" s="6"/>
      <x:c r="R48" s="6"/>
      <x:c r="S48" s="6"/>
      <x:c r="T48" s="6"/>
      <x:c r="U48" s="6"/>
      <x:c r="V48" s="6"/>
      <x:c r="W48" s="6"/>
      <x:c r="X48" s="6"/>
      <x:c r="Y48" s="6"/>
      <x:c r="Z48" s="6"/>
    </x:row>
    <x:row r="49" s="1" customFormat="1" ht="12.75" hidden="0" customHeight="1">
      <x:c r="A49" s="6"/>
      <x:c r="B49" s="6"/>
      <x:c r="C49" s="6"/>
      <x:c r="D49" s="6"/>
      <x:c r="E49" s="6"/>
      <x:c r="F49" s="6"/>
      <x:c r="G49" s="6"/>
      <x:c r="H49" s="6"/>
      <x:c r="I49" s="6"/>
      <x:c r="J49" s="6"/>
      <x:c r="K49" s="6"/>
      <x:c r="L49" s="6"/>
      <x:c r="M49" s="6"/>
      <x:c r="N49" s="6"/>
      <x:c r="O49" s="6"/>
      <x:c r="P49" s="6"/>
      <x:c r="Q49" s="6"/>
      <x:c r="R49" s="6"/>
      <x:c r="S49" s="6"/>
      <x:c r="T49" s="6"/>
      <x:c r="U49" s="6"/>
      <x:c r="V49" s="6"/>
      <x:c r="W49" s="6"/>
      <x:c r="X49" s="6"/>
      <x:c r="Y49" s="6"/>
      <x:c r="Z49" s="6"/>
    </x:row>
    <x:row r="50" s="1" customFormat="1" ht="12.75" hidden="0" customHeight="1">
      <x:c r="A50" s="6"/>
      <x:c r="B50" s="6"/>
      <x:c r="C50" s="6"/>
      <x:c r="D50" s="6"/>
      <x:c r="E50" s="6"/>
      <x:c r="F50" s="6"/>
      <x:c r="G50" s="6"/>
      <x:c r="H50" s="6"/>
      <x:c r="I50" s="6"/>
      <x:c r="J50" s="6"/>
      <x:c r="K50" s="6"/>
      <x:c r="L50" s="6"/>
      <x:c r="M50" s="6"/>
      <x:c r="N50" s="6"/>
      <x:c r="O50" s="6"/>
      <x:c r="P50" s="6"/>
      <x:c r="Q50" s="6"/>
      <x:c r="R50" s="6"/>
      <x:c r="S50" s="6"/>
      <x:c r="T50" s="6"/>
      <x:c r="U50" s="6"/>
      <x:c r="V50" s="6"/>
      <x:c r="W50" s="6"/>
      <x:c r="X50" s="6"/>
      <x:c r="Y50" s="6"/>
      <x:c r="Z50" s="6"/>
    </x:row>
    <x:row r="51" s="1" customFormat="1" ht="12.75" hidden="0" customHeight="1">
      <x:c r="A51" s="6"/>
      <x:c r="B51" s="6"/>
      <x:c r="C51" s="6"/>
      <x:c r="D51" s="6"/>
      <x:c r="E51" s="6"/>
      <x:c r="F51" s="6"/>
      <x:c r="G51" s="6"/>
      <x:c r="H51" s="6"/>
      <x:c r="I51" s="6"/>
      <x:c r="J51" s="6"/>
      <x:c r="K51" s="6"/>
      <x:c r="L51" s="6"/>
      <x:c r="M51" s="6"/>
      <x:c r="N51" s="6"/>
      <x:c r="O51" s="6"/>
      <x:c r="P51" s="6"/>
      <x:c r="Q51" s="6"/>
      <x:c r="R51" s="6"/>
      <x:c r="S51" s="6"/>
      <x:c r="T51" s="6"/>
      <x:c r="U51" s="6"/>
      <x:c r="V51" s="6"/>
      <x:c r="W51" s="6"/>
      <x:c r="X51" s="6"/>
      <x:c r="Y51" s="6"/>
      <x:c r="Z51" s="6"/>
    </x:row>
    <x:row r="52" s="1" customFormat="1" ht="12.75" hidden="0" customHeight="1">
      <x:c r="A52" s="6"/>
      <x:c r="B52" s="6"/>
      <x:c r="C52" s="6"/>
      <x:c r="D52" s="6"/>
      <x:c r="E52" s="6"/>
      <x:c r="F52" s="6"/>
      <x:c r="G52" s="6"/>
      <x:c r="H52" s="6"/>
      <x:c r="I52" s="6"/>
      <x:c r="J52" s="6"/>
      <x:c r="K52" s="6"/>
      <x:c r="L52" s="6"/>
      <x:c r="M52" s="6"/>
      <x:c r="N52" s="6"/>
      <x:c r="O52" s="6"/>
      <x:c r="P52" s="6"/>
      <x:c r="Q52" s="6"/>
      <x:c r="R52" s="6"/>
      <x:c r="S52" s="6"/>
      <x:c r="T52" s="6"/>
      <x:c r="U52" s="6"/>
      <x:c r="V52" s="6"/>
      <x:c r="W52" s="6"/>
      <x:c r="X52" s="6"/>
      <x:c r="Y52" s="6"/>
      <x:c r="Z52" s="6"/>
    </x:row>
    <x:row r="53" s="1" customFormat="1" ht="12.75" hidden="0" customHeight="1">
      <x:c r="A53" s="6"/>
      <x:c r="B53" s="6"/>
      <x:c r="C53" s="6"/>
      <x:c r="D53" s="6"/>
      <x:c r="E53" s="6"/>
      <x:c r="F53" s="6"/>
      <x:c r="G53" s="6"/>
      <x:c r="H53" s="6"/>
      <x:c r="I53" s="6"/>
      <x:c r="J53" s="6"/>
      <x:c r="K53" s="6"/>
      <x:c r="L53" s="6"/>
      <x:c r="M53" s="6"/>
      <x:c r="N53" s="6"/>
      <x:c r="O53" s="6"/>
      <x:c r="P53" s="6"/>
      <x:c r="Q53" s="6"/>
      <x:c r="R53" s="6"/>
      <x:c r="S53" s="6"/>
      <x:c r="T53" s="6"/>
      <x:c r="U53" s="6"/>
      <x:c r="V53" s="6"/>
      <x:c r="W53" s="6"/>
      <x:c r="X53" s="6"/>
      <x:c r="Y53" s="6"/>
      <x:c r="Z53" s="6"/>
    </x:row>
    <x:row r="54" s="1" customFormat="1" ht="12.75" hidden="0" customHeight="1">
      <x:c r="A54" s="6"/>
      <x:c r="B54" s="6"/>
      <x:c r="C54" s="6"/>
      <x:c r="D54" s="6"/>
      <x:c r="E54" s="6"/>
      <x:c r="F54" s="6"/>
      <x:c r="G54" s="6"/>
      <x:c r="H54" s="6"/>
      <x:c r="I54" s="6"/>
      <x:c r="J54" s="6"/>
      <x:c r="K54" s="6"/>
      <x:c r="L54" s="6"/>
      <x:c r="M54" s="6"/>
      <x:c r="N54" s="6"/>
      <x:c r="O54" s="6"/>
      <x:c r="P54" s="6"/>
      <x:c r="Q54" s="6"/>
      <x:c r="R54" s="6"/>
      <x:c r="S54" s="6"/>
      <x:c r="T54" s="6"/>
      <x:c r="U54" s="6"/>
      <x:c r="V54" s="6"/>
      <x:c r="W54" s="6"/>
      <x:c r="X54" s="6"/>
      <x:c r="Y54" s="6"/>
      <x:c r="Z54" s="6"/>
    </x:row>
    <x:row r="55" s="1" customFormat="1" ht="12.75" hidden="0" customHeight="1">
      <x:c r="A55" s="6"/>
      <x:c r="B55" s="6"/>
      <x:c r="C55" s="6"/>
      <x:c r="D55" s="6"/>
      <x:c r="E55" s="6"/>
      <x:c r="F55" s="6"/>
      <x:c r="G55" s="6"/>
      <x:c r="H55" s="6"/>
      <x:c r="I55" s="6"/>
      <x:c r="J55" s="6"/>
      <x:c r="K55" s="6"/>
      <x:c r="L55" s="6"/>
      <x:c r="M55" s="6"/>
      <x:c r="N55" s="6"/>
      <x:c r="O55" s="6"/>
      <x:c r="P55" s="6"/>
      <x:c r="Q55" s="6"/>
      <x:c r="R55" s="6"/>
      <x:c r="S55" s="6"/>
      <x:c r="T55" s="6"/>
      <x:c r="U55" s="6"/>
      <x:c r="V55" s="6"/>
      <x:c r="W55" s="6"/>
      <x:c r="X55" s="6"/>
      <x:c r="Y55" s="6"/>
      <x:c r="Z55" s="6"/>
    </x:row>
    <x:row r="56" s="1" customFormat="1" ht="12.75" hidden="0" customHeight="1">
      <x:c r="A56" s="6"/>
      <x:c r="B56" s="6"/>
      <x:c r="C56" s="6"/>
      <x:c r="D56" s="6"/>
      <x:c r="E56" s="6"/>
      <x:c r="F56" s="6"/>
      <x:c r="G56" s="6"/>
      <x:c r="H56" s="6"/>
      <x:c r="I56" s="6"/>
      <x:c r="J56" s="6"/>
      <x:c r="K56" s="6"/>
      <x:c r="L56" s="6"/>
      <x:c r="M56" s="6"/>
      <x:c r="N56" s="6"/>
      <x:c r="O56" s="6"/>
      <x:c r="P56" s="6"/>
      <x:c r="Q56" s="6"/>
      <x:c r="R56" s="6"/>
      <x:c r="S56" s="6"/>
      <x:c r="T56" s="6"/>
      <x:c r="U56" s="6"/>
      <x:c r="V56" s="6"/>
      <x:c r="W56" s="6"/>
      <x:c r="X56" s="6"/>
      <x:c r="Y56" s="6"/>
      <x:c r="Z56" s="6"/>
    </x:row>
    <x:row r="57" s="1" customFormat="1" ht="12.75" hidden="0" customHeight="1">
      <x:c r="A57" s="6"/>
      <x:c r="B57" s="6"/>
      <x:c r="C57" s="6"/>
      <x:c r="D57" s="6"/>
      <x:c r="E57" s="6"/>
      <x:c r="F57" s="6"/>
      <x:c r="G57" s="6"/>
      <x:c r="H57" s="6"/>
      <x:c r="I57" s="6"/>
      <x:c r="J57" s="6"/>
      <x:c r="K57" s="6"/>
      <x:c r="L57" s="6"/>
      <x:c r="M57" s="6"/>
      <x:c r="N57" s="6"/>
      <x:c r="O57" s="6"/>
      <x:c r="P57" s="6"/>
      <x:c r="Q57" s="6"/>
      <x:c r="R57" s="6"/>
      <x:c r="S57" s="6"/>
      <x:c r="T57" s="6"/>
      <x:c r="U57" s="6"/>
      <x:c r="V57" s="6"/>
      <x:c r="W57" s="6"/>
      <x:c r="X57" s="6"/>
      <x:c r="Y57" s="6"/>
      <x:c r="Z57" s="6"/>
    </x:row>
    <x:row r="58" s="1" customFormat="1" ht="12.75" hidden="0" customHeight="1">
      <x:c r="A58" s="6"/>
      <x:c r="B58" s="6"/>
      <x:c r="C58" s="6"/>
      <x:c r="D58" s="6"/>
      <x:c r="E58" s="6"/>
      <x:c r="F58" s="6"/>
      <x:c r="G58" s="6"/>
      <x:c r="H58" s="6"/>
      <x:c r="I58" s="6"/>
      <x:c r="J58" s="6"/>
      <x:c r="K58" s="6"/>
      <x:c r="L58" s="6"/>
      <x:c r="M58" s="6"/>
      <x:c r="N58" s="6"/>
      <x:c r="O58" s="6"/>
      <x:c r="P58" s="6"/>
      <x:c r="Q58" s="6"/>
      <x:c r="R58" s="6"/>
      <x:c r="S58" s="6"/>
      <x:c r="T58" s="6"/>
      <x:c r="U58" s="6"/>
      <x:c r="V58" s="6"/>
      <x:c r="W58" s="6"/>
      <x:c r="X58" s="6"/>
      <x:c r="Y58" s="6"/>
      <x:c r="Z58" s="6"/>
    </x:row>
    <x:row r="59" s="1" customFormat="1" ht="12.75" hidden="0" customHeight="1">
      <x:c r="A59" s="6"/>
      <x:c r="B59" s="6"/>
      <x:c r="C59" s="6"/>
      <x:c r="D59" s="6"/>
      <x:c r="E59" s="6"/>
      <x:c r="F59" s="6"/>
      <x:c r="G59" s="6"/>
      <x:c r="H59" s="6"/>
      <x:c r="I59" s="6"/>
      <x:c r="J59" s="6"/>
      <x:c r="K59" s="6"/>
      <x:c r="L59" s="6"/>
      <x:c r="M59" s="6"/>
      <x:c r="N59" s="6"/>
      <x:c r="O59" s="6"/>
      <x:c r="P59" s="6"/>
      <x:c r="Q59" s="6"/>
      <x:c r="R59" s="6"/>
      <x:c r="S59" s="6"/>
      <x:c r="T59" s="6"/>
      <x:c r="U59" s="6"/>
      <x:c r="V59" s="6"/>
      <x:c r="W59" s="6"/>
      <x:c r="X59" s="6"/>
      <x:c r="Y59" s="6"/>
      <x:c r="Z59" s="6"/>
    </x:row>
    <x:row r="60" s="1" customFormat="1" ht="12.75" hidden="0" customHeight="1">
      <x:c r="A60" s="6"/>
      <x:c r="B60" s="6"/>
      <x:c r="C60" s="6"/>
      <x:c r="D60" s="6"/>
      <x:c r="E60" s="6"/>
      <x:c r="F60" s="6"/>
      <x:c r="G60" s="6"/>
      <x:c r="H60" s="6"/>
      <x:c r="I60" s="6"/>
      <x:c r="J60" s="6"/>
      <x:c r="K60" s="6"/>
      <x:c r="L60" s="6"/>
      <x:c r="M60" s="6"/>
      <x:c r="N60" s="6"/>
      <x:c r="O60" s="6"/>
      <x:c r="P60" s="6"/>
      <x:c r="Q60" s="6"/>
      <x:c r="R60" s="6"/>
      <x:c r="S60" s="6"/>
      <x:c r="T60" s="6"/>
      <x:c r="U60" s="6"/>
      <x:c r="V60" s="6"/>
      <x:c r="W60" s="6"/>
      <x:c r="X60" s="6"/>
      <x:c r="Y60" s="6"/>
      <x:c r="Z60" s="6"/>
    </x:row>
    <x:row r="61" s="1" customFormat="1" ht="12.75" hidden="0" customHeight="1">
      <x:c r="A61" s="6"/>
      <x:c r="B61" s="6"/>
      <x:c r="C61" s="6"/>
      <x:c r="D61" s="6"/>
      <x:c r="E61" s="6"/>
      <x:c r="F61" s="6"/>
      <x:c r="G61" s="6"/>
      <x:c r="H61" s="6"/>
      <x:c r="I61" s="6"/>
      <x:c r="J61" s="6"/>
      <x:c r="K61" s="6"/>
      <x:c r="L61" s="6"/>
      <x:c r="M61" s="6"/>
      <x:c r="N61" s="6"/>
      <x:c r="O61" s="6"/>
      <x:c r="P61" s="6"/>
      <x:c r="Q61" s="6"/>
      <x:c r="R61" s="6"/>
      <x:c r="S61" s="6"/>
      <x:c r="T61" s="6"/>
      <x:c r="U61" s="6"/>
      <x:c r="V61" s="6"/>
      <x:c r="W61" s="6"/>
      <x:c r="X61" s="6"/>
      <x:c r="Y61" s="6"/>
      <x:c r="Z61" s="6"/>
    </x:row>
    <x:row r="62" s="1" customFormat="1" ht="12.75" hidden="0" customHeight="1">
      <x:c r="A62" s="6"/>
      <x:c r="B62" s="6"/>
      <x:c r="C62" s="6"/>
      <x:c r="D62" s="6"/>
      <x:c r="E62" s="6"/>
      <x:c r="F62" s="6"/>
      <x:c r="G62" s="6"/>
      <x:c r="H62" s="6"/>
      <x:c r="I62" s="6"/>
      <x:c r="J62" s="6"/>
      <x:c r="K62" s="6"/>
      <x:c r="L62" s="6"/>
      <x:c r="M62" s="6"/>
      <x:c r="N62" s="6"/>
      <x:c r="O62" s="6"/>
      <x:c r="P62" s="6"/>
      <x:c r="Q62" s="6"/>
      <x:c r="R62" s="6"/>
      <x:c r="S62" s="6"/>
      <x:c r="T62" s="6"/>
      <x:c r="U62" s="6"/>
      <x:c r="V62" s="6"/>
      <x:c r="W62" s="6"/>
      <x:c r="X62" s="6"/>
      <x:c r="Y62" s="6"/>
      <x:c r="Z62" s="6"/>
    </x:row>
    <x:row r="63" s="1" customFormat="1" ht="12.75" hidden="0" customHeight="1">
      <x:c r="A63" s="6"/>
      <x:c r="B63" s="6"/>
      <x:c r="C63" s="6"/>
      <x:c r="D63" s="6"/>
      <x:c r="E63" s="6"/>
      <x:c r="F63" s="6"/>
      <x:c r="G63" s="6"/>
      <x:c r="H63" s="6"/>
      <x:c r="I63" s="6"/>
      <x:c r="J63" s="6"/>
      <x:c r="K63" s="6"/>
      <x:c r="L63" s="6"/>
      <x:c r="M63" s="6"/>
      <x:c r="N63" s="6"/>
      <x:c r="O63" s="6"/>
      <x:c r="P63" s="6"/>
      <x:c r="Q63" s="6"/>
      <x:c r="R63" s="6"/>
      <x:c r="S63" s="6"/>
      <x:c r="T63" s="6"/>
      <x:c r="U63" s="6"/>
      <x:c r="V63" s="6"/>
      <x:c r="W63" s="6"/>
      <x:c r="X63" s="6"/>
      <x:c r="Y63" s="6"/>
      <x:c r="Z63" s="6"/>
    </x:row>
    <x:row r="64" s="1" customFormat="1" ht="12.75" hidden="0" customHeight="1">
      <x:c r="A64" s="6"/>
      <x:c r="B64" s="6"/>
      <x:c r="C64" s="6"/>
      <x:c r="D64" s="6"/>
      <x:c r="E64" s="6"/>
      <x:c r="F64" s="6"/>
      <x:c r="G64" s="6"/>
      <x:c r="H64" s="6"/>
      <x:c r="I64" s="6"/>
      <x:c r="J64" s="6"/>
      <x:c r="K64" s="6"/>
      <x:c r="L64" s="6"/>
      <x:c r="M64" s="6"/>
      <x:c r="N64" s="6"/>
      <x:c r="O64" s="6"/>
      <x:c r="P64" s="6"/>
      <x:c r="Q64" s="6"/>
      <x:c r="R64" s="6"/>
      <x:c r="S64" s="6"/>
      <x:c r="T64" s="6"/>
      <x:c r="U64" s="6"/>
      <x:c r="V64" s="6"/>
      <x:c r="W64" s="6"/>
      <x:c r="X64" s="6"/>
      <x:c r="Y64" s="6"/>
      <x:c r="Z64" s="6"/>
    </x:row>
    <x:row r="65" s="1" customFormat="1" ht="12.75" hidden="0" customHeight="1">
      <x:c r="A65" s="6"/>
      <x:c r="B65" s="6"/>
      <x:c r="C65" s="6"/>
      <x:c r="D65" s="6"/>
      <x:c r="E65" s="6"/>
      <x:c r="F65" s="6"/>
      <x:c r="G65" s="6"/>
      <x:c r="H65" s="6"/>
      <x:c r="I65" s="6"/>
      <x:c r="J65" s="6"/>
      <x:c r="K65" s="6"/>
      <x:c r="L65" s="6"/>
      <x:c r="M65" s="6"/>
      <x:c r="N65" s="6"/>
      <x:c r="O65" s="6"/>
      <x:c r="P65" s="6"/>
      <x:c r="Q65" s="6"/>
      <x:c r="R65" s="6"/>
      <x:c r="S65" s="6"/>
      <x:c r="T65" s="6"/>
      <x:c r="U65" s="6"/>
      <x:c r="V65" s="6"/>
      <x:c r="W65" s="6"/>
      <x:c r="X65" s="6"/>
      <x:c r="Y65" s="6"/>
      <x:c r="Z65" s="6"/>
    </x:row>
    <x:row r="66" s="1" customFormat="1" ht="12.75" hidden="0" customHeight="1">
      <x:c r="A66" s="6"/>
      <x:c r="B66" s="6"/>
      <x:c r="C66" s="6"/>
      <x:c r="D66" s="6"/>
      <x:c r="E66" s="6"/>
      <x:c r="F66" s="6"/>
      <x:c r="G66" s="6"/>
      <x:c r="H66" s="6"/>
      <x:c r="I66" s="6"/>
      <x:c r="J66" s="6"/>
      <x:c r="K66" s="6"/>
      <x:c r="L66" s="6"/>
      <x:c r="M66" s="6"/>
      <x:c r="N66" s="6"/>
      <x:c r="O66" s="6"/>
      <x:c r="P66" s="6"/>
      <x:c r="Q66" s="6"/>
      <x:c r="R66" s="6"/>
      <x:c r="S66" s="6"/>
      <x:c r="T66" s="6"/>
      <x:c r="U66" s="6"/>
      <x:c r="V66" s="6"/>
      <x:c r="W66" s="6"/>
      <x:c r="X66" s="6"/>
      <x:c r="Y66" s="6"/>
      <x:c r="Z66" s="6"/>
    </x:row>
    <x:row r="67" s="1" customFormat="1" ht="12.75" hidden="0" customHeight="1">
      <x:c r="A67" s="6"/>
      <x:c r="B67" s="6"/>
      <x:c r="C67" s="6"/>
      <x:c r="D67" s="6"/>
      <x:c r="E67" s="6"/>
      <x:c r="F67" s="6"/>
      <x:c r="G67" s="6"/>
      <x:c r="H67" s="6"/>
      <x:c r="I67" s="6"/>
      <x:c r="J67" s="6"/>
      <x:c r="K67" s="6"/>
      <x:c r="L67" s="6"/>
      <x:c r="M67" s="6"/>
      <x:c r="N67" s="6"/>
      <x:c r="O67" s="6"/>
      <x:c r="P67" s="6"/>
      <x:c r="Q67" s="6"/>
      <x:c r="R67" s="6"/>
      <x:c r="S67" s="6"/>
      <x:c r="T67" s="6"/>
      <x:c r="U67" s="6"/>
      <x:c r="V67" s="6"/>
      <x:c r="W67" s="6"/>
      <x:c r="X67" s="6"/>
      <x:c r="Y67" s="6"/>
      <x:c r="Z67" s="6"/>
    </x:row>
    <x:row r="68" s="1" customFormat="1" ht="12.75" hidden="0" customHeight="1">
      <x:c r="A68" s="6"/>
      <x:c r="B68" s="6"/>
      <x:c r="C68" s="6"/>
      <x:c r="D68" s="6"/>
      <x:c r="E68" s="6"/>
      <x:c r="F68" s="6"/>
      <x:c r="G68" s="6"/>
      <x:c r="H68" s="6"/>
      <x:c r="I68" s="6"/>
      <x:c r="J68" s="6"/>
      <x:c r="K68" s="6"/>
      <x:c r="L68" s="6"/>
      <x:c r="M68" s="6"/>
      <x:c r="N68" s="6"/>
      <x:c r="O68" s="6"/>
      <x:c r="P68" s="6"/>
      <x:c r="Q68" s="6"/>
      <x:c r="R68" s="6"/>
      <x:c r="S68" s="6"/>
      <x:c r="T68" s="6"/>
      <x:c r="U68" s="6"/>
      <x:c r="V68" s="6"/>
      <x:c r="W68" s="6"/>
      <x:c r="X68" s="6"/>
      <x:c r="Y68" s="6"/>
      <x:c r="Z68" s="6"/>
    </x:row>
    <x:row r="69" s="1" customFormat="1" ht="12.75" hidden="0" customHeight="1">
      <x:c r="A69" s="6"/>
      <x:c r="B69" s="6"/>
      <x:c r="C69" s="6"/>
      <x:c r="D69" s="6"/>
      <x:c r="E69" s="6"/>
      <x:c r="F69" s="6"/>
      <x:c r="G69" s="6"/>
      <x:c r="H69" s="6"/>
      <x:c r="I69" s="6"/>
      <x:c r="J69" s="6"/>
      <x:c r="K69" s="6"/>
      <x:c r="L69" s="6"/>
      <x:c r="M69" s="6"/>
      <x:c r="N69" s="6"/>
      <x:c r="O69" s="6"/>
      <x:c r="P69" s="6"/>
      <x:c r="Q69" s="6"/>
      <x:c r="R69" s="6"/>
      <x:c r="S69" s="6"/>
      <x:c r="T69" s="6"/>
      <x:c r="U69" s="6"/>
      <x:c r="V69" s="6"/>
      <x:c r="W69" s="6"/>
      <x:c r="X69" s="6"/>
      <x:c r="Y69" s="6"/>
      <x:c r="Z69" s="6"/>
    </x:row>
    <x:row r="70" s="1" customFormat="1" ht="12.75" hidden="0" customHeight="1">
      <x:c r="A70" s="6"/>
      <x:c r="B70" s="6"/>
      <x:c r="C70" s="6"/>
      <x:c r="D70" s="6"/>
      <x:c r="E70" s="6"/>
      <x:c r="F70" s="6"/>
      <x:c r="G70" s="6"/>
      <x:c r="H70" s="6"/>
      <x:c r="I70" s="6"/>
      <x:c r="J70" s="6"/>
      <x:c r="K70" s="6"/>
      <x:c r="L70" s="6"/>
      <x:c r="M70" s="6"/>
      <x:c r="N70" s="6"/>
      <x:c r="O70" s="6"/>
      <x:c r="P70" s="6"/>
      <x:c r="Q70" s="6"/>
      <x:c r="R70" s="6"/>
      <x:c r="S70" s="6"/>
      <x:c r="T70" s="6"/>
      <x:c r="U70" s="6"/>
      <x:c r="V70" s="6"/>
      <x:c r="W70" s="6"/>
      <x:c r="X70" s="6"/>
      <x:c r="Y70" s="6"/>
      <x:c r="Z70" s="6"/>
    </x:row>
    <x:row r="71" s="1" customFormat="1" ht="12.75" hidden="0" customHeight="1">
      <x:c r="A71" s="6"/>
      <x:c r="B71" s="6"/>
      <x:c r="C71" s="6"/>
      <x:c r="D71" s="6"/>
      <x:c r="E71" s="6"/>
      <x:c r="F71" s="6"/>
      <x:c r="G71" s="6"/>
      <x:c r="H71" s="6"/>
      <x:c r="I71" s="6"/>
      <x:c r="J71" s="6"/>
      <x:c r="K71" s="6"/>
      <x:c r="L71" s="6"/>
      <x:c r="M71" s="6"/>
      <x:c r="N71" s="6"/>
      <x:c r="O71" s="6"/>
      <x:c r="P71" s="6"/>
      <x:c r="Q71" s="6"/>
      <x:c r="R71" s="6"/>
      <x:c r="S71" s="6"/>
      <x:c r="T71" s="6"/>
      <x:c r="U71" s="6"/>
      <x:c r="V71" s="6"/>
      <x:c r="W71" s="6"/>
      <x:c r="X71" s="6"/>
      <x:c r="Y71" s="6"/>
      <x:c r="Z71" s="6"/>
    </x:row>
    <x:row r="72" s="1" customFormat="1" ht="12.75" hidden="0" customHeight="1">
      <x:c r="A72" s="6"/>
      <x:c r="B72" s="6"/>
      <x:c r="C72" s="6"/>
      <x:c r="D72" s="6"/>
      <x:c r="E72" s="6"/>
      <x:c r="F72" s="6"/>
      <x:c r="G72" s="6"/>
      <x:c r="H72" s="6"/>
      <x:c r="I72" s="6"/>
      <x:c r="J72" s="6"/>
      <x:c r="K72" s="6"/>
      <x:c r="L72" s="6"/>
      <x:c r="M72" s="6"/>
      <x:c r="N72" s="6"/>
      <x:c r="O72" s="6"/>
      <x:c r="P72" s="6"/>
      <x:c r="Q72" s="6"/>
      <x:c r="R72" s="6"/>
      <x:c r="S72" s="6"/>
      <x:c r="T72" s="6"/>
      <x:c r="U72" s="6"/>
      <x:c r="V72" s="6"/>
      <x:c r="W72" s="6"/>
      <x:c r="X72" s="6"/>
      <x:c r="Y72" s="6"/>
      <x:c r="Z72" s="6"/>
    </x:row>
    <x:row r="73" s="1" customFormat="1" ht="12.75" hidden="0" customHeight="1">
      <x:c r="A73" s="6"/>
      <x:c r="B73" s="6"/>
      <x:c r="C73" s="6"/>
      <x:c r="D73" s="6"/>
      <x:c r="E73" s="6"/>
      <x:c r="F73" s="6"/>
      <x:c r="G73" s="6"/>
      <x:c r="H73" s="6"/>
      <x:c r="I73" s="6"/>
      <x:c r="J73" s="6"/>
      <x:c r="K73" s="6"/>
      <x:c r="L73" s="6"/>
      <x:c r="M73" s="6"/>
      <x:c r="N73" s="6"/>
      <x:c r="O73" s="6"/>
      <x:c r="P73" s="6"/>
      <x:c r="Q73" s="6"/>
      <x:c r="R73" s="6"/>
      <x:c r="S73" s="6"/>
      <x:c r="T73" s="6"/>
      <x:c r="U73" s="6"/>
      <x:c r="V73" s="6"/>
      <x:c r="W73" s="6"/>
      <x:c r="X73" s="6"/>
      <x:c r="Y73" s="6"/>
      <x:c r="Z73" s="6"/>
    </x:row>
    <x:row r="74" s="1" customFormat="1" ht="12.75" hidden="0" customHeight="1">
      <x:c r="A74" s="6"/>
      <x:c r="B74" s="6"/>
      <x:c r="C74" s="6"/>
      <x:c r="D74" s="6"/>
      <x:c r="E74" s="6"/>
      <x:c r="F74" s="6"/>
      <x:c r="G74" s="6"/>
      <x:c r="H74" s="6"/>
      <x:c r="I74" s="6"/>
      <x:c r="J74" s="6"/>
      <x:c r="K74" s="6"/>
      <x:c r="L74" s="6"/>
      <x:c r="M74" s="6"/>
      <x:c r="N74" s="6"/>
      <x:c r="O74" s="6"/>
      <x:c r="P74" s="6"/>
      <x:c r="Q74" s="6"/>
      <x:c r="R74" s="6"/>
      <x:c r="S74" s="6"/>
      <x:c r="T74" s="6"/>
      <x:c r="U74" s="6"/>
      <x:c r="V74" s="6"/>
      <x:c r="W74" s="6"/>
      <x:c r="X74" s="6"/>
      <x:c r="Y74" s="6"/>
      <x:c r="Z74" s="6"/>
    </x:row>
    <x:row r="75" s="1" customFormat="1" ht="12.75" hidden="0" customHeight="1">
      <x:c r="A75" s="6"/>
      <x:c r="B75" s="6"/>
      <x:c r="C75" s="6"/>
      <x:c r="D75" s="6"/>
      <x:c r="E75" s="6"/>
      <x:c r="F75" s="6"/>
      <x:c r="G75" s="6"/>
      <x:c r="H75" s="6"/>
      <x:c r="I75" s="6"/>
      <x:c r="J75" s="6"/>
      <x:c r="K75" s="6"/>
      <x:c r="L75" s="6"/>
      <x:c r="M75" s="6"/>
      <x:c r="N75" s="6"/>
      <x:c r="O75" s="6"/>
      <x:c r="P75" s="6"/>
      <x:c r="Q75" s="6"/>
      <x:c r="R75" s="6"/>
      <x:c r="S75" s="6"/>
      <x:c r="T75" s="6"/>
      <x:c r="U75" s="6"/>
      <x:c r="V75" s="6"/>
      <x:c r="W75" s="6"/>
      <x:c r="X75" s="6"/>
      <x:c r="Y75" s="6"/>
      <x:c r="Z75" s="6"/>
    </x:row>
    <x:row r="76" s="1" customFormat="1" ht="12.75" hidden="0" customHeight="1">
      <x:c r="A76" s="6"/>
      <x:c r="B76" s="6"/>
      <x:c r="C76" s="6"/>
      <x:c r="D76" s="6"/>
      <x:c r="E76" s="6"/>
      <x:c r="F76" s="6"/>
      <x:c r="G76" s="6"/>
      <x:c r="H76" s="6"/>
      <x:c r="I76" s="6"/>
      <x:c r="J76" s="6"/>
      <x:c r="K76" s="6"/>
      <x:c r="L76" s="6"/>
      <x:c r="M76" s="6"/>
      <x:c r="N76" s="6"/>
      <x:c r="O76" s="6"/>
      <x:c r="P76" s="6"/>
      <x:c r="Q76" s="6"/>
      <x:c r="R76" s="6"/>
      <x:c r="S76" s="6"/>
      <x:c r="T76" s="6"/>
      <x:c r="U76" s="6"/>
      <x:c r="V76" s="6"/>
      <x:c r="W76" s="6"/>
      <x:c r="X76" s="6"/>
      <x:c r="Y76" s="6"/>
      <x:c r="Z76" s="6"/>
    </x:row>
    <x:row r="77" s="1" customFormat="1" ht="12.75" hidden="0" customHeight="1">
      <x:c r="A77" s="6"/>
      <x:c r="B77" s="6"/>
      <x:c r="C77" s="6"/>
      <x:c r="D77" s="6"/>
      <x:c r="E77" s="6"/>
      <x:c r="F77" s="6"/>
      <x:c r="G77" s="6"/>
      <x:c r="H77" s="6"/>
      <x:c r="I77" s="6"/>
      <x:c r="J77" s="6"/>
      <x:c r="K77" s="6"/>
      <x:c r="L77" s="6"/>
      <x:c r="M77" s="6"/>
      <x:c r="N77" s="6"/>
      <x:c r="O77" s="6"/>
      <x:c r="P77" s="6"/>
      <x:c r="Q77" s="6"/>
      <x:c r="R77" s="6"/>
      <x:c r="S77" s="6"/>
      <x:c r="T77" s="6"/>
      <x:c r="U77" s="6"/>
      <x:c r="V77" s="6"/>
      <x:c r="W77" s="6"/>
      <x:c r="X77" s="6"/>
      <x:c r="Y77" s="6"/>
      <x:c r="Z77" s="6"/>
    </x:row>
    <x:row r="78" s="1" customFormat="1" ht="12.75" hidden="0" customHeight="1">
      <x:c r="A78" s="6"/>
      <x:c r="B78" s="6"/>
      <x:c r="C78" s="6"/>
      <x:c r="D78" s="6"/>
      <x:c r="E78" s="6"/>
      <x:c r="F78" s="6"/>
      <x:c r="G78" s="6"/>
      <x:c r="H78" s="6"/>
      <x:c r="I78" s="6"/>
      <x:c r="J78" s="6"/>
      <x:c r="K78" s="6"/>
      <x:c r="L78" s="6"/>
      <x:c r="M78" s="6"/>
      <x:c r="N78" s="6"/>
      <x:c r="O78" s="6"/>
      <x:c r="P78" s="6"/>
      <x:c r="Q78" s="6"/>
      <x:c r="R78" s="6"/>
      <x:c r="S78" s="6"/>
      <x:c r="T78" s="6"/>
      <x:c r="U78" s="6"/>
      <x:c r="V78" s="6"/>
      <x:c r="W78" s="6"/>
      <x:c r="X78" s="6"/>
      <x:c r="Y78" s="6"/>
      <x:c r="Z78" s="6"/>
    </x:row>
    <x:row r="79" s="1" customFormat="1" ht="12.75" hidden="0" customHeight="1">
      <x:c r="A79" s="6"/>
      <x:c r="B79" s="6"/>
      <x:c r="C79" s="6"/>
      <x:c r="D79" s="6"/>
      <x:c r="E79" s="6"/>
      <x:c r="F79" s="6"/>
      <x:c r="G79" s="6"/>
      <x:c r="H79" s="6"/>
      <x:c r="I79" s="6"/>
      <x:c r="J79" s="6"/>
      <x:c r="K79" s="6"/>
      <x:c r="L79" s="6"/>
      <x:c r="M79" s="6"/>
      <x:c r="N79" s="6"/>
      <x:c r="O79" s="6"/>
      <x:c r="P79" s="6"/>
      <x:c r="Q79" s="6"/>
      <x:c r="R79" s="6"/>
      <x:c r="S79" s="6"/>
      <x:c r="T79" s="6"/>
      <x:c r="U79" s="6"/>
      <x:c r="V79" s="6"/>
      <x:c r="W79" s="6"/>
      <x:c r="X79" s="6"/>
      <x:c r="Y79" s="6"/>
      <x:c r="Z79" s="6"/>
    </x:row>
    <x:row r="80" s="1" customFormat="1" ht="12.75" hidden="0" customHeight="1">
      <x:c r="A80" s="6"/>
      <x:c r="B80" s="6"/>
      <x:c r="C80" s="6"/>
      <x:c r="D80" s="6"/>
      <x:c r="E80" s="6"/>
      <x:c r="F80" s="6"/>
      <x:c r="G80" s="6"/>
      <x:c r="H80" s="6"/>
      <x:c r="I80" s="6"/>
      <x:c r="J80" s="6"/>
      <x:c r="K80" s="6"/>
      <x:c r="L80" s="6"/>
      <x:c r="M80" s="6"/>
      <x:c r="N80" s="6"/>
      <x:c r="O80" s="6"/>
      <x:c r="P80" s="6"/>
      <x:c r="Q80" s="6"/>
      <x:c r="R80" s="6"/>
      <x:c r="S80" s="6"/>
      <x:c r="T80" s="6"/>
      <x:c r="U80" s="6"/>
      <x:c r="V80" s="6"/>
      <x:c r="W80" s="6"/>
      <x:c r="X80" s="6"/>
      <x:c r="Y80" s="6"/>
      <x:c r="Z80" s="6"/>
    </x:row>
    <x:row r="81" s="1" customFormat="1" ht="12.75" hidden="0" customHeight="1">
      <x:c r="A81" s="6"/>
      <x:c r="B81" s="6"/>
      <x:c r="C81" s="6"/>
      <x:c r="D81" s="6"/>
      <x:c r="E81" s="6"/>
      <x:c r="F81" s="6"/>
      <x:c r="G81" s="6"/>
      <x:c r="H81" s="6"/>
      <x:c r="I81" s="6"/>
      <x:c r="J81" s="6"/>
      <x:c r="K81" s="6"/>
      <x:c r="L81" s="6"/>
      <x:c r="M81" s="6"/>
      <x:c r="N81" s="6"/>
      <x:c r="O81" s="6"/>
      <x:c r="P81" s="6"/>
      <x:c r="Q81" s="6"/>
      <x:c r="R81" s="6"/>
      <x:c r="S81" s="6"/>
      <x:c r="T81" s="6"/>
      <x:c r="U81" s="6"/>
      <x:c r="V81" s="6"/>
      <x:c r="W81" s="6"/>
      <x:c r="X81" s="6"/>
      <x:c r="Y81" s="6"/>
      <x:c r="Z81" s="6"/>
    </x:row>
    <x:row r="82" s="1" customFormat="1" ht="12.75" hidden="0" customHeight="1">
      <x:c r="A82" s="6"/>
      <x:c r="B82" s="6"/>
      <x:c r="C82" s="6"/>
      <x:c r="D82" s="6"/>
      <x:c r="E82" s="6"/>
      <x:c r="F82" s="6"/>
      <x:c r="G82" s="6"/>
      <x:c r="H82" s="6"/>
      <x:c r="I82" s="6"/>
      <x:c r="J82" s="6"/>
      <x:c r="K82" s="6"/>
      <x:c r="L82" s="6"/>
      <x:c r="M82" s="6"/>
      <x:c r="N82" s="6"/>
      <x:c r="O82" s="6"/>
      <x:c r="P82" s="6"/>
      <x:c r="Q82" s="6"/>
      <x:c r="R82" s="6"/>
      <x:c r="S82" s="6"/>
      <x:c r="T82" s="6"/>
      <x:c r="U82" s="6"/>
      <x:c r="V82" s="6"/>
      <x:c r="W82" s="6"/>
      <x:c r="X82" s="6"/>
      <x:c r="Y82" s="6"/>
      <x:c r="Z82" s="6"/>
    </x:row>
    <x:row r="83" s="1" customFormat="1" ht="12.75" hidden="0" customHeight="1">
      <x:c r="A83" s="6"/>
      <x:c r="B83" s="6"/>
      <x:c r="C83" s="6"/>
      <x:c r="D83" s="6"/>
      <x:c r="E83" s="6"/>
      <x:c r="F83" s="6"/>
      <x:c r="G83" s="6"/>
      <x:c r="H83" s="6"/>
      <x:c r="I83" s="6"/>
      <x:c r="J83" s="6"/>
      <x:c r="K83" s="6"/>
      <x:c r="L83" s="6"/>
      <x:c r="M83" s="6"/>
      <x:c r="N83" s="6"/>
      <x:c r="O83" s="6"/>
      <x:c r="P83" s="6"/>
      <x:c r="Q83" s="6"/>
      <x:c r="R83" s="6"/>
      <x:c r="S83" s="6"/>
      <x:c r="T83" s="6"/>
      <x:c r="U83" s="6"/>
      <x:c r="V83" s="6"/>
      <x:c r="W83" s="6"/>
      <x:c r="X83" s="6"/>
      <x:c r="Y83" s="6"/>
      <x:c r="Z83" s="6"/>
    </x:row>
    <x:row r="84" s="1" customFormat="1" ht="12.75" hidden="0" customHeight="1">
      <x:c r="A84" s="6"/>
      <x:c r="B84" s="6"/>
      <x:c r="C84" s="6"/>
      <x:c r="D84" s="6"/>
      <x:c r="E84" s="6"/>
      <x:c r="F84" s="6"/>
      <x:c r="G84" s="6"/>
      <x:c r="H84" s="6"/>
      <x:c r="I84" s="6"/>
      <x:c r="J84" s="6"/>
      <x:c r="K84" s="6"/>
      <x:c r="L84" s="6"/>
      <x:c r="M84" s="6"/>
      <x:c r="N84" s="6"/>
      <x:c r="O84" s="6"/>
      <x:c r="P84" s="6"/>
      <x:c r="Q84" s="6"/>
      <x:c r="R84" s="6"/>
      <x:c r="S84" s="6"/>
      <x:c r="T84" s="6"/>
      <x:c r="U84" s="6"/>
      <x:c r="V84" s="6"/>
      <x:c r="W84" s="6"/>
      <x:c r="X84" s="6"/>
      <x:c r="Y84" s="6"/>
      <x:c r="Z84" s="6"/>
    </x:row>
    <x:row r="85" s="1" customFormat="1" ht="12.75" hidden="0" customHeight="1">
      <x:c r="A85" s="6"/>
      <x:c r="B85" s="6"/>
      <x:c r="C85" s="6"/>
      <x:c r="D85" s="6"/>
      <x:c r="E85" s="6"/>
      <x:c r="F85" s="6"/>
      <x:c r="G85" s="6"/>
      <x:c r="H85" s="6"/>
      <x:c r="I85" s="6"/>
      <x:c r="J85" s="6"/>
      <x:c r="K85" s="6"/>
      <x:c r="L85" s="6"/>
      <x:c r="M85" s="6"/>
      <x:c r="N85" s="6"/>
      <x:c r="O85" s="6"/>
      <x:c r="P85" s="6"/>
      <x:c r="Q85" s="6"/>
      <x:c r="R85" s="6"/>
      <x:c r="S85" s="6"/>
      <x:c r="T85" s="6"/>
      <x:c r="U85" s="6"/>
      <x:c r="V85" s="6"/>
      <x:c r="W85" s="6"/>
      <x:c r="X85" s="6"/>
      <x:c r="Y85" s="6"/>
      <x:c r="Z85" s="6"/>
    </x:row>
    <x:row r="86" s="1" customFormat="1" ht="12.75" hidden="0" customHeight="1">
      <x:c r="A86" s="6"/>
      <x:c r="B86" s="6"/>
      <x:c r="C86" s="6"/>
      <x:c r="D86" s="6"/>
      <x:c r="E86" s="6"/>
      <x:c r="F86" s="6"/>
      <x:c r="G86" s="6"/>
      <x:c r="H86" s="6"/>
      <x:c r="I86" s="6"/>
      <x:c r="J86" s="6"/>
      <x:c r="K86" s="6"/>
      <x:c r="L86" s="6"/>
      <x:c r="M86" s="6"/>
      <x:c r="N86" s="6"/>
      <x:c r="O86" s="6"/>
      <x:c r="P86" s="6"/>
      <x:c r="Q86" s="6"/>
      <x:c r="R86" s="6"/>
      <x:c r="S86" s="6"/>
      <x:c r="T86" s="6"/>
      <x:c r="U86" s="6"/>
      <x:c r="V86" s="6"/>
      <x:c r="W86" s="6"/>
      <x:c r="X86" s="6"/>
      <x:c r="Y86" s="6"/>
      <x:c r="Z86" s="6"/>
    </x:row>
    <x:row r="87" s="1" customFormat="1" ht="12.75" hidden="0" customHeight="1">
      <x:c r="A87" s="6"/>
      <x:c r="B87" s="6"/>
      <x:c r="C87" s="6"/>
      <x:c r="D87" s="6"/>
      <x:c r="E87" s="6"/>
      <x:c r="F87" s="6"/>
      <x:c r="G87" s="6"/>
      <x:c r="H87" s="6"/>
      <x:c r="I87" s="6"/>
      <x:c r="J87" s="6"/>
      <x:c r="K87" s="6"/>
      <x:c r="L87" s="6"/>
      <x:c r="M87" s="6"/>
      <x:c r="N87" s="6"/>
      <x:c r="O87" s="6"/>
      <x:c r="P87" s="6"/>
      <x:c r="Q87" s="6"/>
      <x:c r="R87" s="6"/>
      <x:c r="S87" s="6"/>
      <x:c r="T87" s="6"/>
      <x:c r="U87" s="6"/>
      <x:c r="V87" s="6"/>
      <x:c r="W87" s="6"/>
      <x:c r="X87" s="6"/>
      <x:c r="Y87" s="6"/>
      <x:c r="Z87" s="6"/>
    </x:row>
    <x:row r="88" s="1" customFormat="1" ht="12.75" hidden="0" customHeight="1">
      <x:c r="A88" s="6"/>
      <x:c r="B88" s="6"/>
      <x:c r="C88" s="6"/>
      <x:c r="D88" s="6"/>
      <x:c r="E88" s="6"/>
      <x:c r="F88" s="6"/>
      <x:c r="G88" s="6"/>
      <x:c r="H88" s="6"/>
      <x:c r="I88" s="6"/>
      <x:c r="J88" s="6"/>
      <x:c r="K88" s="6"/>
      <x:c r="L88" s="6"/>
      <x:c r="M88" s="6"/>
      <x:c r="N88" s="6"/>
      <x:c r="O88" s="6"/>
      <x:c r="P88" s="6"/>
      <x:c r="Q88" s="6"/>
      <x:c r="R88" s="6"/>
      <x:c r="S88" s="6"/>
      <x:c r="T88" s="6"/>
      <x:c r="U88" s="6"/>
      <x:c r="V88" s="6"/>
      <x:c r="W88" s="6"/>
      <x:c r="X88" s="6"/>
      <x:c r="Y88" s="6"/>
      <x:c r="Z88" s="6"/>
    </x:row>
    <x:row r="89" s="1" customFormat="1" ht="12.75" hidden="0" customHeight="1">
      <x:c r="A89" s="6"/>
      <x:c r="B89" s="6"/>
      <x:c r="C89" s="6"/>
      <x:c r="D89" s="6"/>
      <x:c r="E89" s="6"/>
      <x:c r="F89" s="6"/>
      <x:c r="G89" s="6"/>
      <x:c r="H89" s="6"/>
      <x:c r="I89" s="6"/>
      <x:c r="J89" s="6"/>
      <x:c r="K89" s="6"/>
      <x:c r="L89" s="6"/>
      <x:c r="M89" s="6"/>
      <x:c r="N89" s="6"/>
      <x:c r="O89" s="6"/>
      <x:c r="P89" s="6"/>
      <x:c r="Q89" s="6"/>
      <x:c r="R89" s="6"/>
      <x:c r="S89" s="6"/>
      <x:c r="T89" s="6"/>
      <x:c r="U89" s="6"/>
      <x:c r="V89" s="6"/>
      <x:c r="W89" s="6"/>
      <x:c r="X89" s="6"/>
      <x:c r="Y89" s="6"/>
      <x:c r="Z89" s="6"/>
    </x:row>
    <x:row r="90" s="1" customFormat="1" ht="12.75" hidden="0" customHeight="1">
      <x:c r="A90" s="6"/>
      <x:c r="B90" s="6"/>
      <x:c r="C90" s="6"/>
      <x:c r="D90" s="6"/>
      <x:c r="E90" s="6"/>
      <x:c r="F90" s="6"/>
      <x:c r="G90" s="6"/>
      <x:c r="H90" s="6"/>
      <x:c r="I90" s="6"/>
      <x:c r="J90" s="6"/>
      <x:c r="K90" s="6"/>
      <x:c r="L90" s="6"/>
      <x:c r="M90" s="6"/>
      <x:c r="N90" s="6"/>
      <x:c r="O90" s="6"/>
      <x:c r="P90" s="6"/>
      <x:c r="Q90" s="6"/>
      <x:c r="R90" s="6"/>
      <x:c r="S90" s="6"/>
      <x:c r="T90" s="6"/>
      <x:c r="U90" s="6"/>
      <x:c r="V90" s="6"/>
      <x:c r="W90" s="6"/>
      <x:c r="X90" s="6"/>
      <x:c r="Y90" s="6"/>
      <x:c r="Z90" s="6"/>
    </x:row>
    <x:row r="91" s="1" customFormat="1" ht="12.75" hidden="0" customHeight="1">
      <x:c r="A91" s="6"/>
      <x:c r="B91" s="6"/>
      <x:c r="C91" s="6"/>
      <x:c r="D91" s="6"/>
      <x:c r="E91" s="6"/>
      <x:c r="F91" s="6"/>
      <x:c r="G91" s="6"/>
      <x:c r="H91" s="6"/>
      <x:c r="I91" s="6"/>
      <x:c r="J91" s="6"/>
      <x:c r="K91" s="6"/>
      <x:c r="L91" s="6"/>
      <x:c r="M91" s="6"/>
      <x:c r="N91" s="6"/>
      <x:c r="O91" s="6"/>
      <x:c r="P91" s="6"/>
      <x:c r="Q91" s="6"/>
      <x:c r="R91" s="6"/>
      <x:c r="S91" s="6"/>
      <x:c r="T91" s="6"/>
      <x:c r="U91" s="6"/>
      <x:c r="V91" s="6"/>
      <x:c r="W91" s="6"/>
      <x:c r="X91" s="6"/>
      <x:c r="Y91" s="6"/>
      <x:c r="Z91" s="6"/>
    </x:row>
    <x:row r="92" s="1" customFormat="1" ht="12.75" hidden="0" customHeight="1">
      <x:c r="A92" s="6"/>
      <x:c r="B92" s="6"/>
      <x:c r="C92" s="6"/>
      <x:c r="D92" s="6"/>
      <x:c r="E92" s="6"/>
      <x:c r="F92" s="6"/>
      <x:c r="G92" s="6"/>
      <x:c r="H92" s="6"/>
      <x:c r="I92" s="6"/>
      <x:c r="J92" s="6"/>
      <x:c r="K92" s="6"/>
      <x:c r="L92" s="6"/>
      <x:c r="M92" s="6"/>
      <x:c r="N92" s="6"/>
      <x:c r="O92" s="6"/>
      <x:c r="P92" s="6"/>
      <x:c r="Q92" s="6"/>
      <x:c r="R92" s="6"/>
      <x:c r="S92" s="6"/>
      <x:c r="T92" s="6"/>
      <x:c r="U92" s="6"/>
      <x:c r="V92" s="6"/>
      <x:c r="W92" s="6"/>
      <x:c r="X92" s="6"/>
      <x:c r="Y92" s="6"/>
      <x:c r="Z92" s="6"/>
    </x:row>
    <x:row r="93" s="1" customFormat="1" ht="12.75" hidden="0" customHeight="1">
      <x:c r="A93" s="6"/>
      <x:c r="B93" s="6"/>
      <x:c r="C93" s="6"/>
      <x:c r="D93" s="6"/>
      <x:c r="E93" s="6"/>
      <x:c r="F93" s="6"/>
      <x:c r="G93" s="6"/>
      <x:c r="H93" s="6"/>
      <x:c r="I93" s="6"/>
      <x:c r="J93" s="6"/>
      <x:c r="K93" s="6"/>
      <x:c r="L93" s="6"/>
      <x:c r="M93" s="6"/>
      <x:c r="N93" s="6"/>
      <x:c r="O93" s="6"/>
      <x:c r="P93" s="6"/>
      <x:c r="Q93" s="6"/>
      <x:c r="R93" s="6"/>
      <x:c r="S93" s="6"/>
      <x:c r="T93" s="6"/>
      <x:c r="U93" s="6"/>
      <x:c r="V93" s="6"/>
      <x:c r="W93" s="6"/>
      <x:c r="X93" s="6"/>
      <x:c r="Y93" s="6"/>
      <x:c r="Z93" s="6"/>
    </x:row>
    <x:row r="94" s="1" customFormat="1" ht="12.75" hidden="0" customHeight="1">
      <x:c r="A94" s="6"/>
      <x:c r="B94" s="6"/>
      <x:c r="C94" s="6"/>
      <x:c r="D94" s="6"/>
      <x:c r="E94" s="6"/>
      <x:c r="F94" s="6"/>
      <x:c r="G94" s="6"/>
      <x:c r="H94" s="6"/>
      <x:c r="I94" s="6"/>
      <x:c r="J94" s="6"/>
      <x:c r="K94" s="6"/>
      <x:c r="L94" s="6"/>
      <x:c r="M94" s="6"/>
      <x:c r="N94" s="6"/>
      <x:c r="O94" s="6"/>
      <x:c r="P94" s="6"/>
      <x:c r="Q94" s="6"/>
      <x:c r="R94" s="6"/>
      <x:c r="S94" s="6"/>
      <x:c r="T94" s="6"/>
      <x:c r="U94" s="6"/>
      <x:c r="V94" s="6"/>
      <x:c r="W94" s="6"/>
      <x:c r="X94" s="6"/>
      <x:c r="Y94" s="6"/>
      <x:c r="Z94" s="6"/>
    </x:row>
    <x:row r="95" s="1" customFormat="1" ht="12.75" hidden="0" customHeight="1">
      <x:c r="A95" s="6"/>
      <x:c r="B95" s="6"/>
      <x:c r="C95" s="6"/>
      <x:c r="D95" s="6"/>
      <x:c r="E95" s="6"/>
      <x:c r="F95" s="6"/>
      <x:c r="G95" s="6"/>
      <x:c r="H95" s="6"/>
      <x:c r="I95" s="6"/>
      <x:c r="J95" s="6"/>
      <x:c r="K95" s="6"/>
      <x:c r="L95" s="6"/>
      <x:c r="M95" s="6"/>
      <x:c r="N95" s="6"/>
      <x:c r="O95" s="6"/>
      <x:c r="P95" s="6"/>
      <x:c r="Q95" s="6"/>
      <x:c r="R95" s="6"/>
      <x:c r="S95" s="6"/>
      <x:c r="T95" s="6"/>
      <x:c r="U95" s="6"/>
      <x:c r="V95" s="6"/>
      <x:c r="W95" s="6"/>
      <x:c r="X95" s="6"/>
      <x:c r="Y95" s="6"/>
      <x:c r="Z95" s="6"/>
    </x:row>
    <x:row r="96" s="1" customFormat="1" ht="12.75" hidden="0" customHeight="1">
      <x:c r="A96" s="6"/>
      <x:c r="B96" s="6"/>
      <x:c r="C96" s="6"/>
      <x:c r="D96" s="6"/>
      <x:c r="E96" s="6"/>
      <x:c r="F96" s="6"/>
      <x:c r="G96" s="6"/>
      <x:c r="H96" s="6"/>
      <x:c r="I96" s="6"/>
      <x:c r="J96" s="6"/>
      <x:c r="K96" s="6"/>
      <x:c r="L96" s="6"/>
      <x:c r="M96" s="6"/>
      <x:c r="N96" s="6"/>
      <x:c r="O96" s="6"/>
      <x:c r="P96" s="6"/>
      <x:c r="Q96" s="6"/>
      <x:c r="R96" s="6"/>
      <x:c r="S96" s="6"/>
      <x:c r="T96" s="6"/>
      <x:c r="U96" s="6"/>
      <x:c r="V96" s="6"/>
      <x:c r="W96" s="6"/>
      <x:c r="X96" s="6"/>
      <x:c r="Y96" s="6"/>
      <x:c r="Z96" s="6"/>
    </x:row>
    <x:row r="97" s="1" customFormat="1" ht="12.75" hidden="0" customHeight="1">
      <x:c r="A97" s="6"/>
      <x:c r="B97" s="6"/>
      <x:c r="C97" s="6"/>
      <x:c r="D97" s="6"/>
      <x:c r="E97" s="6"/>
      <x:c r="F97" s="6"/>
      <x:c r="G97" s="6"/>
      <x:c r="H97" s="6"/>
      <x:c r="I97" s="6"/>
      <x:c r="J97" s="6"/>
      <x:c r="K97" s="6"/>
      <x:c r="L97" s="6"/>
      <x:c r="M97" s="6"/>
      <x:c r="N97" s="6"/>
      <x:c r="O97" s="6"/>
      <x:c r="P97" s="6"/>
      <x:c r="Q97" s="6"/>
      <x:c r="R97" s="6"/>
      <x:c r="S97" s="6"/>
      <x:c r="T97" s="6"/>
      <x:c r="U97" s="6"/>
      <x:c r="V97" s="6"/>
      <x:c r="W97" s="6"/>
      <x:c r="X97" s="6"/>
      <x:c r="Y97" s="6"/>
      <x:c r="Z97" s="6"/>
    </x:row>
    <x:row r="98" s="1" customFormat="1" ht="12.75" hidden="0" customHeight="1">
      <x:c r="A98" s="6"/>
      <x:c r="B98" s="6"/>
      <x:c r="C98" s="6"/>
      <x:c r="D98" s="6"/>
      <x:c r="E98" s="6"/>
      <x:c r="F98" s="6"/>
      <x:c r="G98" s="6"/>
      <x:c r="H98" s="6"/>
      <x:c r="I98" s="6"/>
      <x:c r="J98" s="6"/>
      <x:c r="K98" s="6"/>
      <x:c r="L98" s="6"/>
      <x:c r="M98" s="6"/>
      <x:c r="N98" s="6"/>
      <x:c r="O98" s="6"/>
      <x:c r="P98" s="6"/>
      <x:c r="Q98" s="6"/>
      <x:c r="R98" s="6"/>
      <x:c r="S98" s="6"/>
      <x:c r="T98" s="6"/>
      <x:c r="U98" s="6"/>
      <x:c r="V98" s="6"/>
      <x:c r="W98" s="6"/>
      <x:c r="X98" s="6"/>
      <x:c r="Y98" s="6"/>
      <x:c r="Z98" s="6"/>
    </x:row>
    <x:row r="99" s="1" customFormat="1" ht="12.75" hidden="0" customHeight="1">
      <x:c r="A99" s="6"/>
      <x:c r="B99" s="6"/>
      <x:c r="C99" s="6"/>
      <x:c r="D99" s="6"/>
      <x:c r="E99" s="6"/>
      <x:c r="F99" s="6"/>
      <x:c r="G99" s="6"/>
      <x:c r="H99" s="6"/>
      <x:c r="I99" s="6"/>
      <x:c r="J99" s="6"/>
      <x:c r="K99" s="6"/>
      <x:c r="L99" s="6"/>
      <x:c r="M99" s="6"/>
      <x:c r="N99" s="6"/>
      <x:c r="O99" s="6"/>
      <x:c r="P99" s="6"/>
      <x:c r="Q99" s="6"/>
      <x:c r="R99" s="6"/>
      <x:c r="S99" s="6"/>
      <x:c r="T99" s="6"/>
      <x:c r="U99" s="6"/>
      <x:c r="V99" s="6"/>
      <x:c r="W99" s="6"/>
      <x:c r="X99" s="6"/>
      <x:c r="Y99" s="6"/>
      <x:c r="Z99" s="6"/>
    </x:row>
    <x:row r="100" s="1" customFormat="1" ht="12.75" hidden="0" customHeight="1">
      <x:c r="A100" s="6"/>
      <x:c r="B100" s="6"/>
      <x:c r="C100" s="6"/>
      <x:c r="D100" s="6"/>
      <x:c r="E100" s="6"/>
      <x:c r="F100" s="6"/>
      <x:c r="G100" s="6"/>
      <x:c r="H100" s="6"/>
      <x:c r="I100" s="6"/>
      <x:c r="J100" s="6"/>
      <x:c r="K100" s="6"/>
      <x:c r="L100" s="6"/>
      <x:c r="M100" s="6"/>
      <x:c r="N100" s="6"/>
      <x:c r="O100" s="6"/>
      <x:c r="P100" s="6"/>
      <x:c r="Q100" s="6"/>
      <x:c r="R100" s="6"/>
      <x:c r="S100" s="6"/>
      <x:c r="T100" s="6"/>
      <x:c r="U100" s="6"/>
      <x:c r="V100" s="6"/>
      <x:c r="W100" s="6"/>
      <x:c r="X100" s="6"/>
      <x:c r="Y100" s="6"/>
      <x:c r="Z100" s="6"/>
    </x:row>
  </x:sheetData>
  <x:pageMargins left="0.7" right="0.7" top="0.75" bottom="0.75" header="0.3" footer="0.3"/>
</x:worksheet>
</file>

<file path=xl/worksheets/sheet49.xml><?xml version="1.0" encoding="utf-8"?>
<x:worksheet xmlns:x="http://schemas.openxmlformats.org/spreadsheetml/2006/main">
  <x:sheetViews>
    <x:sheetView showGridLines="1" workbookViewId="0"/>
  </x:sheetViews>
  <x:sheetFormatPr defaultColWidth="8.6796875" defaultRowHeight="12.75"/>
  <x:cols>
    <x:col min="1" max="1" width="28" style="1" hidden="0" customWidth="1"/>
    <x:col min="2" max="3" width="36" style="1" hidden="0" customWidth="1"/>
    <x:col min="4" max="26" width="16" style="1" hidden="0" customWidth="1"/>
  </x:cols>
  <x:sheetData>
    <x:row r="1" s="1" customFormat="1" ht="12.75" hidden="0" customHeight="1">
      <x:c r="A1" s="2" t="s">
        <x:v>346</x:v>
      </x:c>
      <x:c r="B1" s="2" t="s">
        <x:v>347</x:v>
      </x:c>
      <x:c r="C1" s="2" t="s">
        <x:v>1203</x:v>
      </x:c>
      <x:c r="D1" s="3"/>
      <x:c r="E1" s="3"/>
      <x:c r="F1" s="3"/>
      <x:c r="G1" s="3"/>
      <x:c r="H1" s="3"/>
      <x:c r="I1" s="3"/>
      <x:c r="J1" s="3"/>
      <x:c r="K1" s="3"/>
      <x:c r="L1" s="3"/>
      <x:c r="M1" s="3"/>
      <x:c r="N1" s="3"/>
      <x:c r="O1" s="3"/>
      <x:c r="P1" s="3"/>
      <x:c r="Q1" s="3"/>
      <x:c r="R1" s="3"/>
      <x:c r="S1" s="3"/>
      <x:c r="T1" s="3"/>
      <x:c r="U1" s="3"/>
      <x:c r="V1" s="3"/>
      <x:c r="W1" s="3"/>
      <x:c r="X1" s="3"/>
      <x:c r="Y1" s="3"/>
      <x:c r="Z1" s="3"/>
    </x:row>
    <x:row r="2" s="1" customFormat="1" ht="26.25" hidden="0" customHeight="1">
      <x:c r="A2" s="4" t="s">
        <x:v>2705</x:v>
      </x:c>
      <x:c r="B2" s="5" t="s">
        <x:v>421</x:v>
      </x:c>
      <x:c r="C2" s="5" t="s">
        <x:v>3732</x:v>
      </x:c>
      <x:c r="D2" s="6"/>
      <x:c r="E2" s="6"/>
      <x:c r="F2" s="6"/>
      <x:c r="G2" s="6"/>
      <x:c r="H2" s="6"/>
      <x:c r="I2" s="6"/>
      <x:c r="J2" s="6"/>
      <x:c r="K2" s="6"/>
      <x:c r="L2" s="6"/>
      <x:c r="M2" s="6"/>
      <x:c r="N2" s="6"/>
      <x:c r="O2" s="6"/>
      <x:c r="P2" s="6"/>
      <x:c r="Q2" s="6"/>
      <x:c r="R2" s="6"/>
      <x:c r="S2" s="6"/>
      <x:c r="T2" s="6"/>
      <x:c r="U2" s="6"/>
      <x:c r="V2" s="6"/>
      <x:c r="W2" s="6"/>
      <x:c r="X2" s="6"/>
      <x:c r="Y2" s="6"/>
      <x:c r="Z2" s="6"/>
    </x:row>
    <x:row r="3" s="1" customFormat="1" ht="26.25" hidden="0" customHeight="1">
      <x:c r="A3" s="7" t="s">
        <x:v>3733</x:v>
      </x:c>
      <x:c r="B3" s="8" t="s">
        <x:v>3734</x:v>
      </x:c>
      <x:c r="C3" s="8" t="s">
        <x:v>3735</x:v>
      </x:c>
      <x:c r="D3" s="6"/>
      <x:c r="E3" s="6"/>
      <x:c r="F3" s="6"/>
      <x:c r="G3" s="6"/>
      <x:c r="H3" s="6"/>
      <x:c r="I3" s="6"/>
      <x:c r="J3" s="6"/>
      <x:c r="K3" s="6"/>
      <x:c r="L3" s="6"/>
      <x:c r="M3" s="6"/>
      <x:c r="N3" s="6"/>
      <x:c r="O3" s="6"/>
      <x:c r="P3" s="6"/>
      <x:c r="Q3" s="6"/>
      <x:c r="R3" s="6"/>
      <x:c r="S3" s="6"/>
      <x:c r="T3" s="6"/>
      <x:c r="U3" s="6"/>
      <x:c r="V3" s="6"/>
      <x:c r="W3" s="6"/>
      <x:c r="X3" s="6"/>
      <x:c r="Y3" s="6"/>
      <x:c r="Z3" s="6"/>
    </x:row>
    <x:row r="4" s="1" customFormat="1" ht="12.75" hidden="0" customHeight="1">
      <x:c r="A4" s="7" t="s">
        <x:v>3736</x:v>
      </x:c>
      <x:c r="B4" s="5" t="s">
        <x:v>3734</x:v>
      </x:c>
      <x:c r="C4" s="5" t="s">
        <x:v>3737</x:v>
      </x:c>
      <x:c r="D4" s="6"/>
      <x:c r="E4" s="6"/>
      <x:c r="F4" s="6"/>
      <x:c r="G4" s="6"/>
      <x:c r="H4" s="6"/>
      <x:c r="I4" s="6"/>
      <x:c r="J4" s="6"/>
      <x:c r="K4" s="6"/>
      <x:c r="L4" s="6"/>
      <x:c r="M4" s="6"/>
      <x:c r="N4" s="6"/>
      <x:c r="O4" s="6"/>
      <x:c r="P4" s="6"/>
      <x:c r="Q4" s="6"/>
      <x:c r="R4" s="6"/>
      <x:c r="S4" s="6"/>
      <x:c r="T4" s="6"/>
      <x:c r="U4" s="6"/>
      <x:c r="V4" s="6"/>
      <x:c r="W4" s="6"/>
      <x:c r="X4" s="6"/>
      <x:c r="Y4" s="6"/>
      <x:c r="Z4" s="6"/>
    </x:row>
    <x:row r="5" s="1" customFormat="1" ht="26.25" hidden="0" customHeight="1">
      <x:c r="A5" s="7" t="s">
        <x:v>3738</x:v>
      </x:c>
      <x:c r="B5" s="8" t="s">
        <x:v>3734</x:v>
      </x:c>
      <x:c r="C5" s="8" t="s">
        <x:v>3739</x:v>
      </x:c>
      <x:c r="D5" s="6"/>
      <x:c r="E5" s="6"/>
      <x:c r="F5" s="6"/>
      <x:c r="G5" s="6"/>
      <x:c r="H5" s="6"/>
      <x:c r="I5" s="6"/>
      <x:c r="J5" s="6"/>
      <x:c r="K5" s="6"/>
      <x:c r="L5" s="6"/>
      <x:c r="M5" s="6"/>
      <x:c r="N5" s="6"/>
      <x:c r="O5" s="6"/>
      <x:c r="P5" s="6"/>
      <x:c r="Q5" s="6"/>
      <x:c r="R5" s="6"/>
      <x:c r="S5" s="6"/>
      <x:c r="T5" s="6"/>
      <x:c r="U5" s="6"/>
      <x:c r="V5" s="6"/>
      <x:c r="W5" s="6"/>
      <x:c r="X5" s="6"/>
      <x:c r="Y5" s="6"/>
      <x:c r="Z5" s="6"/>
    </x:row>
    <x:row r="6" s="1" customFormat="1" ht="26.25" hidden="0" customHeight="1">
      <x:c r="A6" s="7" t="s">
        <x:v>3729</x:v>
      </x:c>
      <x:c r="B6" s="5" t="s">
        <x:v>3740</x:v>
      </x:c>
      <x:c r="C6" s="5" t="s">
        <x:v>3741</x:v>
      </x:c>
      <x:c r="D6" s="6"/>
      <x:c r="E6" s="6"/>
      <x:c r="F6" s="6"/>
      <x:c r="G6" s="6"/>
      <x:c r="H6" s="6"/>
      <x:c r="I6" s="6"/>
      <x:c r="J6" s="6"/>
      <x:c r="K6" s="6"/>
      <x:c r="L6" s="6"/>
      <x:c r="M6" s="6"/>
      <x:c r="N6" s="6"/>
      <x:c r="O6" s="6"/>
      <x:c r="P6" s="6"/>
      <x:c r="Q6" s="6"/>
      <x:c r="R6" s="6"/>
      <x:c r="S6" s="6"/>
      <x:c r="T6" s="6"/>
      <x:c r="U6" s="6"/>
      <x:c r="V6" s="6"/>
      <x:c r="W6" s="6"/>
      <x:c r="X6" s="6"/>
      <x:c r="Y6" s="6"/>
      <x:c r="Z6" s="6"/>
    </x:row>
    <x:row r="7" s="1" customFormat="1" ht="12.75" hidden="0" customHeight="1">
      <x:c r="A7" s="6"/>
      <x:c r="B7" s="6"/>
      <x:c r="C7" s="6"/>
      <x:c r="D7" s="6"/>
      <x:c r="E7" s="6"/>
      <x:c r="F7" s="6"/>
      <x:c r="G7" s="6"/>
      <x:c r="H7" s="6"/>
      <x:c r="I7" s="6"/>
      <x:c r="J7" s="6"/>
      <x:c r="K7" s="6"/>
      <x:c r="L7" s="6"/>
      <x:c r="M7" s="6"/>
      <x:c r="N7" s="6"/>
      <x:c r="O7" s="6"/>
      <x:c r="P7" s="6"/>
      <x:c r="Q7" s="6"/>
      <x:c r="R7" s="6"/>
      <x:c r="S7" s="6"/>
      <x:c r="T7" s="6"/>
      <x:c r="U7" s="6"/>
      <x:c r="V7" s="6"/>
      <x:c r="W7" s="6"/>
      <x:c r="X7" s="6"/>
      <x:c r="Y7" s="6"/>
      <x:c r="Z7" s="6"/>
    </x:row>
    <x:row r="8" s="1" customFormat="1" ht="12.75" hidden="0" customHeight="1">
      <x:c r="A8" s="6"/>
      <x:c r="B8" s="6"/>
      <x:c r="C8" s="6"/>
      <x:c r="D8" s="6"/>
      <x:c r="E8" s="6"/>
      <x:c r="F8" s="6"/>
      <x:c r="G8" s="6"/>
      <x:c r="H8" s="6"/>
      <x:c r="I8" s="6"/>
      <x:c r="J8" s="6"/>
      <x:c r="K8" s="6"/>
      <x:c r="L8" s="6"/>
      <x:c r="M8" s="6"/>
      <x:c r="N8" s="6"/>
      <x:c r="O8" s="6"/>
      <x:c r="P8" s="6"/>
      <x:c r="Q8" s="6"/>
      <x:c r="R8" s="6"/>
      <x:c r="S8" s="6"/>
      <x:c r="T8" s="6"/>
      <x:c r="U8" s="6"/>
      <x:c r="V8" s="6"/>
      <x:c r="W8" s="6"/>
      <x:c r="X8" s="6"/>
      <x:c r="Y8" s="6"/>
      <x:c r="Z8" s="6"/>
    </x:row>
    <x:row r="9" s="1" customFormat="1" ht="12.75" hidden="0" customHeight="1">
      <x:c r="A9" s="6"/>
      <x:c r="B9" s="6"/>
      <x:c r="C9" s="6"/>
      <x:c r="D9" s="6"/>
      <x:c r="E9" s="6"/>
      <x:c r="F9" s="6"/>
      <x:c r="G9" s="6"/>
      <x:c r="H9" s="6"/>
      <x:c r="I9" s="6"/>
      <x:c r="J9" s="6"/>
      <x:c r="K9" s="6"/>
      <x:c r="L9" s="6"/>
      <x:c r="M9" s="6"/>
      <x:c r="N9" s="6"/>
      <x:c r="O9" s="6"/>
      <x:c r="P9" s="6"/>
      <x:c r="Q9" s="6"/>
      <x:c r="R9" s="6"/>
      <x:c r="S9" s="6"/>
      <x:c r="T9" s="6"/>
      <x:c r="U9" s="6"/>
      <x:c r="V9" s="6"/>
      <x:c r="W9" s="6"/>
      <x:c r="X9" s="6"/>
      <x:c r="Y9" s="6"/>
      <x:c r="Z9" s="6"/>
    </x:row>
    <x:row r="10" s="1" customFormat="1" ht="12.75" hidden="0" customHeight="1">
      <x:c r="A10" s="6"/>
      <x:c r="B10" s="6"/>
      <x:c r="C10" s="6"/>
      <x:c r="D10" s="6"/>
      <x:c r="E10" s="6"/>
      <x:c r="F10" s="6"/>
      <x:c r="G10" s="6"/>
      <x:c r="H10" s="6"/>
      <x:c r="I10" s="6"/>
      <x:c r="J10" s="6"/>
      <x:c r="K10" s="6"/>
      <x:c r="L10" s="6"/>
      <x:c r="M10" s="6"/>
      <x:c r="N10" s="6"/>
      <x:c r="O10" s="6"/>
      <x:c r="P10" s="6"/>
      <x:c r="Q10" s="6"/>
      <x:c r="R10" s="6"/>
      <x:c r="S10" s="6"/>
      <x:c r="T10" s="6"/>
      <x:c r="U10" s="6"/>
      <x:c r="V10" s="6"/>
      <x:c r="W10" s="6"/>
      <x:c r="X10" s="6"/>
      <x:c r="Y10" s="6"/>
      <x:c r="Z10" s="6"/>
    </x:row>
    <x:row r="11" s="1" customFormat="1" ht="12.75" hidden="0" customHeight="1">
      <x:c r="A11" s="6"/>
      <x:c r="B11" s="6"/>
      <x:c r="C11" s="6"/>
      <x:c r="D11" s="6"/>
      <x:c r="E11" s="6"/>
      <x:c r="F11" s="6"/>
      <x:c r="G11" s="6"/>
      <x:c r="H11" s="6"/>
      <x:c r="I11" s="6"/>
      <x:c r="J11" s="6"/>
      <x:c r="K11" s="6"/>
      <x:c r="L11" s="6"/>
      <x:c r="M11" s="6"/>
      <x:c r="N11" s="6"/>
      <x:c r="O11" s="6"/>
      <x:c r="P11" s="6"/>
      <x:c r="Q11" s="6"/>
      <x:c r="R11" s="6"/>
      <x:c r="S11" s="6"/>
      <x:c r="T11" s="6"/>
      <x:c r="U11" s="6"/>
      <x:c r="V11" s="6"/>
      <x:c r="W11" s="6"/>
      <x:c r="X11" s="6"/>
      <x:c r="Y11" s="6"/>
      <x:c r="Z11" s="6"/>
    </x:row>
    <x:row r="12" s="1" customFormat="1" ht="12.75" hidden="0" customHeight="1">
      <x:c r="A12" s="6"/>
      <x:c r="B12" s="6"/>
      <x:c r="C12" s="6"/>
      <x:c r="D12" s="6"/>
      <x:c r="E12" s="6"/>
      <x:c r="F12" s="6"/>
      <x:c r="G12" s="6"/>
      <x:c r="H12" s="6"/>
      <x:c r="I12" s="6"/>
      <x:c r="J12" s="6"/>
      <x:c r="K12" s="6"/>
      <x:c r="L12" s="6"/>
      <x:c r="M12" s="6"/>
      <x:c r="N12" s="6"/>
      <x:c r="O12" s="6"/>
      <x:c r="P12" s="6"/>
      <x:c r="Q12" s="6"/>
      <x:c r="R12" s="6"/>
      <x:c r="S12" s="6"/>
      <x:c r="T12" s="6"/>
      <x:c r="U12" s="6"/>
      <x:c r="V12" s="6"/>
      <x:c r="W12" s="6"/>
      <x:c r="X12" s="6"/>
      <x:c r="Y12" s="6"/>
      <x:c r="Z12" s="6"/>
    </x:row>
    <x:row r="13" s="1" customFormat="1" ht="12.75" hidden="0" customHeight="1">
      <x:c r="A13" s="6"/>
      <x:c r="B13" s="6"/>
      <x:c r="C13" s="6"/>
      <x:c r="D13" s="6"/>
      <x:c r="E13" s="6"/>
      <x:c r="F13" s="6"/>
      <x:c r="G13" s="6"/>
      <x:c r="H13" s="6"/>
      <x:c r="I13" s="6"/>
      <x:c r="J13" s="6"/>
      <x:c r="K13" s="6"/>
      <x:c r="L13" s="6"/>
      <x:c r="M13" s="6"/>
      <x:c r="N13" s="6"/>
      <x:c r="O13" s="6"/>
      <x:c r="P13" s="6"/>
      <x:c r="Q13" s="6"/>
      <x:c r="R13" s="6"/>
      <x:c r="S13" s="6"/>
      <x:c r="T13" s="6"/>
      <x:c r="U13" s="6"/>
      <x:c r="V13" s="6"/>
      <x:c r="W13" s="6"/>
      <x:c r="X13" s="6"/>
      <x:c r="Y13" s="6"/>
      <x:c r="Z13" s="6"/>
    </x:row>
    <x:row r="14" s="1" customFormat="1" ht="12.75" hidden="0" customHeight="1">
      <x:c r="A14" s="6"/>
      <x:c r="B14" s="6"/>
      <x:c r="C14" s="6"/>
      <x:c r="D14" s="6"/>
      <x:c r="E14" s="6"/>
      <x:c r="F14" s="6"/>
      <x:c r="G14" s="6"/>
      <x:c r="H14" s="6"/>
      <x:c r="I14" s="6"/>
      <x:c r="J14" s="6"/>
      <x:c r="K14" s="6"/>
      <x:c r="L14" s="6"/>
      <x:c r="M14" s="6"/>
      <x:c r="N14" s="6"/>
      <x:c r="O14" s="6"/>
      <x:c r="P14" s="6"/>
      <x:c r="Q14" s="6"/>
      <x:c r="R14" s="6"/>
      <x:c r="S14" s="6"/>
      <x:c r="T14" s="6"/>
      <x:c r="U14" s="6"/>
      <x:c r="V14" s="6"/>
      <x:c r="W14" s="6"/>
      <x:c r="X14" s="6"/>
      <x:c r="Y14" s="6"/>
      <x:c r="Z14" s="6"/>
    </x:row>
    <x:row r="15" s="1" customFormat="1" ht="12.75" hidden="0" customHeight="1">
      <x:c r="A15" s="6"/>
      <x:c r="B15" s="6"/>
      <x:c r="C15" s="6"/>
      <x:c r="D15" s="6"/>
      <x:c r="E15" s="6"/>
      <x:c r="F15" s="6"/>
      <x:c r="G15" s="6"/>
      <x:c r="H15" s="6"/>
      <x:c r="I15" s="6"/>
      <x:c r="J15" s="6"/>
      <x:c r="K15" s="6"/>
      <x:c r="L15" s="6"/>
      <x:c r="M15" s="6"/>
      <x:c r="N15" s="6"/>
      <x:c r="O15" s="6"/>
      <x:c r="P15" s="6"/>
      <x:c r="Q15" s="6"/>
      <x:c r="R15" s="6"/>
      <x:c r="S15" s="6"/>
      <x:c r="T15" s="6"/>
      <x:c r="U15" s="6"/>
      <x:c r="V15" s="6"/>
      <x:c r="W15" s="6"/>
      <x:c r="X15" s="6"/>
      <x:c r="Y15" s="6"/>
      <x:c r="Z15" s="6"/>
    </x:row>
    <x:row r="16" s="1" customFormat="1" ht="12.75" hidden="0" customHeight="1">
      <x:c r="A16" s="6"/>
      <x:c r="B16" s="6"/>
      <x:c r="C16" s="6"/>
      <x:c r="D16" s="6"/>
      <x:c r="E16" s="6"/>
      <x:c r="F16" s="6"/>
      <x:c r="G16" s="6"/>
      <x:c r="H16" s="6"/>
      <x:c r="I16" s="6"/>
      <x:c r="J16" s="6"/>
      <x:c r="K16" s="6"/>
      <x:c r="L16" s="6"/>
      <x:c r="M16" s="6"/>
      <x:c r="N16" s="6"/>
      <x:c r="O16" s="6"/>
      <x:c r="P16" s="6"/>
      <x:c r="Q16" s="6"/>
      <x:c r="R16" s="6"/>
      <x:c r="S16" s="6"/>
      <x:c r="T16" s="6"/>
      <x:c r="U16" s="6"/>
      <x:c r="V16" s="6"/>
      <x:c r="W16" s="6"/>
      <x:c r="X16" s="6"/>
      <x:c r="Y16" s="6"/>
      <x:c r="Z16" s="6"/>
    </x:row>
    <x:row r="17" s="1" customFormat="1" ht="12.75" hidden="0" customHeight="1">
      <x:c r="A17" s="6"/>
      <x:c r="B17" s="6"/>
      <x:c r="C17" s="6"/>
      <x:c r="D17" s="6"/>
      <x:c r="E17" s="6"/>
      <x:c r="F17" s="6"/>
      <x:c r="G17" s="6"/>
      <x:c r="H17" s="6"/>
      <x:c r="I17" s="6"/>
      <x:c r="J17" s="6"/>
      <x:c r="K17" s="6"/>
      <x:c r="L17" s="6"/>
      <x:c r="M17" s="6"/>
      <x:c r="N17" s="6"/>
      <x:c r="O17" s="6"/>
      <x:c r="P17" s="6"/>
      <x:c r="Q17" s="6"/>
      <x:c r="R17" s="6"/>
      <x:c r="S17" s="6"/>
      <x:c r="T17" s="6"/>
      <x:c r="U17" s="6"/>
      <x:c r="V17" s="6"/>
      <x:c r="W17" s="6"/>
      <x:c r="X17" s="6"/>
      <x:c r="Y17" s="6"/>
      <x:c r="Z17" s="6"/>
    </x:row>
    <x:row r="18" s="1" customFormat="1" ht="12.75" hidden="0" customHeight="1">
      <x:c r="A18" s="6"/>
      <x:c r="B18" s="6"/>
      <x:c r="C18" s="6"/>
      <x:c r="D18" s="6"/>
      <x:c r="E18" s="6"/>
      <x:c r="F18" s="6"/>
      <x:c r="G18" s="6"/>
      <x:c r="H18" s="6"/>
      <x:c r="I18" s="6"/>
      <x:c r="J18" s="6"/>
      <x:c r="K18" s="6"/>
      <x:c r="L18" s="6"/>
      <x:c r="M18" s="6"/>
      <x:c r="N18" s="6"/>
      <x:c r="O18" s="6"/>
      <x:c r="P18" s="6"/>
      <x:c r="Q18" s="6"/>
      <x:c r="R18" s="6"/>
      <x:c r="S18" s="6"/>
      <x:c r="T18" s="6"/>
      <x:c r="U18" s="6"/>
      <x:c r="V18" s="6"/>
      <x:c r="W18" s="6"/>
      <x:c r="X18" s="6"/>
      <x:c r="Y18" s="6"/>
      <x:c r="Z18" s="6"/>
    </x:row>
    <x:row r="19" s="1" customFormat="1" ht="12.75" hidden="0" customHeight="1">
      <x:c r="A19" s="6"/>
      <x:c r="B19" s="6"/>
      <x:c r="C19" s="6"/>
      <x:c r="D19" s="6"/>
      <x:c r="E19" s="6"/>
      <x:c r="F19" s="6"/>
      <x:c r="G19" s="6"/>
      <x:c r="H19" s="6"/>
      <x:c r="I19" s="6"/>
      <x:c r="J19" s="6"/>
      <x:c r="K19" s="6"/>
      <x:c r="L19" s="6"/>
      <x:c r="M19" s="6"/>
      <x:c r="N19" s="6"/>
      <x:c r="O19" s="6"/>
      <x:c r="P19" s="6"/>
      <x:c r="Q19" s="6"/>
      <x:c r="R19" s="6"/>
      <x:c r="S19" s="6"/>
      <x:c r="T19" s="6"/>
      <x:c r="U19" s="6"/>
      <x:c r="V19" s="6"/>
      <x:c r="W19" s="6"/>
      <x:c r="X19" s="6"/>
      <x:c r="Y19" s="6"/>
      <x:c r="Z19" s="6"/>
    </x:row>
    <x:row r="20" s="1" customFormat="1" ht="12.75" hidden="0" customHeight="1">
      <x:c r="A20" s="6"/>
      <x:c r="B20" s="6"/>
      <x:c r="C20" s="6"/>
      <x:c r="D20" s="6"/>
      <x:c r="E20" s="6"/>
      <x:c r="F20" s="6"/>
      <x:c r="G20" s="6"/>
      <x:c r="H20" s="6"/>
      <x:c r="I20" s="6"/>
      <x:c r="J20" s="6"/>
      <x:c r="K20" s="6"/>
      <x:c r="L20" s="6"/>
      <x:c r="M20" s="6"/>
      <x:c r="N20" s="6"/>
      <x:c r="O20" s="6"/>
      <x:c r="P20" s="6"/>
      <x:c r="Q20" s="6"/>
      <x:c r="R20" s="6"/>
      <x:c r="S20" s="6"/>
      <x:c r="T20" s="6"/>
      <x:c r="U20" s="6"/>
      <x:c r="V20" s="6"/>
      <x:c r="W20" s="6"/>
      <x:c r="X20" s="6"/>
      <x:c r="Y20" s="6"/>
      <x:c r="Z20" s="6"/>
    </x:row>
    <x:row r="21" s="1" customFormat="1" ht="12.75" hidden="0" customHeight="1">
      <x:c r="A21" s="6"/>
      <x:c r="B21" s="6"/>
      <x:c r="C21" s="6"/>
      <x:c r="D21" s="6"/>
      <x:c r="E21" s="6"/>
      <x:c r="F21" s="6"/>
      <x:c r="G21" s="6"/>
      <x:c r="H21" s="6"/>
      <x:c r="I21" s="6"/>
      <x:c r="J21" s="6"/>
      <x:c r="K21" s="6"/>
      <x:c r="L21" s="6"/>
      <x:c r="M21" s="6"/>
      <x:c r="N21" s="6"/>
      <x:c r="O21" s="6"/>
      <x:c r="P21" s="6"/>
      <x:c r="Q21" s="6"/>
      <x:c r="R21" s="6"/>
      <x:c r="S21" s="6"/>
      <x:c r="T21" s="6"/>
      <x:c r="U21" s="6"/>
      <x:c r="V21" s="6"/>
      <x:c r="W21" s="6"/>
      <x:c r="X21" s="6"/>
      <x:c r="Y21" s="6"/>
      <x:c r="Z21" s="6"/>
    </x:row>
    <x:row r="22" s="1" customFormat="1" ht="12.75" hidden="0" customHeight="1">
      <x:c r="A22" s="6"/>
      <x:c r="B22" s="6"/>
      <x:c r="C22" s="6"/>
      <x:c r="D22" s="6"/>
      <x:c r="E22" s="6"/>
      <x:c r="F22" s="6"/>
      <x:c r="G22" s="6"/>
      <x:c r="H22" s="6"/>
      <x:c r="I22" s="6"/>
      <x:c r="J22" s="6"/>
      <x:c r="K22" s="6"/>
      <x:c r="L22" s="6"/>
      <x:c r="M22" s="6"/>
      <x:c r="N22" s="6"/>
      <x:c r="O22" s="6"/>
      <x:c r="P22" s="6"/>
      <x:c r="Q22" s="6"/>
      <x:c r="R22" s="6"/>
      <x:c r="S22" s="6"/>
      <x:c r="T22" s="6"/>
      <x:c r="U22" s="6"/>
      <x:c r="V22" s="6"/>
      <x:c r="W22" s="6"/>
      <x:c r="X22" s="6"/>
      <x:c r="Y22" s="6"/>
      <x:c r="Z22" s="6"/>
    </x:row>
    <x:row r="23" s="1" customFormat="1" ht="12.75" hidden="0" customHeight="1">
      <x:c r="A23" s="6"/>
      <x:c r="B23" s="6"/>
      <x:c r="C23" s="6"/>
      <x:c r="D23" s="6"/>
      <x:c r="E23" s="6"/>
      <x:c r="F23" s="6"/>
      <x:c r="G23" s="6"/>
      <x:c r="H23" s="6"/>
      <x:c r="I23" s="6"/>
      <x:c r="J23" s="6"/>
      <x:c r="K23" s="6"/>
      <x:c r="L23" s="6"/>
      <x:c r="M23" s="6"/>
      <x:c r="N23" s="6"/>
      <x:c r="O23" s="6"/>
      <x:c r="P23" s="6"/>
      <x:c r="Q23" s="6"/>
      <x:c r="R23" s="6"/>
      <x:c r="S23" s="6"/>
      <x:c r="T23" s="6"/>
      <x:c r="U23" s="6"/>
      <x:c r="V23" s="6"/>
      <x:c r="W23" s="6"/>
      <x:c r="X23" s="6"/>
      <x:c r="Y23" s="6"/>
      <x:c r="Z23" s="6"/>
    </x:row>
    <x:row r="24" s="1" customFormat="1" ht="12.75" hidden="0" customHeight="1">
      <x:c r="A24" s="6"/>
      <x:c r="B24" s="6"/>
      <x:c r="C24" s="6"/>
      <x:c r="D24" s="6"/>
      <x:c r="E24" s="6"/>
      <x:c r="F24" s="6"/>
      <x:c r="G24" s="6"/>
      <x:c r="H24" s="6"/>
      <x:c r="I24" s="6"/>
      <x:c r="J24" s="6"/>
      <x:c r="K24" s="6"/>
      <x:c r="L24" s="6"/>
      <x:c r="M24" s="6"/>
      <x:c r="N24" s="6"/>
      <x:c r="O24" s="6"/>
      <x:c r="P24" s="6"/>
      <x:c r="Q24" s="6"/>
      <x:c r="R24" s="6"/>
      <x:c r="S24" s="6"/>
      <x:c r="T24" s="6"/>
      <x:c r="U24" s="6"/>
      <x:c r="V24" s="6"/>
      <x:c r="W24" s="6"/>
      <x:c r="X24" s="6"/>
      <x:c r="Y24" s="6"/>
      <x:c r="Z24" s="6"/>
    </x:row>
    <x:row r="25" s="1" customFormat="1" ht="12.75" hidden="0" customHeight="1">
      <x:c r="A25" s="6"/>
      <x:c r="B25" s="6"/>
      <x:c r="C25" s="6"/>
      <x:c r="D25" s="6"/>
      <x:c r="E25" s="6"/>
      <x:c r="F25" s="6"/>
      <x:c r="G25" s="6"/>
      <x:c r="H25" s="6"/>
      <x:c r="I25" s="6"/>
      <x:c r="J25" s="6"/>
      <x:c r="K25" s="6"/>
      <x:c r="L25" s="6"/>
      <x:c r="M25" s="6"/>
      <x:c r="N25" s="6"/>
      <x:c r="O25" s="6"/>
      <x:c r="P25" s="6"/>
      <x:c r="Q25" s="6"/>
      <x:c r="R25" s="6"/>
      <x:c r="S25" s="6"/>
      <x:c r="T25" s="6"/>
      <x:c r="U25" s="6"/>
      <x:c r="V25" s="6"/>
      <x:c r="W25" s="6"/>
      <x:c r="X25" s="6"/>
      <x:c r="Y25" s="6"/>
      <x:c r="Z25" s="6"/>
    </x:row>
    <x:row r="26" s="1" customFormat="1" ht="12.75" hidden="0" customHeight="1">
      <x:c r="A26" s="6"/>
      <x:c r="B26" s="6"/>
      <x:c r="C26" s="6"/>
      <x:c r="D26" s="6"/>
      <x:c r="E26" s="6"/>
      <x:c r="F26" s="6"/>
      <x:c r="G26" s="6"/>
      <x:c r="H26" s="6"/>
      <x:c r="I26" s="6"/>
      <x:c r="J26" s="6"/>
      <x:c r="K26" s="6"/>
      <x:c r="L26" s="6"/>
      <x:c r="M26" s="6"/>
      <x:c r="N26" s="6"/>
      <x:c r="O26" s="6"/>
      <x:c r="P26" s="6"/>
      <x:c r="Q26" s="6"/>
      <x:c r="R26" s="6"/>
      <x:c r="S26" s="6"/>
      <x:c r="T26" s="6"/>
      <x:c r="U26" s="6"/>
      <x:c r="V26" s="6"/>
      <x:c r="W26" s="6"/>
      <x:c r="X26" s="6"/>
      <x:c r="Y26" s="6"/>
      <x:c r="Z26" s="6"/>
    </x:row>
    <x:row r="27" s="1" customFormat="1" ht="12.75" hidden="0" customHeight="1">
      <x:c r="A27" s="6"/>
      <x:c r="B27" s="6"/>
      <x:c r="C27" s="6"/>
      <x:c r="D27" s="6"/>
      <x:c r="E27" s="6"/>
      <x:c r="F27" s="6"/>
      <x:c r="G27" s="6"/>
      <x:c r="H27" s="6"/>
      <x:c r="I27" s="6"/>
      <x:c r="J27" s="6"/>
      <x:c r="K27" s="6"/>
      <x:c r="L27" s="6"/>
      <x:c r="M27" s="6"/>
      <x:c r="N27" s="6"/>
      <x:c r="O27" s="6"/>
      <x:c r="P27" s="6"/>
      <x:c r="Q27" s="6"/>
      <x:c r="R27" s="6"/>
      <x:c r="S27" s="6"/>
      <x:c r="T27" s="6"/>
      <x:c r="U27" s="6"/>
      <x:c r="V27" s="6"/>
      <x:c r="W27" s="6"/>
      <x:c r="X27" s="6"/>
      <x:c r="Y27" s="6"/>
      <x:c r="Z27" s="6"/>
    </x:row>
    <x:row r="28" s="1" customFormat="1" ht="12.75" hidden="0" customHeight="1">
      <x:c r="A28" s="6"/>
      <x:c r="B28" s="6"/>
      <x:c r="C28" s="6"/>
      <x:c r="D28" s="6"/>
      <x:c r="E28" s="6"/>
      <x:c r="F28" s="6"/>
      <x:c r="G28" s="6"/>
      <x:c r="H28" s="6"/>
      <x:c r="I28" s="6"/>
      <x:c r="J28" s="6"/>
      <x:c r="K28" s="6"/>
      <x:c r="L28" s="6"/>
      <x:c r="M28" s="6"/>
      <x:c r="N28" s="6"/>
      <x:c r="O28" s="6"/>
      <x:c r="P28" s="6"/>
      <x:c r="Q28" s="6"/>
      <x:c r="R28" s="6"/>
      <x:c r="S28" s="6"/>
      <x:c r="T28" s="6"/>
      <x:c r="U28" s="6"/>
      <x:c r="V28" s="6"/>
      <x:c r="W28" s="6"/>
      <x:c r="X28" s="6"/>
      <x:c r="Y28" s="6"/>
      <x:c r="Z28" s="6"/>
    </x:row>
    <x:row r="29" s="1" customFormat="1" ht="12.75" hidden="0" customHeight="1">
      <x:c r="A29" s="6"/>
      <x:c r="B29" s="6"/>
      <x:c r="C29" s="6"/>
      <x:c r="D29" s="6"/>
      <x:c r="E29" s="6"/>
      <x:c r="F29" s="6"/>
      <x:c r="G29" s="6"/>
      <x:c r="H29" s="6"/>
      <x:c r="I29" s="6"/>
      <x:c r="J29" s="6"/>
      <x:c r="K29" s="6"/>
      <x:c r="L29" s="6"/>
      <x:c r="M29" s="6"/>
      <x:c r="N29" s="6"/>
      <x:c r="O29" s="6"/>
      <x:c r="P29" s="6"/>
      <x:c r="Q29" s="6"/>
      <x:c r="R29" s="6"/>
      <x:c r="S29" s="6"/>
      <x:c r="T29" s="6"/>
      <x:c r="U29" s="6"/>
      <x:c r="V29" s="6"/>
      <x:c r="W29" s="6"/>
      <x:c r="X29" s="6"/>
      <x:c r="Y29" s="6"/>
      <x:c r="Z29" s="6"/>
    </x:row>
    <x:row r="30" s="1" customFormat="1" ht="12.75" hidden="0" customHeight="1">
      <x:c r="A30" s="6"/>
      <x:c r="B30" s="6"/>
      <x:c r="C30" s="6"/>
      <x:c r="D30" s="6"/>
      <x:c r="E30" s="6"/>
      <x:c r="F30" s="6"/>
      <x:c r="G30" s="6"/>
      <x:c r="H30" s="6"/>
      <x:c r="I30" s="6"/>
      <x:c r="J30" s="6"/>
      <x:c r="K30" s="6"/>
      <x:c r="L30" s="6"/>
      <x:c r="M30" s="6"/>
      <x:c r="N30" s="6"/>
      <x:c r="O30" s="6"/>
      <x:c r="P30" s="6"/>
      <x:c r="Q30" s="6"/>
      <x:c r="R30" s="6"/>
      <x:c r="S30" s="6"/>
      <x:c r="T30" s="6"/>
      <x:c r="U30" s="6"/>
      <x:c r="V30" s="6"/>
      <x:c r="W30" s="6"/>
      <x:c r="X30" s="6"/>
      <x:c r="Y30" s="6"/>
      <x:c r="Z30" s="6"/>
    </x:row>
    <x:row r="31" s="1" customFormat="1" ht="12.75" hidden="0" customHeight="1">
      <x:c r="A31" s="6"/>
      <x:c r="B31" s="6"/>
      <x:c r="C31" s="6"/>
      <x:c r="D31" s="6"/>
      <x:c r="E31" s="6"/>
      <x:c r="F31" s="6"/>
      <x:c r="G31" s="6"/>
      <x:c r="H31" s="6"/>
      <x:c r="I31" s="6"/>
      <x:c r="J31" s="6"/>
      <x:c r="K31" s="6"/>
      <x:c r="L31" s="6"/>
      <x:c r="M31" s="6"/>
      <x:c r="N31" s="6"/>
      <x:c r="O31" s="6"/>
      <x:c r="P31" s="6"/>
      <x:c r="Q31" s="6"/>
      <x:c r="R31" s="6"/>
      <x:c r="S31" s="6"/>
      <x:c r="T31" s="6"/>
      <x:c r="U31" s="6"/>
      <x:c r="V31" s="6"/>
      <x:c r="W31" s="6"/>
      <x:c r="X31" s="6"/>
      <x:c r="Y31" s="6"/>
      <x:c r="Z31" s="6"/>
    </x:row>
    <x:row r="32" s="1" customFormat="1" ht="12.75" hidden="0" customHeight="1">
      <x:c r="A32" s="6"/>
      <x:c r="B32" s="6"/>
      <x:c r="C32" s="6"/>
      <x:c r="D32" s="6"/>
      <x:c r="E32" s="6"/>
      <x:c r="F32" s="6"/>
      <x:c r="G32" s="6"/>
      <x:c r="H32" s="6"/>
      <x:c r="I32" s="6"/>
      <x:c r="J32" s="6"/>
      <x:c r="K32" s="6"/>
      <x:c r="L32" s="6"/>
      <x:c r="M32" s="6"/>
      <x:c r="N32" s="6"/>
      <x:c r="O32" s="6"/>
      <x:c r="P32" s="6"/>
      <x:c r="Q32" s="6"/>
      <x:c r="R32" s="6"/>
      <x:c r="S32" s="6"/>
      <x:c r="T32" s="6"/>
      <x:c r="U32" s="6"/>
      <x:c r="V32" s="6"/>
      <x:c r="W32" s="6"/>
      <x:c r="X32" s="6"/>
      <x:c r="Y32" s="6"/>
      <x:c r="Z32" s="6"/>
    </x:row>
    <x:row r="33" s="1" customFormat="1" ht="12.75" hidden="0" customHeight="1">
      <x:c r="A33" s="6"/>
      <x:c r="B33" s="6"/>
      <x:c r="C33" s="6"/>
      <x:c r="D33" s="6"/>
      <x:c r="E33" s="6"/>
      <x:c r="F33" s="6"/>
      <x:c r="G33" s="6"/>
      <x:c r="H33" s="6"/>
      <x:c r="I33" s="6"/>
      <x:c r="J33" s="6"/>
      <x:c r="K33" s="6"/>
      <x:c r="L33" s="6"/>
      <x:c r="M33" s="6"/>
      <x:c r="N33" s="6"/>
      <x:c r="O33" s="6"/>
      <x:c r="P33" s="6"/>
      <x:c r="Q33" s="6"/>
      <x:c r="R33" s="6"/>
      <x:c r="S33" s="6"/>
      <x:c r="T33" s="6"/>
      <x:c r="U33" s="6"/>
      <x:c r="V33" s="6"/>
      <x:c r="W33" s="6"/>
      <x:c r="X33" s="6"/>
      <x:c r="Y33" s="6"/>
      <x:c r="Z33" s="6"/>
    </x:row>
    <x:row r="34" s="1" customFormat="1" ht="12.75" hidden="0" customHeight="1">
      <x:c r="A34" s="6"/>
      <x:c r="B34" s="6"/>
      <x:c r="C34" s="6"/>
      <x:c r="D34" s="6"/>
      <x:c r="E34" s="6"/>
      <x:c r="F34" s="6"/>
      <x:c r="G34" s="6"/>
      <x:c r="H34" s="6"/>
      <x:c r="I34" s="6"/>
      <x:c r="J34" s="6"/>
      <x:c r="K34" s="6"/>
      <x:c r="L34" s="6"/>
      <x:c r="M34" s="6"/>
      <x:c r="N34" s="6"/>
      <x:c r="O34" s="6"/>
      <x:c r="P34" s="6"/>
      <x:c r="Q34" s="6"/>
      <x:c r="R34" s="6"/>
      <x:c r="S34" s="6"/>
      <x:c r="T34" s="6"/>
      <x:c r="U34" s="6"/>
      <x:c r="V34" s="6"/>
      <x:c r="W34" s="6"/>
      <x:c r="X34" s="6"/>
      <x:c r="Y34" s="6"/>
      <x:c r="Z34" s="6"/>
    </x:row>
    <x:row r="35" s="1" customFormat="1" ht="12.75" hidden="0" customHeight="1">
      <x:c r="A35" s="6"/>
      <x:c r="B35" s="6"/>
      <x:c r="C35" s="6"/>
      <x:c r="D35" s="6"/>
      <x:c r="E35" s="6"/>
      <x:c r="F35" s="6"/>
      <x:c r="G35" s="6"/>
      <x:c r="H35" s="6"/>
      <x:c r="I35" s="6"/>
      <x:c r="J35" s="6"/>
      <x:c r="K35" s="6"/>
      <x:c r="L35" s="6"/>
      <x:c r="M35" s="6"/>
      <x:c r="N35" s="6"/>
      <x:c r="O35" s="6"/>
      <x:c r="P35" s="6"/>
      <x:c r="Q35" s="6"/>
      <x:c r="R35" s="6"/>
      <x:c r="S35" s="6"/>
      <x:c r="T35" s="6"/>
      <x:c r="U35" s="6"/>
      <x:c r="V35" s="6"/>
      <x:c r="W35" s="6"/>
      <x:c r="X35" s="6"/>
      <x:c r="Y35" s="6"/>
      <x:c r="Z35" s="6"/>
    </x:row>
    <x:row r="36" s="1" customFormat="1" ht="12.75" hidden="0" customHeight="1">
      <x:c r="A36" s="6"/>
      <x:c r="B36" s="6"/>
      <x:c r="C36" s="6"/>
      <x:c r="D36" s="6"/>
      <x:c r="E36" s="6"/>
      <x:c r="F36" s="6"/>
      <x:c r="G36" s="6"/>
      <x:c r="H36" s="6"/>
      <x:c r="I36" s="6"/>
      <x:c r="J36" s="6"/>
      <x:c r="K36" s="6"/>
      <x:c r="L36" s="6"/>
      <x:c r="M36" s="6"/>
      <x:c r="N36" s="6"/>
      <x:c r="O36" s="6"/>
      <x:c r="P36" s="6"/>
      <x:c r="Q36" s="6"/>
      <x:c r="R36" s="6"/>
      <x:c r="S36" s="6"/>
      <x:c r="T36" s="6"/>
      <x:c r="U36" s="6"/>
      <x:c r="V36" s="6"/>
      <x:c r="W36" s="6"/>
      <x:c r="X36" s="6"/>
      <x:c r="Y36" s="6"/>
      <x:c r="Z36" s="6"/>
    </x:row>
    <x:row r="37" s="1" customFormat="1" ht="12.75" hidden="0" customHeight="1">
      <x:c r="A37" s="6"/>
      <x:c r="B37" s="6"/>
      <x:c r="C37" s="6"/>
      <x:c r="D37" s="6"/>
      <x:c r="E37" s="6"/>
      <x:c r="F37" s="6"/>
      <x:c r="G37" s="6"/>
      <x:c r="H37" s="6"/>
      <x:c r="I37" s="6"/>
      <x:c r="J37" s="6"/>
      <x:c r="K37" s="6"/>
      <x:c r="L37" s="6"/>
      <x:c r="M37" s="6"/>
      <x:c r="N37" s="6"/>
      <x:c r="O37" s="6"/>
      <x:c r="P37" s="6"/>
      <x:c r="Q37" s="6"/>
      <x:c r="R37" s="6"/>
      <x:c r="S37" s="6"/>
      <x:c r="T37" s="6"/>
      <x:c r="U37" s="6"/>
      <x:c r="V37" s="6"/>
      <x:c r="W37" s="6"/>
      <x:c r="X37" s="6"/>
      <x:c r="Y37" s="6"/>
      <x:c r="Z37" s="6"/>
    </x:row>
    <x:row r="38" s="1" customFormat="1" ht="12.75" hidden="0" customHeight="1">
      <x:c r="A38" s="6"/>
      <x:c r="B38" s="6"/>
      <x:c r="C38" s="6"/>
      <x:c r="D38" s="6"/>
      <x:c r="E38" s="6"/>
      <x:c r="F38" s="6"/>
      <x:c r="G38" s="6"/>
      <x:c r="H38" s="6"/>
      <x:c r="I38" s="6"/>
      <x:c r="J38" s="6"/>
      <x:c r="K38" s="6"/>
      <x:c r="L38" s="6"/>
      <x:c r="M38" s="6"/>
      <x:c r="N38" s="6"/>
      <x:c r="O38" s="6"/>
      <x:c r="P38" s="6"/>
      <x:c r="Q38" s="6"/>
      <x:c r="R38" s="6"/>
      <x:c r="S38" s="6"/>
      <x:c r="T38" s="6"/>
      <x:c r="U38" s="6"/>
      <x:c r="V38" s="6"/>
      <x:c r="W38" s="6"/>
      <x:c r="X38" s="6"/>
      <x:c r="Y38" s="6"/>
      <x:c r="Z38" s="6"/>
    </x:row>
    <x:row r="39" s="1" customFormat="1" ht="12.75" hidden="0" customHeight="1">
      <x:c r="A39" s="6"/>
      <x:c r="B39" s="6"/>
      <x:c r="C39" s="6"/>
      <x:c r="D39" s="6"/>
      <x:c r="E39" s="6"/>
      <x:c r="F39" s="6"/>
      <x:c r="G39" s="6"/>
      <x:c r="H39" s="6"/>
      <x:c r="I39" s="6"/>
      <x:c r="J39" s="6"/>
      <x:c r="K39" s="6"/>
      <x:c r="L39" s="6"/>
      <x:c r="M39" s="6"/>
      <x:c r="N39" s="6"/>
      <x:c r="O39" s="6"/>
      <x:c r="P39" s="6"/>
      <x:c r="Q39" s="6"/>
      <x:c r="R39" s="6"/>
      <x:c r="S39" s="6"/>
      <x:c r="T39" s="6"/>
      <x:c r="U39" s="6"/>
      <x:c r="V39" s="6"/>
      <x:c r="W39" s="6"/>
      <x:c r="X39" s="6"/>
      <x:c r="Y39" s="6"/>
      <x:c r="Z39" s="6"/>
    </x:row>
    <x:row r="40" s="1" customFormat="1" ht="12.75" hidden="0" customHeight="1">
      <x:c r="A40" s="6"/>
      <x:c r="B40" s="6"/>
      <x:c r="C40" s="6"/>
      <x:c r="D40" s="6"/>
      <x:c r="E40" s="6"/>
      <x:c r="F40" s="6"/>
      <x:c r="G40" s="6"/>
      <x:c r="H40" s="6"/>
      <x:c r="I40" s="6"/>
      <x:c r="J40" s="6"/>
      <x:c r="K40" s="6"/>
      <x:c r="L40" s="6"/>
      <x:c r="M40" s="6"/>
      <x:c r="N40" s="6"/>
      <x:c r="O40" s="6"/>
      <x:c r="P40" s="6"/>
      <x:c r="Q40" s="6"/>
      <x:c r="R40" s="6"/>
      <x:c r="S40" s="6"/>
      <x:c r="T40" s="6"/>
      <x:c r="U40" s="6"/>
      <x:c r="V40" s="6"/>
      <x:c r="W40" s="6"/>
      <x:c r="X40" s="6"/>
      <x:c r="Y40" s="6"/>
      <x:c r="Z40" s="6"/>
    </x:row>
    <x:row r="41" s="1" customFormat="1" ht="12.75" hidden="0" customHeight="1">
      <x:c r="A41" s="6"/>
      <x:c r="B41" s="6"/>
      <x:c r="C41" s="6"/>
      <x:c r="D41" s="6"/>
      <x:c r="E41" s="6"/>
      <x:c r="F41" s="6"/>
      <x:c r="G41" s="6"/>
      <x:c r="H41" s="6"/>
      <x:c r="I41" s="6"/>
      <x:c r="J41" s="6"/>
      <x:c r="K41" s="6"/>
      <x:c r="L41" s="6"/>
      <x:c r="M41" s="6"/>
      <x:c r="N41" s="6"/>
      <x:c r="O41" s="6"/>
      <x:c r="P41" s="6"/>
      <x:c r="Q41" s="6"/>
      <x:c r="R41" s="6"/>
      <x:c r="S41" s="6"/>
      <x:c r="T41" s="6"/>
      <x:c r="U41" s="6"/>
      <x:c r="V41" s="6"/>
      <x:c r="W41" s="6"/>
      <x:c r="X41" s="6"/>
      <x:c r="Y41" s="6"/>
      <x:c r="Z41" s="6"/>
    </x:row>
    <x:row r="42" s="1" customFormat="1" ht="12.75" hidden="0" customHeight="1">
      <x:c r="A42" s="6"/>
      <x:c r="B42" s="6"/>
      <x:c r="C42" s="6"/>
      <x:c r="D42" s="6"/>
      <x:c r="E42" s="6"/>
      <x:c r="F42" s="6"/>
      <x:c r="G42" s="6"/>
      <x:c r="H42" s="6"/>
      <x:c r="I42" s="6"/>
      <x:c r="J42" s="6"/>
      <x:c r="K42" s="6"/>
      <x:c r="L42" s="6"/>
      <x:c r="M42" s="6"/>
      <x:c r="N42" s="6"/>
      <x:c r="O42" s="6"/>
      <x:c r="P42" s="6"/>
      <x:c r="Q42" s="6"/>
      <x:c r="R42" s="6"/>
      <x:c r="S42" s="6"/>
      <x:c r="T42" s="6"/>
      <x:c r="U42" s="6"/>
      <x:c r="V42" s="6"/>
      <x:c r="W42" s="6"/>
      <x:c r="X42" s="6"/>
      <x:c r="Y42" s="6"/>
      <x:c r="Z42" s="6"/>
    </x:row>
    <x:row r="43" s="1" customFormat="1" ht="12.75" hidden="0" customHeight="1">
      <x:c r="A43" s="6"/>
      <x:c r="B43" s="6"/>
      <x:c r="C43" s="6"/>
      <x:c r="D43" s="6"/>
      <x:c r="E43" s="6"/>
      <x:c r="F43" s="6"/>
      <x:c r="G43" s="6"/>
      <x:c r="H43" s="6"/>
      <x:c r="I43" s="6"/>
      <x:c r="J43" s="6"/>
      <x:c r="K43" s="6"/>
      <x:c r="L43" s="6"/>
      <x:c r="M43" s="6"/>
      <x:c r="N43" s="6"/>
      <x:c r="O43" s="6"/>
      <x:c r="P43" s="6"/>
      <x:c r="Q43" s="6"/>
      <x:c r="R43" s="6"/>
      <x:c r="S43" s="6"/>
      <x:c r="T43" s="6"/>
      <x:c r="U43" s="6"/>
      <x:c r="V43" s="6"/>
      <x:c r="W43" s="6"/>
      <x:c r="X43" s="6"/>
      <x:c r="Y43" s="6"/>
      <x:c r="Z43" s="6"/>
    </x:row>
    <x:row r="44" s="1" customFormat="1" ht="12.75" hidden="0" customHeight="1">
      <x:c r="A44" s="6"/>
      <x:c r="B44" s="6"/>
      <x:c r="C44" s="6"/>
      <x:c r="D44" s="6"/>
      <x:c r="E44" s="6"/>
      <x:c r="F44" s="6"/>
      <x:c r="G44" s="6"/>
      <x:c r="H44" s="6"/>
      <x:c r="I44" s="6"/>
      <x:c r="J44" s="6"/>
      <x:c r="K44" s="6"/>
      <x:c r="L44" s="6"/>
      <x:c r="M44" s="6"/>
      <x:c r="N44" s="6"/>
      <x:c r="O44" s="6"/>
      <x:c r="P44" s="6"/>
      <x:c r="Q44" s="6"/>
      <x:c r="R44" s="6"/>
      <x:c r="S44" s="6"/>
      <x:c r="T44" s="6"/>
      <x:c r="U44" s="6"/>
      <x:c r="V44" s="6"/>
      <x:c r="W44" s="6"/>
      <x:c r="X44" s="6"/>
      <x:c r="Y44" s="6"/>
      <x:c r="Z44" s="6"/>
    </x:row>
    <x:row r="45" s="1" customFormat="1" ht="12.75" hidden="0" customHeight="1">
      <x:c r="A45" s="6"/>
      <x:c r="B45" s="6"/>
      <x:c r="C45" s="6"/>
      <x:c r="D45" s="6"/>
      <x:c r="E45" s="6"/>
      <x:c r="F45" s="6"/>
      <x:c r="G45" s="6"/>
      <x:c r="H45" s="6"/>
      <x:c r="I45" s="6"/>
      <x:c r="J45" s="6"/>
      <x:c r="K45" s="6"/>
      <x:c r="L45" s="6"/>
      <x:c r="M45" s="6"/>
      <x:c r="N45" s="6"/>
      <x:c r="O45" s="6"/>
      <x:c r="P45" s="6"/>
      <x:c r="Q45" s="6"/>
      <x:c r="R45" s="6"/>
      <x:c r="S45" s="6"/>
      <x:c r="T45" s="6"/>
      <x:c r="U45" s="6"/>
      <x:c r="V45" s="6"/>
      <x:c r="W45" s="6"/>
      <x:c r="X45" s="6"/>
      <x:c r="Y45" s="6"/>
      <x:c r="Z45" s="6"/>
    </x:row>
    <x:row r="46" s="1" customFormat="1" ht="12.75" hidden="0" customHeight="1">
      <x:c r="A46" s="6"/>
      <x:c r="B46" s="6"/>
      <x:c r="C46" s="6"/>
      <x:c r="D46" s="6"/>
      <x:c r="E46" s="6"/>
      <x:c r="F46" s="6"/>
      <x:c r="G46" s="6"/>
      <x:c r="H46" s="6"/>
      <x:c r="I46" s="6"/>
      <x:c r="J46" s="6"/>
      <x:c r="K46" s="6"/>
      <x:c r="L46" s="6"/>
      <x:c r="M46" s="6"/>
      <x:c r="N46" s="6"/>
      <x:c r="O46" s="6"/>
      <x:c r="P46" s="6"/>
      <x:c r="Q46" s="6"/>
      <x:c r="R46" s="6"/>
      <x:c r="S46" s="6"/>
      <x:c r="T46" s="6"/>
      <x:c r="U46" s="6"/>
      <x:c r="V46" s="6"/>
      <x:c r="W46" s="6"/>
      <x:c r="X46" s="6"/>
      <x:c r="Y46" s="6"/>
      <x:c r="Z46" s="6"/>
    </x:row>
    <x:row r="47" s="1" customFormat="1" ht="12.75" hidden="0" customHeight="1">
      <x:c r="A47" s="6"/>
      <x:c r="B47" s="6"/>
      <x:c r="C47" s="6"/>
      <x:c r="D47" s="6"/>
      <x:c r="E47" s="6"/>
      <x:c r="F47" s="6"/>
      <x:c r="G47" s="6"/>
      <x:c r="H47" s="6"/>
      <x:c r="I47" s="6"/>
      <x:c r="J47" s="6"/>
      <x:c r="K47" s="6"/>
      <x:c r="L47" s="6"/>
      <x:c r="M47" s="6"/>
      <x:c r="N47" s="6"/>
      <x:c r="O47" s="6"/>
      <x:c r="P47" s="6"/>
      <x:c r="Q47" s="6"/>
      <x:c r="R47" s="6"/>
      <x:c r="S47" s="6"/>
      <x:c r="T47" s="6"/>
      <x:c r="U47" s="6"/>
      <x:c r="V47" s="6"/>
      <x:c r="W47" s="6"/>
      <x:c r="X47" s="6"/>
      <x:c r="Y47" s="6"/>
      <x:c r="Z47" s="6"/>
    </x:row>
    <x:row r="48" s="1" customFormat="1" ht="12.75" hidden="0" customHeight="1">
      <x:c r="A48" s="6"/>
      <x:c r="B48" s="6"/>
      <x:c r="C48" s="6"/>
      <x:c r="D48" s="6"/>
      <x:c r="E48" s="6"/>
      <x:c r="F48" s="6"/>
      <x:c r="G48" s="6"/>
      <x:c r="H48" s="6"/>
      <x:c r="I48" s="6"/>
      <x:c r="J48" s="6"/>
      <x:c r="K48" s="6"/>
      <x:c r="L48" s="6"/>
      <x:c r="M48" s="6"/>
      <x:c r="N48" s="6"/>
      <x:c r="O48" s="6"/>
      <x:c r="P48" s="6"/>
      <x:c r="Q48" s="6"/>
      <x:c r="R48" s="6"/>
      <x:c r="S48" s="6"/>
      <x:c r="T48" s="6"/>
      <x:c r="U48" s="6"/>
      <x:c r="V48" s="6"/>
      <x:c r="W48" s="6"/>
      <x:c r="X48" s="6"/>
      <x:c r="Y48" s="6"/>
      <x:c r="Z48" s="6"/>
    </x:row>
    <x:row r="49" s="1" customFormat="1" ht="12.75" hidden="0" customHeight="1">
      <x:c r="A49" s="6"/>
      <x:c r="B49" s="6"/>
      <x:c r="C49" s="6"/>
      <x:c r="D49" s="6"/>
      <x:c r="E49" s="6"/>
      <x:c r="F49" s="6"/>
      <x:c r="G49" s="6"/>
      <x:c r="H49" s="6"/>
      <x:c r="I49" s="6"/>
      <x:c r="J49" s="6"/>
      <x:c r="K49" s="6"/>
      <x:c r="L49" s="6"/>
      <x:c r="M49" s="6"/>
      <x:c r="N49" s="6"/>
      <x:c r="O49" s="6"/>
      <x:c r="P49" s="6"/>
      <x:c r="Q49" s="6"/>
      <x:c r="R49" s="6"/>
      <x:c r="S49" s="6"/>
      <x:c r="T49" s="6"/>
      <x:c r="U49" s="6"/>
      <x:c r="V49" s="6"/>
      <x:c r="W49" s="6"/>
      <x:c r="X49" s="6"/>
      <x:c r="Y49" s="6"/>
      <x:c r="Z49" s="6"/>
    </x:row>
    <x:row r="50" s="1" customFormat="1" ht="12.75" hidden="0" customHeight="1">
      <x:c r="A50" s="6"/>
      <x:c r="B50" s="6"/>
      <x:c r="C50" s="6"/>
      <x:c r="D50" s="6"/>
      <x:c r="E50" s="6"/>
      <x:c r="F50" s="6"/>
      <x:c r="G50" s="6"/>
      <x:c r="H50" s="6"/>
      <x:c r="I50" s="6"/>
      <x:c r="J50" s="6"/>
      <x:c r="K50" s="6"/>
      <x:c r="L50" s="6"/>
      <x:c r="M50" s="6"/>
      <x:c r="N50" s="6"/>
      <x:c r="O50" s="6"/>
      <x:c r="P50" s="6"/>
      <x:c r="Q50" s="6"/>
      <x:c r="R50" s="6"/>
      <x:c r="S50" s="6"/>
      <x:c r="T50" s="6"/>
      <x:c r="U50" s="6"/>
      <x:c r="V50" s="6"/>
      <x:c r="W50" s="6"/>
      <x:c r="X50" s="6"/>
      <x:c r="Y50" s="6"/>
      <x:c r="Z50" s="6"/>
    </x:row>
    <x:row r="51" s="1" customFormat="1" ht="12.75" hidden="0" customHeight="1">
      <x:c r="A51" s="6"/>
      <x:c r="B51" s="6"/>
      <x:c r="C51" s="6"/>
      <x:c r="D51" s="6"/>
      <x:c r="E51" s="6"/>
      <x:c r="F51" s="6"/>
      <x:c r="G51" s="6"/>
      <x:c r="H51" s="6"/>
      <x:c r="I51" s="6"/>
      <x:c r="J51" s="6"/>
      <x:c r="K51" s="6"/>
      <x:c r="L51" s="6"/>
      <x:c r="M51" s="6"/>
      <x:c r="N51" s="6"/>
      <x:c r="O51" s="6"/>
      <x:c r="P51" s="6"/>
      <x:c r="Q51" s="6"/>
      <x:c r="R51" s="6"/>
      <x:c r="S51" s="6"/>
      <x:c r="T51" s="6"/>
      <x:c r="U51" s="6"/>
      <x:c r="V51" s="6"/>
      <x:c r="W51" s="6"/>
      <x:c r="X51" s="6"/>
      <x:c r="Y51" s="6"/>
      <x:c r="Z51" s="6"/>
    </x:row>
    <x:row r="52" s="1" customFormat="1" ht="12.75" hidden="0" customHeight="1">
      <x:c r="A52" s="6"/>
      <x:c r="B52" s="6"/>
      <x:c r="C52" s="6"/>
      <x:c r="D52" s="6"/>
      <x:c r="E52" s="6"/>
      <x:c r="F52" s="6"/>
      <x:c r="G52" s="6"/>
      <x:c r="H52" s="6"/>
      <x:c r="I52" s="6"/>
      <x:c r="J52" s="6"/>
      <x:c r="K52" s="6"/>
      <x:c r="L52" s="6"/>
      <x:c r="M52" s="6"/>
      <x:c r="N52" s="6"/>
      <x:c r="O52" s="6"/>
      <x:c r="P52" s="6"/>
      <x:c r="Q52" s="6"/>
      <x:c r="R52" s="6"/>
      <x:c r="S52" s="6"/>
      <x:c r="T52" s="6"/>
      <x:c r="U52" s="6"/>
      <x:c r="V52" s="6"/>
      <x:c r="W52" s="6"/>
      <x:c r="X52" s="6"/>
      <x:c r="Y52" s="6"/>
      <x:c r="Z52" s="6"/>
    </x:row>
    <x:row r="53" s="1" customFormat="1" ht="12.75" hidden="0" customHeight="1">
      <x:c r="A53" s="6"/>
      <x:c r="B53" s="6"/>
      <x:c r="C53" s="6"/>
      <x:c r="D53" s="6"/>
      <x:c r="E53" s="6"/>
      <x:c r="F53" s="6"/>
      <x:c r="G53" s="6"/>
      <x:c r="H53" s="6"/>
      <x:c r="I53" s="6"/>
      <x:c r="J53" s="6"/>
      <x:c r="K53" s="6"/>
      <x:c r="L53" s="6"/>
      <x:c r="M53" s="6"/>
      <x:c r="N53" s="6"/>
      <x:c r="O53" s="6"/>
      <x:c r="P53" s="6"/>
      <x:c r="Q53" s="6"/>
      <x:c r="R53" s="6"/>
      <x:c r="S53" s="6"/>
      <x:c r="T53" s="6"/>
      <x:c r="U53" s="6"/>
      <x:c r="V53" s="6"/>
      <x:c r="W53" s="6"/>
      <x:c r="X53" s="6"/>
      <x:c r="Y53" s="6"/>
      <x:c r="Z53" s="6"/>
    </x:row>
    <x:row r="54" s="1" customFormat="1" ht="12.75" hidden="0" customHeight="1">
      <x:c r="A54" s="6"/>
      <x:c r="B54" s="6"/>
      <x:c r="C54" s="6"/>
      <x:c r="D54" s="6"/>
      <x:c r="E54" s="6"/>
      <x:c r="F54" s="6"/>
      <x:c r="G54" s="6"/>
      <x:c r="H54" s="6"/>
      <x:c r="I54" s="6"/>
      <x:c r="J54" s="6"/>
      <x:c r="K54" s="6"/>
      <x:c r="L54" s="6"/>
      <x:c r="M54" s="6"/>
      <x:c r="N54" s="6"/>
      <x:c r="O54" s="6"/>
      <x:c r="P54" s="6"/>
      <x:c r="Q54" s="6"/>
      <x:c r="R54" s="6"/>
      <x:c r="S54" s="6"/>
      <x:c r="T54" s="6"/>
      <x:c r="U54" s="6"/>
      <x:c r="V54" s="6"/>
      <x:c r="W54" s="6"/>
      <x:c r="X54" s="6"/>
      <x:c r="Y54" s="6"/>
      <x:c r="Z54" s="6"/>
    </x:row>
    <x:row r="55" s="1" customFormat="1" ht="12.75" hidden="0" customHeight="1">
      <x:c r="A55" s="6"/>
      <x:c r="B55" s="6"/>
      <x:c r="C55" s="6"/>
      <x:c r="D55" s="6"/>
      <x:c r="E55" s="6"/>
      <x:c r="F55" s="6"/>
      <x:c r="G55" s="6"/>
      <x:c r="H55" s="6"/>
      <x:c r="I55" s="6"/>
      <x:c r="J55" s="6"/>
      <x:c r="K55" s="6"/>
      <x:c r="L55" s="6"/>
      <x:c r="M55" s="6"/>
      <x:c r="N55" s="6"/>
      <x:c r="O55" s="6"/>
      <x:c r="P55" s="6"/>
      <x:c r="Q55" s="6"/>
      <x:c r="R55" s="6"/>
      <x:c r="S55" s="6"/>
      <x:c r="T55" s="6"/>
      <x:c r="U55" s="6"/>
      <x:c r="V55" s="6"/>
      <x:c r="W55" s="6"/>
      <x:c r="X55" s="6"/>
      <x:c r="Y55" s="6"/>
      <x:c r="Z55" s="6"/>
    </x:row>
    <x:row r="56" s="1" customFormat="1" ht="12.75" hidden="0" customHeight="1">
      <x:c r="A56" s="6"/>
      <x:c r="B56" s="6"/>
      <x:c r="C56" s="6"/>
      <x:c r="D56" s="6"/>
      <x:c r="E56" s="6"/>
      <x:c r="F56" s="6"/>
      <x:c r="G56" s="6"/>
      <x:c r="H56" s="6"/>
      <x:c r="I56" s="6"/>
      <x:c r="J56" s="6"/>
      <x:c r="K56" s="6"/>
      <x:c r="L56" s="6"/>
      <x:c r="M56" s="6"/>
      <x:c r="N56" s="6"/>
      <x:c r="O56" s="6"/>
      <x:c r="P56" s="6"/>
      <x:c r="Q56" s="6"/>
      <x:c r="R56" s="6"/>
      <x:c r="S56" s="6"/>
      <x:c r="T56" s="6"/>
      <x:c r="U56" s="6"/>
      <x:c r="V56" s="6"/>
      <x:c r="W56" s="6"/>
      <x:c r="X56" s="6"/>
      <x:c r="Y56" s="6"/>
      <x:c r="Z56" s="6"/>
    </x:row>
    <x:row r="57" s="1" customFormat="1" ht="12.75" hidden="0" customHeight="1">
      <x:c r="A57" s="6"/>
      <x:c r="B57" s="6"/>
      <x:c r="C57" s="6"/>
      <x:c r="D57" s="6"/>
      <x:c r="E57" s="6"/>
      <x:c r="F57" s="6"/>
      <x:c r="G57" s="6"/>
      <x:c r="H57" s="6"/>
      <x:c r="I57" s="6"/>
      <x:c r="J57" s="6"/>
      <x:c r="K57" s="6"/>
      <x:c r="L57" s="6"/>
      <x:c r="M57" s="6"/>
      <x:c r="N57" s="6"/>
      <x:c r="O57" s="6"/>
      <x:c r="P57" s="6"/>
      <x:c r="Q57" s="6"/>
      <x:c r="R57" s="6"/>
      <x:c r="S57" s="6"/>
      <x:c r="T57" s="6"/>
      <x:c r="U57" s="6"/>
      <x:c r="V57" s="6"/>
      <x:c r="W57" s="6"/>
      <x:c r="X57" s="6"/>
      <x:c r="Y57" s="6"/>
      <x:c r="Z57" s="6"/>
    </x:row>
    <x:row r="58" s="1" customFormat="1" ht="12.75" hidden="0" customHeight="1">
      <x:c r="A58" s="6"/>
      <x:c r="B58" s="6"/>
      <x:c r="C58" s="6"/>
      <x:c r="D58" s="6"/>
      <x:c r="E58" s="6"/>
      <x:c r="F58" s="6"/>
      <x:c r="G58" s="6"/>
      <x:c r="H58" s="6"/>
      <x:c r="I58" s="6"/>
      <x:c r="J58" s="6"/>
      <x:c r="K58" s="6"/>
      <x:c r="L58" s="6"/>
      <x:c r="M58" s="6"/>
      <x:c r="N58" s="6"/>
      <x:c r="O58" s="6"/>
      <x:c r="P58" s="6"/>
      <x:c r="Q58" s="6"/>
      <x:c r="R58" s="6"/>
      <x:c r="S58" s="6"/>
      <x:c r="T58" s="6"/>
      <x:c r="U58" s="6"/>
      <x:c r="V58" s="6"/>
      <x:c r="W58" s="6"/>
      <x:c r="X58" s="6"/>
      <x:c r="Y58" s="6"/>
      <x:c r="Z58" s="6"/>
    </x:row>
    <x:row r="59" s="1" customFormat="1" ht="12.75" hidden="0" customHeight="1">
      <x:c r="A59" s="6"/>
      <x:c r="B59" s="6"/>
      <x:c r="C59" s="6"/>
      <x:c r="D59" s="6"/>
      <x:c r="E59" s="6"/>
      <x:c r="F59" s="6"/>
      <x:c r="G59" s="6"/>
      <x:c r="H59" s="6"/>
      <x:c r="I59" s="6"/>
      <x:c r="J59" s="6"/>
      <x:c r="K59" s="6"/>
      <x:c r="L59" s="6"/>
      <x:c r="M59" s="6"/>
      <x:c r="N59" s="6"/>
      <x:c r="O59" s="6"/>
      <x:c r="P59" s="6"/>
      <x:c r="Q59" s="6"/>
      <x:c r="R59" s="6"/>
      <x:c r="S59" s="6"/>
      <x:c r="T59" s="6"/>
      <x:c r="U59" s="6"/>
      <x:c r="V59" s="6"/>
      <x:c r="W59" s="6"/>
      <x:c r="X59" s="6"/>
      <x:c r="Y59" s="6"/>
      <x:c r="Z59" s="6"/>
    </x:row>
    <x:row r="60" s="1" customFormat="1" ht="12.75" hidden="0" customHeight="1">
      <x:c r="A60" s="6"/>
      <x:c r="B60" s="6"/>
      <x:c r="C60" s="6"/>
      <x:c r="D60" s="6"/>
      <x:c r="E60" s="6"/>
      <x:c r="F60" s="6"/>
      <x:c r="G60" s="6"/>
      <x:c r="H60" s="6"/>
      <x:c r="I60" s="6"/>
      <x:c r="J60" s="6"/>
      <x:c r="K60" s="6"/>
      <x:c r="L60" s="6"/>
      <x:c r="M60" s="6"/>
      <x:c r="N60" s="6"/>
      <x:c r="O60" s="6"/>
      <x:c r="P60" s="6"/>
      <x:c r="Q60" s="6"/>
      <x:c r="R60" s="6"/>
      <x:c r="S60" s="6"/>
      <x:c r="T60" s="6"/>
      <x:c r="U60" s="6"/>
      <x:c r="V60" s="6"/>
      <x:c r="W60" s="6"/>
      <x:c r="X60" s="6"/>
      <x:c r="Y60" s="6"/>
      <x:c r="Z60" s="6"/>
    </x:row>
    <x:row r="61" s="1" customFormat="1" ht="12.75" hidden="0" customHeight="1">
      <x:c r="A61" s="6"/>
      <x:c r="B61" s="6"/>
      <x:c r="C61" s="6"/>
      <x:c r="D61" s="6"/>
      <x:c r="E61" s="6"/>
      <x:c r="F61" s="6"/>
      <x:c r="G61" s="6"/>
      <x:c r="H61" s="6"/>
      <x:c r="I61" s="6"/>
      <x:c r="J61" s="6"/>
      <x:c r="K61" s="6"/>
      <x:c r="L61" s="6"/>
      <x:c r="M61" s="6"/>
      <x:c r="N61" s="6"/>
      <x:c r="O61" s="6"/>
      <x:c r="P61" s="6"/>
      <x:c r="Q61" s="6"/>
      <x:c r="R61" s="6"/>
      <x:c r="S61" s="6"/>
      <x:c r="T61" s="6"/>
      <x:c r="U61" s="6"/>
      <x:c r="V61" s="6"/>
      <x:c r="W61" s="6"/>
      <x:c r="X61" s="6"/>
      <x:c r="Y61" s="6"/>
      <x:c r="Z61" s="6"/>
    </x:row>
    <x:row r="62" s="1" customFormat="1" ht="12.75" hidden="0" customHeight="1">
      <x:c r="A62" s="6"/>
      <x:c r="B62" s="6"/>
      <x:c r="C62" s="6"/>
      <x:c r="D62" s="6"/>
      <x:c r="E62" s="6"/>
      <x:c r="F62" s="6"/>
      <x:c r="G62" s="6"/>
      <x:c r="H62" s="6"/>
      <x:c r="I62" s="6"/>
      <x:c r="J62" s="6"/>
      <x:c r="K62" s="6"/>
      <x:c r="L62" s="6"/>
      <x:c r="M62" s="6"/>
      <x:c r="N62" s="6"/>
      <x:c r="O62" s="6"/>
      <x:c r="P62" s="6"/>
      <x:c r="Q62" s="6"/>
      <x:c r="R62" s="6"/>
      <x:c r="S62" s="6"/>
      <x:c r="T62" s="6"/>
      <x:c r="U62" s="6"/>
      <x:c r="V62" s="6"/>
      <x:c r="W62" s="6"/>
      <x:c r="X62" s="6"/>
      <x:c r="Y62" s="6"/>
      <x:c r="Z62" s="6"/>
    </x:row>
    <x:row r="63" s="1" customFormat="1" ht="12.75" hidden="0" customHeight="1">
      <x:c r="A63" s="6"/>
      <x:c r="B63" s="6"/>
      <x:c r="C63" s="6"/>
      <x:c r="D63" s="6"/>
      <x:c r="E63" s="6"/>
      <x:c r="F63" s="6"/>
      <x:c r="G63" s="6"/>
      <x:c r="H63" s="6"/>
      <x:c r="I63" s="6"/>
      <x:c r="J63" s="6"/>
      <x:c r="K63" s="6"/>
      <x:c r="L63" s="6"/>
      <x:c r="M63" s="6"/>
      <x:c r="N63" s="6"/>
      <x:c r="O63" s="6"/>
      <x:c r="P63" s="6"/>
      <x:c r="Q63" s="6"/>
      <x:c r="R63" s="6"/>
      <x:c r="S63" s="6"/>
      <x:c r="T63" s="6"/>
      <x:c r="U63" s="6"/>
      <x:c r="V63" s="6"/>
      <x:c r="W63" s="6"/>
      <x:c r="X63" s="6"/>
      <x:c r="Y63" s="6"/>
      <x:c r="Z63" s="6"/>
    </x:row>
    <x:row r="64" s="1" customFormat="1" ht="12.75" hidden="0" customHeight="1">
      <x:c r="A64" s="6"/>
      <x:c r="B64" s="6"/>
      <x:c r="C64" s="6"/>
      <x:c r="D64" s="6"/>
      <x:c r="E64" s="6"/>
      <x:c r="F64" s="6"/>
      <x:c r="G64" s="6"/>
      <x:c r="H64" s="6"/>
      <x:c r="I64" s="6"/>
      <x:c r="J64" s="6"/>
      <x:c r="K64" s="6"/>
      <x:c r="L64" s="6"/>
      <x:c r="M64" s="6"/>
      <x:c r="N64" s="6"/>
      <x:c r="O64" s="6"/>
      <x:c r="P64" s="6"/>
      <x:c r="Q64" s="6"/>
      <x:c r="R64" s="6"/>
      <x:c r="S64" s="6"/>
      <x:c r="T64" s="6"/>
      <x:c r="U64" s="6"/>
      <x:c r="V64" s="6"/>
      <x:c r="W64" s="6"/>
      <x:c r="X64" s="6"/>
      <x:c r="Y64" s="6"/>
      <x:c r="Z64" s="6"/>
    </x:row>
    <x:row r="65" s="1" customFormat="1" ht="12.75" hidden="0" customHeight="1">
      <x:c r="A65" s="6"/>
      <x:c r="B65" s="6"/>
      <x:c r="C65" s="6"/>
      <x:c r="D65" s="6"/>
      <x:c r="E65" s="6"/>
      <x:c r="F65" s="6"/>
      <x:c r="G65" s="6"/>
      <x:c r="H65" s="6"/>
      <x:c r="I65" s="6"/>
      <x:c r="J65" s="6"/>
      <x:c r="K65" s="6"/>
      <x:c r="L65" s="6"/>
      <x:c r="M65" s="6"/>
      <x:c r="N65" s="6"/>
      <x:c r="O65" s="6"/>
      <x:c r="P65" s="6"/>
      <x:c r="Q65" s="6"/>
      <x:c r="R65" s="6"/>
      <x:c r="S65" s="6"/>
      <x:c r="T65" s="6"/>
      <x:c r="U65" s="6"/>
      <x:c r="V65" s="6"/>
      <x:c r="W65" s="6"/>
      <x:c r="X65" s="6"/>
      <x:c r="Y65" s="6"/>
      <x:c r="Z65" s="6"/>
    </x:row>
    <x:row r="66" s="1" customFormat="1" ht="12.75" hidden="0" customHeight="1">
      <x:c r="A66" s="6"/>
      <x:c r="B66" s="6"/>
      <x:c r="C66" s="6"/>
      <x:c r="D66" s="6"/>
      <x:c r="E66" s="6"/>
      <x:c r="F66" s="6"/>
      <x:c r="G66" s="6"/>
      <x:c r="H66" s="6"/>
      <x:c r="I66" s="6"/>
      <x:c r="J66" s="6"/>
      <x:c r="K66" s="6"/>
      <x:c r="L66" s="6"/>
      <x:c r="M66" s="6"/>
      <x:c r="N66" s="6"/>
      <x:c r="O66" s="6"/>
      <x:c r="P66" s="6"/>
      <x:c r="Q66" s="6"/>
      <x:c r="R66" s="6"/>
      <x:c r="S66" s="6"/>
      <x:c r="T66" s="6"/>
      <x:c r="U66" s="6"/>
      <x:c r="V66" s="6"/>
      <x:c r="W66" s="6"/>
      <x:c r="X66" s="6"/>
      <x:c r="Y66" s="6"/>
      <x:c r="Z66" s="6"/>
    </x:row>
    <x:row r="67" s="1" customFormat="1" ht="12.75" hidden="0" customHeight="1">
      <x:c r="A67" s="6"/>
      <x:c r="B67" s="6"/>
      <x:c r="C67" s="6"/>
      <x:c r="D67" s="6"/>
      <x:c r="E67" s="6"/>
      <x:c r="F67" s="6"/>
      <x:c r="G67" s="6"/>
      <x:c r="H67" s="6"/>
      <x:c r="I67" s="6"/>
      <x:c r="J67" s="6"/>
      <x:c r="K67" s="6"/>
      <x:c r="L67" s="6"/>
      <x:c r="M67" s="6"/>
      <x:c r="N67" s="6"/>
      <x:c r="O67" s="6"/>
      <x:c r="P67" s="6"/>
      <x:c r="Q67" s="6"/>
      <x:c r="R67" s="6"/>
      <x:c r="S67" s="6"/>
      <x:c r="T67" s="6"/>
      <x:c r="U67" s="6"/>
      <x:c r="V67" s="6"/>
      <x:c r="W67" s="6"/>
      <x:c r="X67" s="6"/>
      <x:c r="Y67" s="6"/>
      <x:c r="Z67" s="6"/>
    </x:row>
    <x:row r="68" s="1" customFormat="1" ht="12.75" hidden="0" customHeight="1">
      <x:c r="A68" s="6"/>
      <x:c r="B68" s="6"/>
      <x:c r="C68" s="6"/>
      <x:c r="D68" s="6"/>
      <x:c r="E68" s="6"/>
      <x:c r="F68" s="6"/>
      <x:c r="G68" s="6"/>
      <x:c r="H68" s="6"/>
      <x:c r="I68" s="6"/>
      <x:c r="J68" s="6"/>
      <x:c r="K68" s="6"/>
      <x:c r="L68" s="6"/>
      <x:c r="M68" s="6"/>
      <x:c r="N68" s="6"/>
      <x:c r="O68" s="6"/>
      <x:c r="P68" s="6"/>
      <x:c r="Q68" s="6"/>
      <x:c r="R68" s="6"/>
      <x:c r="S68" s="6"/>
      <x:c r="T68" s="6"/>
      <x:c r="U68" s="6"/>
      <x:c r="V68" s="6"/>
      <x:c r="W68" s="6"/>
      <x:c r="X68" s="6"/>
      <x:c r="Y68" s="6"/>
      <x:c r="Z68" s="6"/>
    </x:row>
    <x:row r="69" s="1" customFormat="1" ht="12.75" hidden="0" customHeight="1">
      <x:c r="A69" s="6"/>
      <x:c r="B69" s="6"/>
      <x:c r="C69" s="6"/>
      <x:c r="D69" s="6"/>
      <x:c r="E69" s="6"/>
      <x:c r="F69" s="6"/>
      <x:c r="G69" s="6"/>
      <x:c r="H69" s="6"/>
      <x:c r="I69" s="6"/>
      <x:c r="J69" s="6"/>
      <x:c r="K69" s="6"/>
      <x:c r="L69" s="6"/>
      <x:c r="M69" s="6"/>
      <x:c r="N69" s="6"/>
      <x:c r="O69" s="6"/>
      <x:c r="P69" s="6"/>
      <x:c r="Q69" s="6"/>
      <x:c r="R69" s="6"/>
      <x:c r="S69" s="6"/>
      <x:c r="T69" s="6"/>
      <x:c r="U69" s="6"/>
      <x:c r="V69" s="6"/>
      <x:c r="W69" s="6"/>
      <x:c r="X69" s="6"/>
      <x:c r="Y69" s="6"/>
      <x:c r="Z69" s="6"/>
    </x:row>
    <x:row r="70" s="1" customFormat="1" ht="12.75" hidden="0" customHeight="1">
      <x:c r="A70" s="6"/>
      <x:c r="B70" s="6"/>
      <x:c r="C70" s="6"/>
      <x:c r="D70" s="6"/>
      <x:c r="E70" s="6"/>
      <x:c r="F70" s="6"/>
      <x:c r="G70" s="6"/>
      <x:c r="H70" s="6"/>
      <x:c r="I70" s="6"/>
      <x:c r="J70" s="6"/>
      <x:c r="K70" s="6"/>
      <x:c r="L70" s="6"/>
      <x:c r="M70" s="6"/>
      <x:c r="N70" s="6"/>
      <x:c r="O70" s="6"/>
      <x:c r="P70" s="6"/>
      <x:c r="Q70" s="6"/>
      <x:c r="R70" s="6"/>
      <x:c r="S70" s="6"/>
      <x:c r="T70" s="6"/>
      <x:c r="U70" s="6"/>
      <x:c r="V70" s="6"/>
      <x:c r="W70" s="6"/>
      <x:c r="X70" s="6"/>
      <x:c r="Y70" s="6"/>
      <x:c r="Z70" s="6"/>
    </x:row>
    <x:row r="71" s="1" customFormat="1" ht="12.75" hidden="0" customHeight="1">
      <x:c r="A71" s="6"/>
      <x:c r="B71" s="6"/>
      <x:c r="C71" s="6"/>
      <x:c r="D71" s="6"/>
      <x:c r="E71" s="6"/>
      <x:c r="F71" s="6"/>
      <x:c r="G71" s="6"/>
      <x:c r="H71" s="6"/>
      <x:c r="I71" s="6"/>
      <x:c r="J71" s="6"/>
      <x:c r="K71" s="6"/>
      <x:c r="L71" s="6"/>
      <x:c r="M71" s="6"/>
      <x:c r="N71" s="6"/>
      <x:c r="O71" s="6"/>
      <x:c r="P71" s="6"/>
      <x:c r="Q71" s="6"/>
      <x:c r="R71" s="6"/>
      <x:c r="S71" s="6"/>
      <x:c r="T71" s="6"/>
      <x:c r="U71" s="6"/>
      <x:c r="V71" s="6"/>
      <x:c r="W71" s="6"/>
      <x:c r="X71" s="6"/>
      <x:c r="Y71" s="6"/>
      <x:c r="Z71" s="6"/>
    </x:row>
    <x:row r="72" s="1" customFormat="1" ht="12.75" hidden="0" customHeight="1">
      <x:c r="A72" s="6"/>
      <x:c r="B72" s="6"/>
      <x:c r="C72" s="6"/>
      <x:c r="D72" s="6"/>
      <x:c r="E72" s="6"/>
      <x:c r="F72" s="6"/>
      <x:c r="G72" s="6"/>
      <x:c r="H72" s="6"/>
      <x:c r="I72" s="6"/>
      <x:c r="J72" s="6"/>
      <x:c r="K72" s="6"/>
      <x:c r="L72" s="6"/>
      <x:c r="M72" s="6"/>
      <x:c r="N72" s="6"/>
      <x:c r="O72" s="6"/>
      <x:c r="P72" s="6"/>
      <x:c r="Q72" s="6"/>
      <x:c r="R72" s="6"/>
      <x:c r="S72" s="6"/>
      <x:c r="T72" s="6"/>
      <x:c r="U72" s="6"/>
      <x:c r="V72" s="6"/>
      <x:c r="W72" s="6"/>
      <x:c r="X72" s="6"/>
      <x:c r="Y72" s="6"/>
      <x:c r="Z72" s="6"/>
    </x:row>
    <x:row r="73" s="1" customFormat="1" ht="12.75" hidden="0" customHeight="1">
      <x:c r="A73" s="6"/>
      <x:c r="B73" s="6"/>
      <x:c r="C73" s="6"/>
      <x:c r="D73" s="6"/>
      <x:c r="E73" s="6"/>
      <x:c r="F73" s="6"/>
      <x:c r="G73" s="6"/>
      <x:c r="H73" s="6"/>
      <x:c r="I73" s="6"/>
      <x:c r="J73" s="6"/>
      <x:c r="K73" s="6"/>
      <x:c r="L73" s="6"/>
      <x:c r="M73" s="6"/>
      <x:c r="N73" s="6"/>
      <x:c r="O73" s="6"/>
      <x:c r="P73" s="6"/>
      <x:c r="Q73" s="6"/>
      <x:c r="R73" s="6"/>
      <x:c r="S73" s="6"/>
      <x:c r="T73" s="6"/>
      <x:c r="U73" s="6"/>
      <x:c r="V73" s="6"/>
      <x:c r="W73" s="6"/>
      <x:c r="X73" s="6"/>
      <x:c r="Y73" s="6"/>
      <x:c r="Z73" s="6"/>
    </x:row>
    <x:row r="74" s="1" customFormat="1" ht="12.75" hidden="0" customHeight="1">
      <x:c r="A74" s="6"/>
      <x:c r="B74" s="6"/>
      <x:c r="C74" s="6"/>
      <x:c r="D74" s="6"/>
      <x:c r="E74" s="6"/>
      <x:c r="F74" s="6"/>
      <x:c r="G74" s="6"/>
      <x:c r="H74" s="6"/>
      <x:c r="I74" s="6"/>
      <x:c r="J74" s="6"/>
      <x:c r="K74" s="6"/>
      <x:c r="L74" s="6"/>
      <x:c r="M74" s="6"/>
      <x:c r="N74" s="6"/>
      <x:c r="O74" s="6"/>
      <x:c r="P74" s="6"/>
      <x:c r="Q74" s="6"/>
      <x:c r="R74" s="6"/>
      <x:c r="S74" s="6"/>
      <x:c r="T74" s="6"/>
      <x:c r="U74" s="6"/>
      <x:c r="V74" s="6"/>
      <x:c r="W74" s="6"/>
      <x:c r="X74" s="6"/>
      <x:c r="Y74" s="6"/>
      <x:c r="Z74" s="6"/>
    </x:row>
    <x:row r="75" s="1" customFormat="1" ht="12.75" hidden="0" customHeight="1">
      <x:c r="A75" s="6"/>
      <x:c r="B75" s="6"/>
      <x:c r="C75" s="6"/>
      <x:c r="D75" s="6"/>
      <x:c r="E75" s="6"/>
      <x:c r="F75" s="6"/>
      <x:c r="G75" s="6"/>
      <x:c r="H75" s="6"/>
      <x:c r="I75" s="6"/>
      <x:c r="J75" s="6"/>
      <x:c r="K75" s="6"/>
      <x:c r="L75" s="6"/>
      <x:c r="M75" s="6"/>
      <x:c r="N75" s="6"/>
      <x:c r="O75" s="6"/>
      <x:c r="P75" s="6"/>
      <x:c r="Q75" s="6"/>
      <x:c r="R75" s="6"/>
      <x:c r="S75" s="6"/>
      <x:c r="T75" s="6"/>
      <x:c r="U75" s="6"/>
      <x:c r="V75" s="6"/>
      <x:c r="W75" s="6"/>
      <x:c r="X75" s="6"/>
      <x:c r="Y75" s="6"/>
      <x:c r="Z75" s="6"/>
    </x:row>
    <x:row r="76" s="1" customFormat="1" ht="12.75" hidden="0" customHeight="1">
      <x:c r="A76" s="6"/>
      <x:c r="B76" s="6"/>
      <x:c r="C76" s="6"/>
      <x:c r="D76" s="6"/>
      <x:c r="E76" s="6"/>
      <x:c r="F76" s="6"/>
      <x:c r="G76" s="6"/>
      <x:c r="H76" s="6"/>
      <x:c r="I76" s="6"/>
      <x:c r="J76" s="6"/>
      <x:c r="K76" s="6"/>
      <x:c r="L76" s="6"/>
      <x:c r="M76" s="6"/>
      <x:c r="N76" s="6"/>
      <x:c r="O76" s="6"/>
      <x:c r="P76" s="6"/>
      <x:c r="Q76" s="6"/>
      <x:c r="R76" s="6"/>
      <x:c r="S76" s="6"/>
      <x:c r="T76" s="6"/>
      <x:c r="U76" s="6"/>
      <x:c r="V76" s="6"/>
      <x:c r="W76" s="6"/>
      <x:c r="X76" s="6"/>
      <x:c r="Y76" s="6"/>
      <x:c r="Z76" s="6"/>
    </x:row>
    <x:row r="77" s="1" customFormat="1" ht="12.75" hidden="0" customHeight="1">
      <x:c r="A77" s="6"/>
      <x:c r="B77" s="6"/>
      <x:c r="C77" s="6"/>
      <x:c r="D77" s="6"/>
      <x:c r="E77" s="6"/>
      <x:c r="F77" s="6"/>
      <x:c r="G77" s="6"/>
      <x:c r="H77" s="6"/>
      <x:c r="I77" s="6"/>
      <x:c r="J77" s="6"/>
      <x:c r="K77" s="6"/>
      <x:c r="L77" s="6"/>
      <x:c r="M77" s="6"/>
      <x:c r="N77" s="6"/>
      <x:c r="O77" s="6"/>
      <x:c r="P77" s="6"/>
      <x:c r="Q77" s="6"/>
      <x:c r="R77" s="6"/>
      <x:c r="S77" s="6"/>
      <x:c r="T77" s="6"/>
      <x:c r="U77" s="6"/>
      <x:c r="V77" s="6"/>
      <x:c r="W77" s="6"/>
      <x:c r="X77" s="6"/>
      <x:c r="Y77" s="6"/>
      <x:c r="Z77" s="6"/>
    </x:row>
    <x:row r="78" s="1" customFormat="1" ht="12.75" hidden="0" customHeight="1">
      <x:c r="A78" s="6"/>
      <x:c r="B78" s="6"/>
      <x:c r="C78" s="6"/>
      <x:c r="D78" s="6"/>
      <x:c r="E78" s="6"/>
      <x:c r="F78" s="6"/>
      <x:c r="G78" s="6"/>
      <x:c r="H78" s="6"/>
      <x:c r="I78" s="6"/>
      <x:c r="J78" s="6"/>
      <x:c r="K78" s="6"/>
      <x:c r="L78" s="6"/>
      <x:c r="M78" s="6"/>
      <x:c r="N78" s="6"/>
      <x:c r="O78" s="6"/>
      <x:c r="P78" s="6"/>
      <x:c r="Q78" s="6"/>
      <x:c r="R78" s="6"/>
      <x:c r="S78" s="6"/>
      <x:c r="T78" s="6"/>
      <x:c r="U78" s="6"/>
      <x:c r="V78" s="6"/>
      <x:c r="W78" s="6"/>
      <x:c r="X78" s="6"/>
      <x:c r="Y78" s="6"/>
      <x:c r="Z78" s="6"/>
    </x:row>
    <x:row r="79" s="1" customFormat="1" ht="12.75" hidden="0" customHeight="1">
      <x:c r="A79" s="6"/>
      <x:c r="B79" s="6"/>
      <x:c r="C79" s="6"/>
      <x:c r="D79" s="6"/>
      <x:c r="E79" s="6"/>
      <x:c r="F79" s="6"/>
      <x:c r="G79" s="6"/>
      <x:c r="H79" s="6"/>
      <x:c r="I79" s="6"/>
      <x:c r="J79" s="6"/>
      <x:c r="K79" s="6"/>
      <x:c r="L79" s="6"/>
      <x:c r="M79" s="6"/>
      <x:c r="N79" s="6"/>
      <x:c r="O79" s="6"/>
      <x:c r="P79" s="6"/>
      <x:c r="Q79" s="6"/>
      <x:c r="R79" s="6"/>
      <x:c r="S79" s="6"/>
      <x:c r="T79" s="6"/>
      <x:c r="U79" s="6"/>
      <x:c r="V79" s="6"/>
      <x:c r="W79" s="6"/>
      <x:c r="X79" s="6"/>
      <x:c r="Y79" s="6"/>
      <x:c r="Z79" s="6"/>
    </x:row>
    <x:row r="80" s="1" customFormat="1" ht="12.75" hidden="0" customHeight="1">
      <x:c r="A80" s="6"/>
      <x:c r="B80" s="6"/>
      <x:c r="C80" s="6"/>
      <x:c r="D80" s="6"/>
      <x:c r="E80" s="6"/>
      <x:c r="F80" s="6"/>
      <x:c r="G80" s="6"/>
      <x:c r="H80" s="6"/>
      <x:c r="I80" s="6"/>
      <x:c r="J80" s="6"/>
      <x:c r="K80" s="6"/>
      <x:c r="L80" s="6"/>
      <x:c r="M80" s="6"/>
      <x:c r="N80" s="6"/>
      <x:c r="O80" s="6"/>
      <x:c r="P80" s="6"/>
      <x:c r="Q80" s="6"/>
      <x:c r="R80" s="6"/>
      <x:c r="S80" s="6"/>
      <x:c r="T80" s="6"/>
      <x:c r="U80" s="6"/>
      <x:c r="V80" s="6"/>
      <x:c r="W80" s="6"/>
      <x:c r="X80" s="6"/>
      <x:c r="Y80" s="6"/>
      <x:c r="Z80" s="6"/>
    </x:row>
    <x:row r="81" s="1" customFormat="1" ht="12.75" hidden="0" customHeight="1">
      <x:c r="A81" s="6"/>
      <x:c r="B81" s="6"/>
      <x:c r="C81" s="6"/>
      <x:c r="D81" s="6"/>
      <x:c r="E81" s="6"/>
      <x:c r="F81" s="6"/>
      <x:c r="G81" s="6"/>
      <x:c r="H81" s="6"/>
      <x:c r="I81" s="6"/>
      <x:c r="J81" s="6"/>
      <x:c r="K81" s="6"/>
      <x:c r="L81" s="6"/>
      <x:c r="M81" s="6"/>
      <x:c r="N81" s="6"/>
      <x:c r="O81" s="6"/>
      <x:c r="P81" s="6"/>
      <x:c r="Q81" s="6"/>
      <x:c r="R81" s="6"/>
      <x:c r="S81" s="6"/>
      <x:c r="T81" s="6"/>
      <x:c r="U81" s="6"/>
      <x:c r="V81" s="6"/>
      <x:c r="W81" s="6"/>
      <x:c r="X81" s="6"/>
      <x:c r="Y81" s="6"/>
      <x:c r="Z81" s="6"/>
    </x:row>
    <x:row r="82" s="1" customFormat="1" ht="12.75" hidden="0" customHeight="1">
      <x:c r="A82" s="6"/>
      <x:c r="B82" s="6"/>
      <x:c r="C82" s="6"/>
      <x:c r="D82" s="6"/>
      <x:c r="E82" s="6"/>
      <x:c r="F82" s="6"/>
      <x:c r="G82" s="6"/>
      <x:c r="H82" s="6"/>
      <x:c r="I82" s="6"/>
      <x:c r="J82" s="6"/>
      <x:c r="K82" s="6"/>
      <x:c r="L82" s="6"/>
      <x:c r="M82" s="6"/>
      <x:c r="N82" s="6"/>
      <x:c r="O82" s="6"/>
      <x:c r="P82" s="6"/>
      <x:c r="Q82" s="6"/>
      <x:c r="R82" s="6"/>
      <x:c r="S82" s="6"/>
      <x:c r="T82" s="6"/>
      <x:c r="U82" s="6"/>
      <x:c r="V82" s="6"/>
      <x:c r="W82" s="6"/>
      <x:c r="X82" s="6"/>
      <x:c r="Y82" s="6"/>
      <x:c r="Z82" s="6"/>
    </x:row>
    <x:row r="83" s="1" customFormat="1" ht="12.75" hidden="0" customHeight="1">
      <x:c r="A83" s="6"/>
      <x:c r="B83" s="6"/>
      <x:c r="C83" s="6"/>
      <x:c r="D83" s="6"/>
      <x:c r="E83" s="6"/>
      <x:c r="F83" s="6"/>
      <x:c r="G83" s="6"/>
      <x:c r="H83" s="6"/>
      <x:c r="I83" s="6"/>
      <x:c r="J83" s="6"/>
      <x:c r="K83" s="6"/>
      <x:c r="L83" s="6"/>
      <x:c r="M83" s="6"/>
      <x:c r="N83" s="6"/>
      <x:c r="O83" s="6"/>
      <x:c r="P83" s="6"/>
      <x:c r="Q83" s="6"/>
      <x:c r="R83" s="6"/>
      <x:c r="S83" s="6"/>
      <x:c r="T83" s="6"/>
      <x:c r="U83" s="6"/>
      <x:c r="V83" s="6"/>
      <x:c r="W83" s="6"/>
      <x:c r="X83" s="6"/>
      <x:c r="Y83" s="6"/>
      <x:c r="Z83" s="6"/>
    </x:row>
    <x:row r="84" s="1" customFormat="1" ht="12.75" hidden="0" customHeight="1">
      <x:c r="A84" s="6"/>
      <x:c r="B84" s="6"/>
      <x:c r="C84" s="6"/>
      <x:c r="D84" s="6"/>
      <x:c r="E84" s="6"/>
      <x:c r="F84" s="6"/>
      <x:c r="G84" s="6"/>
      <x:c r="H84" s="6"/>
      <x:c r="I84" s="6"/>
      <x:c r="J84" s="6"/>
      <x:c r="K84" s="6"/>
      <x:c r="L84" s="6"/>
      <x:c r="M84" s="6"/>
      <x:c r="N84" s="6"/>
      <x:c r="O84" s="6"/>
      <x:c r="P84" s="6"/>
      <x:c r="Q84" s="6"/>
      <x:c r="R84" s="6"/>
      <x:c r="S84" s="6"/>
      <x:c r="T84" s="6"/>
      <x:c r="U84" s="6"/>
      <x:c r="V84" s="6"/>
      <x:c r="W84" s="6"/>
      <x:c r="X84" s="6"/>
      <x:c r="Y84" s="6"/>
      <x:c r="Z84" s="6"/>
    </x:row>
    <x:row r="85" s="1" customFormat="1" ht="12.75" hidden="0" customHeight="1">
      <x:c r="A85" s="6"/>
      <x:c r="B85" s="6"/>
      <x:c r="C85" s="6"/>
      <x:c r="D85" s="6"/>
      <x:c r="E85" s="6"/>
      <x:c r="F85" s="6"/>
      <x:c r="G85" s="6"/>
      <x:c r="H85" s="6"/>
      <x:c r="I85" s="6"/>
      <x:c r="J85" s="6"/>
      <x:c r="K85" s="6"/>
      <x:c r="L85" s="6"/>
      <x:c r="M85" s="6"/>
      <x:c r="N85" s="6"/>
      <x:c r="O85" s="6"/>
      <x:c r="P85" s="6"/>
      <x:c r="Q85" s="6"/>
      <x:c r="R85" s="6"/>
      <x:c r="S85" s="6"/>
      <x:c r="T85" s="6"/>
      <x:c r="U85" s="6"/>
      <x:c r="V85" s="6"/>
      <x:c r="W85" s="6"/>
      <x:c r="X85" s="6"/>
      <x:c r="Y85" s="6"/>
      <x:c r="Z85" s="6"/>
    </x:row>
    <x:row r="86" s="1" customFormat="1" ht="12.75" hidden="0" customHeight="1">
      <x:c r="A86" s="6"/>
      <x:c r="B86" s="6"/>
      <x:c r="C86" s="6"/>
      <x:c r="D86" s="6"/>
      <x:c r="E86" s="6"/>
      <x:c r="F86" s="6"/>
      <x:c r="G86" s="6"/>
      <x:c r="H86" s="6"/>
      <x:c r="I86" s="6"/>
      <x:c r="J86" s="6"/>
      <x:c r="K86" s="6"/>
      <x:c r="L86" s="6"/>
      <x:c r="M86" s="6"/>
      <x:c r="N86" s="6"/>
      <x:c r="O86" s="6"/>
      <x:c r="P86" s="6"/>
      <x:c r="Q86" s="6"/>
      <x:c r="R86" s="6"/>
      <x:c r="S86" s="6"/>
      <x:c r="T86" s="6"/>
      <x:c r="U86" s="6"/>
      <x:c r="V86" s="6"/>
      <x:c r="W86" s="6"/>
      <x:c r="X86" s="6"/>
      <x:c r="Y86" s="6"/>
      <x:c r="Z86" s="6"/>
    </x:row>
    <x:row r="87" s="1" customFormat="1" ht="12.75" hidden="0" customHeight="1">
      <x:c r="A87" s="6"/>
      <x:c r="B87" s="6"/>
      <x:c r="C87" s="6"/>
      <x:c r="D87" s="6"/>
      <x:c r="E87" s="6"/>
      <x:c r="F87" s="6"/>
      <x:c r="G87" s="6"/>
      <x:c r="H87" s="6"/>
      <x:c r="I87" s="6"/>
      <x:c r="J87" s="6"/>
      <x:c r="K87" s="6"/>
      <x:c r="L87" s="6"/>
      <x:c r="M87" s="6"/>
      <x:c r="N87" s="6"/>
      <x:c r="O87" s="6"/>
      <x:c r="P87" s="6"/>
      <x:c r="Q87" s="6"/>
      <x:c r="R87" s="6"/>
      <x:c r="S87" s="6"/>
      <x:c r="T87" s="6"/>
      <x:c r="U87" s="6"/>
      <x:c r="V87" s="6"/>
      <x:c r="W87" s="6"/>
      <x:c r="X87" s="6"/>
      <x:c r="Y87" s="6"/>
      <x:c r="Z87" s="6"/>
    </x:row>
    <x:row r="88" s="1" customFormat="1" ht="12.75" hidden="0" customHeight="1">
      <x:c r="A88" s="6"/>
      <x:c r="B88" s="6"/>
      <x:c r="C88" s="6"/>
      <x:c r="D88" s="6"/>
      <x:c r="E88" s="6"/>
      <x:c r="F88" s="6"/>
      <x:c r="G88" s="6"/>
      <x:c r="H88" s="6"/>
      <x:c r="I88" s="6"/>
      <x:c r="J88" s="6"/>
      <x:c r="K88" s="6"/>
      <x:c r="L88" s="6"/>
      <x:c r="M88" s="6"/>
      <x:c r="N88" s="6"/>
      <x:c r="O88" s="6"/>
      <x:c r="P88" s="6"/>
      <x:c r="Q88" s="6"/>
      <x:c r="R88" s="6"/>
      <x:c r="S88" s="6"/>
      <x:c r="T88" s="6"/>
      <x:c r="U88" s="6"/>
      <x:c r="V88" s="6"/>
      <x:c r="W88" s="6"/>
      <x:c r="X88" s="6"/>
      <x:c r="Y88" s="6"/>
      <x:c r="Z88" s="6"/>
    </x:row>
    <x:row r="89" s="1" customFormat="1" ht="12.75" hidden="0" customHeight="1">
      <x:c r="A89" s="6"/>
      <x:c r="B89" s="6"/>
      <x:c r="C89" s="6"/>
      <x:c r="D89" s="6"/>
      <x:c r="E89" s="6"/>
      <x:c r="F89" s="6"/>
      <x:c r="G89" s="6"/>
      <x:c r="H89" s="6"/>
      <x:c r="I89" s="6"/>
      <x:c r="J89" s="6"/>
      <x:c r="K89" s="6"/>
      <x:c r="L89" s="6"/>
      <x:c r="M89" s="6"/>
      <x:c r="N89" s="6"/>
      <x:c r="O89" s="6"/>
      <x:c r="P89" s="6"/>
      <x:c r="Q89" s="6"/>
      <x:c r="R89" s="6"/>
      <x:c r="S89" s="6"/>
      <x:c r="T89" s="6"/>
      <x:c r="U89" s="6"/>
      <x:c r="V89" s="6"/>
      <x:c r="W89" s="6"/>
      <x:c r="X89" s="6"/>
      <x:c r="Y89" s="6"/>
      <x:c r="Z89" s="6"/>
    </x:row>
    <x:row r="90" s="1" customFormat="1" ht="12.75" hidden="0" customHeight="1">
      <x:c r="A90" s="6"/>
      <x:c r="B90" s="6"/>
      <x:c r="C90" s="6"/>
      <x:c r="D90" s="6"/>
      <x:c r="E90" s="6"/>
      <x:c r="F90" s="6"/>
      <x:c r="G90" s="6"/>
      <x:c r="H90" s="6"/>
      <x:c r="I90" s="6"/>
      <x:c r="J90" s="6"/>
      <x:c r="K90" s="6"/>
      <x:c r="L90" s="6"/>
      <x:c r="M90" s="6"/>
      <x:c r="N90" s="6"/>
      <x:c r="O90" s="6"/>
      <x:c r="P90" s="6"/>
      <x:c r="Q90" s="6"/>
      <x:c r="R90" s="6"/>
      <x:c r="S90" s="6"/>
      <x:c r="T90" s="6"/>
      <x:c r="U90" s="6"/>
      <x:c r="V90" s="6"/>
      <x:c r="W90" s="6"/>
      <x:c r="X90" s="6"/>
      <x:c r="Y90" s="6"/>
      <x:c r="Z90" s="6"/>
    </x:row>
    <x:row r="91" s="1" customFormat="1" ht="12.75" hidden="0" customHeight="1">
      <x:c r="A91" s="6"/>
      <x:c r="B91" s="6"/>
      <x:c r="C91" s="6"/>
      <x:c r="D91" s="6"/>
      <x:c r="E91" s="6"/>
      <x:c r="F91" s="6"/>
      <x:c r="G91" s="6"/>
      <x:c r="H91" s="6"/>
      <x:c r="I91" s="6"/>
      <x:c r="J91" s="6"/>
      <x:c r="K91" s="6"/>
      <x:c r="L91" s="6"/>
      <x:c r="M91" s="6"/>
      <x:c r="N91" s="6"/>
      <x:c r="O91" s="6"/>
      <x:c r="P91" s="6"/>
      <x:c r="Q91" s="6"/>
      <x:c r="R91" s="6"/>
      <x:c r="S91" s="6"/>
      <x:c r="T91" s="6"/>
      <x:c r="U91" s="6"/>
      <x:c r="V91" s="6"/>
      <x:c r="W91" s="6"/>
      <x:c r="X91" s="6"/>
      <x:c r="Y91" s="6"/>
      <x:c r="Z91" s="6"/>
    </x:row>
    <x:row r="92" s="1" customFormat="1" ht="12.75" hidden="0" customHeight="1">
      <x:c r="A92" s="6"/>
      <x:c r="B92" s="6"/>
      <x:c r="C92" s="6"/>
      <x:c r="D92" s="6"/>
      <x:c r="E92" s="6"/>
      <x:c r="F92" s="6"/>
      <x:c r="G92" s="6"/>
      <x:c r="H92" s="6"/>
      <x:c r="I92" s="6"/>
      <x:c r="J92" s="6"/>
      <x:c r="K92" s="6"/>
      <x:c r="L92" s="6"/>
      <x:c r="M92" s="6"/>
      <x:c r="N92" s="6"/>
      <x:c r="O92" s="6"/>
      <x:c r="P92" s="6"/>
      <x:c r="Q92" s="6"/>
      <x:c r="R92" s="6"/>
      <x:c r="S92" s="6"/>
      <x:c r="T92" s="6"/>
      <x:c r="U92" s="6"/>
      <x:c r="V92" s="6"/>
      <x:c r="W92" s="6"/>
      <x:c r="X92" s="6"/>
      <x:c r="Y92" s="6"/>
      <x:c r="Z92" s="6"/>
    </x:row>
    <x:row r="93" s="1" customFormat="1" ht="12.75" hidden="0" customHeight="1">
      <x:c r="A93" s="6"/>
      <x:c r="B93" s="6"/>
      <x:c r="C93" s="6"/>
      <x:c r="D93" s="6"/>
      <x:c r="E93" s="6"/>
      <x:c r="F93" s="6"/>
      <x:c r="G93" s="6"/>
      <x:c r="H93" s="6"/>
      <x:c r="I93" s="6"/>
      <x:c r="J93" s="6"/>
      <x:c r="K93" s="6"/>
      <x:c r="L93" s="6"/>
      <x:c r="M93" s="6"/>
      <x:c r="N93" s="6"/>
      <x:c r="O93" s="6"/>
      <x:c r="P93" s="6"/>
      <x:c r="Q93" s="6"/>
      <x:c r="R93" s="6"/>
      <x:c r="S93" s="6"/>
      <x:c r="T93" s="6"/>
      <x:c r="U93" s="6"/>
      <x:c r="V93" s="6"/>
      <x:c r="W93" s="6"/>
      <x:c r="X93" s="6"/>
      <x:c r="Y93" s="6"/>
      <x:c r="Z93" s="6"/>
    </x:row>
    <x:row r="94" s="1" customFormat="1" ht="12.75" hidden="0" customHeight="1">
      <x:c r="A94" s="6"/>
      <x:c r="B94" s="6"/>
      <x:c r="C94" s="6"/>
      <x:c r="D94" s="6"/>
      <x:c r="E94" s="6"/>
      <x:c r="F94" s="6"/>
      <x:c r="G94" s="6"/>
      <x:c r="H94" s="6"/>
      <x:c r="I94" s="6"/>
      <x:c r="J94" s="6"/>
      <x:c r="K94" s="6"/>
      <x:c r="L94" s="6"/>
      <x:c r="M94" s="6"/>
      <x:c r="N94" s="6"/>
      <x:c r="O94" s="6"/>
      <x:c r="P94" s="6"/>
      <x:c r="Q94" s="6"/>
      <x:c r="R94" s="6"/>
      <x:c r="S94" s="6"/>
      <x:c r="T94" s="6"/>
      <x:c r="U94" s="6"/>
      <x:c r="V94" s="6"/>
      <x:c r="W94" s="6"/>
      <x:c r="X94" s="6"/>
      <x:c r="Y94" s="6"/>
      <x:c r="Z94" s="6"/>
    </x:row>
    <x:row r="95" s="1" customFormat="1" ht="12.75" hidden="0" customHeight="1">
      <x:c r="A95" s="6"/>
      <x:c r="B95" s="6"/>
      <x:c r="C95" s="6"/>
      <x:c r="D95" s="6"/>
      <x:c r="E95" s="6"/>
      <x:c r="F95" s="6"/>
      <x:c r="G95" s="6"/>
      <x:c r="H95" s="6"/>
      <x:c r="I95" s="6"/>
      <x:c r="J95" s="6"/>
      <x:c r="K95" s="6"/>
      <x:c r="L95" s="6"/>
      <x:c r="M95" s="6"/>
      <x:c r="N95" s="6"/>
      <x:c r="O95" s="6"/>
      <x:c r="P95" s="6"/>
      <x:c r="Q95" s="6"/>
      <x:c r="R95" s="6"/>
      <x:c r="S95" s="6"/>
      <x:c r="T95" s="6"/>
      <x:c r="U95" s="6"/>
      <x:c r="V95" s="6"/>
      <x:c r="W95" s="6"/>
      <x:c r="X95" s="6"/>
      <x:c r="Y95" s="6"/>
      <x:c r="Z95" s="6"/>
    </x:row>
    <x:row r="96" s="1" customFormat="1" ht="12.75" hidden="0" customHeight="1">
      <x:c r="A96" s="6"/>
      <x:c r="B96" s="6"/>
      <x:c r="C96" s="6"/>
      <x:c r="D96" s="6"/>
      <x:c r="E96" s="6"/>
      <x:c r="F96" s="6"/>
      <x:c r="G96" s="6"/>
      <x:c r="H96" s="6"/>
      <x:c r="I96" s="6"/>
      <x:c r="J96" s="6"/>
      <x:c r="K96" s="6"/>
      <x:c r="L96" s="6"/>
      <x:c r="M96" s="6"/>
      <x:c r="N96" s="6"/>
      <x:c r="O96" s="6"/>
      <x:c r="P96" s="6"/>
      <x:c r="Q96" s="6"/>
      <x:c r="R96" s="6"/>
      <x:c r="S96" s="6"/>
      <x:c r="T96" s="6"/>
      <x:c r="U96" s="6"/>
      <x:c r="V96" s="6"/>
      <x:c r="W96" s="6"/>
      <x:c r="X96" s="6"/>
      <x:c r="Y96" s="6"/>
      <x:c r="Z96" s="6"/>
    </x:row>
    <x:row r="97" s="1" customFormat="1" ht="12.75" hidden="0" customHeight="1">
      <x:c r="A97" s="6"/>
      <x:c r="B97" s="6"/>
      <x:c r="C97" s="6"/>
      <x:c r="D97" s="6"/>
      <x:c r="E97" s="6"/>
      <x:c r="F97" s="6"/>
      <x:c r="G97" s="6"/>
      <x:c r="H97" s="6"/>
      <x:c r="I97" s="6"/>
      <x:c r="J97" s="6"/>
      <x:c r="K97" s="6"/>
      <x:c r="L97" s="6"/>
      <x:c r="M97" s="6"/>
      <x:c r="N97" s="6"/>
      <x:c r="O97" s="6"/>
      <x:c r="P97" s="6"/>
      <x:c r="Q97" s="6"/>
      <x:c r="R97" s="6"/>
      <x:c r="S97" s="6"/>
      <x:c r="T97" s="6"/>
      <x:c r="U97" s="6"/>
      <x:c r="V97" s="6"/>
      <x:c r="W97" s="6"/>
      <x:c r="X97" s="6"/>
      <x:c r="Y97" s="6"/>
      <x:c r="Z97" s="6"/>
    </x:row>
    <x:row r="98" s="1" customFormat="1" ht="12.75" hidden="0" customHeight="1">
      <x:c r="A98" s="6"/>
      <x:c r="B98" s="6"/>
      <x:c r="C98" s="6"/>
      <x:c r="D98" s="6"/>
      <x:c r="E98" s="6"/>
      <x:c r="F98" s="6"/>
      <x:c r="G98" s="6"/>
      <x:c r="H98" s="6"/>
      <x:c r="I98" s="6"/>
      <x:c r="J98" s="6"/>
      <x:c r="K98" s="6"/>
      <x:c r="L98" s="6"/>
      <x:c r="M98" s="6"/>
      <x:c r="N98" s="6"/>
      <x:c r="O98" s="6"/>
      <x:c r="P98" s="6"/>
      <x:c r="Q98" s="6"/>
      <x:c r="R98" s="6"/>
      <x:c r="S98" s="6"/>
      <x:c r="T98" s="6"/>
      <x:c r="U98" s="6"/>
      <x:c r="V98" s="6"/>
      <x:c r="W98" s="6"/>
      <x:c r="X98" s="6"/>
      <x:c r="Y98" s="6"/>
      <x:c r="Z98" s="6"/>
    </x:row>
    <x:row r="99" s="1" customFormat="1" ht="12.75" hidden="0" customHeight="1">
      <x:c r="A99" s="6"/>
      <x:c r="B99" s="6"/>
      <x:c r="C99" s="6"/>
      <x:c r="D99" s="6"/>
      <x:c r="E99" s="6"/>
      <x:c r="F99" s="6"/>
      <x:c r="G99" s="6"/>
      <x:c r="H99" s="6"/>
      <x:c r="I99" s="6"/>
      <x:c r="J99" s="6"/>
      <x:c r="K99" s="6"/>
      <x:c r="L99" s="6"/>
      <x:c r="M99" s="6"/>
      <x:c r="N99" s="6"/>
      <x:c r="O99" s="6"/>
      <x:c r="P99" s="6"/>
      <x:c r="Q99" s="6"/>
      <x:c r="R99" s="6"/>
      <x:c r="S99" s="6"/>
      <x:c r="T99" s="6"/>
      <x:c r="U99" s="6"/>
      <x:c r="V99" s="6"/>
      <x:c r="W99" s="6"/>
      <x:c r="X99" s="6"/>
      <x:c r="Y99" s="6"/>
      <x:c r="Z99" s="6"/>
    </x:row>
    <x:row r="100" s="1" customFormat="1" ht="12.75" hidden="0" customHeight="1">
      <x:c r="A100" s="6"/>
      <x:c r="B100" s="6"/>
      <x:c r="C100" s="6"/>
      <x:c r="D100" s="6"/>
      <x:c r="E100" s="6"/>
      <x:c r="F100" s="6"/>
      <x:c r="G100" s="6"/>
      <x:c r="H100" s="6"/>
      <x:c r="I100" s="6"/>
      <x:c r="J100" s="6"/>
      <x:c r="K100" s="6"/>
      <x:c r="L100" s="6"/>
      <x:c r="M100" s="6"/>
      <x:c r="N100" s="6"/>
      <x:c r="O100" s="6"/>
      <x:c r="P100" s="6"/>
      <x:c r="Q100" s="6"/>
      <x:c r="R100" s="6"/>
      <x:c r="S100" s="6"/>
      <x:c r="T100" s="6"/>
      <x:c r="U100" s="6"/>
      <x:c r="V100" s="6"/>
      <x:c r="W100" s="6"/>
      <x:c r="X100" s="6"/>
      <x:c r="Y100" s="6"/>
      <x:c r="Z100" s="6"/>
    </x:row>
  </x:sheetData>
  <x:pageMargins left="0.7" right="0.7" top="0.75" bottom="0.75" header="0.3" footer="0.3"/>
</x:worksheet>
</file>

<file path=xl/worksheets/sheet50.xml><?xml version="1.0" encoding="utf-8"?>
<x:worksheet xmlns:x="http://schemas.openxmlformats.org/spreadsheetml/2006/main">
  <x:sheetViews>
    <x:sheetView showGridLines="1" workbookViewId="0"/>
  </x:sheetViews>
  <x:sheetFormatPr defaultColWidth="8.6796875" defaultRowHeight="12.75"/>
  <x:cols>
    <x:col min="1" max="1" width="33" style="1" hidden="0" customWidth="1"/>
    <x:col min="2" max="3" width="36" style="1" hidden="0" customWidth="1"/>
    <x:col min="4" max="26" width="16" style="1" hidden="0" customWidth="1"/>
  </x:cols>
  <x:sheetData>
    <x:row r="1" s="1" customFormat="1" ht="12.75" hidden="0" customHeight="1">
      <x:c r="A1" s="2" t="s">
        <x:v>346</x:v>
      </x:c>
      <x:c r="B1" s="2" t="s">
        <x:v>347</x:v>
      </x:c>
      <x:c r="C1" s="2" t="s">
        <x:v>1203</x:v>
      </x:c>
      <x:c r="D1" s="3"/>
      <x:c r="E1" s="3"/>
      <x:c r="F1" s="3"/>
      <x:c r="G1" s="3"/>
      <x:c r="H1" s="3"/>
      <x:c r="I1" s="3"/>
      <x:c r="J1" s="3"/>
      <x:c r="K1" s="3"/>
      <x:c r="L1" s="3"/>
      <x:c r="M1" s="3"/>
      <x:c r="N1" s="3"/>
      <x:c r="O1" s="3"/>
      <x:c r="P1" s="3"/>
      <x:c r="Q1" s="3"/>
      <x:c r="R1" s="3"/>
      <x:c r="S1" s="3"/>
      <x:c r="T1" s="3"/>
      <x:c r="U1" s="3"/>
      <x:c r="V1" s="3"/>
      <x:c r="W1" s="3"/>
      <x:c r="X1" s="3"/>
      <x:c r="Y1" s="3"/>
      <x:c r="Z1" s="3"/>
    </x:row>
    <x:row r="2" s="1" customFormat="1" ht="26.25" hidden="0" customHeight="1">
      <x:c r="A2" s="4" t="s">
        <x:v>3742</x:v>
      </x:c>
      <x:c r="B2" s="5" t="s">
        <x:v>3743</x:v>
      </x:c>
      <x:c r="C2" s="5" t="s">
        <x:v>3744</x:v>
      </x:c>
      <x:c r="D2" s="6"/>
      <x:c r="E2" s="6"/>
      <x:c r="F2" s="6"/>
      <x:c r="G2" s="6"/>
      <x:c r="H2" s="6"/>
      <x:c r="I2" s="6"/>
      <x:c r="J2" s="6"/>
      <x:c r="K2" s="6"/>
      <x:c r="L2" s="6"/>
      <x:c r="M2" s="6"/>
      <x:c r="N2" s="6"/>
      <x:c r="O2" s="6"/>
      <x:c r="P2" s="6"/>
      <x:c r="Q2" s="6"/>
      <x:c r="R2" s="6"/>
      <x:c r="S2" s="6"/>
      <x:c r="T2" s="6"/>
      <x:c r="U2" s="6"/>
      <x:c r="V2" s="6"/>
      <x:c r="W2" s="6"/>
      <x:c r="X2" s="6"/>
      <x:c r="Y2" s="6"/>
      <x:c r="Z2" s="6"/>
    </x:row>
    <x:row r="3" s="1" customFormat="1" ht="12.75" hidden="0" customHeight="1">
      <x:c r="A3" s="7" t="s">
        <x:v>3745</x:v>
      </x:c>
      <x:c r="B3" s="8" t="s">
        <x:v>3746</x:v>
      </x:c>
      <x:c r="C3" s="8" t="s">
        <x:v>3747</x:v>
      </x:c>
      <x:c r="D3" s="6"/>
      <x:c r="E3" s="6"/>
      <x:c r="F3" s="6"/>
      <x:c r="G3" s="6"/>
      <x:c r="H3" s="6"/>
      <x:c r="I3" s="6"/>
      <x:c r="J3" s="6"/>
      <x:c r="K3" s="6"/>
      <x:c r="L3" s="6"/>
      <x:c r="M3" s="6"/>
      <x:c r="N3" s="6"/>
      <x:c r="O3" s="6"/>
      <x:c r="P3" s="6"/>
      <x:c r="Q3" s="6"/>
      <x:c r="R3" s="6"/>
      <x:c r="S3" s="6"/>
      <x:c r="T3" s="6"/>
      <x:c r="U3" s="6"/>
      <x:c r="V3" s="6"/>
      <x:c r="W3" s="6"/>
      <x:c r="X3" s="6"/>
      <x:c r="Y3" s="6"/>
      <x:c r="Z3" s="6"/>
    </x:row>
    <x:row r="4" s="1" customFormat="1" ht="26.25" hidden="0" customHeight="1">
      <x:c r="A4" s="7" t="s">
        <x:v>3748</x:v>
      </x:c>
      <x:c r="B4" s="5" t="s">
        <x:v>3421</x:v>
      </x:c>
      <x:c r="C4" s="5" t="s">
        <x:v>3749</x:v>
      </x:c>
      <x:c r="D4" s="6"/>
      <x:c r="E4" s="6"/>
      <x:c r="F4" s="6"/>
      <x:c r="G4" s="6"/>
      <x:c r="H4" s="6"/>
      <x:c r="I4" s="6"/>
      <x:c r="J4" s="6"/>
      <x:c r="K4" s="6"/>
      <x:c r="L4" s="6"/>
      <x:c r="M4" s="6"/>
      <x:c r="N4" s="6"/>
      <x:c r="O4" s="6"/>
      <x:c r="P4" s="6"/>
      <x:c r="Q4" s="6"/>
      <x:c r="R4" s="6"/>
      <x:c r="S4" s="6"/>
      <x:c r="T4" s="6"/>
      <x:c r="U4" s="6"/>
      <x:c r="V4" s="6"/>
      <x:c r="W4" s="6"/>
      <x:c r="X4" s="6"/>
      <x:c r="Y4" s="6"/>
      <x:c r="Z4" s="6"/>
    </x:row>
    <x:row r="5" s="1" customFormat="1" ht="12.75" hidden="0" customHeight="1">
      <x:c r="A5" s="7" t="s">
        <x:v>3750</x:v>
      </x:c>
      <x:c r="B5" s="8" t="s">
        <x:v>3751</x:v>
      </x:c>
      <x:c r="C5" s="8" t="s">
        <x:v>3752</x:v>
      </x:c>
      <x:c r="D5" s="6"/>
      <x:c r="E5" s="6"/>
      <x:c r="F5" s="6"/>
      <x:c r="G5" s="6"/>
      <x:c r="H5" s="6"/>
      <x:c r="I5" s="6"/>
      <x:c r="J5" s="6"/>
      <x:c r="K5" s="6"/>
      <x:c r="L5" s="6"/>
      <x:c r="M5" s="6"/>
      <x:c r="N5" s="6"/>
      <x:c r="O5" s="6"/>
      <x:c r="P5" s="6"/>
      <x:c r="Q5" s="6"/>
      <x:c r="R5" s="6"/>
      <x:c r="S5" s="6"/>
      <x:c r="T5" s="6"/>
      <x:c r="U5" s="6"/>
      <x:c r="V5" s="6"/>
      <x:c r="W5" s="6"/>
      <x:c r="X5" s="6"/>
      <x:c r="Y5" s="6"/>
      <x:c r="Z5" s="6"/>
    </x:row>
    <x:row r="6" s="1" customFormat="1" ht="12.75" hidden="0" customHeight="1">
      <x:c r="A6" s="7" t="s">
        <x:v>3753</x:v>
      </x:c>
      <x:c r="B6" s="5" t="s">
        <x:v>3754</x:v>
      </x:c>
      <x:c r="C6" s="5" t="s">
        <x:v>3755</x:v>
      </x:c>
      <x:c r="D6" s="6"/>
      <x:c r="E6" s="6"/>
      <x:c r="F6" s="6"/>
      <x:c r="G6" s="6"/>
      <x:c r="H6" s="6"/>
      <x:c r="I6" s="6"/>
      <x:c r="J6" s="6"/>
      <x:c r="K6" s="6"/>
      <x:c r="L6" s="6"/>
      <x:c r="M6" s="6"/>
      <x:c r="N6" s="6"/>
      <x:c r="O6" s="6"/>
      <x:c r="P6" s="6"/>
      <x:c r="Q6" s="6"/>
      <x:c r="R6" s="6"/>
      <x:c r="S6" s="6"/>
      <x:c r="T6" s="6"/>
      <x:c r="U6" s="6"/>
      <x:c r="V6" s="6"/>
      <x:c r="W6" s="6"/>
      <x:c r="X6" s="6"/>
      <x:c r="Y6" s="6"/>
      <x:c r="Z6" s="6"/>
    </x:row>
    <x:row r="7" s="1" customFormat="1" ht="26.25" hidden="0" customHeight="1">
      <x:c r="A7" s="7" t="s">
        <x:v>3756</x:v>
      </x:c>
      <x:c r="B7" s="8" t="s">
        <x:v>3421</x:v>
      </x:c>
      <x:c r="C7" s="8" t="s">
        <x:v>3757</x:v>
      </x:c>
      <x:c r="D7" s="6"/>
      <x:c r="E7" s="6"/>
      <x:c r="F7" s="6"/>
      <x:c r="G7" s="6"/>
      <x:c r="H7" s="6"/>
      <x:c r="I7" s="6"/>
      <x:c r="J7" s="6"/>
      <x:c r="K7" s="6"/>
      <x:c r="L7" s="6"/>
      <x:c r="M7" s="6"/>
      <x:c r="N7" s="6"/>
      <x:c r="O7" s="6"/>
      <x:c r="P7" s="6"/>
      <x:c r="Q7" s="6"/>
      <x:c r="R7" s="6"/>
      <x:c r="S7" s="6"/>
      <x:c r="T7" s="6"/>
      <x:c r="U7" s="6"/>
      <x:c r="V7" s="6"/>
      <x:c r="W7" s="6"/>
      <x:c r="X7" s="6"/>
      <x:c r="Y7" s="6"/>
      <x:c r="Z7" s="6"/>
    </x:row>
    <x:row r="8" s="1" customFormat="1" ht="26.25" hidden="0" customHeight="1">
      <x:c r="A8" s="7" t="s">
        <x:v>3758</x:v>
      </x:c>
      <x:c r="B8" s="5" t="s">
        <x:v>3759</x:v>
      </x:c>
      <x:c r="C8" s="5" t="s">
        <x:v>3760</x:v>
      </x:c>
      <x:c r="D8" s="6"/>
      <x:c r="E8" s="6"/>
      <x:c r="F8" s="6"/>
      <x:c r="G8" s="6"/>
      <x:c r="H8" s="6"/>
      <x:c r="I8" s="6"/>
      <x:c r="J8" s="6"/>
      <x:c r="K8" s="6"/>
      <x:c r="L8" s="6"/>
      <x:c r="M8" s="6"/>
      <x:c r="N8" s="6"/>
      <x:c r="O8" s="6"/>
      <x:c r="P8" s="6"/>
      <x:c r="Q8" s="6"/>
      <x:c r="R8" s="6"/>
      <x:c r="S8" s="6"/>
      <x:c r="T8" s="6"/>
      <x:c r="U8" s="6"/>
      <x:c r="V8" s="6"/>
      <x:c r="W8" s="6"/>
      <x:c r="X8" s="6"/>
      <x:c r="Y8" s="6"/>
      <x:c r="Z8" s="6"/>
    </x:row>
    <x:row r="9" s="1" customFormat="1" ht="26.25" hidden="0" customHeight="1">
      <x:c r="A9" s="7" t="s">
        <x:v>3761</x:v>
      </x:c>
      <x:c r="B9" s="8" t="s">
        <x:v>3762</x:v>
      </x:c>
      <x:c r="C9" s="8" t="s">
        <x:v>3763</x:v>
      </x:c>
      <x:c r="D9" s="6"/>
      <x:c r="E9" s="6"/>
      <x:c r="F9" s="6"/>
      <x:c r="G9" s="6"/>
      <x:c r="H9" s="6"/>
      <x:c r="I9" s="6"/>
      <x:c r="J9" s="6"/>
      <x:c r="K9" s="6"/>
      <x:c r="L9" s="6"/>
      <x:c r="M9" s="6"/>
      <x:c r="N9" s="6"/>
      <x:c r="O9" s="6"/>
      <x:c r="P9" s="6"/>
      <x:c r="Q9" s="6"/>
      <x:c r="R9" s="6"/>
      <x:c r="S9" s="6"/>
      <x:c r="T9" s="6"/>
      <x:c r="U9" s="6"/>
      <x:c r="V9" s="6"/>
      <x:c r="W9" s="6"/>
      <x:c r="X9" s="6"/>
      <x:c r="Y9" s="6"/>
      <x:c r="Z9" s="6"/>
    </x:row>
    <x:row r="10" s="1" customFormat="1" ht="12.75" hidden="0" customHeight="1">
      <x:c r="A10" s="6"/>
      <x:c r="B10" s="6"/>
      <x:c r="C10" s="6"/>
      <x:c r="D10" s="6"/>
      <x:c r="E10" s="6"/>
      <x:c r="F10" s="6"/>
      <x:c r="G10" s="6"/>
      <x:c r="H10" s="6"/>
      <x:c r="I10" s="6"/>
      <x:c r="J10" s="6"/>
      <x:c r="K10" s="6"/>
      <x:c r="L10" s="6"/>
      <x:c r="M10" s="6"/>
      <x:c r="N10" s="6"/>
      <x:c r="O10" s="6"/>
      <x:c r="P10" s="6"/>
      <x:c r="Q10" s="6"/>
      <x:c r="R10" s="6"/>
      <x:c r="S10" s="6"/>
      <x:c r="T10" s="6"/>
      <x:c r="U10" s="6"/>
      <x:c r="V10" s="6"/>
      <x:c r="W10" s="6"/>
      <x:c r="X10" s="6"/>
      <x:c r="Y10" s="6"/>
      <x:c r="Z10" s="6"/>
    </x:row>
    <x:row r="11" s="1" customFormat="1" ht="12.75" hidden="0" customHeight="1">
      <x:c r="A11" s="6"/>
      <x:c r="B11" s="6"/>
      <x:c r="C11" s="6"/>
      <x:c r="D11" s="6"/>
      <x:c r="E11" s="6"/>
      <x:c r="F11" s="6"/>
      <x:c r="G11" s="6"/>
      <x:c r="H11" s="6"/>
      <x:c r="I11" s="6"/>
      <x:c r="J11" s="6"/>
      <x:c r="K11" s="6"/>
      <x:c r="L11" s="6"/>
      <x:c r="M11" s="6"/>
      <x:c r="N11" s="6"/>
      <x:c r="O11" s="6"/>
      <x:c r="P11" s="6"/>
      <x:c r="Q11" s="6"/>
      <x:c r="R11" s="6"/>
      <x:c r="S11" s="6"/>
      <x:c r="T11" s="6"/>
      <x:c r="U11" s="6"/>
      <x:c r="V11" s="6"/>
      <x:c r="W11" s="6"/>
      <x:c r="X11" s="6"/>
      <x:c r="Y11" s="6"/>
      <x:c r="Z11" s="6"/>
    </x:row>
    <x:row r="12" s="1" customFormat="1" ht="12.75" hidden="0" customHeight="1">
      <x:c r="A12" s="6"/>
      <x:c r="B12" s="6"/>
      <x:c r="C12" s="6"/>
      <x:c r="D12" s="6"/>
      <x:c r="E12" s="6"/>
      <x:c r="F12" s="6"/>
      <x:c r="G12" s="6"/>
      <x:c r="H12" s="6"/>
      <x:c r="I12" s="6"/>
      <x:c r="J12" s="6"/>
      <x:c r="K12" s="6"/>
      <x:c r="L12" s="6"/>
      <x:c r="M12" s="6"/>
      <x:c r="N12" s="6"/>
      <x:c r="O12" s="6"/>
      <x:c r="P12" s="6"/>
      <x:c r="Q12" s="6"/>
      <x:c r="R12" s="6"/>
      <x:c r="S12" s="6"/>
      <x:c r="T12" s="6"/>
      <x:c r="U12" s="6"/>
      <x:c r="V12" s="6"/>
      <x:c r="W12" s="6"/>
      <x:c r="X12" s="6"/>
      <x:c r="Y12" s="6"/>
      <x:c r="Z12" s="6"/>
    </x:row>
    <x:row r="13" s="1" customFormat="1" ht="12.75" hidden="0" customHeight="1">
      <x:c r="A13" s="6"/>
      <x:c r="B13" s="6"/>
      <x:c r="C13" s="6"/>
      <x:c r="D13" s="6"/>
      <x:c r="E13" s="6"/>
      <x:c r="F13" s="6"/>
      <x:c r="G13" s="6"/>
      <x:c r="H13" s="6"/>
      <x:c r="I13" s="6"/>
      <x:c r="J13" s="6"/>
      <x:c r="K13" s="6"/>
      <x:c r="L13" s="6"/>
      <x:c r="M13" s="6"/>
      <x:c r="N13" s="6"/>
      <x:c r="O13" s="6"/>
      <x:c r="P13" s="6"/>
      <x:c r="Q13" s="6"/>
      <x:c r="R13" s="6"/>
      <x:c r="S13" s="6"/>
      <x:c r="T13" s="6"/>
      <x:c r="U13" s="6"/>
      <x:c r="V13" s="6"/>
      <x:c r="W13" s="6"/>
      <x:c r="X13" s="6"/>
      <x:c r="Y13" s="6"/>
      <x:c r="Z13" s="6"/>
    </x:row>
    <x:row r="14" s="1" customFormat="1" ht="12.75" hidden="0" customHeight="1">
      <x:c r="A14" s="6"/>
      <x:c r="B14" s="6"/>
      <x:c r="C14" s="6"/>
      <x:c r="D14" s="6"/>
      <x:c r="E14" s="6"/>
      <x:c r="F14" s="6"/>
      <x:c r="G14" s="6"/>
      <x:c r="H14" s="6"/>
      <x:c r="I14" s="6"/>
      <x:c r="J14" s="6"/>
      <x:c r="K14" s="6"/>
      <x:c r="L14" s="6"/>
      <x:c r="M14" s="6"/>
      <x:c r="N14" s="6"/>
      <x:c r="O14" s="6"/>
      <x:c r="P14" s="6"/>
      <x:c r="Q14" s="6"/>
      <x:c r="R14" s="6"/>
      <x:c r="S14" s="6"/>
      <x:c r="T14" s="6"/>
      <x:c r="U14" s="6"/>
      <x:c r="V14" s="6"/>
      <x:c r="W14" s="6"/>
      <x:c r="X14" s="6"/>
      <x:c r="Y14" s="6"/>
      <x:c r="Z14" s="6"/>
    </x:row>
    <x:row r="15" s="1" customFormat="1" ht="12.75" hidden="0" customHeight="1">
      <x:c r="A15" s="6"/>
      <x:c r="B15" s="6"/>
      <x:c r="C15" s="6"/>
      <x:c r="D15" s="6"/>
      <x:c r="E15" s="6"/>
      <x:c r="F15" s="6"/>
      <x:c r="G15" s="6"/>
      <x:c r="H15" s="6"/>
      <x:c r="I15" s="6"/>
      <x:c r="J15" s="6"/>
      <x:c r="K15" s="6"/>
      <x:c r="L15" s="6"/>
      <x:c r="M15" s="6"/>
      <x:c r="N15" s="6"/>
      <x:c r="O15" s="6"/>
      <x:c r="P15" s="6"/>
      <x:c r="Q15" s="6"/>
      <x:c r="R15" s="6"/>
      <x:c r="S15" s="6"/>
      <x:c r="T15" s="6"/>
      <x:c r="U15" s="6"/>
      <x:c r="V15" s="6"/>
      <x:c r="W15" s="6"/>
      <x:c r="X15" s="6"/>
      <x:c r="Y15" s="6"/>
      <x:c r="Z15" s="6"/>
    </x:row>
    <x:row r="16" s="1" customFormat="1" ht="12.75" hidden="0" customHeight="1">
      <x:c r="A16" s="6"/>
      <x:c r="B16" s="6"/>
      <x:c r="C16" s="6"/>
      <x:c r="D16" s="6"/>
      <x:c r="E16" s="6"/>
      <x:c r="F16" s="6"/>
      <x:c r="G16" s="6"/>
      <x:c r="H16" s="6"/>
      <x:c r="I16" s="6"/>
      <x:c r="J16" s="6"/>
      <x:c r="K16" s="6"/>
      <x:c r="L16" s="6"/>
      <x:c r="M16" s="6"/>
      <x:c r="N16" s="6"/>
      <x:c r="O16" s="6"/>
      <x:c r="P16" s="6"/>
      <x:c r="Q16" s="6"/>
      <x:c r="R16" s="6"/>
      <x:c r="S16" s="6"/>
      <x:c r="T16" s="6"/>
      <x:c r="U16" s="6"/>
      <x:c r="V16" s="6"/>
      <x:c r="W16" s="6"/>
      <x:c r="X16" s="6"/>
      <x:c r="Y16" s="6"/>
      <x:c r="Z16" s="6"/>
    </x:row>
    <x:row r="17" s="1" customFormat="1" ht="12.75" hidden="0" customHeight="1">
      <x:c r="A17" s="6"/>
      <x:c r="B17" s="6"/>
      <x:c r="C17" s="6"/>
      <x:c r="D17" s="6"/>
      <x:c r="E17" s="6"/>
      <x:c r="F17" s="6"/>
      <x:c r="G17" s="6"/>
      <x:c r="H17" s="6"/>
      <x:c r="I17" s="6"/>
      <x:c r="J17" s="6"/>
      <x:c r="K17" s="6"/>
      <x:c r="L17" s="6"/>
      <x:c r="M17" s="6"/>
      <x:c r="N17" s="6"/>
      <x:c r="O17" s="6"/>
      <x:c r="P17" s="6"/>
      <x:c r="Q17" s="6"/>
      <x:c r="R17" s="6"/>
      <x:c r="S17" s="6"/>
      <x:c r="T17" s="6"/>
      <x:c r="U17" s="6"/>
      <x:c r="V17" s="6"/>
      <x:c r="W17" s="6"/>
      <x:c r="X17" s="6"/>
      <x:c r="Y17" s="6"/>
      <x:c r="Z17" s="6"/>
    </x:row>
    <x:row r="18" s="1" customFormat="1" ht="12.75" hidden="0" customHeight="1">
      <x:c r="A18" s="6"/>
      <x:c r="B18" s="6"/>
      <x:c r="C18" s="6"/>
      <x:c r="D18" s="6"/>
      <x:c r="E18" s="6"/>
      <x:c r="F18" s="6"/>
      <x:c r="G18" s="6"/>
      <x:c r="H18" s="6"/>
      <x:c r="I18" s="6"/>
      <x:c r="J18" s="6"/>
      <x:c r="K18" s="6"/>
      <x:c r="L18" s="6"/>
      <x:c r="M18" s="6"/>
      <x:c r="N18" s="6"/>
      <x:c r="O18" s="6"/>
      <x:c r="P18" s="6"/>
      <x:c r="Q18" s="6"/>
      <x:c r="R18" s="6"/>
      <x:c r="S18" s="6"/>
      <x:c r="T18" s="6"/>
      <x:c r="U18" s="6"/>
      <x:c r="V18" s="6"/>
      <x:c r="W18" s="6"/>
      <x:c r="X18" s="6"/>
      <x:c r="Y18" s="6"/>
      <x:c r="Z18" s="6"/>
    </x:row>
    <x:row r="19" s="1" customFormat="1" ht="12.75" hidden="0" customHeight="1">
      <x:c r="A19" s="6"/>
      <x:c r="B19" s="6"/>
      <x:c r="C19" s="6"/>
      <x:c r="D19" s="6"/>
      <x:c r="E19" s="6"/>
      <x:c r="F19" s="6"/>
      <x:c r="G19" s="6"/>
      <x:c r="H19" s="6"/>
      <x:c r="I19" s="6"/>
      <x:c r="J19" s="6"/>
      <x:c r="K19" s="6"/>
      <x:c r="L19" s="6"/>
      <x:c r="M19" s="6"/>
      <x:c r="N19" s="6"/>
      <x:c r="O19" s="6"/>
      <x:c r="P19" s="6"/>
      <x:c r="Q19" s="6"/>
      <x:c r="R19" s="6"/>
      <x:c r="S19" s="6"/>
      <x:c r="T19" s="6"/>
      <x:c r="U19" s="6"/>
      <x:c r="V19" s="6"/>
      <x:c r="W19" s="6"/>
      <x:c r="X19" s="6"/>
      <x:c r="Y19" s="6"/>
      <x:c r="Z19" s="6"/>
    </x:row>
    <x:row r="20" s="1" customFormat="1" ht="12.75" hidden="0" customHeight="1">
      <x:c r="A20" s="6"/>
      <x:c r="B20" s="6"/>
      <x:c r="C20" s="6"/>
      <x:c r="D20" s="6"/>
      <x:c r="E20" s="6"/>
      <x:c r="F20" s="6"/>
      <x:c r="G20" s="6"/>
      <x:c r="H20" s="6"/>
      <x:c r="I20" s="6"/>
      <x:c r="J20" s="6"/>
      <x:c r="K20" s="6"/>
      <x:c r="L20" s="6"/>
      <x:c r="M20" s="6"/>
      <x:c r="N20" s="6"/>
      <x:c r="O20" s="6"/>
      <x:c r="P20" s="6"/>
      <x:c r="Q20" s="6"/>
      <x:c r="R20" s="6"/>
      <x:c r="S20" s="6"/>
      <x:c r="T20" s="6"/>
      <x:c r="U20" s="6"/>
      <x:c r="V20" s="6"/>
      <x:c r="W20" s="6"/>
      <x:c r="X20" s="6"/>
      <x:c r="Y20" s="6"/>
      <x:c r="Z20" s="6"/>
    </x:row>
    <x:row r="21" s="1" customFormat="1" ht="12.75" hidden="0" customHeight="1">
      <x:c r="A21" s="6"/>
      <x:c r="B21" s="6"/>
      <x:c r="C21" s="6"/>
      <x:c r="D21" s="6"/>
      <x:c r="E21" s="6"/>
      <x:c r="F21" s="6"/>
      <x:c r="G21" s="6"/>
      <x:c r="H21" s="6"/>
      <x:c r="I21" s="6"/>
      <x:c r="J21" s="6"/>
      <x:c r="K21" s="6"/>
      <x:c r="L21" s="6"/>
      <x:c r="M21" s="6"/>
      <x:c r="N21" s="6"/>
      <x:c r="O21" s="6"/>
      <x:c r="P21" s="6"/>
      <x:c r="Q21" s="6"/>
      <x:c r="R21" s="6"/>
      <x:c r="S21" s="6"/>
      <x:c r="T21" s="6"/>
      <x:c r="U21" s="6"/>
      <x:c r="V21" s="6"/>
      <x:c r="W21" s="6"/>
      <x:c r="X21" s="6"/>
      <x:c r="Y21" s="6"/>
      <x:c r="Z21" s="6"/>
    </x:row>
    <x:row r="22" s="1" customFormat="1" ht="12.75" hidden="0" customHeight="1">
      <x:c r="A22" s="6"/>
      <x:c r="B22" s="6"/>
      <x:c r="C22" s="6"/>
      <x:c r="D22" s="6"/>
      <x:c r="E22" s="6"/>
      <x:c r="F22" s="6"/>
      <x:c r="G22" s="6"/>
      <x:c r="H22" s="6"/>
      <x:c r="I22" s="6"/>
      <x:c r="J22" s="6"/>
      <x:c r="K22" s="6"/>
      <x:c r="L22" s="6"/>
      <x:c r="M22" s="6"/>
      <x:c r="N22" s="6"/>
      <x:c r="O22" s="6"/>
      <x:c r="P22" s="6"/>
      <x:c r="Q22" s="6"/>
      <x:c r="R22" s="6"/>
      <x:c r="S22" s="6"/>
      <x:c r="T22" s="6"/>
      <x:c r="U22" s="6"/>
      <x:c r="V22" s="6"/>
      <x:c r="W22" s="6"/>
      <x:c r="X22" s="6"/>
      <x:c r="Y22" s="6"/>
      <x:c r="Z22" s="6"/>
    </x:row>
    <x:row r="23" s="1" customFormat="1" ht="12.75" hidden="0" customHeight="1">
      <x:c r="A23" s="6"/>
      <x:c r="B23" s="6"/>
      <x:c r="C23" s="6"/>
      <x:c r="D23" s="6"/>
      <x:c r="E23" s="6"/>
      <x:c r="F23" s="6"/>
      <x:c r="G23" s="6"/>
      <x:c r="H23" s="6"/>
      <x:c r="I23" s="6"/>
      <x:c r="J23" s="6"/>
      <x:c r="K23" s="6"/>
      <x:c r="L23" s="6"/>
      <x:c r="M23" s="6"/>
      <x:c r="N23" s="6"/>
      <x:c r="O23" s="6"/>
      <x:c r="P23" s="6"/>
      <x:c r="Q23" s="6"/>
      <x:c r="R23" s="6"/>
      <x:c r="S23" s="6"/>
      <x:c r="T23" s="6"/>
      <x:c r="U23" s="6"/>
      <x:c r="V23" s="6"/>
      <x:c r="W23" s="6"/>
      <x:c r="X23" s="6"/>
      <x:c r="Y23" s="6"/>
      <x:c r="Z23" s="6"/>
    </x:row>
    <x:row r="24" s="1" customFormat="1" ht="12.75" hidden="0" customHeight="1">
      <x:c r="A24" s="6"/>
      <x:c r="B24" s="6"/>
      <x:c r="C24" s="6"/>
      <x:c r="D24" s="6"/>
      <x:c r="E24" s="6"/>
      <x:c r="F24" s="6"/>
      <x:c r="G24" s="6"/>
      <x:c r="H24" s="6"/>
      <x:c r="I24" s="6"/>
      <x:c r="J24" s="6"/>
      <x:c r="K24" s="6"/>
      <x:c r="L24" s="6"/>
      <x:c r="M24" s="6"/>
      <x:c r="N24" s="6"/>
      <x:c r="O24" s="6"/>
      <x:c r="P24" s="6"/>
      <x:c r="Q24" s="6"/>
      <x:c r="R24" s="6"/>
      <x:c r="S24" s="6"/>
      <x:c r="T24" s="6"/>
      <x:c r="U24" s="6"/>
      <x:c r="V24" s="6"/>
      <x:c r="W24" s="6"/>
      <x:c r="X24" s="6"/>
      <x:c r="Y24" s="6"/>
      <x:c r="Z24" s="6"/>
    </x:row>
    <x:row r="25" s="1" customFormat="1" ht="12.75" hidden="0" customHeight="1">
      <x:c r="A25" s="6"/>
      <x:c r="B25" s="6"/>
      <x:c r="C25" s="6"/>
      <x:c r="D25" s="6"/>
      <x:c r="E25" s="6"/>
      <x:c r="F25" s="6"/>
      <x:c r="G25" s="6"/>
      <x:c r="H25" s="6"/>
      <x:c r="I25" s="6"/>
      <x:c r="J25" s="6"/>
      <x:c r="K25" s="6"/>
      <x:c r="L25" s="6"/>
      <x:c r="M25" s="6"/>
      <x:c r="N25" s="6"/>
      <x:c r="O25" s="6"/>
      <x:c r="P25" s="6"/>
      <x:c r="Q25" s="6"/>
      <x:c r="R25" s="6"/>
      <x:c r="S25" s="6"/>
      <x:c r="T25" s="6"/>
      <x:c r="U25" s="6"/>
      <x:c r="V25" s="6"/>
      <x:c r="W25" s="6"/>
      <x:c r="X25" s="6"/>
      <x:c r="Y25" s="6"/>
      <x:c r="Z25" s="6"/>
    </x:row>
    <x:row r="26" s="1" customFormat="1" ht="12.75" hidden="0" customHeight="1">
      <x:c r="A26" s="6"/>
      <x:c r="B26" s="6"/>
      <x:c r="C26" s="6"/>
      <x:c r="D26" s="6"/>
      <x:c r="E26" s="6"/>
      <x:c r="F26" s="6"/>
      <x:c r="G26" s="6"/>
      <x:c r="H26" s="6"/>
      <x:c r="I26" s="6"/>
      <x:c r="J26" s="6"/>
      <x:c r="K26" s="6"/>
      <x:c r="L26" s="6"/>
      <x:c r="M26" s="6"/>
      <x:c r="N26" s="6"/>
      <x:c r="O26" s="6"/>
      <x:c r="P26" s="6"/>
      <x:c r="Q26" s="6"/>
      <x:c r="R26" s="6"/>
      <x:c r="S26" s="6"/>
      <x:c r="T26" s="6"/>
      <x:c r="U26" s="6"/>
      <x:c r="V26" s="6"/>
      <x:c r="W26" s="6"/>
      <x:c r="X26" s="6"/>
      <x:c r="Y26" s="6"/>
      <x:c r="Z26" s="6"/>
    </x:row>
    <x:row r="27" s="1" customFormat="1" ht="12.75" hidden="0" customHeight="1">
      <x:c r="A27" s="6"/>
      <x:c r="B27" s="6"/>
      <x:c r="C27" s="6"/>
      <x:c r="D27" s="6"/>
      <x:c r="E27" s="6"/>
      <x:c r="F27" s="6"/>
      <x:c r="G27" s="6"/>
      <x:c r="H27" s="6"/>
      <x:c r="I27" s="6"/>
      <x:c r="J27" s="6"/>
      <x:c r="K27" s="6"/>
      <x:c r="L27" s="6"/>
      <x:c r="M27" s="6"/>
      <x:c r="N27" s="6"/>
      <x:c r="O27" s="6"/>
      <x:c r="P27" s="6"/>
      <x:c r="Q27" s="6"/>
      <x:c r="R27" s="6"/>
      <x:c r="S27" s="6"/>
      <x:c r="T27" s="6"/>
      <x:c r="U27" s="6"/>
      <x:c r="V27" s="6"/>
      <x:c r="W27" s="6"/>
      <x:c r="X27" s="6"/>
      <x:c r="Y27" s="6"/>
      <x:c r="Z27" s="6"/>
    </x:row>
    <x:row r="28" s="1" customFormat="1" ht="12.75" hidden="0" customHeight="1">
      <x:c r="A28" s="6"/>
      <x:c r="B28" s="6"/>
      <x:c r="C28" s="6"/>
      <x:c r="D28" s="6"/>
      <x:c r="E28" s="6"/>
      <x:c r="F28" s="6"/>
      <x:c r="G28" s="6"/>
      <x:c r="H28" s="6"/>
      <x:c r="I28" s="6"/>
      <x:c r="J28" s="6"/>
      <x:c r="K28" s="6"/>
      <x:c r="L28" s="6"/>
      <x:c r="M28" s="6"/>
      <x:c r="N28" s="6"/>
      <x:c r="O28" s="6"/>
      <x:c r="P28" s="6"/>
      <x:c r="Q28" s="6"/>
      <x:c r="R28" s="6"/>
      <x:c r="S28" s="6"/>
      <x:c r="T28" s="6"/>
      <x:c r="U28" s="6"/>
      <x:c r="V28" s="6"/>
      <x:c r="W28" s="6"/>
      <x:c r="X28" s="6"/>
      <x:c r="Y28" s="6"/>
      <x:c r="Z28" s="6"/>
    </x:row>
    <x:row r="29" s="1" customFormat="1" ht="12.75" hidden="0" customHeight="1">
      <x:c r="A29" s="6"/>
      <x:c r="B29" s="6"/>
      <x:c r="C29" s="6"/>
      <x:c r="D29" s="6"/>
      <x:c r="E29" s="6"/>
      <x:c r="F29" s="6"/>
      <x:c r="G29" s="6"/>
      <x:c r="H29" s="6"/>
      <x:c r="I29" s="6"/>
      <x:c r="J29" s="6"/>
      <x:c r="K29" s="6"/>
      <x:c r="L29" s="6"/>
      <x:c r="M29" s="6"/>
      <x:c r="N29" s="6"/>
      <x:c r="O29" s="6"/>
      <x:c r="P29" s="6"/>
      <x:c r="Q29" s="6"/>
      <x:c r="R29" s="6"/>
      <x:c r="S29" s="6"/>
      <x:c r="T29" s="6"/>
      <x:c r="U29" s="6"/>
      <x:c r="V29" s="6"/>
      <x:c r="W29" s="6"/>
      <x:c r="X29" s="6"/>
      <x:c r="Y29" s="6"/>
      <x:c r="Z29" s="6"/>
    </x:row>
    <x:row r="30" s="1" customFormat="1" ht="12.75" hidden="0" customHeight="1">
      <x:c r="A30" s="6"/>
      <x:c r="B30" s="6"/>
      <x:c r="C30" s="6"/>
      <x:c r="D30" s="6"/>
      <x:c r="E30" s="6"/>
      <x:c r="F30" s="6"/>
      <x:c r="G30" s="6"/>
      <x:c r="H30" s="6"/>
      <x:c r="I30" s="6"/>
      <x:c r="J30" s="6"/>
      <x:c r="K30" s="6"/>
      <x:c r="L30" s="6"/>
      <x:c r="M30" s="6"/>
      <x:c r="N30" s="6"/>
      <x:c r="O30" s="6"/>
      <x:c r="P30" s="6"/>
      <x:c r="Q30" s="6"/>
      <x:c r="R30" s="6"/>
      <x:c r="S30" s="6"/>
      <x:c r="T30" s="6"/>
      <x:c r="U30" s="6"/>
      <x:c r="V30" s="6"/>
      <x:c r="W30" s="6"/>
      <x:c r="X30" s="6"/>
      <x:c r="Y30" s="6"/>
      <x:c r="Z30" s="6"/>
    </x:row>
    <x:row r="31" s="1" customFormat="1" ht="12.75" hidden="0" customHeight="1">
      <x:c r="A31" s="6"/>
      <x:c r="B31" s="6"/>
      <x:c r="C31" s="6"/>
      <x:c r="D31" s="6"/>
      <x:c r="E31" s="6"/>
      <x:c r="F31" s="6"/>
      <x:c r="G31" s="6"/>
      <x:c r="H31" s="6"/>
      <x:c r="I31" s="6"/>
      <x:c r="J31" s="6"/>
      <x:c r="K31" s="6"/>
      <x:c r="L31" s="6"/>
      <x:c r="M31" s="6"/>
      <x:c r="N31" s="6"/>
      <x:c r="O31" s="6"/>
      <x:c r="P31" s="6"/>
      <x:c r="Q31" s="6"/>
      <x:c r="R31" s="6"/>
      <x:c r="S31" s="6"/>
      <x:c r="T31" s="6"/>
      <x:c r="U31" s="6"/>
      <x:c r="V31" s="6"/>
      <x:c r="W31" s="6"/>
      <x:c r="X31" s="6"/>
      <x:c r="Y31" s="6"/>
      <x:c r="Z31" s="6"/>
    </x:row>
    <x:row r="32" s="1" customFormat="1" ht="12.75" hidden="0" customHeight="1">
      <x:c r="A32" s="6"/>
      <x:c r="B32" s="6"/>
      <x:c r="C32" s="6"/>
      <x:c r="D32" s="6"/>
      <x:c r="E32" s="6"/>
      <x:c r="F32" s="6"/>
      <x:c r="G32" s="6"/>
      <x:c r="H32" s="6"/>
      <x:c r="I32" s="6"/>
      <x:c r="J32" s="6"/>
      <x:c r="K32" s="6"/>
      <x:c r="L32" s="6"/>
      <x:c r="M32" s="6"/>
      <x:c r="N32" s="6"/>
      <x:c r="O32" s="6"/>
      <x:c r="P32" s="6"/>
      <x:c r="Q32" s="6"/>
      <x:c r="R32" s="6"/>
      <x:c r="S32" s="6"/>
      <x:c r="T32" s="6"/>
      <x:c r="U32" s="6"/>
      <x:c r="V32" s="6"/>
      <x:c r="W32" s="6"/>
      <x:c r="X32" s="6"/>
      <x:c r="Y32" s="6"/>
      <x:c r="Z32" s="6"/>
    </x:row>
    <x:row r="33" s="1" customFormat="1" ht="12.75" hidden="0" customHeight="1">
      <x:c r="A33" s="6"/>
      <x:c r="B33" s="6"/>
      <x:c r="C33" s="6"/>
      <x:c r="D33" s="6"/>
      <x:c r="E33" s="6"/>
      <x:c r="F33" s="6"/>
      <x:c r="G33" s="6"/>
      <x:c r="H33" s="6"/>
      <x:c r="I33" s="6"/>
      <x:c r="J33" s="6"/>
      <x:c r="K33" s="6"/>
      <x:c r="L33" s="6"/>
      <x:c r="M33" s="6"/>
      <x:c r="N33" s="6"/>
      <x:c r="O33" s="6"/>
      <x:c r="P33" s="6"/>
      <x:c r="Q33" s="6"/>
      <x:c r="R33" s="6"/>
      <x:c r="S33" s="6"/>
      <x:c r="T33" s="6"/>
      <x:c r="U33" s="6"/>
      <x:c r="V33" s="6"/>
      <x:c r="W33" s="6"/>
      <x:c r="X33" s="6"/>
      <x:c r="Y33" s="6"/>
      <x:c r="Z33" s="6"/>
    </x:row>
    <x:row r="34" s="1" customFormat="1" ht="12.75" hidden="0" customHeight="1">
      <x:c r="A34" s="6"/>
      <x:c r="B34" s="6"/>
      <x:c r="C34" s="6"/>
      <x:c r="D34" s="6"/>
      <x:c r="E34" s="6"/>
      <x:c r="F34" s="6"/>
      <x:c r="G34" s="6"/>
      <x:c r="H34" s="6"/>
      <x:c r="I34" s="6"/>
      <x:c r="J34" s="6"/>
      <x:c r="K34" s="6"/>
      <x:c r="L34" s="6"/>
      <x:c r="M34" s="6"/>
      <x:c r="N34" s="6"/>
      <x:c r="O34" s="6"/>
      <x:c r="P34" s="6"/>
      <x:c r="Q34" s="6"/>
      <x:c r="R34" s="6"/>
      <x:c r="S34" s="6"/>
      <x:c r="T34" s="6"/>
      <x:c r="U34" s="6"/>
      <x:c r="V34" s="6"/>
      <x:c r="W34" s="6"/>
      <x:c r="X34" s="6"/>
      <x:c r="Y34" s="6"/>
      <x:c r="Z34" s="6"/>
    </x:row>
    <x:row r="35" s="1" customFormat="1" ht="12.75" hidden="0" customHeight="1">
      <x:c r="A35" s="6"/>
      <x:c r="B35" s="6"/>
      <x:c r="C35" s="6"/>
      <x:c r="D35" s="6"/>
      <x:c r="E35" s="6"/>
      <x:c r="F35" s="6"/>
      <x:c r="G35" s="6"/>
      <x:c r="H35" s="6"/>
      <x:c r="I35" s="6"/>
      <x:c r="J35" s="6"/>
      <x:c r="K35" s="6"/>
      <x:c r="L35" s="6"/>
      <x:c r="M35" s="6"/>
      <x:c r="N35" s="6"/>
      <x:c r="O35" s="6"/>
      <x:c r="P35" s="6"/>
      <x:c r="Q35" s="6"/>
      <x:c r="R35" s="6"/>
      <x:c r="S35" s="6"/>
      <x:c r="T35" s="6"/>
      <x:c r="U35" s="6"/>
      <x:c r="V35" s="6"/>
      <x:c r="W35" s="6"/>
      <x:c r="X35" s="6"/>
      <x:c r="Y35" s="6"/>
      <x:c r="Z35" s="6"/>
    </x:row>
    <x:row r="36" s="1" customFormat="1" ht="12.75" hidden="0" customHeight="1">
      <x:c r="A36" s="6"/>
      <x:c r="B36" s="6"/>
      <x:c r="C36" s="6"/>
      <x:c r="D36" s="6"/>
      <x:c r="E36" s="6"/>
      <x:c r="F36" s="6"/>
      <x:c r="G36" s="6"/>
      <x:c r="H36" s="6"/>
      <x:c r="I36" s="6"/>
      <x:c r="J36" s="6"/>
      <x:c r="K36" s="6"/>
      <x:c r="L36" s="6"/>
      <x:c r="M36" s="6"/>
      <x:c r="N36" s="6"/>
      <x:c r="O36" s="6"/>
      <x:c r="P36" s="6"/>
      <x:c r="Q36" s="6"/>
      <x:c r="R36" s="6"/>
      <x:c r="S36" s="6"/>
      <x:c r="T36" s="6"/>
      <x:c r="U36" s="6"/>
      <x:c r="V36" s="6"/>
      <x:c r="W36" s="6"/>
      <x:c r="X36" s="6"/>
      <x:c r="Y36" s="6"/>
      <x:c r="Z36" s="6"/>
    </x:row>
    <x:row r="37" s="1" customFormat="1" ht="12.75" hidden="0" customHeight="1">
      <x:c r="A37" s="6"/>
      <x:c r="B37" s="6"/>
      <x:c r="C37" s="6"/>
      <x:c r="D37" s="6"/>
      <x:c r="E37" s="6"/>
      <x:c r="F37" s="6"/>
      <x:c r="G37" s="6"/>
      <x:c r="H37" s="6"/>
      <x:c r="I37" s="6"/>
      <x:c r="J37" s="6"/>
      <x:c r="K37" s="6"/>
      <x:c r="L37" s="6"/>
      <x:c r="M37" s="6"/>
      <x:c r="N37" s="6"/>
      <x:c r="O37" s="6"/>
      <x:c r="P37" s="6"/>
      <x:c r="Q37" s="6"/>
      <x:c r="R37" s="6"/>
      <x:c r="S37" s="6"/>
      <x:c r="T37" s="6"/>
      <x:c r="U37" s="6"/>
      <x:c r="V37" s="6"/>
      <x:c r="W37" s="6"/>
      <x:c r="X37" s="6"/>
      <x:c r="Y37" s="6"/>
      <x:c r="Z37" s="6"/>
    </x:row>
    <x:row r="38" s="1" customFormat="1" ht="12.75" hidden="0" customHeight="1">
      <x:c r="A38" s="6"/>
      <x:c r="B38" s="6"/>
      <x:c r="C38" s="6"/>
      <x:c r="D38" s="6"/>
      <x:c r="E38" s="6"/>
      <x:c r="F38" s="6"/>
      <x:c r="G38" s="6"/>
      <x:c r="H38" s="6"/>
      <x:c r="I38" s="6"/>
      <x:c r="J38" s="6"/>
      <x:c r="K38" s="6"/>
      <x:c r="L38" s="6"/>
      <x:c r="M38" s="6"/>
      <x:c r="N38" s="6"/>
      <x:c r="O38" s="6"/>
      <x:c r="P38" s="6"/>
      <x:c r="Q38" s="6"/>
      <x:c r="R38" s="6"/>
      <x:c r="S38" s="6"/>
      <x:c r="T38" s="6"/>
      <x:c r="U38" s="6"/>
      <x:c r="V38" s="6"/>
      <x:c r="W38" s="6"/>
      <x:c r="X38" s="6"/>
      <x:c r="Y38" s="6"/>
      <x:c r="Z38" s="6"/>
    </x:row>
    <x:row r="39" s="1" customFormat="1" ht="12.75" hidden="0" customHeight="1">
      <x:c r="A39" s="6"/>
      <x:c r="B39" s="6"/>
      <x:c r="C39" s="6"/>
      <x:c r="D39" s="6"/>
      <x:c r="E39" s="6"/>
      <x:c r="F39" s="6"/>
      <x:c r="G39" s="6"/>
      <x:c r="H39" s="6"/>
      <x:c r="I39" s="6"/>
      <x:c r="J39" s="6"/>
      <x:c r="K39" s="6"/>
      <x:c r="L39" s="6"/>
      <x:c r="M39" s="6"/>
      <x:c r="N39" s="6"/>
      <x:c r="O39" s="6"/>
      <x:c r="P39" s="6"/>
      <x:c r="Q39" s="6"/>
      <x:c r="R39" s="6"/>
      <x:c r="S39" s="6"/>
      <x:c r="T39" s="6"/>
      <x:c r="U39" s="6"/>
      <x:c r="V39" s="6"/>
      <x:c r="W39" s="6"/>
      <x:c r="X39" s="6"/>
      <x:c r="Y39" s="6"/>
      <x:c r="Z39" s="6"/>
    </x:row>
    <x:row r="40" s="1" customFormat="1" ht="12.75" hidden="0" customHeight="1">
      <x:c r="A40" s="6"/>
      <x:c r="B40" s="6"/>
      <x:c r="C40" s="6"/>
      <x:c r="D40" s="6"/>
      <x:c r="E40" s="6"/>
      <x:c r="F40" s="6"/>
      <x:c r="G40" s="6"/>
      <x:c r="H40" s="6"/>
      <x:c r="I40" s="6"/>
      <x:c r="J40" s="6"/>
      <x:c r="K40" s="6"/>
      <x:c r="L40" s="6"/>
      <x:c r="M40" s="6"/>
      <x:c r="N40" s="6"/>
      <x:c r="O40" s="6"/>
      <x:c r="P40" s="6"/>
      <x:c r="Q40" s="6"/>
      <x:c r="R40" s="6"/>
      <x:c r="S40" s="6"/>
      <x:c r="T40" s="6"/>
      <x:c r="U40" s="6"/>
      <x:c r="V40" s="6"/>
      <x:c r="W40" s="6"/>
      <x:c r="X40" s="6"/>
      <x:c r="Y40" s="6"/>
      <x:c r="Z40" s="6"/>
    </x:row>
    <x:row r="41" s="1" customFormat="1" ht="12.75" hidden="0" customHeight="1">
      <x:c r="A41" s="6"/>
      <x:c r="B41" s="6"/>
      <x:c r="C41" s="6"/>
      <x:c r="D41" s="6"/>
      <x:c r="E41" s="6"/>
      <x:c r="F41" s="6"/>
      <x:c r="G41" s="6"/>
      <x:c r="H41" s="6"/>
      <x:c r="I41" s="6"/>
      <x:c r="J41" s="6"/>
      <x:c r="K41" s="6"/>
      <x:c r="L41" s="6"/>
      <x:c r="M41" s="6"/>
      <x:c r="N41" s="6"/>
      <x:c r="O41" s="6"/>
      <x:c r="P41" s="6"/>
      <x:c r="Q41" s="6"/>
      <x:c r="R41" s="6"/>
      <x:c r="S41" s="6"/>
      <x:c r="T41" s="6"/>
      <x:c r="U41" s="6"/>
      <x:c r="V41" s="6"/>
      <x:c r="W41" s="6"/>
      <x:c r="X41" s="6"/>
      <x:c r="Y41" s="6"/>
      <x:c r="Z41" s="6"/>
    </x:row>
    <x:row r="42" s="1" customFormat="1" ht="12.75" hidden="0" customHeight="1">
      <x:c r="A42" s="6"/>
      <x:c r="B42" s="6"/>
      <x:c r="C42" s="6"/>
      <x:c r="D42" s="6"/>
      <x:c r="E42" s="6"/>
      <x:c r="F42" s="6"/>
      <x:c r="G42" s="6"/>
      <x:c r="H42" s="6"/>
      <x:c r="I42" s="6"/>
      <x:c r="J42" s="6"/>
      <x:c r="K42" s="6"/>
      <x:c r="L42" s="6"/>
      <x:c r="M42" s="6"/>
      <x:c r="N42" s="6"/>
      <x:c r="O42" s="6"/>
      <x:c r="P42" s="6"/>
      <x:c r="Q42" s="6"/>
      <x:c r="R42" s="6"/>
      <x:c r="S42" s="6"/>
      <x:c r="T42" s="6"/>
      <x:c r="U42" s="6"/>
      <x:c r="V42" s="6"/>
      <x:c r="W42" s="6"/>
      <x:c r="X42" s="6"/>
      <x:c r="Y42" s="6"/>
      <x:c r="Z42" s="6"/>
    </x:row>
    <x:row r="43" s="1" customFormat="1" ht="12.75" hidden="0" customHeight="1">
      <x:c r="A43" s="6"/>
      <x:c r="B43" s="6"/>
      <x:c r="C43" s="6"/>
      <x:c r="D43" s="6"/>
      <x:c r="E43" s="6"/>
      <x:c r="F43" s="6"/>
      <x:c r="G43" s="6"/>
      <x:c r="H43" s="6"/>
      <x:c r="I43" s="6"/>
      <x:c r="J43" s="6"/>
      <x:c r="K43" s="6"/>
      <x:c r="L43" s="6"/>
      <x:c r="M43" s="6"/>
      <x:c r="N43" s="6"/>
      <x:c r="O43" s="6"/>
      <x:c r="P43" s="6"/>
      <x:c r="Q43" s="6"/>
      <x:c r="R43" s="6"/>
      <x:c r="S43" s="6"/>
      <x:c r="T43" s="6"/>
      <x:c r="U43" s="6"/>
      <x:c r="V43" s="6"/>
      <x:c r="W43" s="6"/>
      <x:c r="X43" s="6"/>
      <x:c r="Y43" s="6"/>
      <x:c r="Z43" s="6"/>
    </x:row>
    <x:row r="44" s="1" customFormat="1" ht="12.75" hidden="0" customHeight="1">
      <x:c r="A44" s="6"/>
      <x:c r="B44" s="6"/>
      <x:c r="C44" s="6"/>
      <x:c r="D44" s="6"/>
      <x:c r="E44" s="6"/>
      <x:c r="F44" s="6"/>
      <x:c r="G44" s="6"/>
      <x:c r="H44" s="6"/>
      <x:c r="I44" s="6"/>
      <x:c r="J44" s="6"/>
      <x:c r="K44" s="6"/>
      <x:c r="L44" s="6"/>
      <x:c r="M44" s="6"/>
      <x:c r="N44" s="6"/>
      <x:c r="O44" s="6"/>
      <x:c r="P44" s="6"/>
      <x:c r="Q44" s="6"/>
      <x:c r="R44" s="6"/>
      <x:c r="S44" s="6"/>
      <x:c r="T44" s="6"/>
      <x:c r="U44" s="6"/>
      <x:c r="V44" s="6"/>
      <x:c r="W44" s="6"/>
      <x:c r="X44" s="6"/>
      <x:c r="Y44" s="6"/>
      <x:c r="Z44" s="6"/>
    </x:row>
    <x:row r="45" s="1" customFormat="1" ht="12.75" hidden="0" customHeight="1">
      <x:c r="A45" s="6"/>
      <x:c r="B45" s="6"/>
      <x:c r="C45" s="6"/>
      <x:c r="D45" s="6"/>
      <x:c r="E45" s="6"/>
      <x:c r="F45" s="6"/>
      <x:c r="G45" s="6"/>
      <x:c r="H45" s="6"/>
      <x:c r="I45" s="6"/>
      <x:c r="J45" s="6"/>
      <x:c r="K45" s="6"/>
      <x:c r="L45" s="6"/>
      <x:c r="M45" s="6"/>
      <x:c r="N45" s="6"/>
      <x:c r="O45" s="6"/>
      <x:c r="P45" s="6"/>
      <x:c r="Q45" s="6"/>
      <x:c r="R45" s="6"/>
      <x:c r="S45" s="6"/>
      <x:c r="T45" s="6"/>
      <x:c r="U45" s="6"/>
      <x:c r="V45" s="6"/>
      <x:c r="W45" s="6"/>
      <x:c r="X45" s="6"/>
      <x:c r="Y45" s="6"/>
      <x:c r="Z45" s="6"/>
    </x:row>
    <x:row r="46" s="1" customFormat="1" ht="12.75" hidden="0" customHeight="1">
      <x:c r="A46" s="6"/>
      <x:c r="B46" s="6"/>
      <x:c r="C46" s="6"/>
      <x:c r="D46" s="6"/>
      <x:c r="E46" s="6"/>
      <x:c r="F46" s="6"/>
      <x:c r="G46" s="6"/>
      <x:c r="H46" s="6"/>
      <x:c r="I46" s="6"/>
      <x:c r="J46" s="6"/>
      <x:c r="K46" s="6"/>
      <x:c r="L46" s="6"/>
      <x:c r="M46" s="6"/>
      <x:c r="N46" s="6"/>
      <x:c r="O46" s="6"/>
      <x:c r="P46" s="6"/>
      <x:c r="Q46" s="6"/>
      <x:c r="R46" s="6"/>
      <x:c r="S46" s="6"/>
      <x:c r="T46" s="6"/>
      <x:c r="U46" s="6"/>
      <x:c r="V46" s="6"/>
      <x:c r="W46" s="6"/>
      <x:c r="X46" s="6"/>
      <x:c r="Y46" s="6"/>
      <x:c r="Z46" s="6"/>
    </x:row>
    <x:row r="47" s="1" customFormat="1" ht="12.75" hidden="0" customHeight="1">
      <x:c r="A47" s="6"/>
      <x:c r="B47" s="6"/>
      <x:c r="C47" s="6"/>
      <x:c r="D47" s="6"/>
      <x:c r="E47" s="6"/>
      <x:c r="F47" s="6"/>
      <x:c r="G47" s="6"/>
      <x:c r="H47" s="6"/>
      <x:c r="I47" s="6"/>
      <x:c r="J47" s="6"/>
      <x:c r="K47" s="6"/>
      <x:c r="L47" s="6"/>
      <x:c r="M47" s="6"/>
      <x:c r="N47" s="6"/>
      <x:c r="O47" s="6"/>
      <x:c r="P47" s="6"/>
      <x:c r="Q47" s="6"/>
      <x:c r="R47" s="6"/>
      <x:c r="S47" s="6"/>
      <x:c r="T47" s="6"/>
      <x:c r="U47" s="6"/>
      <x:c r="V47" s="6"/>
      <x:c r="W47" s="6"/>
      <x:c r="X47" s="6"/>
      <x:c r="Y47" s="6"/>
      <x:c r="Z47" s="6"/>
    </x:row>
    <x:row r="48" s="1" customFormat="1" ht="12.75" hidden="0" customHeight="1">
      <x:c r="A48" s="6"/>
      <x:c r="B48" s="6"/>
      <x:c r="C48" s="6"/>
      <x:c r="D48" s="6"/>
      <x:c r="E48" s="6"/>
      <x:c r="F48" s="6"/>
      <x:c r="G48" s="6"/>
      <x:c r="H48" s="6"/>
      <x:c r="I48" s="6"/>
      <x:c r="J48" s="6"/>
      <x:c r="K48" s="6"/>
      <x:c r="L48" s="6"/>
      <x:c r="M48" s="6"/>
      <x:c r="N48" s="6"/>
      <x:c r="O48" s="6"/>
      <x:c r="P48" s="6"/>
      <x:c r="Q48" s="6"/>
      <x:c r="R48" s="6"/>
      <x:c r="S48" s="6"/>
      <x:c r="T48" s="6"/>
      <x:c r="U48" s="6"/>
      <x:c r="V48" s="6"/>
      <x:c r="W48" s="6"/>
      <x:c r="X48" s="6"/>
      <x:c r="Y48" s="6"/>
      <x:c r="Z48" s="6"/>
    </x:row>
    <x:row r="49" s="1" customFormat="1" ht="12.75" hidden="0" customHeight="1">
      <x:c r="A49" s="6"/>
      <x:c r="B49" s="6"/>
      <x:c r="C49" s="6"/>
      <x:c r="D49" s="6"/>
      <x:c r="E49" s="6"/>
      <x:c r="F49" s="6"/>
      <x:c r="G49" s="6"/>
      <x:c r="H49" s="6"/>
      <x:c r="I49" s="6"/>
      <x:c r="J49" s="6"/>
      <x:c r="K49" s="6"/>
      <x:c r="L49" s="6"/>
      <x:c r="M49" s="6"/>
      <x:c r="N49" s="6"/>
      <x:c r="O49" s="6"/>
      <x:c r="P49" s="6"/>
      <x:c r="Q49" s="6"/>
      <x:c r="R49" s="6"/>
      <x:c r="S49" s="6"/>
      <x:c r="T49" s="6"/>
      <x:c r="U49" s="6"/>
      <x:c r="V49" s="6"/>
      <x:c r="W49" s="6"/>
      <x:c r="X49" s="6"/>
      <x:c r="Y49" s="6"/>
      <x:c r="Z49" s="6"/>
    </x:row>
    <x:row r="50" s="1" customFormat="1" ht="12.75" hidden="0" customHeight="1">
      <x:c r="A50" s="6"/>
      <x:c r="B50" s="6"/>
      <x:c r="C50" s="6"/>
      <x:c r="D50" s="6"/>
      <x:c r="E50" s="6"/>
      <x:c r="F50" s="6"/>
      <x:c r="G50" s="6"/>
      <x:c r="H50" s="6"/>
      <x:c r="I50" s="6"/>
      <x:c r="J50" s="6"/>
      <x:c r="K50" s="6"/>
      <x:c r="L50" s="6"/>
      <x:c r="M50" s="6"/>
      <x:c r="N50" s="6"/>
      <x:c r="O50" s="6"/>
      <x:c r="P50" s="6"/>
      <x:c r="Q50" s="6"/>
      <x:c r="R50" s="6"/>
      <x:c r="S50" s="6"/>
      <x:c r="T50" s="6"/>
      <x:c r="U50" s="6"/>
      <x:c r="V50" s="6"/>
      <x:c r="W50" s="6"/>
      <x:c r="X50" s="6"/>
      <x:c r="Y50" s="6"/>
      <x:c r="Z50" s="6"/>
    </x:row>
    <x:row r="51" s="1" customFormat="1" ht="12.75" hidden="0" customHeight="1">
      <x:c r="A51" s="6"/>
      <x:c r="B51" s="6"/>
      <x:c r="C51" s="6"/>
      <x:c r="D51" s="6"/>
      <x:c r="E51" s="6"/>
      <x:c r="F51" s="6"/>
      <x:c r="G51" s="6"/>
      <x:c r="H51" s="6"/>
      <x:c r="I51" s="6"/>
      <x:c r="J51" s="6"/>
      <x:c r="K51" s="6"/>
      <x:c r="L51" s="6"/>
      <x:c r="M51" s="6"/>
      <x:c r="N51" s="6"/>
      <x:c r="O51" s="6"/>
      <x:c r="P51" s="6"/>
      <x:c r="Q51" s="6"/>
      <x:c r="R51" s="6"/>
      <x:c r="S51" s="6"/>
      <x:c r="T51" s="6"/>
      <x:c r="U51" s="6"/>
      <x:c r="V51" s="6"/>
      <x:c r="W51" s="6"/>
      <x:c r="X51" s="6"/>
      <x:c r="Y51" s="6"/>
      <x:c r="Z51" s="6"/>
    </x:row>
    <x:row r="52" s="1" customFormat="1" ht="12.75" hidden="0" customHeight="1">
      <x:c r="A52" s="6"/>
      <x:c r="B52" s="6"/>
      <x:c r="C52" s="6"/>
      <x:c r="D52" s="6"/>
      <x:c r="E52" s="6"/>
      <x:c r="F52" s="6"/>
      <x:c r="G52" s="6"/>
      <x:c r="H52" s="6"/>
      <x:c r="I52" s="6"/>
      <x:c r="J52" s="6"/>
      <x:c r="K52" s="6"/>
      <x:c r="L52" s="6"/>
      <x:c r="M52" s="6"/>
      <x:c r="N52" s="6"/>
      <x:c r="O52" s="6"/>
      <x:c r="P52" s="6"/>
      <x:c r="Q52" s="6"/>
      <x:c r="R52" s="6"/>
      <x:c r="S52" s="6"/>
      <x:c r="T52" s="6"/>
      <x:c r="U52" s="6"/>
      <x:c r="V52" s="6"/>
      <x:c r="W52" s="6"/>
      <x:c r="X52" s="6"/>
      <x:c r="Y52" s="6"/>
      <x:c r="Z52" s="6"/>
    </x:row>
    <x:row r="53" s="1" customFormat="1" ht="12.75" hidden="0" customHeight="1">
      <x:c r="A53" s="6"/>
      <x:c r="B53" s="6"/>
      <x:c r="C53" s="6"/>
      <x:c r="D53" s="6"/>
      <x:c r="E53" s="6"/>
      <x:c r="F53" s="6"/>
      <x:c r="G53" s="6"/>
      <x:c r="H53" s="6"/>
      <x:c r="I53" s="6"/>
      <x:c r="J53" s="6"/>
      <x:c r="K53" s="6"/>
      <x:c r="L53" s="6"/>
      <x:c r="M53" s="6"/>
      <x:c r="N53" s="6"/>
      <x:c r="O53" s="6"/>
      <x:c r="P53" s="6"/>
      <x:c r="Q53" s="6"/>
      <x:c r="R53" s="6"/>
      <x:c r="S53" s="6"/>
      <x:c r="T53" s="6"/>
      <x:c r="U53" s="6"/>
      <x:c r="V53" s="6"/>
      <x:c r="W53" s="6"/>
      <x:c r="X53" s="6"/>
      <x:c r="Y53" s="6"/>
      <x:c r="Z53" s="6"/>
    </x:row>
    <x:row r="54" s="1" customFormat="1" ht="12.75" hidden="0" customHeight="1">
      <x:c r="A54" s="6"/>
      <x:c r="B54" s="6"/>
      <x:c r="C54" s="6"/>
      <x:c r="D54" s="6"/>
      <x:c r="E54" s="6"/>
      <x:c r="F54" s="6"/>
      <x:c r="G54" s="6"/>
      <x:c r="H54" s="6"/>
      <x:c r="I54" s="6"/>
      <x:c r="J54" s="6"/>
      <x:c r="K54" s="6"/>
      <x:c r="L54" s="6"/>
      <x:c r="M54" s="6"/>
      <x:c r="N54" s="6"/>
      <x:c r="O54" s="6"/>
      <x:c r="P54" s="6"/>
      <x:c r="Q54" s="6"/>
      <x:c r="R54" s="6"/>
      <x:c r="S54" s="6"/>
      <x:c r="T54" s="6"/>
      <x:c r="U54" s="6"/>
      <x:c r="V54" s="6"/>
      <x:c r="W54" s="6"/>
      <x:c r="X54" s="6"/>
      <x:c r="Y54" s="6"/>
      <x:c r="Z54" s="6"/>
    </x:row>
    <x:row r="55" s="1" customFormat="1" ht="12.75" hidden="0" customHeight="1">
      <x:c r="A55" s="6"/>
      <x:c r="B55" s="6"/>
      <x:c r="C55" s="6"/>
      <x:c r="D55" s="6"/>
      <x:c r="E55" s="6"/>
      <x:c r="F55" s="6"/>
      <x:c r="G55" s="6"/>
      <x:c r="H55" s="6"/>
      <x:c r="I55" s="6"/>
      <x:c r="J55" s="6"/>
      <x:c r="K55" s="6"/>
      <x:c r="L55" s="6"/>
      <x:c r="M55" s="6"/>
      <x:c r="N55" s="6"/>
      <x:c r="O55" s="6"/>
      <x:c r="P55" s="6"/>
      <x:c r="Q55" s="6"/>
      <x:c r="R55" s="6"/>
      <x:c r="S55" s="6"/>
      <x:c r="T55" s="6"/>
      <x:c r="U55" s="6"/>
      <x:c r="V55" s="6"/>
      <x:c r="W55" s="6"/>
      <x:c r="X55" s="6"/>
      <x:c r="Y55" s="6"/>
      <x:c r="Z55" s="6"/>
    </x:row>
    <x:row r="56" s="1" customFormat="1" ht="12.75" hidden="0" customHeight="1">
      <x:c r="A56" s="6"/>
      <x:c r="B56" s="6"/>
      <x:c r="C56" s="6"/>
      <x:c r="D56" s="6"/>
      <x:c r="E56" s="6"/>
      <x:c r="F56" s="6"/>
      <x:c r="G56" s="6"/>
      <x:c r="H56" s="6"/>
      <x:c r="I56" s="6"/>
      <x:c r="J56" s="6"/>
      <x:c r="K56" s="6"/>
      <x:c r="L56" s="6"/>
      <x:c r="M56" s="6"/>
      <x:c r="N56" s="6"/>
      <x:c r="O56" s="6"/>
      <x:c r="P56" s="6"/>
      <x:c r="Q56" s="6"/>
      <x:c r="R56" s="6"/>
      <x:c r="S56" s="6"/>
      <x:c r="T56" s="6"/>
      <x:c r="U56" s="6"/>
      <x:c r="V56" s="6"/>
      <x:c r="W56" s="6"/>
      <x:c r="X56" s="6"/>
      <x:c r="Y56" s="6"/>
      <x:c r="Z56" s="6"/>
    </x:row>
    <x:row r="57" s="1" customFormat="1" ht="12.75" hidden="0" customHeight="1">
      <x:c r="A57" s="6"/>
      <x:c r="B57" s="6"/>
      <x:c r="C57" s="6"/>
      <x:c r="D57" s="6"/>
      <x:c r="E57" s="6"/>
      <x:c r="F57" s="6"/>
      <x:c r="G57" s="6"/>
      <x:c r="H57" s="6"/>
      <x:c r="I57" s="6"/>
      <x:c r="J57" s="6"/>
      <x:c r="K57" s="6"/>
      <x:c r="L57" s="6"/>
      <x:c r="M57" s="6"/>
      <x:c r="N57" s="6"/>
      <x:c r="O57" s="6"/>
      <x:c r="P57" s="6"/>
      <x:c r="Q57" s="6"/>
      <x:c r="R57" s="6"/>
      <x:c r="S57" s="6"/>
      <x:c r="T57" s="6"/>
      <x:c r="U57" s="6"/>
      <x:c r="V57" s="6"/>
      <x:c r="W57" s="6"/>
      <x:c r="X57" s="6"/>
      <x:c r="Y57" s="6"/>
      <x:c r="Z57" s="6"/>
    </x:row>
    <x:row r="58" s="1" customFormat="1" ht="12.75" hidden="0" customHeight="1">
      <x:c r="A58" s="6"/>
      <x:c r="B58" s="6"/>
      <x:c r="C58" s="6"/>
      <x:c r="D58" s="6"/>
      <x:c r="E58" s="6"/>
      <x:c r="F58" s="6"/>
      <x:c r="G58" s="6"/>
      <x:c r="H58" s="6"/>
      <x:c r="I58" s="6"/>
      <x:c r="J58" s="6"/>
      <x:c r="K58" s="6"/>
      <x:c r="L58" s="6"/>
      <x:c r="M58" s="6"/>
      <x:c r="N58" s="6"/>
      <x:c r="O58" s="6"/>
      <x:c r="P58" s="6"/>
      <x:c r="Q58" s="6"/>
      <x:c r="R58" s="6"/>
      <x:c r="S58" s="6"/>
      <x:c r="T58" s="6"/>
      <x:c r="U58" s="6"/>
      <x:c r="V58" s="6"/>
      <x:c r="W58" s="6"/>
      <x:c r="X58" s="6"/>
      <x:c r="Y58" s="6"/>
      <x:c r="Z58" s="6"/>
    </x:row>
    <x:row r="59" s="1" customFormat="1" ht="12.75" hidden="0" customHeight="1">
      <x:c r="A59" s="6"/>
      <x:c r="B59" s="6"/>
      <x:c r="C59" s="6"/>
      <x:c r="D59" s="6"/>
      <x:c r="E59" s="6"/>
      <x:c r="F59" s="6"/>
      <x:c r="G59" s="6"/>
      <x:c r="H59" s="6"/>
      <x:c r="I59" s="6"/>
      <x:c r="J59" s="6"/>
      <x:c r="K59" s="6"/>
      <x:c r="L59" s="6"/>
      <x:c r="M59" s="6"/>
      <x:c r="N59" s="6"/>
      <x:c r="O59" s="6"/>
      <x:c r="P59" s="6"/>
      <x:c r="Q59" s="6"/>
      <x:c r="R59" s="6"/>
      <x:c r="S59" s="6"/>
      <x:c r="T59" s="6"/>
      <x:c r="U59" s="6"/>
      <x:c r="V59" s="6"/>
      <x:c r="W59" s="6"/>
      <x:c r="X59" s="6"/>
      <x:c r="Y59" s="6"/>
      <x:c r="Z59" s="6"/>
    </x:row>
    <x:row r="60" s="1" customFormat="1" ht="12.75" hidden="0" customHeight="1">
      <x:c r="A60" s="6"/>
      <x:c r="B60" s="6"/>
      <x:c r="C60" s="6"/>
      <x:c r="D60" s="6"/>
      <x:c r="E60" s="6"/>
      <x:c r="F60" s="6"/>
      <x:c r="G60" s="6"/>
      <x:c r="H60" s="6"/>
      <x:c r="I60" s="6"/>
      <x:c r="J60" s="6"/>
      <x:c r="K60" s="6"/>
      <x:c r="L60" s="6"/>
      <x:c r="M60" s="6"/>
      <x:c r="N60" s="6"/>
      <x:c r="O60" s="6"/>
      <x:c r="P60" s="6"/>
      <x:c r="Q60" s="6"/>
      <x:c r="R60" s="6"/>
      <x:c r="S60" s="6"/>
      <x:c r="T60" s="6"/>
      <x:c r="U60" s="6"/>
      <x:c r="V60" s="6"/>
      <x:c r="W60" s="6"/>
      <x:c r="X60" s="6"/>
      <x:c r="Y60" s="6"/>
      <x:c r="Z60" s="6"/>
    </x:row>
    <x:row r="61" s="1" customFormat="1" ht="12.75" hidden="0" customHeight="1">
      <x:c r="A61" s="6"/>
      <x:c r="B61" s="6"/>
      <x:c r="C61" s="6"/>
      <x:c r="D61" s="6"/>
      <x:c r="E61" s="6"/>
      <x:c r="F61" s="6"/>
      <x:c r="G61" s="6"/>
      <x:c r="H61" s="6"/>
      <x:c r="I61" s="6"/>
      <x:c r="J61" s="6"/>
      <x:c r="K61" s="6"/>
      <x:c r="L61" s="6"/>
      <x:c r="M61" s="6"/>
      <x:c r="N61" s="6"/>
      <x:c r="O61" s="6"/>
      <x:c r="P61" s="6"/>
      <x:c r="Q61" s="6"/>
      <x:c r="R61" s="6"/>
      <x:c r="S61" s="6"/>
      <x:c r="T61" s="6"/>
      <x:c r="U61" s="6"/>
      <x:c r="V61" s="6"/>
      <x:c r="W61" s="6"/>
      <x:c r="X61" s="6"/>
      <x:c r="Y61" s="6"/>
      <x:c r="Z61" s="6"/>
    </x:row>
    <x:row r="62" s="1" customFormat="1" ht="12.75" hidden="0" customHeight="1">
      <x:c r="A62" s="6"/>
      <x:c r="B62" s="6"/>
      <x:c r="C62" s="6"/>
      <x:c r="D62" s="6"/>
      <x:c r="E62" s="6"/>
      <x:c r="F62" s="6"/>
      <x:c r="G62" s="6"/>
      <x:c r="H62" s="6"/>
      <x:c r="I62" s="6"/>
      <x:c r="J62" s="6"/>
      <x:c r="K62" s="6"/>
      <x:c r="L62" s="6"/>
      <x:c r="M62" s="6"/>
      <x:c r="N62" s="6"/>
      <x:c r="O62" s="6"/>
      <x:c r="P62" s="6"/>
      <x:c r="Q62" s="6"/>
      <x:c r="R62" s="6"/>
      <x:c r="S62" s="6"/>
      <x:c r="T62" s="6"/>
      <x:c r="U62" s="6"/>
      <x:c r="V62" s="6"/>
      <x:c r="W62" s="6"/>
      <x:c r="X62" s="6"/>
      <x:c r="Y62" s="6"/>
      <x:c r="Z62" s="6"/>
    </x:row>
    <x:row r="63" s="1" customFormat="1" ht="12.75" hidden="0" customHeight="1">
      <x:c r="A63" s="6"/>
      <x:c r="B63" s="6"/>
      <x:c r="C63" s="6"/>
      <x:c r="D63" s="6"/>
      <x:c r="E63" s="6"/>
      <x:c r="F63" s="6"/>
      <x:c r="G63" s="6"/>
      <x:c r="H63" s="6"/>
      <x:c r="I63" s="6"/>
      <x:c r="J63" s="6"/>
      <x:c r="K63" s="6"/>
      <x:c r="L63" s="6"/>
      <x:c r="M63" s="6"/>
      <x:c r="N63" s="6"/>
      <x:c r="O63" s="6"/>
      <x:c r="P63" s="6"/>
      <x:c r="Q63" s="6"/>
      <x:c r="R63" s="6"/>
      <x:c r="S63" s="6"/>
      <x:c r="T63" s="6"/>
      <x:c r="U63" s="6"/>
      <x:c r="V63" s="6"/>
      <x:c r="W63" s="6"/>
      <x:c r="X63" s="6"/>
      <x:c r="Y63" s="6"/>
      <x:c r="Z63" s="6"/>
    </x:row>
    <x:row r="64" s="1" customFormat="1" ht="12.75" hidden="0" customHeight="1">
      <x:c r="A64" s="6"/>
      <x:c r="B64" s="6"/>
      <x:c r="C64" s="6"/>
      <x:c r="D64" s="6"/>
      <x:c r="E64" s="6"/>
      <x:c r="F64" s="6"/>
      <x:c r="G64" s="6"/>
      <x:c r="H64" s="6"/>
      <x:c r="I64" s="6"/>
      <x:c r="J64" s="6"/>
      <x:c r="K64" s="6"/>
      <x:c r="L64" s="6"/>
      <x:c r="M64" s="6"/>
      <x:c r="N64" s="6"/>
      <x:c r="O64" s="6"/>
      <x:c r="P64" s="6"/>
      <x:c r="Q64" s="6"/>
      <x:c r="R64" s="6"/>
      <x:c r="S64" s="6"/>
      <x:c r="T64" s="6"/>
      <x:c r="U64" s="6"/>
      <x:c r="V64" s="6"/>
      <x:c r="W64" s="6"/>
      <x:c r="X64" s="6"/>
      <x:c r="Y64" s="6"/>
      <x:c r="Z64" s="6"/>
    </x:row>
    <x:row r="65" s="1" customFormat="1" ht="12.75" hidden="0" customHeight="1">
      <x:c r="A65" s="6"/>
      <x:c r="B65" s="6"/>
      <x:c r="C65" s="6"/>
      <x:c r="D65" s="6"/>
      <x:c r="E65" s="6"/>
      <x:c r="F65" s="6"/>
      <x:c r="G65" s="6"/>
      <x:c r="H65" s="6"/>
      <x:c r="I65" s="6"/>
      <x:c r="J65" s="6"/>
      <x:c r="K65" s="6"/>
      <x:c r="L65" s="6"/>
      <x:c r="M65" s="6"/>
      <x:c r="N65" s="6"/>
      <x:c r="O65" s="6"/>
      <x:c r="P65" s="6"/>
      <x:c r="Q65" s="6"/>
      <x:c r="R65" s="6"/>
      <x:c r="S65" s="6"/>
      <x:c r="T65" s="6"/>
      <x:c r="U65" s="6"/>
      <x:c r="V65" s="6"/>
      <x:c r="W65" s="6"/>
      <x:c r="X65" s="6"/>
      <x:c r="Y65" s="6"/>
      <x:c r="Z65" s="6"/>
    </x:row>
    <x:row r="66" s="1" customFormat="1" ht="12.75" hidden="0" customHeight="1">
      <x:c r="A66" s="6"/>
      <x:c r="B66" s="6"/>
      <x:c r="C66" s="6"/>
      <x:c r="D66" s="6"/>
      <x:c r="E66" s="6"/>
      <x:c r="F66" s="6"/>
      <x:c r="G66" s="6"/>
      <x:c r="H66" s="6"/>
      <x:c r="I66" s="6"/>
      <x:c r="J66" s="6"/>
      <x:c r="K66" s="6"/>
      <x:c r="L66" s="6"/>
      <x:c r="M66" s="6"/>
      <x:c r="N66" s="6"/>
      <x:c r="O66" s="6"/>
      <x:c r="P66" s="6"/>
      <x:c r="Q66" s="6"/>
      <x:c r="R66" s="6"/>
      <x:c r="S66" s="6"/>
      <x:c r="T66" s="6"/>
      <x:c r="U66" s="6"/>
      <x:c r="V66" s="6"/>
      <x:c r="W66" s="6"/>
      <x:c r="X66" s="6"/>
      <x:c r="Y66" s="6"/>
      <x:c r="Z66" s="6"/>
    </x:row>
    <x:row r="67" s="1" customFormat="1" ht="12.75" hidden="0" customHeight="1">
      <x:c r="A67" s="6"/>
      <x:c r="B67" s="6"/>
      <x:c r="C67" s="6"/>
      <x:c r="D67" s="6"/>
      <x:c r="E67" s="6"/>
      <x:c r="F67" s="6"/>
      <x:c r="G67" s="6"/>
      <x:c r="H67" s="6"/>
      <x:c r="I67" s="6"/>
      <x:c r="J67" s="6"/>
      <x:c r="K67" s="6"/>
      <x:c r="L67" s="6"/>
      <x:c r="M67" s="6"/>
      <x:c r="N67" s="6"/>
      <x:c r="O67" s="6"/>
      <x:c r="P67" s="6"/>
      <x:c r="Q67" s="6"/>
      <x:c r="R67" s="6"/>
      <x:c r="S67" s="6"/>
      <x:c r="T67" s="6"/>
      <x:c r="U67" s="6"/>
      <x:c r="V67" s="6"/>
      <x:c r="W67" s="6"/>
      <x:c r="X67" s="6"/>
      <x:c r="Y67" s="6"/>
      <x:c r="Z67" s="6"/>
    </x:row>
    <x:row r="68" s="1" customFormat="1" ht="12.75" hidden="0" customHeight="1">
      <x:c r="A68" s="6"/>
      <x:c r="B68" s="6"/>
      <x:c r="C68" s="6"/>
      <x:c r="D68" s="6"/>
      <x:c r="E68" s="6"/>
      <x:c r="F68" s="6"/>
      <x:c r="G68" s="6"/>
      <x:c r="H68" s="6"/>
      <x:c r="I68" s="6"/>
      <x:c r="J68" s="6"/>
      <x:c r="K68" s="6"/>
      <x:c r="L68" s="6"/>
      <x:c r="M68" s="6"/>
      <x:c r="N68" s="6"/>
      <x:c r="O68" s="6"/>
      <x:c r="P68" s="6"/>
      <x:c r="Q68" s="6"/>
      <x:c r="R68" s="6"/>
      <x:c r="S68" s="6"/>
      <x:c r="T68" s="6"/>
      <x:c r="U68" s="6"/>
      <x:c r="V68" s="6"/>
      <x:c r="W68" s="6"/>
      <x:c r="X68" s="6"/>
      <x:c r="Y68" s="6"/>
      <x:c r="Z68" s="6"/>
    </x:row>
    <x:row r="69" s="1" customFormat="1" ht="12.75" hidden="0" customHeight="1">
      <x:c r="A69" s="6"/>
      <x:c r="B69" s="6"/>
      <x:c r="C69" s="6"/>
      <x:c r="D69" s="6"/>
      <x:c r="E69" s="6"/>
      <x:c r="F69" s="6"/>
      <x:c r="G69" s="6"/>
      <x:c r="H69" s="6"/>
      <x:c r="I69" s="6"/>
      <x:c r="J69" s="6"/>
      <x:c r="K69" s="6"/>
      <x:c r="L69" s="6"/>
      <x:c r="M69" s="6"/>
      <x:c r="N69" s="6"/>
      <x:c r="O69" s="6"/>
      <x:c r="P69" s="6"/>
      <x:c r="Q69" s="6"/>
      <x:c r="R69" s="6"/>
      <x:c r="S69" s="6"/>
      <x:c r="T69" s="6"/>
      <x:c r="U69" s="6"/>
      <x:c r="V69" s="6"/>
      <x:c r="W69" s="6"/>
      <x:c r="X69" s="6"/>
      <x:c r="Y69" s="6"/>
      <x:c r="Z69" s="6"/>
    </x:row>
    <x:row r="70" s="1" customFormat="1" ht="12.75" hidden="0" customHeight="1">
      <x:c r="A70" s="6"/>
      <x:c r="B70" s="6"/>
      <x:c r="C70" s="6"/>
      <x:c r="D70" s="6"/>
      <x:c r="E70" s="6"/>
      <x:c r="F70" s="6"/>
      <x:c r="G70" s="6"/>
      <x:c r="H70" s="6"/>
      <x:c r="I70" s="6"/>
      <x:c r="J70" s="6"/>
      <x:c r="K70" s="6"/>
      <x:c r="L70" s="6"/>
      <x:c r="M70" s="6"/>
      <x:c r="N70" s="6"/>
      <x:c r="O70" s="6"/>
      <x:c r="P70" s="6"/>
      <x:c r="Q70" s="6"/>
      <x:c r="R70" s="6"/>
      <x:c r="S70" s="6"/>
      <x:c r="T70" s="6"/>
      <x:c r="U70" s="6"/>
      <x:c r="V70" s="6"/>
      <x:c r="W70" s="6"/>
      <x:c r="X70" s="6"/>
      <x:c r="Y70" s="6"/>
      <x:c r="Z70" s="6"/>
    </x:row>
    <x:row r="71" s="1" customFormat="1" ht="12.75" hidden="0" customHeight="1">
      <x:c r="A71" s="6"/>
      <x:c r="B71" s="6"/>
      <x:c r="C71" s="6"/>
      <x:c r="D71" s="6"/>
      <x:c r="E71" s="6"/>
      <x:c r="F71" s="6"/>
      <x:c r="G71" s="6"/>
      <x:c r="H71" s="6"/>
      <x:c r="I71" s="6"/>
      <x:c r="J71" s="6"/>
      <x:c r="K71" s="6"/>
      <x:c r="L71" s="6"/>
      <x:c r="M71" s="6"/>
      <x:c r="N71" s="6"/>
      <x:c r="O71" s="6"/>
      <x:c r="P71" s="6"/>
      <x:c r="Q71" s="6"/>
      <x:c r="R71" s="6"/>
      <x:c r="S71" s="6"/>
      <x:c r="T71" s="6"/>
      <x:c r="U71" s="6"/>
      <x:c r="V71" s="6"/>
      <x:c r="W71" s="6"/>
      <x:c r="X71" s="6"/>
      <x:c r="Y71" s="6"/>
      <x:c r="Z71" s="6"/>
    </x:row>
    <x:row r="72" s="1" customFormat="1" ht="12.75" hidden="0" customHeight="1">
      <x:c r="A72" s="6"/>
      <x:c r="B72" s="6"/>
      <x:c r="C72" s="6"/>
      <x:c r="D72" s="6"/>
      <x:c r="E72" s="6"/>
      <x:c r="F72" s="6"/>
      <x:c r="G72" s="6"/>
      <x:c r="H72" s="6"/>
      <x:c r="I72" s="6"/>
      <x:c r="J72" s="6"/>
      <x:c r="K72" s="6"/>
      <x:c r="L72" s="6"/>
      <x:c r="M72" s="6"/>
      <x:c r="N72" s="6"/>
      <x:c r="O72" s="6"/>
      <x:c r="P72" s="6"/>
      <x:c r="Q72" s="6"/>
      <x:c r="R72" s="6"/>
      <x:c r="S72" s="6"/>
      <x:c r="T72" s="6"/>
      <x:c r="U72" s="6"/>
      <x:c r="V72" s="6"/>
      <x:c r="W72" s="6"/>
      <x:c r="X72" s="6"/>
      <x:c r="Y72" s="6"/>
      <x:c r="Z72" s="6"/>
    </x:row>
    <x:row r="73" s="1" customFormat="1" ht="12.75" hidden="0" customHeight="1">
      <x:c r="A73" s="6"/>
      <x:c r="B73" s="6"/>
      <x:c r="C73" s="6"/>
      <x:c r="D73" s="6"/>
      <x:c r="E73" s="6"/>
      <x:c r="F73" s="6"/>
      <x:c r="G73" s="6"/>
      <x:c r="H73" s="6"/>
      <x:c r="I73" s="6"/>
      <x:c r="J73" s="6"/>
      <x:c r="K73" s="6"/>
      <x:c r="L73" s="6"/>
      <x:c r="M73" s="6"/>
      <x:c r="N73" s="6"/>
      <x:c r="O73" s="6"/>
      <x:c r="P73" s="6"/>
      <x:c r="Q73" s="6"/>
      <x:c r="R73" s="6"/>
      <x:c r="S73" s="6"/>
      <x:c r="T73" s="6"/>
      <x:c r="U73" s="6"/>
      <x:c r="V73" s="6"/>
      <x:c r="W73" s="6"/>
      <x:c r="X73" s="6"/>
      <x:c r="Y73" s="6"/>
      <x:c r="Z73" s="6"/>
    </x:row>
    <x:row r="74" s="1" customFormat="1" ht="12.75" hidden="0" customHeight="1">
      <x:c r="A74" s="6"/>
      <x:c r="B74" s="6"/>
      <x:c r="C74" s="6"/>
      <x:c r="D74" s="6"/>
      <x:c r="E74" s="6"/>
      <x:c r="F74" s="6"/>
      <x:c r="G74" s="6"/>
      <x:c r="H74" s="6"/>
      <x:c r="I74" s="6"/>
      <x:c r="J74" s="6"/>
      <x:c r="K74" s="6"/>
      <x:c r="L74" s="6"/>
      <x:c r="M74" s="6"/>
      <x:c r="N74" s="6"/>
      <x:c r="O74" s="6"/>
      <x:c r="P74" s="6"/>
      <x:c r="Q74" s="6"/>
      <x:c r="R74" s="6"/>
      <x:c r="S74" s="6"/>
      <x:c r="T74" s="6"/>
      <x:c r="U74" s="6"/>
      <x:c r="V74" s="6"/>
      <x:c r="W74" s="6"/>
      <x:c r="X74" s="6"/>
      <x:c r="Y74" s="6"/>
      <x:c r="Z74" s="6"/>
    </x:row>
    <x:row r="75" s="1" customFormat="1" ht="12.75" hidden="0" customHeight="1">
      <x:c r="A75" s="6"/>
      <x:c r="B75" s="6"/>
      <x:c r="C75" s="6"/>
      <x:c r="D75" s="6"/>
      <x:c r="E75" s="6"/>
      <x:c r="F75" s="6"/>
      <x:c r="G75" s="6"/>
      <x:c r="H75" s="6"/>
      <x:c r="I75" s="6"/>
      <x:c r="J75" s="6"/>
      <x:c r="K75" s="6"/>
      <x:c r="L75" s="6"/>
      <x:c r="M75" s="6"/>
      <x:c r="N75" s="6"/>
      <x:c r="O75" s="6"/>
      <x:c r="P75" s="6"/>
      <x:c r="Q75" s="6"/>
      <x:c r="R75" s="6"/>
      <x:c r="S75" s="6"/>
      <x:c r="T75" s="6"/>
      <x:c r="U75" s="6"/>
      <x:c r="V75" s="6"/>
      <x:c r="W75" s="6"/>
      <x:c r="X75" s="6"/>
      <x:c r="Y75" s="6"/>
      <x:c r="Z75" s="6"/>
    </x:row>
    <x:row r="76" s="1" customFormat="1" ht="12.75" hidden="0" customHeight="1">
      <x:c r="A76" s="6"/>
      <x:c r="B76" s="6"/>
      <x:c r="C76" s="6"/>
      <x:c r="D76" s="6"/>
      <x:c r="E76" s="6"/>
      <x:c r="F76" s="6"/>
      <x:c r="G76" s="6"/>
      <x:c r="H76" s="6"/>
      <x:c r="I76" s="6"/>
      <x:c r="J76" s="6"/>
      <x:c r="K76" s="6"/>
      <x:c r="L76" s="6"/>
      <x:c r="M76" s="6"/>
      <x:c r="N76" s="6"/>
      <x:c r="O76" s="6"/>
      <x:c r="P76" s="6"/>
      <x:c r="Q76" s="6"/>
      <x:c r="R76" s="6"/>
      <x:c r="S76" s="6"/>
      <x:c r="T76" s="6"/>
      <x:c r="U76" s="6"/>
      <x:c r="V76" s="6"/>
      <x:c r="W76" s="6"/>
      <x:c r="X76" s="6"/>
      <x:c r="Y76" s="6"/>
      <x:c r="Z76" s="6"/>
    </x:row>
    <x:row r="77" s="1" customFormat="1" ht="12.75" hidden="0" customHeight="1">
      <x:c r="A77" s="6"/>
      <x:c r="B77" s="6"/>
      <x:c r="C77" s="6"/>
      <x:c r="D77" s="6"/>
      <x:c r="E77" s="6"/>
      <x:c r="F77" s="6"/>
      <x:c r="G77" s="6"/>
      <x:c r="H77" s="6"/>
      <x:c r="I77" s="6"/>
      <x:c r="J77" s="6"/>
      <x:c r="K77" s="6"/>
      <x:c r="L77" s="6"/>
      <x:c r="M77" s="6"/>
      <x:c r="N77" s="6"/>
      <x:c r="O77" s="6"/>
      <x:c r="P77" s="6"/>
      <x:c r="Q77" s="6"/>
      <x:c r="R77" s="6"/>
      <x:c r="S77" s="6"/>
      <x:c r="T77" s="6"/>
      <x:c r="U77" s="6"/>
      <x:c r="V77" s="6"/>
      <x:c r="W77" s="6"/>
      <x:c r="X77" s="6"/>
      <x:c r="Y77" s="6"/>
      <x:c r="Z77" s="6"/>
    </x:row>
    <x:row r="78" s="1" customFormat="1" ht="12.75" hidden="0" customHeight="1">
      <x:c r="A78" s="6"/>
      <x:c r="B78" s="6"/>
      <x:c r="C78" s="6"/>
      <x:c r="D78" s="6"/>
      <x:c r="E78" s="6"/>
      <x:c r="F78" s="6"/>
      <x:c r="G78" s="6"/>
      <x:c r="H78" s="6"/>
      <x:c r="I78" s="6"/>
      <x:c r="J78" s="6"/>
      <x:c r="K78" s="6"/>
      <x:c r="L78" s="6"/>
      <x:c r="M78" s="6"/>
      <x:c r="N78" s="6"/>
      <x:c r="O78" s="6"/>
      <x:c r="P78" s="6"/>
      <x:c r="Q78" s="6"/>
      <x:c r="R78" s="6"/>
      <x:c r="S78" s="6"/>
      <x:c r="T78" s="6"/>
      <x:c r="U78" s="6"/>
      <x:c r="V78" s="6"/>
      <x:c r="W78" s="6"/>
      <x:c r="X78" s="6"/>
      <x:c r="Y78" s="6"/>
      <x:c r="Z78" s="6"/>
    </x:row>
    <x:row r="79" s="1" customFormat="1" ht="12.75" hidden="0" customHeight="1">
      <x:c r="A79" s="6"/>
      <x:c r="B79" s="6"/>
      <x:c r="C79" s="6"/>
      <x:c r="D79" s="6"/>
      <x:c r="E79" s="6"/>
      <x:c r="F79" s="6"/>
      <x:c r="G79" s="6"/>
      <x:c r="H79" s="6"/>
      <x:c r="I79" s="6"/>
      <x:c r="J79" s="6"/>
      <x:c r="K79" s="6"/>
      <x:c r="L79" s="6"/>
      <x:c r="M79" s="6"/>
      <x:c r="N79" s="6"/>
      <x:c r="O79" s="6"/>
      <x:c r="P79" s="6"/>
      <x:c r="Q79" s="6"/>
      <x:c r="R79" s="6"/>
      <x:c r="S79" s="6"/>
      <x:c r="T79" s="6"/>
      <x:c r="U79" s="6"/>
      <x:c r="V79" s="6"/>
      <x:c r="W79" s="6"/>
      <x:c r="X79" s="6"/>
      <x:c r="Y79" s="6"/>
      <x:c r="Z79" s="6"/>
    </x:row>
    <x:row r="80" s="1" customFormat="1" ht="12.75" hidden="0" customHeight="1">
      <x:c r="A80" s="6"/>
      <x:c r="B80" s="6"/>
      <x:c r="C80" s="6"/>
      <x:c r="D80" s="6"/>
      <x:c r="E80" s="6"/>
      <x:c r="F80" s="6"/>
      <x:c r="G80" s="6"/>
      <x:c r="H80" s="6"/>
      <x:c r="I80" s="6"/>
      <x:c r="J80" s="6"/>
      <x:c r="K80" s="6"/>
      <x:c r="L80" s="6"/>
      <x:c r="M80" s="6"/>
      <x:c r="N80" s="6"/>
      <x:c r="O80" s="6"/>
      <x:c r="P80" s="6"/>
      <x:c r="Q80" s="6"/>
      <x:c r="R80" s="6"/>
      <x:c r="S80" s="6"/>
      <x:c r="T80" s="6"/>
      <x:c r="U80" s="6"/>
      <x:c r="V80" s="6"/>
      <x:c r="W80" s="6"/>
      <x:c r="X80" s="6"/>
      <x:c r="Y80" s="6"/>
      <x:c r="Z80" s="6"/>
    </x:row>
    <x:row r="81" s="1" customFormat="1" ht="12.75" hidden="0" customHeight="1">
      <x:c r="A81" s="6"/>
      <x:c r="B81" s="6"/>
      <x:c r="C81" s="6"/>
      <x:c r="D81" s="6"/>
      <x:c r="E81" s="6"/>
      <x:c r="F81" s="6"/>
      <x:c r="G81" s="6"/>
      <x:c r="H81" s="6"/>
      <x:c r="I81" s="6"/>
      <x:c r="J81" s="6"/>
      <x:c r="K81" s="6"/>
      <x:c r="L81" s="6"/>
      <x:c r="M81" s="6"/>
      <x:c r="N81" s="6"/>
      <x:c r="O81" s="6"/>
      <x:c r="P81" s="6"/>
      <x:c r="Q81" s="6"/>
      <x:c r="R81" s="6"/>
      <x:c r="S81" s="6"/>
      <x:c r="T81" s="6"/>
      <x:c r="U81" s="6"/>
      <x:c r="V81" s="6"/>
      <x:c r="W81" s="6"/>
      <x:c r="X81" s="6"/>
      <x:c r="Y81" s="6"/>
      <x:c r="Z81" s="6"/>
    </x:row>
    <x:row r="82" s="1" customFormat="1" ht="12.75" hidden="0" customHeight="1">
      <x:c r="A82" s="6"/>
      <x:c r="B82" s="6"/>
      <x:c r="C82" s="6"/>
      <x:c r="D82" s="6"/>
      <x:c r="E82" s="6"/>
      <x:c r="F82" s="6"/>
      <x:c r="G82" s="6"/>
      <x:c r="H82" s="6"/>
      <x:c r="I82" s="6"/>
      <x:c r="J82" s="6"/>
      <x:c r="K82" s="6"/>
      <x:c r="L82" s="6"/>
      <x:c r="M82" s="6"/>
      <x:c r="N82" s="6"/>
      <x:c r="O82" s="6"/>
      <x:c r="P82" s="6"/>
      <x:c r="Q82" s="6"/>
      <x:c r="R82" s="6"/>
      <x:c r="S82" s="6"/>
      <x:c r="T82" s="6"/>
      <x:c r="U82" s="6"/>
      <x:c r="V82" s="6"/>
      <x:c r="W82" s="6"/>
      <x:c r="X82" s="6"/>
      <x:c r="Y82" s="6"/>
      <x:c r="Z82" s="6"/>
    </x:row>
    <x:row r="83" s="1" customFormat="1" ht="12.75" hidden="0" customHeight="1">
      <x:c r="A83" s="6"/>
      <x:c r="B83" s="6"/>
      <x:c r="C83" s="6"/>
      <x:c r="D83" s="6"/>
      <x:c r="E83" s="6"/>
      <x:c r="F83" s="6"/>
      <x:c r="G83" s="6"/>
      <x:c r="H83" s="6"/>
      <x:c r="I83" s="6"/>
      <x:c r="J83" s="6"/>
      <x:c r="K83" s="6"/>
      <x:c r="L83" s="6"/>
      <x:c r="M83" s="6"/>
      <x:c r="N83" s="6"/>
      <x:c r="O83" s="6"/>
      <x:c r="P83" s="6"/>
      <x:c r="Q83" s="6"/>
      <x:c r="R83" s="6"/>
      <x:c r="S83" s="6"/>
      <x:c r="T83" s="6"/>
      <x:c r="U83" s="6"/>
      <x:c r="V83" s="6"/>
      <x:c r="W83" s="6"/>
      <x:c r="X83" s="6"/>
      <x:c r="Y83" s="6"/>
      <x:c r="Z83" s="6"/>
    </x:row>
    <x:row r="84" s="1" customFormat="1" ht="12.75" hidden="0" customHeight="1">
      <x:c r="A84" s="6"/>
      <x:c r="B84" s="6"/>
      <x:c r="C84" s="6"/>
      <x:c r="D84" s="6"/>
      <x:c r="E84" s="6"/>
      <x:c r="F84" s="6"/>
      <x:c r="G84" s="6"/>
      <x:c r="H84" s="6"/>
      <x:c r="I84" s="6"/>
      <x:c r="J84" s="6"/>
      <x:c r="K84" s="6"/>
      <x:c r="L84" s="6"/>
      <x:c r="M84" s="6"/>
      <x:c r="N84" s="6"/>
      <x:c r="O84" s="6"/>
      <x:c r="P84" s="6"/>
      <x:c r="Q84" s="6"/>
      <x:c r="R84" s="6"/>
      <x:c r="S84" s="6"/>
      <x:c r="T84" s="6"/>
      <x:c r="U84" s="6"/>
      <x:c r="V84" s="6"/>
      <x:c r="W84" s="6"/>
      <x:c r="X84" s="6"/>
      <x:c r="Y84" s="6"/>
      <x:c r="Z84" s="6"/>
    </x:row>
    <x:row r="85" s="1" customFormat="1" ht="12.75" hidden="0" customHeight="1">
      <x:c r="A85" s="6"/>
      <x:c r="B85" s="6"/>
      <x:c r="C85" s="6"/>
      <x:c r="D85" s="6"/>
      <x:c r="E85" s="6"/>
      <x:c r="F85" s="6"/>
      <x:c r="G85" s="6"/>
      <x:c r="H85" s="6"/>
      <x:c r="I85" s="6"/>
      <x:c r="J85" s="6"/>
      <x:c r="K85" s="6"/>
      <x:c r="L85" s="6"/>
      <x:c r="M85" s="6"/>
      <x:c r="N85" s="6"/>
      <x:c r="O85" s="6"/>
      <x:c r="P85" s="6"/>
      <x:c r="Q85" s="6"/>
      <x:c r="R85" s="6"/>
      <x:c r="S85" s="6"/>
      <x:c r="T85" s="6"/>
      <x:c r="U85" s="6"/>
      <x:c r="V85" s="6"/>
      <x:c r="W85" s="6"/>
      <x:c r="X85" s="6"/>
      <x:c r="Y85" s="6"/>
      <x:c r="Z85" s="6"/>
    </x:row>
    <x:row r="86" s="1" customFormat="1" ht="12.75" hidden="0" customHeight="1">
      <x:c r="A86" s="6"/>
      <x:c r="B86" s="6"/>
      <x:c r="C86" s="6"/>
      <x:c r="D86" s="6"/>
      <x:c r="E86" s="6"/>
      <x:c r="F86" s="6"/>
      <x:c r="G86" s="6"/>
      <x:c r="H86" s="6"/>
      <x:c r="I86" s="6"/>
      <x:c r="J86" s="6"/>
      <x:c r="K86" s="6"/>
      <x:c r="L86" s="6"/>
      <x:c r="M86" s="6"/>
      <x:c r="N86" s="6"/>
      <x:c r="O86" s="6"/>
      <x:c r="P86" s="6"/>
      <x:c r="Q86" s="6"/>
      <x:c r="R86" s="6"/>
      <x:c r="S86" s="6"/>
      <x:c r="T86" s="6"/>
      <x:c r="U86" s="6"/>
      <x:c r="V86" s="6"/>
      <x:c r="W86" s="6"/>
      <x:c r="X86" s="6"/>
      <x:c r="Y86" s="6"/>
      <x:c r="Z86" s="6"/>
    </x:row>
    <x:row r="87" s="1" customFormat="1" ht="12.75" hidden="0" customHeight="1">
      <x:c r="A87" s="6"/>
      <x:c r="B87" s="6"/>
      <x:c r="C87" s="6"/>
      <x:c r="D87" s="6"/>
      <x:c r="E87" s="6"/>
      <x:c r="F87" s="6"/>
      <x:c r="G87" s="6"/>
      <x:c r="H87" s="6"/>
      <x:c r="I87" s="6"/>
      <x:c r="J87" s="6"/>
      <x:c r="K87" s="6"/>
      <x:c r="L87" s="6"/>
      <x:c r="M87" s="6"/>
      <x:c r="N87" s="6"/>
      <x:c r="O87" s="6"/>
      <x:c r="P87" s="6"/>
      <x:c r="Q87" s="6"/>
      <x:c r="R87" s="6"/>
      <x:c r="S87" s="6"/>
      <x:c r="T87" s="6"/>
      <x:c r="U87" s="6"/>
      <x:c r="V87" s="6"/>
      <x:c r="W87" s="6"/>
      <x:c r="X87" s="6"/>
      <x:c r="Y87" s="6"/>
      <x:c r="Z87" s="6"/>
    </x:row>
    <x:row r="88" s="1" customFormat="1" ht="12.75" hidden="0" customHeight="1">
      <x:c r="A88" s="6"/>
      <x:c r="B88" s="6"/>
      <x:c r="C88" s="6"/>
      <x:c r="D88" s="6"/>
      <x:c r="E88" s="6"/>
      <x:c r="F88" s="6"/>
      <x:c r="G88" s="6"/>
      <x:c r="H88" s="6"/>
      <x:c r="I88" s="6"/>
      <x:c r="J88" s="6"/>
      <x:c r="K88" s="6"/>
      <x:c r="L88" s="6"/>
      <x:c r="M88" s="6"/>
      <x:c r="N88" s="6"/>
      <x:c r="O88" s="6"/>
      <x:c r="P88" s="6"/>
      <x:c r="Q88" s="6"/>
      <x:c r="R88" s="6"/>
      <x:c r="S88" s="6"/>
      <x:c r="T88" s="6"/>
      <x:c r="U88" s="6"/>
      <x:c r="V88" s="6"/>
      <x:c r="W88" s="6"/>
      <x:c r="X88" s="6"/>
      <x:c r="Y88" s="6"/>
      <x:c r="Z88" s="6"/>
    </x:row>
    <x:row r="89" s="1" customFormat="1" ht="12.75" hidden="0" customHeight="1">
      <x:c r="A89" s="6"/>
      <x:c r="B89" s="6"/>
      <x:c r="C89" s="6"/>
      <x:c r="D89" s="6"/>
      <x:c r="E89" s="6"/>
      <x:c r="F89" s="6"/>
      <x:c r="G89" s="6"/>
      <x:c r="H89" s="6"/>
      <x:c r="I89" s="6"/>
      <x:c r="J89" s="6"/>
      <x:c r="K89" s="6"/>
      <x:c r="L89" s="6"/>
      <x:c r="M89" s="6"/>
      <x:c r="N89" s="6"/>
      <x:c r="O89" s="6"/>
      <x:c r="P89" s="6"/>
      <x:c r="Q89" s="6"/>
      <x:c r="R89" s="6"/>
      <x:c r="S89" s="6"/>
      <x:c r="T89" s="6"/>
      <x:c r="U89" s="6"/>
      <x:c r="V89" s="6"/>
      <x:c r="W89" s="6"/>
      <x:c r="X89" s="6"/>
      <x:c r="Y89" s="6"/>
      <x:c r="Z89" s="6"/>
    </x:row>
    <x:row r="90" s="1" customFormat="1" ht="12.75" hidden="0" customHeight="1">
      <x:c r="A90" s="6"/>
      <x:c r="B90" s="6"/>
      <x:c r="C90" s="6"/>
      <x:c r="D90" s="6"/>
      <x:c r="E90" s="6"/>
      <x:c r="F90" s="6"/>
      <x:c r="G90" s="6"/>
      <x:c r="H90" s="6"/>
      <x:c r="I90" s="6"/>
      <x:c r="J90" s="6"/>
      <x:c r="K90" s="6"/>
      <x:c r="L90" s="6"/>
      <x:c r="M90" s="6"/>
      <x:c r="N90" s="6"/>
      <x:c r="O90" s="6"/>
      <x:c r="P90" s="6"/>
      <x:c r="Q90" s="6"/>
      <x:c r="R90" s="6"/>
      <x:c r="S90" s="6"/>
      <x:c r="T90" s="6"/>
      <x:c r="U90" s="6"/>
      <x:c r="V90" s="6"/>
      <x:c r="W90" s="6"/>
      <x:c r="X90" s="6"/>
      <x:c r="Y90" s="6"/>
      <x:c r="Z90" s="6"/>
    </x:row>
    <x:row r="91" s="1" customFormat="1" ht="12.75" hidden="0" customHeight="1">
      <x:c r="A91" s="6"/>
      <x:c r="B91" s="6"/>
      <x:c r="C91" s="6"/>
      <x:c r="D91" s="6"/>
      <x:c r="E91" s="6"/>
      <x:c r="F91" s="6"/>
      <x:c r="G91" s="6"/>
      <x:c r="H91" s="6"/>
      <x:c r="I91" s="6"/>
      <x:c r="J91" s="6"/>
      <x:c r="K91" s="6"/>
      <x:c r="L91" s="6"/>
      <x:c r="M91" s="6"/>
      <x:c r="N91" s="6"/>
      <x:c r="O91" s="6"/>
      <x:c r="P91" s="6"/>
      <x:c r="Q91" s="6"/>
      <x:c r="R91" s="6"/>
      <x:c r="S91" s="6"/>
      <x:c r="T91" s="6"/>
      <x:c r="U91" s="6"/>
      <x:c r="V91" s="6"/>
      <x:c r="W91" s="6"/>
      <x:c r="X91" s="6"/>
      <x:c r="Y91" s="6"/>
      <x:c r="Z91" s="6"/>
    </x:row>
    <x:row r="92" s="1" customFormat="1" ht="12.75" hidden="0" customHeight="1">
      <x:c r="A92" s="6"/>
      <x:c r="B92" s="6"/>
      <x:c r="C92" s="6"/>
      <x:c r="D92" s="6"/>
      <x:c r="E92" s="6"/>
      <x:c r="F92" s="6"/>
      <x:c r="G92" s="6"/>
      <x:c r="H92" s="6"/>
      <x:c r="I92" s="6"/>
      <x:c r="J92" s="6"/>
      <x:c r="K92" s="6"/>
      <x:c r="L92" s="6"/>
      <x:c r="M92" s="6"/>
      <x:c r="N92" s="6"/>
      <x:c r="O92" s="6"/>
      <x:c r="P92" s="6"/>
      <x:c r="Q92" s="6"/>
      <x:c r="R92" s="6"/>
      <x:c r="S92" s="6"/>
      <x:c r="T92" s="6"/>
      <x:c r="U92" s="6"/>
      <x:c r="V92" s="6"/>
      <x:c r="W92" s="6"/>
      <x:c r="X92" s="6"/>
      <x:c r="Y92" s="6"/>
      <x:c r="Z92" s="6"/>
    </x:row>
    <x:row r="93" s="1" customFormat="1" ht="12.75" hidden="0" customHeight="1">
      <x:c r="A93" s="6"/>
      <x:c r="B93" s="6"/>
      <x:c r="C93" s="6"/>
      <x:c r="D93" s="6"/>
      <x:c r="E93" s="6"/>
      <x:c r="F93" s="6"/>
      <x:c r="G93" s="6"/>
      <x:c r="H93" s="6"/>
      <x:c r="I93" s="6"/>
      <x:c r="J93" s="6"/>
      <x:c r="K93" s="6"/>
      <x:c r="L93" s="6"/>
      <x:c r="M93" s="6"/>
      <x:c r="N93" s="6"/>
      <x:c r="O93" s="6"/>
      <x:c r="P93" s="6"/>
      <x:c r="Q93" s="6"/>
      <x:c r="R93" s="6"/>
      <x:c r="S93" s="6"/>
      <x:c r="T93" s="6"/>
      <x:c r="U93" s="6"/>
      <x:c r="V93" s="6"/>
      <x:c r="W93" s="6"/>
      <x:c r="X93" s="6"/>
      <x:c r="Y93" s="6"/>
      <x:c r="Z93" s="6"/>
    </x:row>
    <x:row r="94" s="1" customFormat="1" ht="12.75" hidden="0" customHeight="1">
      <x:c r="A94" s="6"/>
      <x:c r="B94" s="6"/>
      <x:c r="C94" s="6"/>
      <x:c r="D94" s="6"/>
      <x:c r="E94" s="6"/>
      <x:c r="F94" s="6"/>
      <x:c r="G94" s="6"/>
      <x:c r="H94" s="6"/>
      <x:c r="I94" s="6"/>
      <x:c r="J94" s="6"/>
      <x:c r="K94" s="6"/>
      <x:c r="L94" s="6"/>
      <x:c r="M94" s="6"/>
      <x:c r="N94" s="6"/>
      <x:c r="O94" s="6"/>
      <x:c r="P94" s="6"/>
      <x:c r="Q94" s="6"/>
      <x:c r="R94" s="6"/>
      <x:c r="S94" s="6"/>
      <x:c r="T94" s="6"/>
      <x:c r="U94" s="6"/>
      <x:c r="V94" s="6"/>
      <x:c r="W94" s="6"/>
      <x:c r="X94" s="6"/>
      <x:c r="Y94" s="6"/>
      <x:c r="Z94" s="6"/>
    </x:row>
    <x:row r="95" s="1" customFormat="1" ht="12.75" hidden="0" customHeight="1">
      <x:c r="A95" s="6"/>
      <x:c r="B95" s="6"/>
      <x:c r="C95" s="6"/>
      <x:c r="D95" s="6"/>
      <x:c r="E95" s="6"/>
      <x:c r="F95" s="6"/>
      <x:c r="G95" s="6"/>
      <x:c r="H95" s="6"/>
      <x:c r="I95" s="6"/>
      <x:c r="J95" s="6"/>
      <x:c r="K95" s="6"/>
      <x:c r="L95" s="6"/>
      <x:c r="M95" s="6"/>
      <x:c r="N95" s="6"/>
      <x:c r="O95" s="6"/>
      <x:c r="P95" s="6"/>
      <x:c r="Q95" s="6"/>
      <x:c r="R95" s="6"/>
      <x:c r="S95" s="6"/>
      <x:c r="T95" s="6"/>
      <x:c r="U95" s="6"/>
      <x:c r="V95" s="6"/>
      <x:c r="W95" s="6"/>
      <x:c r="X95" s="6"/>
      <x:c r="Y95" s="6"/>
      <x:c r="Z95" s="6"/>
    </x:row>
    <x:row r="96" s="1" customFormat="1" ht="12.75" hidden="0" customHeight="1">
      <x:c r="A96" s="6"/>
      <x:c r="B96" s="6"/>
      <x:c r="C96" s="6"/>
      <x:c r="D96" s="6"/>
      <x:c r="E96" s="6"/>
      <x:c r="F96" s="6"/>
      <x:c r="G96" s="6"/>
      <x:c r="H96" s="6"/>
      <x:c r="I96" s="6"/>
      <x:c r="J96" s="6"/>
      <x:c r="K96" s="6"/>
      <x:c r="L96" s="6"/>
      <x:c r="M96" s="6"/>
      <x:c r="N96" s="6"/>
      <x:c r="O96" s="6"/>
      <x:c r="P96" s="6"/>
      <x:c r="Q96" s="6"/>
      <x:c r="R96" s="6"/>
      <x:c r="S96" s="6"/>
      <x:c r="T96" s="6"/>
      <x:c r="U96" s="6"/>
      <x:c r="V96" s="6"/>
      <x:c r="W96" s="6"/>
      <x:c r="X96" s="6"/>
      <x:c r="Y96" s="6"/>
      <x:c r="Z96" s="6"/>
    </x:row>
    <x:row r="97" s="1" customFormat="1" ht="12.75" hidden="0" customHeight="1">
      <x:c r="A97" s="6"/>
      <x:c r="B97" s="6"/>
      <x:c r="C97" s="6"/>
      <x:c r="D97" s="6"/>
      <x:c r="E97" s="6"/>
      <x:c r="F97" s="6"/>
      <x:c r="G97" s="6"/>
      <x:c r="H97" s="6"/>
      <x:c r="I97" s="6"/>
      <x:c r="J97" s="6"/>
      <x:c r="K97" s="6"/>
      <x:c r="L97" s="6"/>
      <x:c r="M97" s="6"/>
      <x:c r="N97" s="6"/>
      <x:c r="O97" s="6"/>
      <x:c r="P97" s="6"/>
      <x:c r="Q97" s="6"/>
      <x:c r="R97" s="6"/>
      <x:c r="S97" s="6"/>
      <x:c r="T97" s="6"/>
      <x:c r="U97" s="6"/>
      <x:c r="V97" s="6"/>
      <x:c r="W97" s="6"/>
      <x:c r="X97" s="6"/>
      <x:c r="Y97" s="6"/>
      <x:c r="Z97" s="6"/>
    </x:row>
    <x:row r="98" s="1" customFormat="1" ht="12.75" hidden="0" customHeight="1">
      <x:c r="A98" s="6"/>
      <x:c r="B98" s="6"/>
      <x:c r="C98" s="6"/>
      <x:c r="D98" s="6"/>
      <x:c r="E98" s="6"/>
      <x:c r="F98" s="6"/>
      <x:c r="G98" s="6"/>
      <x:c r="H98" s="6"/>
      <x:c r="I98" s="6"/>
      <x:c r="J98" s="6"/>
      <x:c r="K98" s="6"/>
      <x:c r="L98" s="6"/>
      <x:c r="M98" s="6"/>
      <x:c r="N98" s="6"/>
      <x:c r="O98" s="6"/>
      <x:c r="P98" s="6"/>
      <x:c r="Q98" s="6"/>
      <x:c r="R98" s="6"/>
      <x:c r="S98" s="6"/>
      <x:c r="T98" s="6"/>
      <x:c r="U98" s="6"/>
      <x:c r="V98" s="6"/>
      <x:c r="W98" s="6"/>
      <x:c r="X98" s="6"/>
      <x:c r="Y98" s="6"/>
      <x:c r="Z98" s="6"/>
    </x:row>
    <x:row r="99" s="1" customFormat="1" ht="12.75" hidden="0" customHeight="1">
      <x:c r="A99" s="6"/>
      <x:c r="B99" s="6"/>
      <x:c r="C99" s="6"/>
      <x:c r="D99" s="6"/>
      <x:c r="E99" s="6"/>
      <x:c r="F99" s="6"/>
      <x:c r="G99" s="6"/>
      <x:c r="H99" s="6"/>
      <x:c r="I99" s="6"/>
      <x:c r="J99" s="6"/>
      <x:c r="K99" s="6"/>
      <x:c r="L99" s="6"/>
      <x:c r="M99" s="6"/>
      <x:c r="N99" s="6"/>
      <x:c r="O99" s="6"/>
      <x:c r="P99" s="6"/>
      <x:c r="Q99" s="6"/>
      <x:c r="R99" s="6"/>
      <x:c r="S99" s="6"/>
      <x:c r="T99" s="6"/>
      <x:c r="U99" s="6"/>
      <x:c r="V99" s="6"/>
      <x:c r="W99" s="6"/>
      <x:c r="X99" s="6"/>
      <x:c r="Y99" s="6"/>
      <x:c r="Z99" s="6"/>
    </x:row>
    <x:row r="100" s="1" customFormat="1" ht="12.75" hidden="0" customHeight="1">
      <x:c r="A100" s="6"/>
      <x:c r="B100" s="6"/>
      <x:c r="C100" s="6"/>
      <x:c r="D100" s="6"/>
      <x:c r="E100" s="6"/>
      <x:c r="F100" s="6"/>
      <x:c r="G100" s="6"/>
      <x:c r="H100" s="6"/>
      <x:c r="I100" s="6"/>
      <x:c r="J100" s="6"/>
      <x:c r="K100" s="6"/>
      <x:c r="L100" s="6"/>
      <x:c r="M100" s="6"/>
      <x:c r="N100" s="6"/>
      <x:c r="O100" s="6"/>
      <x:c r="P100" s="6"/>
      <x:c r="Q100" s="6"/>
      <x:c r="R100" s="6"/>
      <x:c r="S100" s="6"/>
      <x:c r="T100" s="6"/>
      <x:c r="U100" s="6"/>
      <x:c r="V100" s="6"/>
      <x:c r="W100" s="6"/>
      <x:c r="X100" s="6"/>
      <x:c r="Y100" s="6"/>
      <x:c r="Z100" s="6"/>
    </x:row>
  </x:sheetData>
  <x:pageMargins left="0.7" right="0.7" top="0.75" bottom="0.75" header="0.3" footer="0.3"/>
</x:worksheet>
</file>

<file path=xl/worksheets/sheet51.xml><?xml version="1.0" encoding="utf-8"?>
<x:worksheet xmlns:x="http://schemas.openxmlformats.org/spreadsheetml/2006/main">
  <x:sheetViews>
    <x:sheetView showGridLines="1" workbookViewId="0"/>
  </x:sheetViews>
  <x:sheetFormatPr defaultColWidth="8.6796875" defaultRowHeight="12.75"/>
  <x:cols>
    <x:col min="1" max="1" width="31" style="1" hidden="0" customWidth="1"/>
    <x:col min="2" max="3" width="36" style="1" hidden="0" customWidth="1"/>
    <x:col min="4" max="26" width="16" style="1" hidden="0" customWidth="1"/>
  </x:cols>
  <x:sheetData>
    <x:row r="1" s="1" customFormat="1" ht="12.75" hidden="0" customHeight="1">
      <x:c r="A1" s="2" t="s">
        <x:v>346</x:v>
      </x:c>
      <x:c r="B1" s="2" t="s">
        <x:v>347</x:v>
      </x:c>
      <x:c r="C1" s="2" t="s">
        <x:v>1203</x:v>
      </x:c>
      <x:c r="D1" s="3"/>
      <x:c r="E1" s="3"/>
      <x:c r="F1" s="3"/>
      <x:c r="G1" s="3"/>
      <x:c r="H1" s="3"/>
      <x:c r="I1" s="3"/>
      <x:c r="J1" s="3"/>
      <x:c r="K1" s="3"/>
      <x:c r="L1" s="3"/>
      <x:c r="M1" s="3"/>
      <x:c r="N1" s="3"/>
      <x:c r="O1" s="3"/>
      <x:c r="P1" s="3"/>
      <x:c r="Q1" s="3"/>
      <x:c r="R1" s="3"/>
      <x:c r="S1" s="3"/>
      <x:c r="T1" s="3"/>
      <x:c r="U1" s="3"/>
      <x:c r="V1" s="3"/>
      <x:c r="W1" s="3"/>
      <x:c r="X1" s="3"/>
      <x:c r="Y1" s="3"/>
      <x:c r="Z1" s="3"/>
    </x:row>
    <x:row r="2" s="1" customFormat="1" ht="36" hidden="0" customHeight="1">
      <x:c r="A2" s="4" t="s">
        <x:v>3764</x:v>
      </x:c>
      <x:c r="B2" s="5" t="s">
        <x:v>292</x:v>
      </x:c>
      <x:c r="C2" s="5" t="s">
        <x:v>3765</x:v>
      </x:c>
      <x:c r="D2" s="6"/>
      <x:c r="E2" s="6"/>
      <x:c r="F2" s="6"/>
      <x:c r="G2" s="6"/>
      <x:c r="H2" s="6"/>
      <x:c r="I2" s="6"/>
      <x:c r="J2" s="6"/>
      <x:c r="K2" s="6"/>
      <x:c r="L2" s="6"/>
      <x:c r="M2" s="6"/>
      <x:c r="N2" s="6"/>
      <x:c r="O2" s="6"/>
      <x:c r="P2" s="6"/>
      <x:c r="Q2" s="6"/>
      <x:c r="R2" s="6"/>
      <x:c r="S2" s="6"/>
      <x:c r="T2" s="6"/>
      <x:c r="U2" s="6"/>
      <x:c r="V2" s="6"/>
      <x:c r="W2" s="6"/>
      <x:c r="X2" s="6"/>
      <x:c r="Y2" s="6"/>
      <x:c r="Z2" s="6"/>
    </x:row>
    <x:row r="3" s="1" customFormat="1" ht="24" hidden="0" customHeight="1">
      <x:c r="A3" s="7" t="s">
        <x:v>3766</x:v>
      </x:c>
      <x:c r="B3" s="8" t="s">
        <x:v>3767</x:v>
      </x:c>
      <x:c r="C3" s="8" t="s">
        <x:v>3768</x:v>
      </x:c>
      <x:c r="D3" s="6"/>
      <x:c r="E3" s="6"/>
      <x:c r="F3" s="6"/>
      <x:c r="G3" s="6"/>
      <x:c r="H3" s="6"/>
      <x:c r="I3" s="6"/>
      <x:c r="J3" s="6"/>
      <x:c r="K3" s="6"/>
      <x:c r="L3" s="6"/>
      <x:c r="M3" s="6"/>
      <x:c r="N3" s="6"/>
      <x:c r="O3" s="6"/>
      <x:c r="P3" s="6"/>
      <x:c r="Q3" s="6"/>
      <x:c r="R3" s="6"/>
      <x:c r="S3" s="6"/>
      <x:c r="T3" s="6"/>
      <x:c r="U3" s="6"/>
      <x:c r="V3" s="6"/>
      <x:c r="W3" s="6"/>
      <x:c r="X3" s="6"/>
      <x:c r="Y3" s="6"/>
      <x:c r="Z3" s="6"/>
    </x:row>
    <x:row r="4" s="1" customFormat="1" ht="24" hidden="0" customHeight="1">
      <x:c r="A4" s="7" t="s">
        <x:v>3769</x:v>
      </x:c>
      <x:c r="B4" s="5" t="s">
        <x:v>3770</x:v>
      </x:c>
      <x:c r="C4" s="5" t="s">
        <x:v>3771</x:v>
      </x:c>
      <x:c r="D4" s="6"/>
      <x:c r="E4" s="6"/>
      <x:c r="F4" s="6"/>
      <x:c r="G4" s="6"/>
      <x:c r="H4" s="6"/>
      <x:c r="I4" s="6"/>
      <x:c r="J4" s="6"/>
      <x:c r="K4" s="6"/>
      <x:c r="L4" s="6"/>
      <x:c r="M4" s="6"/>
      <x:c r="N4" s="6"/>
      <x:c r="O4" s="6"/>
      <x:c r="P4" s="6"/>
      <x:c r="Q4" s="6"/>
      <x:c r="R4" s="6"/>
      <x:c r="S4" s="6"/>
      <x:c r="T4" s="6"/>
      <x:c r="U4" s="6"/>
      <x:c r="V4" s="6"/>
      <x:c r="W4" s="6"/>
      <x:c r="X4" s="6"/>
      <x:c r="Y4" s="6"/>
      <x:c r="Z4" s="6"/>
    </x:row>
    <x:row r="5" s="1" customFormat="1" ht="72" hidden="0" customHeight="1">
      <x:c r="A5" s="7" t="s">
        <x:v>3772</x:v>
      </x:c>
      <x:c r="B5" s="8" t="s">
        <x:v>3773</x:v>
      </x:c>
      <x:c r="C5" s="8" t="s">
        <x:v>3774</x:v>
      </x:c>
      <x:c r="D5" s="6"/>
      <x:c r="E5" s="6"/>
      <x:c r="F5" s="6"/>
      <x:c r="G5" s="6"/>
      <x:c r="H5" s="6"/>
      <x:c r="I5" s="6"/>
      <x:c r="J5" s="6"/>
      <x:c r="K5" s="6"/>
      <x:c r="L5" s="6"/>
      <x:c r="M5" s="6"/>
      <x:c r="N5" s="6"/>
      <x:c r="O5" s="6"/>
      <x:c r="P5" s="6"/>
      <x:c r="Q5" s="6"/>
      <x:c r="R5" s="6"/>
      <x:c r="S5" s="6"/>
      <x:c r="T5" s="6"/>
      <x:c r="U5" s="6"/>
      <x:c r="V5" s="6"/>
      <x:c r="W5" s="6"/>
      <x:c r="X5" s="6"/>
      <x:c r="Y5" s="6"/>
      <x:c r="Z5" s="6"/>
    </x:row>
    <x:row r="6" s="1" customFormat="1" ht="48" hidden="0" customHeight="1">
      <x:c r="A6" s="7" t="s">
        <x:v>3775</x:v>
      </x:c>
      <x:c r="B6" s="5" t="s">
        <x:v>3776</x:v>
      </x:c>
      <x:c r="C6" s="5" t="s">
        <x:v>3777</x:v>
      </x:c>
      <x:c r="D6" s="6"/>
      <x:c r="E6" s="6"/>
      <x:c r="F6" s="6"/>
      <x:c r="G6" s="6"/>
      <x:c r="H6" s="6"/>
      <x:c r="I6" s="6"/>
      <x:c r="J6" s="6"/>
      <x:c r="K6" s="6"/>
      <x:c r="L6" s="6"/>
      <x:c r="M6" s="6"/>
      <x:c r="N6" s="6"/>
      <x:c r="O6" s="6"/>
      <x:c r="P6" s="6"/>
      <x:c r="Q6" s="6"/>
      <x:c r="R6" s="6"/>
      <x:c r="S6" s="6"/>
      <x:c r="T6" s="6"/>
      <x:c r="U6" s="6"/>
      <x:c r="V6" s="6"/>
      <x:c r="W6" s="6"/>
      <x:c r="X6" s="6"/>
      <x:c r="Y6" s="6"/>
      <x:c r="Z6" s="6"/>
    </x:row>
    <x:row r="7" s="1" customFormat="1" ht="24" hidden="0" customHeight="1">
      <x:c r="A7" s="7" t="s">
        <x:v>3778</x:v>
      </x:c>
      <x:c r="B7" s="8" t="s">
        <x:v>3779</x:v>
      </x:c>
      <x:c r="C7" s="8" t="s">
        <x:v>3780</x:v>
      </x:c>
      <x:c r="D7" s="6"/>
      <x:c r="E7" s="6"/>
      <x:c r="F7" s="6"/>
      <x:c r="G7" s="6"/>
      <x:c r="H7" s="6"/>
      <x:c r="I7" s="6"/>
      <x:c r="J7" s="6"/>
      <x:c r="K7" s="6"/>
      <x:c r="L7" s="6"/>
      <x:c r="M7" s="6"/>
      <x:c r="N7" s="6"/>
      <x:c r="O7" s="6"/>
      <x:c r="P7" s="6"/>
      <x:c r="Q7" s="6"/>
      <x:c r="R7" s="6"/>
      <x:c r="S7" s="6"/>
      <x:c r="T7" s="6"/>
      <x:c r="U7" s="6"/>
      <x:c r="V7" s="6"/>
      <x:c r="W7" s="6"/>
      <x:c r="X7" s="6"/>
      <x:c r="Y7" s="6"/>
      <x:c r="Z7" s="6"/>
    </x:row>
    <x:row r="8" s="1" customFormat="1" ht="144" hidden="0" customHeight="1">
      <x:c r="A8" s="7" t="s">
        <x:v>3781</x:v>
      </x:c>
      <x:c r="B8" s="5" t="s">
        <x:v>3782</x:v>
      </x:c>
      <x:c r="C8" s="5" t="s">
        <x:v>3783</x:v>
      </x:c>
      <x:c r="D8" s="6"/>
      <x:c r="E8" s="6"/>
      <x:c r="F8" s="6"/>
      <x:c r="G8" s="6"/>
      <x:c r="H8" s="6"/>
      <x:c r="I8" s="6"/>
      <x:c r="J8" s="6"/>
      <x:c r="K8" s="6"/>
      <x:c r="L8" s="6"/>
      <x:c r="M8" s="6"/>
      <x:c r="N8" s="6"/>
      <x:c r="O8" s="6"/>
      <x:c r="P8" s="6"/>
      <x:c r="Q8" s="6"/>
      <x:c r="R8" s="6"/>
      <x:c r="S8" s="6"/>
      <x:c r="T8" s="6"/>
      <x:c r="U8" s="6"/>
      <x:c r="V8" s="6"/>
      <x:c r="W8" s="6"/>
      <x:c r="X8" s="6"/>
      <x:c r="Y8" s="6"/>
      <x:c r="Z8" s="6"/>
    </x:row>
    <x:row r="9" s="1" customFormat="1" ht="36" hidden="0" customHeight="1">
      <x:c r="A9" s="7" t="s">
        <x:v>3784</x:v>
      </x:c>
      <x:c r="B9" s="8" t="s">
        <x:v>3759</x:v>
      </x:c>
      <x:c r="C9" s="8" t="s">
        <x:v>3785</x:v>
      </x:c>
      <x:c r="D9" s="6"/>
      <x:c r="E9" s="6"/>
      <x:c r="F9" s="6"/>
      <x:c r="G9" s="6"/>
      <x:c r="H9" s="6"/>
      <x:c r="I9" s="6"/>
      <x:c r="J9" s="6"/>
      <x:c r="K9" s="6"/>
      <x:c r="L9" s="6"/>
      <x:c r="M9" s="6"/>
      <x:c r="N9" s="6"/>
      <x:c r="O9" s="6"/>
      <x:c r="P9" s="6"/>
      <x:c r="Q9" s="6"/>
      <x:c r="R9" s="6"/>
      <x:c r="S9" s="6"/>
      <x:c r="T9" s="6"/>
      <x:c r="U9" s="6"/>
      <x:c r="V9" s="6"/>
      <x:c r="W9" s="6"/>
      <x:c r="X9" s="6"/>
      <x:c r="Y9" s="6"/>
      <x:c r="Z9" s="6"/>
    </x:row>
    <x:row r="10" s="1" customFormat="1" ht="24" hidden="0" customHeight="1">
      <x:c r="A10" s="7" t="s">
        <x:v>3786</x:v>
      </x:c>
      <x:c r="B10" s="5" t="s">
        <x:v>233</x:v>
      </x:c>
      <x:c r="C10" s="5" t="s">
        <x:v>3787</x:v>
      </x:c>
      <x:c r="D10" s="6"/>
      <x:c r="E10" s="6"/>
      <x:c r="F10" s="6"/>
      <x:c r="G10" s="6"/>
      <x:c r="H10" s="6"/>
      <x:c r="I10" s="6"/>
      <x:c r="J10" s="6"/>
      <x:c r="K10" s="6"/>
      <x:c r="L10" s="6"/>
      <x:c r="M10" s="6"/>
      <x:c r="N10" s="6"/>
      <x:c r="O10" s="6"/>
      <x:c r="P10" s="6"/>
      <x:c r="Q10" s="6"/>
      <x:c r="R10" s="6"/>
      <x:c r="S10" s="6"/>
      <x:c r="T10" s="6"/>
      <x:c r="U10" s="6"/>
      <x:c r="V10" s="6"/>
      <x:c r="W10" s="6"/>
      <x:c r="X10" s="6"/>
      <x:c r="Y10" s="6"/>
      <x:c r="Z10" s="6"/>
    </x:row>
    <x:row r="11" s="1" customFormat="1" ht="12.75" hidden="0" customHeight="1">
      <x:c r="A11" s="6"/>
      <x:c r="B11" s="6"/>
      <x:c r="C11" s="6"/>
      <x:c r="D11" s="6"/>
      <x:c r="E11" s="6"/>
      <x:c r="F11" s="6"/>
      <x:c r="G11" s="6"/>
      <x:c r="H11" s="6"/>
      <x:c r="I11" s="6"/>
      <x:c r="J11" s="6"/>
      <x:c r="K11" s="6"/>
      <x:c r="L11" s="6"/>
      <x:c r="M11" s="6"/>
      <x:c r="N11" s="6"/>
      <x:c r="O11" s="6"/>
      <x:c r="P11" s="6"/>
      <x:c r="Q11" s="6"/>
      <x:c r="R11" s="6"/>
      <x:c r="S11" s="6"/>
      <x:c r="T11" s="6"/>
      <x:c r="U11" s="6"/>
      <x:c r="V11" s="6"/>
      <x:c r="W11" s="6"/>
      <x:c r="X11" s="6"/>
      <x:c r="Y11" s="6"/>
      <x:c r="Z11" s="6"/>
    </x:row>
    <x:row r="12" s="1" customFormat="1" ht="12.75" hidden="0" customHeight="1">
      <x:c r="A12" s="6"/>
      <x:c r="B12" s="6"/>
      <x:c r="C12" s="6"/>
      <x:c r="D12" s="6"/>
      <x:c r="E12" s="6"/>
      <x:c r="F12" s="6"/>
      <x:c r="G12" s="6"/>
      <x:c r="H12" s="6"/>
      <x:c r="I12" s="6"/>
      <x:c r="J12" s="6"/>
      <x:c r="K12" s="6"/>
      <x:c r="L12" s="6"/>
      <x:c r="M12" s="6"/>
      <x:c r="N12" s="6"/>
      <x:c r="O12" s="6"/>
      <x:c r="P12" s="6"/>
      <x:c r="Q12" s="6"/>
      <x:c r="R12" s="6"/>
      <x:c r="S12" s="6"/>
      <x:c r="T12" s="6"/>
      <x:c r="U12" s="6"/>
      <x:c r="V12" s="6"/>
      <x:c r="W12" s="6"/>
      <x:c r="X12" s="6"/>
      <x:c r="Y12" s="6"/>
      <x:c r="Z12" s="6"/>
    </x:row>
    <x:row r="13" s="1" customFormat="1" ht="12.75" hidden="0" customHeight="1">
      <x:c r="A13" s="6"/>
      <x:c r="B13" s="6"/>
      <x:c r="C13" s="6"/>
      <x:c r="D13" s="6"/>
      <x:c r="E13" s="6"/>
      <x:c r="F13" s="6"/>
      <x:c r="G13" s="6"/>
      <x:c r="H13" s="6"/>
      <x:c r="I13" s="6"/>
      <x:c r="J13" s="6"/>
      <x:c r="K13" s="6"/>
      <x:c r="L13" s="6"/>
      <x:c r="M13" s="6"/>
      <x:c r="N13" s="6"/>
      <x:c r="O13" s="6"/>
      <x:c r="P13" s="6"/>
      <x:c r="Q13" s="6"/>
      <x:c r="R13" s="6"/>
      <x:c r="S13" s="6"/>
      <x:c r="T13" s="6"/>
      <x:c r="U13" s="6"/>
      <x:c r="V13" s="6"/>
      <x:c r="W13" s="6"/>
      <x:c r="X13" s="6"/>
      <x:c r="Y13" s="6"/>
      <x:c r="Z13" s="6"/>
    </x:row>
    <x:row r="14" s="1" customFormat="1" ht="12.75" hidden="0" customHeight="1">
      <x:c r="A14" s="6"/>
      <x:c r="B14" s="6"/>
      <x:c r="C14" s="6"/>
      <x:c r="D14" s="6"/>
      <x:c r="E14" s="6"/>
      <x:c r="F14" s="6"/>
      <x:c r="G14" s="6"/>
      <x:c r="H14" s="6"/>
      <x:c r="I14" s="6"/>
      <x:c r="J14" s="6"/>
      <x:c r="K14" s="6"/>
      <x:c r="L14" s="6"/>
      <x:c r="M14" s="6"/>
      <x:c r="N14" s="6"/>
      <x:c r="O14" s="6"/>
      <x:c r="P14" s="6"/>
      <x:c r="Q14" s="6"/>
      <x:c r="R14" s="6"/>
      <x:c r="S14" s="6"/>
      <x:c r="T14" s="6"/>
      <x:c r="U14" s="6"/>
      <x:c r="V14" s="6"/>
      <x:c r="W14" s="6"/>
      <x:c r="X14" s="6"/>
      <x:c r="Y14" s="6"/>
      <x:c r="Z14" s="6"/>
    </x:row>
    <x:row r="15" s="1" customFormat="1" ht="12.75" hidden="0" customHeight="1">
      <x:c r="A15" s="6"/>
      <x:c r="B15" s="6"/>
      <x:c r="C15" s="6"/>
      <x:c r="D15" s="6"/>
      <x:c r="E15" s="6"/>
      <x:c r="F15" s="6"/>
      <x:c r="G15" s="6"/>
      <x:c r="H15" s="6"/>
      <x:c r="I15" s="6"/>
      <x:c r="J15" s="6"/>
      <x:c r="K15" s="6"/>
      <x:c r="L15" s="6"/>
      <x:c r="M15" s="6"/>
      <x:c r="N15" s="6"/>
      <x:c r="O15" s="6"/>
      <x:c r="P15" s="6"/>
      <x:c r="Q15" s="6"/>
      <x:c r="R15" s="6"/>
      <x:c r="S15" s="6"/>
      <x:c r="T15" s="6"/>
      <x:c r="U15" s="6"/>
      <x:c r="V15" s="6"/>
      <x:c r="W15" s="6"/>
      <x:c r="X15" s="6"/>
      <x:c r="Y15" s="6"/>
      <x:c r="Z15" s="6"/>
    </x:row>
    <x:row r="16" s="1" customFormat="1" ht="12.75" hidden="0" customHeight="1">
      <x:c r="A16" s="6"/>
      <x:c r="B16" s="6"/>
      <x:c r="C16" s="6"/>
      <x:c r="D16" s="6"/>
      <x:c r="E16" s="6"/>
      <x:c r="F16" s="6"/>
      <x:c r="G16" s="6"/>
      <x:c r="H16" s="6"/>
      <x:c r="I16" s="6"/>
      <x:c r="J16" s="6"/>
      <x:c r="K16" s="6"/>
      <x:c r="L16" s="6"/>
      <x:c r="M16" s="6"/>
      <x:c r="N16" s="6"/>
      <x:c r="O16" s="6"/>
      <x:c r="P16" s="6"/>
      <x:c r="Q16" s="6"/>
      <x:c r="R16" s="6"/>
      <x:c r="S16" s="6"/>
      <x:c r="T16" s="6"/>
      <x:c r="U16" s="6"/>
      <x:c r="V16" s="6"/>
      <x:c r="W16" s="6"/>
      <x:c r="X16" s="6"/>
      <x:c r="Y16" s="6"/>
      <x:c r="Z16" s="6"/>
    </x:row>
    <x:row r="17" s="1" customFormat="1" ht="12.75" hidden="0" customHeight="1">
      <x:c r="A17" s="6"/>
      <x:c r="B17" s="6"/>
      <x:c r="C17" s="6"/>
      <x:c r="D17" s="6"/>
      <x:c r="E17" s="6"/>
      <x:c r="F17" s="6"/>
      <x:c r="G17" s="6"/>
      <x:c r="H17" s="6"/>
      <x:c r="I17" s="6"/>
      <x:c r="J17" s="6"/>
      <x:c r="K17" s="6"/>
      <x:c r="L17" s="6"/>
      <x:c r="M17" s="6"/>
      <x:c r="N17" s="6"/>
      <x:c r="O17" s="6"/>
      <x:c r="P17" s="6"/>
      <x:c r="Q17" s="6"/>
      <x:c r="R17" s="6"/>
      <x:c r="S17" s="6"/>
      <x:c r="T17" s="6"/>
      <x:c r="U17" s="6"/>
      <x:c r="V17" s="6"/>
      <x:c r="W17" s="6"/>
      <x:c r="X17" s="6"/>
      <x:c r="Y17" s="6"/>
      <x:c r="Z17" s="6"/>
    </x:row>
    <x:row r="18" s="1" customFormat="1" ht="12.75" hidden="0" customHeight="1">
      <x:c r="A18" s="6"/>
      <x:c r="B18" s="6"/>
      <x:c r="C18" s="6"/>
      <x:c r="D18" s="6"/>
      <x:c r="E18" s="6"/>
      <x:c r="F18" s="6"/>
      <x:c r="G18" s="6"/>
      <x:c r="H18" s="6"/>
      <x:c r="I18" s="6"/>
      <x:c r="J18" s="6"/>
      <x:c r="K18" s="6"/>
      <x:c r="L18" s="6"/>
      <x:c r="M18" s="6"/>
      <x:c r="N18" s="6"/>
      <x:c r="O18" s="6"/>
      <x:c r="P18" s="6"/>
      <x:c r="Q18" s="6"/>
      <x:c r="R18" s="6"/>
      <x:c r="S18" s="6"/>
      <x:c r="T18" s="6"/>
      <x:c r="U18" s="6"/>
      <x:c r="V18" s="6"/>
      <x:c r="W18" s="6"/>
      <x:c r="X18" s="6"/>
      <x:c r="Y18" s="6"/>
      <x:c r="Z18" s="6"/>
    </x:row>
    <x:row r="19" s="1" customFormat="1" ht="12.75" hidden="0" customHeight="1">
      <x:c r="A19" s="6"/>
      <x:c r="B19" s="6"/>
      <x:c r="C19" s="6"/>
      <x:c r="D19" s="6"/>
      <x:c r="E19" s="6"/>
      <x:c r="F19" s="6"/>
      <x:c r="G19" s="6"/>
      <x:c r="H19" s="6"/>
      <x:c r="I19" s="6"/>
      <x:c r="J19" s="6"/>
      <x:c r="K19" s="6"/>
      <x:c r="L19" s="6"/>
      <x:c r="M19" s="6"/>
      <x:c r="N19" s="6"/>
      <x:c r="O19" s="6"/>
      <x:c r="P19" s="6"/>
      <x:c r="Q19" s="6"/>
      <x:c r="R19" s="6"/>
      <x:c r="S19" s="6"/>
      <x:c r="T19" s="6"/>
      <x:c r="U19" s="6"/>
      <x:c r="V19" s="6"/>
      <x:c r="W19" s="6"/>
      <x:c r="X19" s="6"/>
      <x:c r="Y19" s="6"/>
      <x:c r="Z19" s="6"/>
    </x:row>
    <x:row r="20" s="1" customFormat="1" ht="12.75" hidden="0" customHeight="1">
      <x:c r="A20" s="6"/>
      <x:c r="B20" s="6"/>
      <x:c r="C20" s="6"/>
      <x:c r="D20" s="6"/>
      <x:c r="E20" s="6"/>
      <x:c r="F20" s="6"/>
      <x:c r="G20" s="6"/>
      <x:c r="H20" s="6"/>
      <x:c r="I20" s="6"/>
      <x:c r="J20" s="6"/>
      <x:c r="K20" s="6"/>
      <x:c r="L20" s="6"/>
      <x:c r="M20" s="6"/>
      <x:c r="N20" s="6"/>
      <x:c r="O20" s="6"/>
      <x:c r="P20" s="6"/>
      <x:c r="Q20" s="6"/>
      <x:c r="R20" s="6"/>
      <x:c r="S20" s="6"/>
      <x:c r="T20" s="6"/>
      <x:c r="U20" s="6"/>
      <x:c r="V20" s="6"/>
      <x:c r="W20" s="6"/>
      <x:c r="X20" s="6"/>
      <x:c r="Y20" s="6"/>
      <x:c r="Z20" s="6"/>
    </x:row>
    <x:row r="21" s="1" customFormat="1" ht="12.75" hidden="0" customHeight="1">
      <x:c r="A21" s="6"/>
      <x:c r="B21" s="6"/>
      <x:c r="C21" s="6"/>
      <x:c r="D21" s="6"/>
      <x:c r="E21" s="6"/>
      <x:c r="F21" s="6"/>
      <x:c r="G21" s="6"/>
      <x:c r="H21" s="6"/>
      <x:c r="I21" s="6"/>
      <x:c r="J21" s="6"/>
      <x:c r="K21" s="6"/>
      <x:c r="L21" s="6"/>
      <x:c r="M21" s="6"/>
      <x:c r="N21" s="6"/>
      <x:c r="O21" s="6"/>
      <x:c r="P21" s="6"/>
      <x:c r="Q21" s="6"/>
      <x:c r="R21" s="6"/>
      <x:c r="S21" s="6"/>
      <x:c r="T21" s="6"/>
      <x:c r="U21" s="6"/>
      <x:c r="V21" s="6"/>
      <x:c r="W21" s="6"/>
      <x:c r="X21" s="6"/>
      <x:c r="Y21" s="6"/>
      <x:c r="Z21" s="6"/>
    </x:row>
    <x:row r="22" s="1" customFormat="1" ht="12.75" hidden="0" customHeight="1">
      <x:c r="A22" s="6"/>
      <x:c r="B22" s="6"/>
      <x:c r="C22" s="6"/>
      <x:c r="D22" s="6"/>
      <x:c r="E22" s="6"/>
      <x:c r="F22" s="6"/>
      <x:c r="G22" s="6"/>
      <x:c r="H22" s="6"/>
      <x:c r="I22" s="6"/>
      <x:c r="J22" s="6"/>
      <x:c r="K22" s="6"/>
      <x:c r="L22" s="6"/>
      <x:c r="M22" s="6"/>
      <x:c r="N22" s="6"/>
      <x:c r="O22" s="6"/>
      <x:c r="P22" s="6"/>
      <x:c r="Q22" s="6"/>
      <x:c r="R22" s="6"/>
      <x:c r="S22" s="6"/>
      <x:c r="T22" s="6"/>
      <x:c r="U22" s="6"/>
      <x:c r="V22" s="6"/>
      <x:c r="W22" s="6"/>
      <x:c r="X22" s="6"/>
      <x:c r="Y22" s="6"/>
      <x:c r="Z22" s="6"/>
    </x:row>
    <x:row r="23" s="1" customFormat="1" ht="12.75" hidden="0" customHeight="1">
      <x:c r="A23" s="6"/>
      <x:c r="B23" s="6"/>
      <x:c r="C23" s="6"/>
      <x:c r="D23" s="6"/>
      <x:c r="E23" s="6"/>
      <x:c r="F23" s="6"/>
      <x:c r="G23" s="6"/>
      <x:c r="H23" s="6"/>
      <x:c r="I23" s="6"/>
      <x:c r="J23" s="6"/>
      <x:c r="K23" s="6"/>
      <x:c r="L23" s="6"/>
      <x:c r="M23" s="6"/>
      <x:c r="N23" s="6"/>
      <x:c r="O23" s="6"/>
      <x:c r="P23" s="6"/>
      <x:c r="Q23" s="6"/>
      <x:c r="R23" s="6"/>
      <x:c r="S23" s="6"/>
      <x:c r="T23" s="6"/>
      <x:c r="U23" s="6"/>
      <x:c r="V23" s="6"/>
      <x:c r="W23" s="6"/>
      <x:c r="X23" s="6"/>
      <x:c r="Y23" s="6"/>
      <x:c r="Z23" s="6"/>
    </x:row>
    <x:row r="24" s="1" customFormat="1" ht="12.75" hidden="0" customHeight="1">
      <x:c r="A24" s="6"/>
      <x:c r="B24" s="6"/>
      <x:c r="C24" s="6"/>
      <x:c r="D24" s="6"/>
      <x:c r="E24" s="6"/>
      <x:c r="F24" s="6"/>
      <x:c r="G24" s="6"/>
      <x:c r="H24" s="6"/>
      <x:c r="I24" s="6"/>
      <x:c r="J24" s="6"/>
      <x:c r="K24" s="6"/>
      <x:c r="L24" s="6"/>
      <x:c r="M24" s="6"/>
      <x:c r="N24" s="6"/>
      <x:c r="O24" s="6"/>
      <x:c r="P24" s="6"/>
      <x:c r="Q24" s="6"/>
      <x:c r="R24" s="6"/>
      <x:c r="S24" s="6"/>
      <x:c r="T24" s="6"/>
      <x:c r="U24" s="6"/>
      <x:c r="V24" s="6"/>
      <x:c r="W24" s="6"/>
      <x:c r="X24" s="6"/>
      <x:c r="Y24" s="6"/>
      <x:c r="Z24" s="6"/>
    </x:row>
    <x:row r="25" s="1" customFormat="1" ht="12.75" hidden="0" customHeight="1">
      <x:c r="A25" s="6"/>
      <x:c r="B25" s="6"/>
      <x:c r="C25" s="6"/>
      <x:c r="D25" s="6"/>
      <x:c r="E25" s="6"/>
      <x:c r="F25" s="6"/>
      <x:c r="G25" s="6"/>
      <x:c r="H25" s="6"/>
      <x:c r="I25" s="6"/>
      <x:c r="J25" s="6"/>
      <x:c r="K25" s="6"/>
      <x:c r="L25" s="6"/>
      <x:c r="M25" s="6"/>
      <x:c r="N25" s="6"/>
      <x:c r="O25" s="6"/>
      <x:c r="P25" s="6"/>
      <x:c r="Q25" s="6"/>
      <x:c r="R25" s="6"/>
      <x:c r="S25" s="6"/>
      <x:c r="T25" s="6"/>
      <x:c r="U25" s="6"/>
      <x:c r="V25" s="6"/>
      <x:c r="W25" s="6"/>
      <x:c r="X25" s="6"/>
      <x:c r="Y25" s="6"/>
      <x:c r="Z25" s="6"/>
    </x:row>
    <x:row r="26" s="1" customFormat="1" ht="12.75" hidden="0" customHeight="1">
      <x:c r="A26" s="6"/>
      <x:c r="B26" s="6"/>
      <x:c r="C26" s="6"/>
      <x:c r="D26" s="6"/>
      <x:c r="E26" s="6"/>
      <x:c r="F26" s="6"/>
      <x:c r="G26" s="6"/>
      <x:c r="H26" s="6"/>
      <x:c r="I26" s="6"/>
      <x:c r="J26" s="6"/>
      <x:c r="K26" s="6"/>
      <x:c r="L26" s="6"/>
      <x:c r="M26" s="6"/>
      <x:c r="N26" s="6"/>
      <x:c r="O26" s="6"/>
      <x:c r="P26" s="6"/>
      <x:c r="Q26" s="6"/>
      <x:c r="R26" s="6"/>
      <x:c r="S26" s="6"/>
      <x:c r="T26" s="6"/>
      <x:c r="U26" s="6"/>
      <x:c r="V26" s="6"/>
      <x:c r="W26" s="6"/>
      <x:c r="X26" s="6"/>
      <x:c r="Y26" s="6"/>
      <x:c r="Z26" s="6"/>
    </x:row>
    <x:row r="27" s="1" customFormat="1" ht="12.75" hidden="0" customHeight="1">
      <x:c r="A27" s="6"/>
      <x:c r="B27" s="6"/>
      <x:c r="C27" s="6"/>
      <x:c r="D27" s="6"/>
      <x:c r="E27" s="6"/>
      <x:c r="F27" s="6"/>
      <x:c r="G27" s="6"/>
      <x:c r="H27" s="6"/>
      <x:c r="I27" s="6"/>
      <x:c r="J27" s="6"/>
      <x:c r="K27" s="6"/>
      <x:c r="L27" s="6"/>
      <x:c r="M27" s="6"/>
      <x:c r="N27" s="6"/>
      <x:c r="O27" s="6"/>
      <x:c r="P27" s="6"/>
      <x:c r="Q27" s="6"/>
      <x:c r="R27" s="6"/>
      <x:c r="S27" s="6"/>
      <x:c r="T27" s="6"/>
      <x:c r="U27" s="6"/>
      <x:c r="V27" s="6"/>
      <x:c r="W27" s="6"/>
      <x:c r="X27" s="6"/>
      <x:c r="Y27" s="6"/>
      <x:c r="Z27" s="6"/>
    </x:row>
    <x:row r="28" s="1" customFormat="1" ht="12.75" hidden="0" customHeight="1">
      <x:c r="A28" s="6"/>
      <x:c r="B28" s="6"/>
      <x:c r="C28" s="6"/>
      <x:c r="D28" s="6"/>
      <x:c r="E28" s="6"/>
      <x:c r="F28" s="6"/>
      <x:c r="G28" s="6"/>
      <x:c r="H28" s="6"/>
      <x:c r="I28" s="6"/>
      <x:c r="J28" s="6"/>
      <x:c r="K28" s="6"/>
      <x:c r="L28" s="6"/>
      <x:c r="M28" s="6"/>
      <x:c r="N28" s="6"/>
      <x:c r="O28" s="6"/>
      <x:c r="P28" s="6"/>
      <x:c r="Q28" s="6"/>
      <x:c r="R28" s="6"/>
      <x:c r="S28" s="6"/>
      <x:c r="T28" s="6"/>
      <x:c r="U28" s="6"/>
      <x:c r="V28" s="6"/>
      <x:c r="W28" s="6"/>
      <x:c r="X28" s="6"/>
      <x:c r="Y28" s="6"/>
      <x:c r="Z28" s="6"/>
    </x:row>
    <x:row r="29" s="1" customFormat="1" ht="12.75" hidden="0" customHeight="1">
      <x:c r="A29" s="6"/>
      <x:c r="B29" s="6"/>
      <x:c r="C29" s="6"/>
      <x:c r="D29" s="6"/>
      <x:c r="E29" s="6"/>
      <x:c r="F29" s="6"/>
      <x:c r="G29" s="6"/>
      <x:c r="H29" s="6"/>
      <x:c r="I29" s="6"/>
      <x:c r="J29" s="6"/>
      <x:c r="K29" s="6"/>
      <x:c r="L29" s="6"/>
      <x:c r="M29" s="6"/>
      <x:c r="N29" s="6"/>
      <x:c r="O29" s="6"/>
      <x:c r="P29" s="6"/>
      <x:c r="Q29" s="6"/>
      <x:c r="R29" s="6"/>
      <x:c r="S29" s="6"/>
      <x:c r="T29" s="6"/>
      <x:c r="U29" s="6"/>
      <x:c r="V29" s="6"/>
      <x:c r="W29" s="6"/>
      <x:c r="X29" s="6"/>
      <x:c r="Y29" s="6"/>
      <x:c r="Z29" s="6"/>
    </x:row>
    <x:row r="30" s="1" customFormat="1" ht="12.75" hidden="0" customHeight="1">
      <x:c r="A30" s="6"/>
      <x:c r="B30" s="6"/>
      <x:c r="C30" s="6"/>
      <x:c r="D30" s="6"/>
      <x:c r="E30" s="6"/>
      <x:c r="F30" s="6"/>
      <x:c r="G30" s="6"/>
      <x:c r="H30" s="6"/>
      <x:c r="I30" s="6"/>
      <x:c r="J30" s="6"/>
      <x:c r="K30" s="6"/>
      <x:c r="L30" s="6"/>
      <x:c r="M30" s="6"/>
      <x:c r="N30" s="6"/>
      <x:c r="O30" s="6"/>
      <x:c r="P30" s="6"/>
      <x:c r="Q30" s="6"/>
      <x:c r="R30" s="6"/>
      <x:c r="S30" s="6"/>
      <x:c r="T30" s="6"/>
      <x:c r="U30" s="6"/>
      <x:c r="V30" s="6"/>
      <x:c r="W30" s="6"/>
      <x:c r="X30" s="6"/>
      <x:c r="Y30" s="6"/>
      <x:c r="Z30" s="6"/>
    </x:row>
    <x:row r="31" s="1" customFormat="1" ht="12.75" hidden="0" customHeight="1">
      <x:c r="A31" s="6"/>
      <x:c r="B31" s="6"/>
      <x:c r="C31" s="6"/>
      <x:c r="D31" s="6"/>
      <x:c r="E31" s="6"/>
      <x:c r="F31" s="6"/>
      <x:c r="G31" s="6"/>
      <x:c r="H31" s="6"/>
      <x:c r="I31" s="6"/>
      <x:c r="J31" s="6"/>
      <x:c r="K31" s="6"/>
      <x:c r="L31" s="6"/>
      <x:c r="M31" s="6"/>
      <x:c r="N31" s="6"/>
      <x:c r="O31" s="6"/>
      <x:c r="P31" s="6"/>
      <x:c r="Q31" s="6"/>
      <x:c r="R31" s="6"/>
      <x:c r="S31" s="6"/>
      <x:c r="T31" s="6"/>
      <x:c r="U31" s="6"/>
      <x:c r="V31" s="6"/>
      <x:c r="W31" s="6"/>
      <x:c r="X31" s="6"/>
      <x:c r="Y31" s="6"/>
      <x:c r="Z31" s="6"/>
    </x:row>
    <x:row r="32" s="1" customFormat="1" ht="12.75" hidden="0" customHeight="1">
      <x:c r="A32" s="6"/>
      <x:c r="B32" s="6"/>
      <x:c r="C32" s="6"/>
      <x:c r="D32" s="6"/>
      <x:c r="E32" s="6"/>
      <x:c r="F32" s="6"/>
      <x:c r="G32" s="6"/>
      <x:c r="H32" s="6"/>
      <x:c r="I32" s="6"/>
      <x:c r="J32" s="6"/>
      <x:c r="K32" s="6"/>
      <x:c r="L32" s="6"/>
      <x:c r="M32" s="6"/>
      <x:c r="N32" s="6"/>
      <x:c r="O32" s="6"/>
      <x:c r="P32" s="6"/>
      <x:c r="Q32" s="6"/>
      <x:c r="R32" s="6"/>
      <x:c r="S32" s="6"/>
      <x:c r="T32" s="6"/>
      <x:c r="U32" s="6"/>
      <x:c r="V32" s="6"/>
      <x:c r="W32" s="6"/>
      <x:c r="X32" s="6"/>
      <x:c r="Y32" s="6"/>
      <x:c r="Z32" s="6"/>
    </x:row>
    <x:row r="33" s="1" customFormat="1" ht="12.75" hidden="0" customHeight="1">
      <x:c r="A33" s="6"/>
      <x:c r="B33" s="6"/>
      <x:c r="C33" s="6"/>
      <x:c r="D33" s="6"/>
      <x:c r="E33" s="6"/>
      <x:c r="F33" s="6"/>
      <x:c r="G33" s="6"/>
      <x:c r="H33" s="6"/>
      <x:c r="I33" s="6"/>
      <x:c r="J33" s="6"/>
      <x:c r="K33" s="6"/>
      <x:c r="L33" s="6"/>
      <x:c r="M33" s="6"/>
      <x:c r="N33" s="6"/>
      <x:c r="O33" s="6"/>
      <x:c r="P33" s="6"/>
      <x:c r="Q33" s="6"/>
      <x:c r="R33" s="6"/>
      <x:c r="S33" s="6"/>
      <x:c r="T33" s="6"/>
      <x:c r="U33" s="6"/>
      <x:c r="V33" s="6"/>
      <x:c r="W33" s="6"/>
      <x:c r="X33" s="6"/>
      <x:c r="Y33" s="6"/>
      <x:c r="Z33" s="6"/>
    </x:row>
    <x:row r="34" s="1" customFormat="1" ht="12.75" hidden="0" customHeight="1">
      <x:c r="A34" s="6"/>
      <x:c r="B34" s="6"/>
      <x:c r="C34" s="6"/>
      <x:c r="D34" s="6"/>
      <x:c r="E34" s="6"/>
      <x:c r="F34" s="6"/>
      <x:c r="G34" s="6"/>
      <x:c r="H34" s="6"/>
      <x:c r="I34" s="6"/>
      <x:c r="J34" s="6"/>
      <x:c r="K34" s="6"/>
      <x:c r="L34" s="6"/>
      <x:c r="M34" s="6"/>
      <x:c r="N34" s="6"/>
      <x:c r="O34" s="6"/>
      <x:c r="P34" s="6"/>
      <x:c r="Q34" s="6"/>
      <x:c r="R34" s="6"/>
      <x:c r="S34" s="6"/>
      <x:c r="T34" s="6"/>
      <x:c r="U34" s="6"/>
      <x:c r="V34" s="6"/>
      <x:c r="W34" s="6"/>
      <x:c r="X34" s="6"/>
      <x:c r="Y34" s="6"/>
      <x:c r="Z34" s="6"/>
    </x:row>
    <x:row r="35" s="1" customFormat="1" ht="12.75" hidden="0" customHeight="1">
      <x:c r="A35" s="6"/>
      <x:c r="B35" s="6"/>
      <x:c r="C35" s="6"/>
      <x:c r="D35" s="6"/>
      <x:c r="E35" s="6"/>
      <x:c r="F35" s="6"/>
      <x:c r="G35" s="6"/>
      <x:c r="H35" s="6"/>
      <x:c r="I35" s="6"/>
      <x:c r="J35" s="6"/>
      <x:c r="K35" s="6"/>
      <x:c r="L35" s="6"/>
      <x:c r="M35" s="6"/>
      <x:c r="N35" s="6"/>
      <x:c r="O35" s="6"/>
      <x:c r="P35" s="6"/>
      <x:c r="Q35" s="6"/>
      <x:c r="R35" s="6"/>
      <x:c r="S35" s="6"/>
      <x:c r="T35" s="6"/>
      <x:c r="U35" s="6"/>
      <x:c r="V35" s="6"/>
      <x:c r="W35" s="6"/>
      <x:c r="X35" s="6"/>
      <x:c r="Y35" s="6"/>
      <x:c r="Z35" s="6"/>
    </x:row>
    <x:row r="36" s="1" customFormat="1" ht="12.75" hidden="0" customHeight="1">
      <x:c r="A36" s="6"/>
      <x:c r="B36" s="6"/>
      <x:c r="C36" s="6"/>
      <x:c r="D36" s="6"/>
      <x:c r="E36" s="6"/>
      <x:c r="F36" s="6"/>
      <x:c r="G36" s="6"/>
      <x:c r="H36" s="6"/>
      <x:c r="I36" s="6"/>
      <x:c r="J36" s="6"/>
      <x:c r="K36" s="6"/>
      <x:c r="L36" s="6"/>
      <x:c r="M36" s="6"/>
      <x:c r="N36" s="6"/>
      <x:c r="O36" s="6"/>
      <x:c r="P36" s="6"/>
      <x:c r="Q36" s="6"/>
      <x:c r="R36" s="6"/>
      <x:c r="S36" s="6"/>
      <x:c r="T36" s="6"/>
      <x:c r="U36" s="6"/>
      <x:c r="V36" s="6"/>
      <x:c r="W36" s="6"/>
      <x:c r="X36" s="6"/>
      <x:c r="Y36" s="6"/>
      <x:c r="Z36" s="6"/>
    </x:row>
    <x:row r="37" s="1" customFormat="1" ht="12.75" hidden="0" customHeight="1">
      <x:c r="A37" s="6"/>
      <x:c r="B37" s="6"/>
      <x:c r="C37" s="6"/>
      <x:c r="D37" s="6"/>
      <x:c r="E37" s="6"/>
      <x:c r="F37" s="6"/>
      <x:c r="G37" s="6"/>
      <x:c r="H37" s="6"/>
      <x:c r="I37" s="6"/>
      <x:c r="J37" s="6"/>
      <x:c r="K37" s="6"/>
      <x:c r="L37" s="6"/>
      <x:c r="M37" s="6"/>
      <x:c r="N37" s="6"/>
      <x:c r="O37" s="6"/>
      <x:c r="P37" s="6"/>
      <x:c r="Q37" s="6"/>
      <x:c r="R37" s="6"/>
      <x:c r="S37" s="6"/>
      <x:c r="T37" s="6"/>
      <x:c r="U37" s="6"/>
      <x:c r="V37" s="6"/>
      <x:c r="W37" s="6"/>
      <x:c r="X37" s="6"/>
      <x:c r="Y37" s="6"/>
      <x:c r="Z37" s="6"/>
    </x:row>
    <x:row r="38" s="1" customFormat="1" ht="12.75" hidden="0" customHeight="1">
      <x:c r="A38" s="6"/>
      <x:c r="B38" s="6"/>
      <x:c r="C38" s="6"/>
      <x:c r="D38" s="6"/>
      <x:c r="E38" s="6"/>
      <x:c r="F38" s="6"/>
      <x:c r="G38" s="6"/>
      <x:c r="H38" s="6"/>
      <x:c r="I38" s="6"/>
      <x:c r="J38" s="6"/>
      <x:c r="K38" s="6"/>
      <x:c r="L38" s="6"/>
      <x:c r="M38" s="6"/>
      <x:c r="N38" s="6"/>
      <x:c r="O38" s="6"/>
      <x:c r="P38" s="6"/>
      <x:c r="Q38" s="6"/>
      <x:c r="R38" s="6"/>
      <x:c r="S38" s="6"/>
      <x:c r="T38" s="6"/>
      <x:c r="U38" s="6"/>
      <x:c r="V38" s="6"/>
      <x:c r="W38" s="6"/>
      <x:c r="X38" s="6"/>
      <x:c r="Y38" s="6"/>
      <x:c r="Z38" s="6"/>
    </x:row>
    <x:row r="39" s="1" customFormat="1" ht="12.75" hidden="0" customHeight="1">
      <x:c r="A39" s="6"/>
      <x:c r="B39" s="6"/>
      <x:c r="C39" s="6"/>
      <x:c r="D39" s="6"/>
      <x:c r="E39" s="6"/>
      <x:c r="F39" s="6"/>
      <x:c r="G39" s="6"/>
      <x:c r="H39" s="6"/>
      <x:c r="I39" s="6"/>
      <x:c r="J39" s="6"/>
      <x:c r="K39" s="6"/>
      <x:c r="L39" s="6"/>
      <x:c r="M39" s="6"/>
      <x:c r="N39" s="6"/>
      <x:c r="O39" s="6"/>
      <x:c r="P39" s="6"/>
      <x:c r="Q39" s="6"/>
      <x:c r="R39" s="6"/>
      <x:c r="S39" s="6"/>
      <x:c r="T39" s="6"/>
      <x:c r="U39" s="6"/>
      <x:c r="V39" s="6"/>
      <x:c r="W39" s="6"/>
      <x:c r="X39" s="6"/>
      <x:c r="Y39" s="6"/>
      <x:c r="Z39" s="6"/>
    </x:row>
    <x:row r="40" s="1" customFormat="1" ht="12.75" hidden="0" customHeight="1">
      <x:c r="A40" s="6"/>
      <x:c r="B40" s="6"/>
      <x:c r="C40" s="6"/>
      <x:c r="D40" s="6"/>
      <x:c r="E40" s="6"/>
      <x:c r="F40" s="6"/>
      <x:c r="G40" s="6"/>
      <x:c r="H40" s="6"/>
      <x:c r="I40" s="6"/>
      <x:c r="J40" s="6"/>
      <x:c r="K40" s="6"/>
      <x:c r="L40" s="6"/>
      <x:c r="M40" s="6"/>
      <x:c r="N40" s="6"/>
      <x:c r="O40" s="6"/>
      <x:c r="P40" s="6"/>
      <x:c r="Q40" s="6"/>
      <x:c r="R40" s="6"/>
      <x:c r="S40" s="6"/>
      <x:c r="T40" s="6"/>
      <x:c r="U40" s="6"/>
      <x:c r="V40" s="6"/>
      <x:c r="W40" s="6"/>
      <x:c r="X40" s="6"/>
      <x:c r="Y40" s="6"/>
      <x:c r="Z40" s="6"/>
    </x:row>
    <x:row r="41" s="1" customFormat="1" ht="12.75" hidden="0" customHeight="1">
      <x:c r="A41" s="6"/>
      <x:c r="B41" s="6"/>
      <x:c r="C41" s="6"/>
      <x:c r="D41" s="6"/>
      <x:c r="E41" s="6"/>
      <x:c r="F41" s="6"/>
      <x:c r="G41" s="6"/>
      <x:c r="H41" s="6"/>
      <x:c r="I41" s="6"/>
      <x:c r="J41" s="6"/>
      <x:c r="K41" s="6"/>
      <x:c r="L41" s="6"/>
      <x:c r="M41" s="6"/>
      <x:c r="N41" s="6"/>
      <x:c r="O41" s="6"/>
      <x:c r="P41" s="6"/>
      <x:c r="Q41" s="6"/>
      <x:c r="R41" s="6"/>
      <x:c r="S41" s="6"/>
      <x:c r="T41" s="6"/>
      <x:c r="U41" s="6"/>
      <x:c r="V41" s="6"/>
      <x:c r="W41" s="6"/>
      <x:c r="X41" s="6"/>
      <x:c r="Y41" s="6"/>
      <x:c r="Z41" s="6"/>
    </x:row>
    <x:row r="42" s="1" customFormat="1" ht="12.75" hidden="0" customHeight="1">
      <x:c r="A42" s="6"/>
      <x:c r="B42" s="6"/>
      <x:c r="C42" s="6"/>
      <x:c r="D42" s="6"/>
      <x:c r="E42" s="6"/>
      <x:c r="F42" s="6"/>
      <x:c r="G42" s="6"/>
      <x:c r="H42" s="6"/>
      <x:c r="I42" s="6"/>
      <x:c r="J42" s="6"/>
      <x:c r="K42" s="6"/>
      <x:c r="L42" s="6"/>
      <x:c r="M42" s="6"/>
      <x:c r="N42" s="6"/>
      <x:c r="O42" s="6"/>
      <x:c r="P42" s="6"/>
      <x:c r="Q42" s="6"/>
      <x:c r="R42" s="6"/>
      <x:c r="S42" s="6"/>
      <x:c r="T42" s="6"/>
      <x:c r="U42" s="6"/>
      <x:c r="V42" s="6"/>
      <x:c r="W42" s="6"/>
      <x:c r="X42" s="6"/>
      <x:c r="Y42" s="6"/>
      <x:c r="Z42" s="6"/>
    </x:row>
    <x:row r="43" s="1" customFormat="1" ht="12.75" hidden="0" customHeight="1">
      <x:c r="A43" s="6"/>
      <x:c r="B43" s="6"/>
      <x:c r="C43" s="6"/>
      <x:c r="D43" s="6"/>
      <x:c r="E43" s="6"/>
      <x:c r="F43" s="6"/>
      <x:c r="G43" s="6"/>
      <x:c r="H43" s="6"/>
      <x:c r="I43" s="6"/>
      <x:c r="J43" s="6"/>
      <x:c r="K43" s="6"/>
      <x:c r="L43" s="6"/>
      <x:c r="M43" s="6"/>
      <x:c r="N43" s="6"/>
      <x:c r="O43" s="6"/>
      <x:c r="P43" s="6"/>
      <x:c r="Q43" s="6"/>
      <x:c r="R43" s="6"/>
      <x:c r="S43" s="6"/>
      <x:c r="T43" s="6"/>
      <x:c r="U43" s="6"/>
      <x:c r="V43" s="6"/>
      <x:c r="W43" s="6"/>
      <x:c r="X43" s="6"/>
      <x:c r="Y43" s="6"/>
      <x:c r="Z43" s="6"/>
    </x:row>
    <x:row r="44" s="1" customFormat="1" ht="12.75" hidden="0" customHeight="1">
      <x:c r="A44" s="6"/>
      <x:c r="B44" s="6"/>
      <x:c r="C44" s="6"/>
      <x:c r="D44" s="6"/>
      <x:c r="E44" s="6"/>
      <x:c r="F44" s="6"/>
      <x:c r="G44" s="6"/>
      <x:c r="H44" s="6"/>
      <x:c r="I44" s="6"/>
      <x:c r="J44" s="6"/>
      <x:c r="K44" s="6"/>
      <x:c r="L44" s="6"/>
      <x:c r="M44" s="6"/>
      <x:c r="N44" s="6"/>
      <x:c r="O44" s="6"/>
      <x:c r="P44" s="6"/>
      <x:c r="Q44" s="6"/>
      <x:c r="R44" s="6"/>
      <x:c r="S44" s="6"/>
      <x:c r="T44" s="6"/>
      <x:c r="U44" s="6"/>
      <x:c r="V44" s="6"/>
      <x:c r="W44" s="6"/>
      <x:c r="X44" s="6"/>
      <x:c r="Y44" s="6"/>
      <x:c r="Z44" s="6"/>
    </x:row>
    <x:row r="45" s="1" customFormat="1" ht="12.75" hidden="0" customHeight="1">
      <x:c r="A45" s="6"/>
      <x:c r="B45" s="6"/>
      <x:c r="C45" s="6"/>
      <x:c r="D45" s="6"/>
      <x:c r="E45" s="6"/>
      <x:c r="F45" s="6"/>
      <x:c r="G45" s="6"/>
      <x:c r="H45" s="6"/>
      <x:c r="I45" s="6"/>
      <x:c r="J45" s="6"/>
      <x:c r="K45" s="6"/>
      <x:c r="L45" s="6"/>
      <x:c r="M45" s="6"/>
      <x:c r="N45" s="6"/>
      <x:c r="O45" s="6"/>
      <x:c r="P45" s="6"/>
      <x:c r="Q45" s="6"/>
      <x:c r="R45" s="6"/>
      <x:c r="S45" s="6"/>
      <x:c r="T45" s="6"/>
      <x:c r="U45" s="6"/>
      <x:c r="V45" s="6"/>
      <x:c r="W45" s="6"/>
      <x:c r="X45" s="6"/>
      <x:c r="Y45" s="6"/>
      <x:c r="Z45" s="6"/>
    </x:row>
    <x:row r="46" s="1" customFormat="1" ht="12.75" hidden="0" customHeight="1">
      <x:c r="A46" s="6"/>
      <x:c r="B46" s="6"/>
      <x:c r="C46" s="6"/>
      <x:c r="D46" s="6"/>
      <x:c r="E46" s="6"/>
      <x:c r="F46" s="6"/>
      <x:c r="G46" s="6"/>
      <x:c r="H46" s="6"/>
      <x:c r="I46" s="6"/>
      <x:c r="J46" s="6"/>
      <x:c r="K46" s="6"/>
      <x:c r="L46" s="6"/>
      <x:c r="M46" s="6"/>
      <x:c r="N46" s="6"/>
      <x:c r="O46" s="6"/>
      <x:c r="P46" s="6"/>
      <x:c r="Q46" s="6"/>
      <x:c r="R46" s="6"/>
      <x:c r="S46" s="6"/>
      <x:c r="T46" s="6"/>
      <x:c r="U46" s="6"/>
      <x:c r="V46" s="6"/>
      <x:c r="W46" s="6"/>
      <x:c r="X46" s="6"/>
      <x:c r="Y46" s="6"/>
      <x:c r="Z46" s="6"/>
    </x:row>
    <x:row r="47" s="1" customFormat="1" ht="12.75" hidden="0" customHeight="1">
      <x:c r="A47" s="6"/>
      <x:c r="B47" s="6"/>
      <x:c r="C47" s="6"/>
      <x:c r="D47" s="6"/>
      <x:c r="E47" s="6"/>
      <x:c r="F47" s="6"/>
      <x:c r="G47" s="6"/>
      <x:c r="H47" s="6"/>
      <x:c r="I47" s="6"/>
      <x:c r="J47" s="6"/>
      <x:c r="K47" s="6"/>
      <x:c r="L47" s="6"/>
      <x:c r="M47" s="6"/>
      <x:c r="N47" s="6"/>
      <x:c r="O47" s="6"/>
      <x:c r="P47" s="6"/>
      <x:c r="Q47" s="6"/>
      <x:c r="R47" s="6"/>
      <x:c r="S47" s="6"/>
      <x:c r="T47" s="6"/>
      <x:c r="U47" s="6"/>
      <x:c r="V47" s="6"/>
      <x:c r="W47" s="6"/>
      <x:c r="X47" s="6"/>
      <x:c r="Y47" s="6"/>
      <x:c r="Z47" s="6"/>
    </x:row>
    <x:row r="48" s="1" customFormat="1" ht="12.75" hidden="0" customHeight="1">
      <x:c r="A48" s="6"/>
      <x:c r="B48" s="6"/>
      <x:c r="C48" s="6"/>
      <x:c r="D48" s="6"/>
      <x:c r="E48" s="6"/>
      <x:c r="F48" s="6"/>
      <x:c r="G48" s="6"/>
      <x:c r="H48" s="6"/>
      <x:c r="I48" s="6"/>
      <x:c r="J48" s="6"/>
      <x:c r="K48" s="6"/>
      <x:c r="L48" s="6"/>
      <x:c r="M48" s="6"/>
      <x:c r="N48" s="6"/>
      <x:c r="O48" s="6"/>
      <x:c r="P48" s="6"/>
      <x:c r="Q48" s="6"/>
      <x:c r="R48" s="6"/>
      <x:c r="S48" s="6"/>
      <x:c r="T48" s="6"/>
      <x:c r="U48" s="6"/>
      <x:c r="V48" s="6"/>
      <x:c r="W48" s="6"/>
      <x:c r="X48" s="6"/>
      <x:c r="Y48" s="6"/>
      <x:c r="Z48" s="6"/>
    </x:row>
    <x:row r="49" s="1" customFormat="1" ht="12.75" hidden="0" customHeight="1">
      <x:c r="A49" s="6"/>
      <x:c r="B49" s="6"/>
      <x:c r="C49" s="6"/>
      <x:c r="D49" s="6"/>
      <x:c r="E49" s="6"/>
      <x:c r="F49" s="6"/>
      <x:c r="G49" s="6"/>
      <x:c r="H49" s="6"/>
      <x:c r="I49" s="6"/>
      <x:c r="J49" s="6"/>
      <x:c r="K49" s="6"/>
      <x:c r="L49" s="6"/>
      <x:c r="M49" s="6"/>
      <x:c r="N49" s="6"/>
      <x:c r="O49" s="6"/>
      <x:c r="P49" s="6"/>
      <x:c r="Q49" s="6"/>
      <x:c r="R49" s="6"/>
      <x:c r="S49" s="6"/>
      <x:c r="T49" s="6"/>
      <x:c r="U49" s="6"/>
      <x:c r="V49" s="6"/>
      <x:c r="W49" s="6"/>
      <x:c r="X49" s="6"/>
      <x:c r="Y49" s="6"/>
      <x:c r="Z49" s="6"/>
    </x:row>
    <x:row r="50" s="1" customFormat="1" ht="12.75" hidden="0" customHeight="1">
      <x:c r="A50" s="6"/>
      <x:c r="B50" s="6"/>
      <x:c r="C50" s="6"/>
      <x:c r="D50" s="6"/>
      <x:c r="E50" s="6"/>
      <x:c r="F50" s="6"/>
      <x:c r="G50" s="6"/>
      <x:c r="H50" s="6"/>
      <x:c r="I50" s="6"/>
      <x:c r="J50" s="6"/>
      <x:c r="K50" s="6"/>
      <x:c r="L50" s="6"/>
      <x:c r="M50" s="6"/>
      <x:c r="N50" s="6"/>
      <x:c r="O50" s="6"/>
      <x:c r="P50" s="6"/>
      <x:c r="Q50" s="6"/>
      <x:c r="R50" s="6"/>
      <x:c r="S50" s="6"/>
      <x:c r="T50" s="6"/>
      <x:c r="U50" s="6"/>
      <x:c r="V50" s="6"/>
      <x:c r="W50" s="6"/>
      <x:c r="X50" s="6"/>
      <x:c r="Y50" s="6"/>
      <x:c r="Z50" s="6"/>
    </x:row>
    <x:row r="51" s="1" customFormat="1" ht="12.75" hidden="0" customHeight="1">
      <x:c r="A51" s="6"/>
      <x:c r="B51" s="6"/>
      <x:c r="C51" s="6"/>
      <x:c r="D51" s="6"/>
      <x:c r="E51" s="6"/>
      <x:c r="F51" s="6"/>
      <x:c r="G51" s="6"/>
      <x:c r="H51" s="6"/>
      <x:c r="I51" s="6"/>
      <x:c r="J51" s="6"/>
      <x:c r="K51" s="6"/>
      <x:c r="L51" s="6"/>
      <x:c r="M51" s="6"/>
      <x:c r="N51" s="6"/>
      <x:c r="O51" s="6"/>
      <x:c r="P51" s="6"/>
      <x:c r="Q51" s="6"/>
      <x:c r="R51" s="6"/>
      <x:c r="S51" s="6"/>
      <x:c r="T51" s="6"/>
      <x:c r="U51" s="6"/>
      <x:c r="V51" s="6"/>
      <x:c r="W51" s="6"/>
      <x:c r="X51" s="6"/>
      <x:c r="Y51" s="6"/>
      <x:c r="Z51" s="6"/>
    </x:row>
    <x:row r="52" s="1" customFormat="1" ht="12.75" hidden="0" customHeight="1">
      <x:c r="A52" s="6"/>
      <x:c r="B52" s="6"/>
      <x:c r="C52" s="6"/>
      <x:c r="D52" s="6"/>
      <x:c r="E52" s="6"/>
      <x:c r="F52" s="6"/>
      <x:c r="G52" s="6"/>
      <x:c r="H52" s="6"/>
      <x:c r="I52" s="6"/>
      <x:c r="J52" s="6"/>
      <x:c r="K52" s="6"/>
      <x:c r="L52" s="6"/>
      <x:c r="M52" s="6"/>
      <x:c r="N52" s="6"/>
      <x:c r="O52" s="6"/>
      <x:c r="P52" s="6"/>
      <x:c r="Q52" s="6"/>
      <x:c r="R52" s="6"/>
      <x:c r="S52" s="6"/>
      <x:c r="T52" s="6"/>
      <x:c r="U52" s="6"/>
      <x:c r="V52" s="6"/>
      <x:c r="W52" s="6"/>
      <x:c r="X52" s="6"/>
      <x:c r="Y52" s="6"/>
      <x:c r="Z52" s="6"/>
    </x:row>
    <x:row r="53" s="1" customFormat="1" ht="12.75" hidden="0" customHeight="1">
      <x:c r="A53" s="6"/>
      <x:c r="B53" s="6"/>
      <x:c r="C53" s="6"/>
      <x:c r="D53" s="6"/>
      <x:c r="E53" s="6"/>
      <x:c r="F53" s="6"/>
      <x:c r="G53" s="6"/>
      <x:c r="H53" s="6"/>
      <x:c r="I53" s="6"/>
      <x:c r="J53" s="6"/>
      <x:c r="K53" s="6"/>
      <x:c r="L53" s="6"/>
      <x:c r="M53" s="6"/>
      <x:c r="N53" s="6"/>
      <x:c r="O53" s="6"/>
      <x:c r="P53" s="6"/>
      <x:c r="Q53" s="6"/>
      <x:c r="R53" s="6"/>
      <x:c r="S53" s="6"/>
      <x:c r="T53" s="6"/>
      <x:c r="U53" s="6"/>
      <x:c r="V53" s="6"/>
      <x:c r="W53" s="6"/>
      <x:c r="X53" s="6"/>
      <x:c r="Y53" s="6"/>
      <x:c r="Z53" s="6"/>
    </x:row>
    <x:row r="54" s="1" customFormat="1" ht="12.75" hidden="0" customHeight="1">
      <x:c r="A54" s="6"/>
      <x:c r="B54" s="6"/>
      <x:c r="C54" s="6"/>
      <x:c r="D54" s="6"/>
      <x:c r="E54" s="6"/>
      <x:c r="F54" s="6"/>
      <x:c r="G54" s="6"/>
      <x:c r="H54" s="6"/>
      <x:c r="I54" s="6"/>
      <x:c r="J54" s="6"/>
      <x:c r="K54" s="6"/>
      <x:c r="L54" s="6"/>
      <x:c r="M54" s="6"/>
      <x:c r="N54" s="6"/>
      <x:c r="O54" s="6"/>
      <x:c r="P54" s="6"/>
      <x:c r="Q54" s="6"/>
      <x:c r="R54" s="6"/>
      <x:c r="S54" s="6"/>
      <x:c r="T54" s="6"/>
      <x:c r="U54" s="6"/>
      <x:c r="V54" s="6"/>
      <x:c r="W54" s="6"/>
      <x:c r="X54" s="6"/>
      <x:c r="Y54" s="6"/>
      <x:c r="Z54" s="6"/>
    </x:row>
    <x:row r="55" s="1" customFormat="1" ht="12.75" hidden="0" customHeight="1">
      <x:c r="A55" s="6"/>
      <x:c r="B55" s="6"/>
      <x:c r="C55" s="6"/>
      <x:c r="D55" s="6"/>
      <x:c r="E55" s="6"/>
      <x:c r="F55" s="6"/>
      <x:c r="G55" s="6"/>
      <x:c r="H55" s="6"/>
      <x:c r="I55" s="6"/>
      <x:c r="J55" s="6"/>
      <x:c r="K55" s="6"/>
      <x:c r="L55" s="6"/>
      <x:c r="M55" s="6"/>
      <x:c r="N55" s="6"/>
      <x:c r="O55" s="6"/>
      <x:c r="P55" s="6"/>
      <x:c r="Q55" s="6"/>
      <x:c r="R55" s="6"/>
      <x:c r="S55" s="6"/>
      <x:c r="T55" s="6"/>
      <x:c r="U55" s="6"/>
      <x:c r="V55" s="6"/>
      <x:c r="W55" s="6"/>
      <x:c r="X55" s="6"/>
      <x:c r="Y55" s="6"/>
      <x:c r="Z55" s="6"/>
    </x:row>
    <x:row r="56" s="1" customFormat="1" ht="12.75" hidden="0" customHeight="1">
      <x:c r="A56" s="6"/>
      <x:c r="B56" s="6"/>
      <x:c r="C56" s="6"/>
      <x:c r="D56" s="6"/>
      <x:c r="E56" s="6"/>
      <x:c r="F56" s="6"/>
      <x:c r="G56" s="6"/>
      <x:c r="H56" s="6"/>
      <x:c r="I56" s="6"/>
      <x:c r="J56" s="6"/>
      <x:c r="K56" s="6"/>
      <x:c r="L56" s="6"/>
      <x:c r="M56" s="6"/>
      <x:c r="N56" s="6"/>
      <x:c r="O56" s="6"/>
      <x:c r="P56" s="6"/>
      <x:c r="Q56" s="6"/>
      <x:c r="R56" s="6"/>
      <x:c r="S56" s="6"/>
      <x:c r="T56" s="6"/>
      <x:c r="U56" s="6"/>
      <x:c r="V56" s="6"/>
      <x:c r="W56" s="6"/>
      <x:c r="X56" s="6"/>
      <x:c r="Y56" s="6"/>
      <x:c r="Z56" s="6"/>
    </x:row>
    <x:row r="57" s="1" customFormat="1" ht="12.75" hidden="0" customHeight="1">
      <x:c r="A57" s="6"/>
      <x:c r="B57" s="6"/>
      <x:c r="C57" s="6"/>
      <x:c r="D57" s="6"/>
      <x:c r="E57" s="6"/>
      <x:c r="F57" s="6"/>
      <x:c r="G57" s="6"/>
      <x:c r="H57" s="6"/>
      <x:c r="I57" s="6"/>
      <x:c r="J57" s="6"/>
      <x:c r="K57" s="6"/>
      <x:c r="L57" s="6"/>
      <x:c r="M57" s="6"/>
      <x:c r="N57" s="6"/>
      <x:c r="O57" s="6"/>
      <x:c r="P57" s="6"/>
      <x:c r="Q57" s="6"/>
      <x:c r="R57" s="6"/>
      <x:c r="S57" s="6"/>
      <x:c r="T57" s="6"/>
      <x:c r="U57" s="6"/>
      <x:c r="V57" s="6"/>
      <x:c r="W57" s="6"/>
      <x:c r="X57" s="6"/>
      <x:c r="Y57" s="6"/>
      <x:c r="Z57" s="6"/>
    </x:row>
    <x:row r="58" s="1" customFormat="1" ht="12.75" hidden="0" customHeight="1">
      <x:c r="A58" s="6"/>
      <x:c r="B58" s="6"/>
      <x:c r="C58" s="6"/>
      <x:c r="D58" s="6"/>
      <x:c r="E58" s="6"/>
      <x:c r="F58" s="6"/>
      <x:c r="G58" s="6"/>
      <x:c r="H58" s="6"/>
      <x:c r="I58" s="6"/>
      <x:c r="J58" s="6"/>
      <x:c r="K58" s="6"/>
      <x:c r="L58" s="6"/>
      <x:c r="M58" s="6"/>
      <x:c r="N58" s="6"/>
      <x:c r="O58" s="6"/>
      <x:c r="P58" s="6"/>
      <x:c r="Q58" s="6"/>
      <x:c r="R58" s="6"/>
      <x:c r="S58" s="6"/>
      <x:c r="T58" s="6"/>
      <x:c r="U58" s="6"/>
      <x:c r="V58" s="6"/>
      <x:c r="W58" s="6"/>
      <x:c r="X58" s="6"/>
      <x:c r="Y58" s="6"/>
      <x:c r="Z58" s="6"/>
    </x:row>
    <x:row r="59" s="1" customFormat="1" ht="12.75" hidden="0" customHeight="1">
      <x:c r="A59" s="6"/>
      <x:c r="B59" s="6"/>
      <x:c r="C59" s="6"/>
      <x:c r="D59" s="6"/>
      <x:c r="E59" s="6"/>
      <x:c r="F59" s="6"/>
      <x:c r="G59" s="6"/>
      <x:c r="H59" s="6"/>
      <x:c r="I59" s="6"/>
      <x:c r="J59" s="6"/>
      <x:c r="K59" s="6"/>
      <x:c r="L59" s="6"/>
      <x:c r="M59" s="6"/>
      <x:c r="N59" s="6"/>
      <x:c r="O59" s="6"/>
      <x:c r="P59" s="6"/>
      <x:c r="Q59" s="6"/>
      <x:c r="R59" s="6"/>
      <x:c r="S59" s="6"/>
      <x:c r="T59" s="6"/>
      <x:c r="U59" s="6"/>
      <x:c r="V59" s="6"/>
      <x:c r="W59" s="6"/>
      <x:c r="X59" s="6"/>
      <x:c r="Y59" s="6"/>
      <x:c r="Z59" s="6"/>
    </x:row>
    <x:row r="60" s="1" customFormat="1" ht="12.75" hidden="0" customHeight="1">
      <x:c r="A60" s="6"/>
      <x:c r="B60" s="6"/>
      <x:c r="C60" s="6"/>
      <x:c r="D60" s="6"/>
      <x:c r="E60" s="6"/>
      <x:c r="F60" s="6"/>
      <x:c r="G60" s="6"/>
      <x:c r="H60" s="6"/>
      <x:c r="I60" s="6"/>
      <x:c r="J60" s="6"/>
      <x:c r="K60" s="6"/>
      <x:c r="L60" s="6"/>
      <x:c r="M60" s="6"/>
      <x:c r="N60" s="6"/>
      <x:c r="O60" s="6"/>
      <x:c r="P60" s="6"/>
      <x:c r="Q60" s="6"/>
      <x:c r="R60" s="6"/>
      <x:c r="S60" s="6"/>
      <x:c r="T60" s="6"/>
      <x:c r="U60" s="6"/>
      <x:c r="V60" s="6"/>
      <x:c r="W60" s="6"/>
      <x:c r="X60" s="6"/>
      <x:c r="Y60" s="6"/>
      <x:c r="Z60" s="6"/>
    </x:row>
    <x:row r="61" s="1" customFormat="1" ht="12.75" hidden="0" customHeight="1">
      <x:c r="A61" s="6"/>
      <x:c r="B61" s="6"/>
      <x:c r="C61" s="6"/>
      <x:c r="D61" s="6"/>
      <x:c r="E61" s="6"/>
      <x:c r="F61" s="6"/>
      <x:c r="G61" s="6"/>
      <x:c r="H61" s="6"/>
      <x:c r="I61" s="6"/>
      <x:c r="J61" s="6"/>
      <x:c r="K61" s="6"/>
      <x:c r="L61" s="6"/>
      <x:c r="M61" s="6"/>
      <x:c r="N61" s="6"/>
      <x:c r="O61" s="6"/>
      <x:c r="P61" s="6"/>
      <x:c r="Q61" s="6"/>
      <x:c r="R61" s="6"/>
      <x:c r="S61" s="6"/>
      <x:c r="T61" s="6"/>
      <x:c r="U61" s="6"/>
      <x:c r="V61" s="6"/>
      <x:c r="W61" s="6"/>
      <x:c r="X61" s="6"/>
      <x:c r="Y61" s="6"/>
      <x:c r="Z61" s="6"/>
    </x:row>
    <x:row r="62" s="1" customFormat="1" ht="12.75" hidden="0" customHeight="1">
      <x:c r="A62" s="6"/>
      <x:c r="B62" s="6"/>
      <x:c r="C62" s="6"/>
      <x:c r="D62" s="6"/>
      <x:c r="E62" s="6"/>
      <x:c r="F62" s="6"/>
      <x:c r="G62" s="6"/>
      <x:c r="H62" s="6"/>
      <x:c r="I62" s="6"/>
      <x:c r="J62" s="6"/>
      <x:c r="K62" s="6"/>
      <x:c r="L62" s="6"/>
      <x:c r="M62" s="6"/>
      <x:c r="N62" s="6"/>
      <x:c r="O62" s="6"/>
      <x:c r="P62" s="6"/>
      <x:c r="Q62" s="6"/>
      <x:c r="R62" s="6"/>
      <x:c r="S62" s="6"/>
      <x:c r="T62" s="6"/>
      <x:c r="U62" s="6"/>
      <x:c r="V62" s="6"/>
      <x:c r="W62" s="6"/>
      <x:c r="X62" s="6"/>
      <x:c r="Y62" s="6"/>
      <x:c r="Z62" s="6"/>
    </x:row>
    <x:row r="63" s="1" customFormat="1" ht="12.75" hidden="0" customHeight="1">
      <x:c r="A63" s="6"/>
      <x:c r="B63" s="6"/>
      <x:c r="C63" s="6"/>
      <x:c r="D63" s="6"/>
      <x:c r="E63" s="6"/>
      <x:c r="F63" s="6"/>
      <x:c r="G63" s="6"/>
      <x:c r="H63" s="6"/>
      <x:c r="I63" s="6"/>
      <x:c r="J63" s="6"/>
      <x:c r="K63" s="6"/>
      <x:c r="L63" s="6"/>
      <x:c r="M63" s="6"/>
      <x:c r="N63" s="6"/>
      <x:c r="O63" s="6"/>
      <x:c r="P63" s="6"/>
      <x:c r="Q63" s="6"/>
      <x:c r="R63" s="6"/>
      <x:c r="S63" s="6"/>
      <x:c r="T63" s="6"/>
      <x:c r="U63" s="6"/>
      <x:c r="V63" s="6"/>
      <x:c r="W63" s="6"/>
      <x:c r="X63" s="6"/>
      <x:c r="Y63" s="6"/>
      <x:c r="Z63" s="6"/>
    </x:row>
    <x:row r="64" s="1" customFormat="1" ht="12.75" hidden="0" customHeight="1">
      <x:c r="A64" s="6"/>
      <x:c r="B64" s="6"/>
      <x:c r="C64" s="6"/>
      <x:c r="D64" s="6"/>
      <x:c r="E64" s="6"/>
      <x:c r="F64" s="6"/>
      <x:c r="G64" s="6"/>
      <x:c r="H64" s="6"/>
      <x:c r="I64" s="6"/>
      <x:c r="J64" s="6"/>
      <x:c r="K64" s="6"/>
      <x:c r="L64" s="6"/>
      <x:c r="M64" s="6"/>
      <x:c r="N64" s="6"/>
      <x:c r="O64" s="6"/>
      <x:c r="P64" s="6"/>
      <x:c r="Q64" s="6"/>
      <x:c r="R64" s="6"/>
      <x:c r="S64" s="6"/>
      <x:c r="T64" s="6"/>
      <x:c r="U64" s="6"/>
      <x:c r="V64" s="6"/>
      <x:c r="W64" s="6"/>
      <x:c r="X64" s="6"/>
      <x:c r="Y64" s="6"/>
      <x:c r="Z64" s="6"/>
    </x:row>
    <x:row r="65" s="1" customFormat="1" ht="12.75" hidden="0" customHeight="1">
      <x:c r="A65" s="6"/>
      <x:c r="B65" s="6"/>
      <x:c r="C65" s="6"/>
      <x:c r="D65" s="6"/>
      <x:c r="E65" s="6"/>
      <x:c r="F65" s="6"/>
      <x:c r="G65" s="6"/>
      <x:c r="H65" s="6"/>
      <x:c r="I65" s="6"/>
      <x:c r="J65" s="6"/>
      <x:c r="K65" s="6"/>
      <x:c r="L65" s="6"/>
      <x:c r="M65" s="6"/>
      <x:c r="N65" s="6"/>
      <x:c r="O65" s="6"/>
      <x:c r="P65" s="6"/>
      <x:c r="Q65" s="6"/>
      <x:c r="R65" s="6"/>
      <x:c r="S65" s="6"/>
      <x:c r="T65" s="6"/>
      <x:c r="U65" s="6"/>
      <x:c r="V65" s="6"/>
      <x:c r="W65" s="6"/>
      <x:c r="X65" s="6"/>
      <x:c r="Y65" s="6"/>
      <x:c r="Z65" s="6"/>
    </x:row>
    <x:row r="66" s="1" customFormat="1" ht="12.75" hidden="0" customHeight="1">
      <x:c r="A66" s="6"/>
      <x:c r="B66" s="6"/>
      <x:c r="C66" s="6"/>
      <x:c r="D66" s="6"/>
      <x:c r="E66" s="6"/>
      <x:c r="F66" s="6"/>
      <x:c r="G66" s="6"/>
      <x:c r="H66" s="6"/>
      <x:c r="I66" s="6"/>
      <x:c r="J66" s="6"/>
      <x:c r="K66" s="6"/>
      <x:c r="L66" s="6"/>
      <x:c r="M66" s="6"/>
      <x:c r="N66" s="6"/>
      <x:c r="O66" s="6"/>
      <x:c r="P66" s="6"/>
      <x:c r="Q66" s="6"/>
      <x:c r="R66" s="6"/>
      <x:c r="S66" s="6"/>
      <x:c r="T66" s="6"/>
      <x:c r="U66" s="6"/>
      <x:c r="V66" s="6"/>
      <x:c r="W66" s="6"/>
      <x:c r="X66" s="6"/>
      <x:c r="Y66" s="6"/>
      <x:c r="Z66" s="6"/>
    </x:row>
    <x:row r="67" s="1" customFormat="1" ht="12.75" hidden="0" customHeight="1">
      <x:c r="A67" s="6"/>
      <x:c r="B67" s="6"/>
      <x:c r="C67" s="6"/>
      <x:c r="D67" s="6"/>
      <x:c r="E67" s="6"/>
      <x:c r="F67" s="6"/>
      <x:c r="G67" s="6"/>
      <x:c r="H67" s="6"/>
      <x:c r="I67" s="6"/>
      <x:c r="J67" s="6"/>
      <x:c r="K67" s="6"/>
      <x:c r="L67" s="6"/>
      <x:c r="M67" s="6"/>
      <x:c r="N67" s="6"/>
      <x:c r="O67" s="6"/>
      <x:c r="P67" s="6"/>
      <x:c r="Q67" s="6"/>
      <x:c r="R67" s="6"/>
      <x:c r="S67" s="6"/>
      <x:c r="T67" s="6"/>
      <x:c r="U67" s="6"/>
      <x:c r="V67" s="6"/>
      <x:c r="W67" s="6"/>
      <x:c r="X67" s="6"/>
      <x:c r="Y67" s="6"/>
      <x:c r="Z67" s="6"/>
    </x:row>
    <x:row r="68" s="1" customFormat="1" ht="12.75" hidden="0" customHeight="1">
      <x:c r="A68" s="6"/>
      <x:c r="B68" s="6"/>
      <x:c r="C68" s="6"/>
      <x:c r="D68" s="6"/>
      <x:c r="E68" s="6"/>
      <x:c r="F68" s="6"/>
      <x:c r="G68" s="6"/>
      <x:c r="H68" s="6"/>
      <x:c r="I68" s="6"/>
      <x:c r="J68" s="6"/>
      <x:c r="K68" s="6"/>
      <x:c r="L68" s="6"/>
      <x:c r="M68" s="6"/>
      <x:c r="N68" s="6"/>
      <x:c r="O68" s="6"/>
      <x:c r="P68" s="6"/>
      <x:c r="Q68" s="6"/>
      <x:c r="R68" s="6"/>
      <x:c r="S68" s="6"/>
      <x:c r="T68" s="6"/>
      <x:c r="U68" s="6"/>
      <x:c r="V68" s="6"/>
      <x:c r="W68" s="6"/>
      <x:c r="X68" s="6"/>
      <x:c r="Y68" s="6"/>
      <x:c r="Z68" s="6"/>
    </x:row>
    <x:row r="69" s="1" customFormat="1" ht="12.75" hidden="0" customHeight="1">
      <x:c r="A69" s="6"/>
      <x:c r="B69" s="6"/>
      <x:c r="C69" s="6"/>
      <x:c r="D69" s="6"/>
      <x:c r="E69" s="6"/>
      <x:c r="F69" s="6"/>
      <x:c r="G69" s="6"/>
      <x:c r="H69" s="6"/>
      <x:c r="I69" s="6"/>
      <x:c r="J69" s="6"/>
      <x:c r="K69" s="6"/>
      <x:c r="L69" s="6"/>
      <x:c r="M69" s="6"/>
      <x:c r="N69" s="6"/>
      <x:c r="O69" s="6"/>
      <x:c r="P69" s="6"/>
      <x:c r="Q69" s="6"/>
      <x:c r="R69" s="6"/>
      <x:c r="S69" s="6"/>
      <x:c r="T69" s="6"/>
      <x:c r="U69" s="6"/>
      <x:c r="V69" s="6"/>
      <x:c r="W69" s="6"/>
      <x:c r="X69" s="6"/>
      <x:c r="Y69" s="6"/>
      <x:c r="Z69" s="6"/>
    </x:row>
    <x:row r="70" s="1" customFormat="1" ht="12.75" hidden="0" customHeight="1">
      <x:c r="A70" s="6"/>
      <x:c r="B70" s="6"/>
      <x:c r="C70" s="6"/>
      <x:c r="D70" s="6"/>
      <x:c r="E70" s="6"/>
      <x:c r="F70" s="6"/>
      <x:c r="G70" s="6"/>
      <x:c r="H70" s="6"/>
      <x:c r="I70" s="6"/>
      <x:c r="J70" s="6"/>
      <x:c r="K70" s="6"/>
      <x:c r="L70" s="6"/>
      <x:c r="M70" s="6"/>
      <x:c r="N70" s="6"/>
      <x:c r="O70" s="6"/>
      <x:c r="P70" s="6"/>
      <x:c r="Q70" s="6"/>
      <x:c r="R70" s="6"/>
      <x:c r="S70" s="6"/>
      <x:c r="T70" s="6"/>
      <x:c r="U70" s="6"/>
      <x:c r="V70" s="6"/>
      <x:c r="W70" s="6"/>
      <x:c r="X70" s="6"/>
      <x:c r="Y70" s="6"/>
      <x:c r="Z70" s="6"/>
    </x:row>
    <x:row r="71" s="1" customFormat="1" ht="12.75" hidden="0" customHeight="1">
      <x:c r="A71" s="6"/>
      <x:c r="B71" s="6"/>
      <x:c r="C71" s="6"/>
      <x:c r="D71" s="6"/>
      <x:c r="E71" s="6"/>
      <x:c r="F71" s="6"/>
      <x:c r="G71" s="6"/>
      <x:c r="H71" s="6"/>
      <x:c r="I71" s="6"/>
      <x:c r="J71" s="6"/>
      <x:c r="K71" s="6"/>
      <x:c r="L71" s="6"/>
      <x:c r="M71" s="6"/>
      <x:c r="N71" s="6"/>
      <x:c r="O71" s="6"/>
      <x:c r="P71" s="6"/>
      <x:c r="Q71" s="6"/>
      <x:c r="R71" s="6"/>
      <x:c r="S71" s="6"/>
      <x:c r="T71" s="6"/>
      <x:c r="U71" s="6"/>
      <x:c r="V71" s="6"/>
      <x:c r="W71" s="6"/>
      <x:c r="X71" s="6"/>
      <x:c r="Y71" s="6"/>
      <x:c r="Z71" s="6"/>
    </x:row>
    <x:row r="72" s="1" customFormat="1" ht="12.75" hidden="0" customHeight="1">
      <x:c r="A72" s="6"/>
      <x:c r="B72" s="6"/>
      <x:c r="C72" s="6"/>
      <x:c r="D72" s="6"/>
      <x:c r="E72" s="6"/>
      <x:c r="F72" s="6"/>
      <x:c r="G72" s="6"/>
      <x:c r="H72" s="6"/>
      <x:c r="I72" s="6"/>
      <x:c r="J72" s="6"/>
      <x:c r="K72" s="6"/>
      <x:c r="L72" s="6"/>
      <x:c r="M72" s="6"/>
      <x:c r="N72" s="6"/>
      <x:c r="O72" s="6"/>
      <x:c r="P72" s="6"/>
      <x:c r="Q72" s="6"/>
      <x:c r="R72" s="6"/>
      <x:c r="S72" s="6"/>
      <x:c r="T72" s="6"/>
      <x:c r="U72" s="6"/>
      <x:c r="V72" s="6"/>
      <x:c r="W72" s="6"/>
      <x:c r="X72" s="6"/>
      <x:c r="Y72" s="6"/>
      <x:c r="Z72" s="6"/>
    </x:row>
    <x:row r="73" s="1" customFormat="1" ht="12.75" hidden="0" customHeight="1">
      <x:c r="A73" s="6"/>
      <x:c r="B73" s="6"/>
      <x:c r="C73" s="6"/>
      <x:c r="D73" s="6"/>
      <x:c r="E73" s="6"/>
      <x:c r="F73" s="6"/>
      <x:c r="G73" s="6"/>
      <x:c r="H73" s="6"/>
      <x:c r="I73" s="6"/>
      <x:c r="J73" s="6"/>
      <x:c r="K73" s="6"/>
      <x:c r="L73" s="6"/>
      <x:c r="M73" s="6"/>
      <x:c r="N73" s="6"/>
      <x:c r="O73" s="6"/>
      <x:c r="P73" s="6"/>
      <x:c r="Q73" s="6"/>
      <x:c r="R73" s="6"/>
      <x:c r="S73" s="6"/>
      <x:c r="T73" s="6"/>
      <x:c r="U73" s="6"/>
      <x:c r="V73" s="6"/>
      <x:c r="W73" s="6"/>
      <x:c r="X73" s="6"/>
      <x:c r="Y73" s="6"/>
      <x:c r="Z73" s="6"/>
    </x:row>
    <x:row r="74" s="1" customFormat="1" ht="12.75" hidden="0" customHeight="1">
      <x:c r="A74" s="6"/>
      <x:c r="B74" s="6"/>
      <x:c r="C74" s="6"/>
      <x:c r="D74" s="6"/>
      <x:c r="E74" s="6"/>
      <x:c r="F74" s="6"/>
      <x:c r="G74" s="6"/>
      <x:c r="H74" s="6"/>
      <x:c r="I74" s="6"/>
      <x:c r="J74" s="6"/>
      <x:c r="K74" s="6"/>
      <x:c r="L74" s="6"/>
      <x:c r="M74" s="6"/>
      <x:c r="N74" s="6"/>
      <x:c r="O74" s="6"/>
      <x:c r="P74" s="6"/>
      <x:c r="Q74" s="6"/>
      <x:c r="R74" s="6"/>
      <x:c r="S74" s="6"/>
      <x:c r="T74" s="6"/>
      <x:c r="U74" s="6"/>
      <x:c r="V74" s="6"/>
      <x:c r="W74" s="6"/>
      <x:c r="X74" s="6"/>
      <x:c r="Y74" s="6"/>
      <x:c r="Z74" s="6"/>
    </x:row>
    <x:row r="75" s="1" customFormat="1" ht="12.75" hidden="0" customHeight="1">
      <x:c r="A75" s="6"/>
      <x:c r="B75" s="6"/>
      <x:c r="C75" s="6"/>
      <x:c r="D75" s="6"/>
      <x:c r="E75" s="6"/>
      <x:c r="F75" s="6"/>
      <x:c r="G75" s="6"/>
      <x:c r="H75" s="6"/>
      <x:c r="I75" s="6"/>
      <x:c r="J75" s="6"/>
      <x:c r="K75" s="6"/>
      <x:c r="L75" s="6"/>
      <x:c r="M75" s="6"/>
      <x:c r="N75" s="6"/>
      <x:c r="O75" s="6"/>
      <x:c r="P75" s="6"/>
      <x:c r="Q75" s="6"/>
      <x:c r="R75" s="6"/>
      <x:c r="S75" s="6"/>
      <x:c r="T75" s="6"/>
      <x:c r="U75" s="6"/>
      <x:c r="V75" s="6"/>
      <x:c r="W75" s="6"/>
      <x:c r="X75" s="6"/>
      <x:c r="Y75" s="6"/>
      <x:c r="Z75" s="6"/>
    </x:row>
    <x:row r="76" s="1" customFormat="1" ht="12.75" hidden="0" customHeight="1">
      <x:c r="A76" s="6"/>
      <x:c r="B76" s="6"/>
      <x:c r="C76" s="6"/>
      <x:c r="D76" s="6"/>
      <x:c r="E76" s="6"/>
      <x:c r="F76" s="6"/>
      <x:c r="G76" s="6"/>
      <x:c r="H76" s="6"/>
      <x:c r="I76" s="6"/>
      <x:c r="J76" s="6"/>
      <x:c r="K76" s="6"/>
      <x:c r="L76" s="6"/>
      <x:c r="M76" s="6"/>
      <x:c r="N76" s="6"/>
      <x:c r="O76" s="6"/>
      <x:c r="P76" s="6"/>
      <x:c r="Q76" s="6"/>
      <x:c r="R76" s="6"/>
      <x:c r="S76" s="6"/>
      <x:c r="T76" s="6"/>
      <x:c r="U76" s="6"/>
      <x:c r="V76" s="6"/>
      <x:c r="W76" s="6"/>
      <x:c r="X76" s="6"/>
      <x:c r="Y76" s="6"/>
      <x:c r="Z76" s="6"/>
    </x:row>
    <x:row r="77" s="1" customFormat="1" ht="12.75" hidden="0" customHeight="1">
      <x:c r="A77" s="6"/>
      <x:c r="B77" s="6"/>
      <x:c r="C77" s="6"/>
      <x:c r="D77" s="6"/>
      <x:c r="E77" s="6"/>
      <x:c r="F77" s="6"/>
      <x:c r="G77" s="6"/>
      <x:c r="H77" s="6"/>
      <x:c r="I77" s="6"/>
      <x:c r="J77" s="6"/>
      <x:c r="K77" s="6"/>
      <x:c r="L77" s="6"/>
      <x:c r="M77" s="6"/>
      <x:c r="N77" s="6"/>
      <x:c r="O77" s="6"/>
      <x:c r="P77" s="6"/>
      <x:c r="Q77" s="6"/>
      <x:c r="R77" s="6"/>
      <x:c r="S77" s="6"/>
      <x:c r="T77" s="6"/>
      <x:c r="U77" s="6"/>
      <x:c r="V77" s="6"/>
      <x:c r="W77" s="6"/>
      <x:c r="X77" s="6"/>
      <x:c r="Y77" s="6"/>
      <x:c r="Z77" s="6"/>
    </x:row>
    <x:row r="78" s="1" customFormat="1" ht="12.75" hidden="0" customHeight="1">
      <x:c r="A78" s="6"/>
      <x:c r="B78" s="6"/>
      <x:c r="C78" s="6"/>
      <x:c r="D78" s="6"/>
      <x:c r="E78" s="6"/>
      <x:c r="F78" s="6"/>
      <x:c r="G78" s="6"/>
      <x:c r="H78" s="6"/>
      <x:c r="I78" s="6"/>
      <x:c r="J78" s="6"/>
      <x:c r="K78" s="6"/>
      <x:c r="L78" s="6"/>
      <x:c r="M78" s="6"/>
      <x:c r="N78" s="6"/>
      <x:c r="O78" s="6"/>
      <x:c r="P78" s="6"/>
      <x:c r="Q78" s="6"/>
      <x:c r="R78" s="6"/>
      <x:c r="S78" s="6"/>
      <x:c r="T78" s="6"/>
      <x:c r="U78" s="6"/>
      <x:c r="V78" s="6"/>
      <x:c r="W78" s="6"/>
      <x:c r="X78" s="6"/>
      <x:c r="Y78" s="6"/>
      <x:c r="Z78" s="6"/>
    </x:row>
    <x:row r="79" s="1" customFormat="1" ht="12.75" hidden="0" customHeight="1">
      <x:c r="A79" s="6"/>
      <x:c r="B79" s="6"/>
      <x:c r="C79" s="6"/>
      <x:c r="D79" s="6"/>
      <x:c r="E79" s="6"/>
      <x:c r="F79" s="6"/>
      <x:c r="G79" s="6"/>
      <x:c r="H79" s="6"/>
      <x:c r="I79" s="6"/>
      <x:c r="J79" s="6"/>
      <x:c r="K79" s="6"/>
      <x:c r="L79" s="6"/>
      <x:c r="M79" s="6"/>
      <x:c r="N79" s="6"/>
      <x:c r="O79" s="6"/>
      <x:c r="P79" s="6"/>
      <x:c r="Q79" s="6"/>
      <x:c r="R79" s="6"/>
      <x:c r="S79" s="6"/>
      <x:c r="T79" s="6"/>
      <x:c r="U79" s="6"/>
      <x:c r="V79" s="6"/>
      <x:c r="W79" s="6"/>
      <x:c r="X79" s="6"/>
      <x:c r="Y79" s="6"/>
      <x:c r="Z79" s="6"/>
    </x:row>
    <x:row r="80" s="1" customFormat="1" ht="12.75" hidden="0" customHeight="1">
      <x:c r="A80" s="6"/>
      <x:c r="B80" s="6"/>
      <x:c r="C80" s="6"/>
      <x:c r="D80" s="6"/>
      <x:c r="E80" s="6"/>
      <x:c r="F80" s="6"/>
      <x:c r="G80" s="6"/>
      <x:c r="H80" s="6"/>
      <x:c r="I80" s="6"/>
      <x:c r="J80" s="6"/>
      <x:c r="K80" s="6"/>
      <x:c r="L80" s="6"/>
      <x:c r="M80" s="6"/>
      <x:c r="N80" s="6"/>
      <x:c r="O80" s="6"/>
      <x:c r="P80" s="6"/>
      <x:c r="Q80" s="6"/>
      <x:c r="R80" s="6"/>
      <x:c r="S80" s="6"/>
      <x:c r="T80" s="6"/>
      <x:c r="U80" s="6"/>
      <x:c r="V80" s="6"/>
      <x:c r="W80" s="6"/>
      <x:c r="X80" s="6"/>
      <x:c r="Y80" s="6"/>
      <x:c r="Z80" s="6"/>
    </x:row>
    <x:row r="81" s="1" customFormat="1" ht="12.75" hidden="0" customHeight="1">
      <x:c r="A81" s="6"/>
      <x:c r="B81" s="6"/>
      <x:c r="C81" s="6"/>
      <x:c r="D81" s="6"/>
      <x:c r="E81" s="6"/>
      <x:c r="F81" s="6"/>
      <x:c r="G81" s="6"/>
      <x:c r="H81" s="6"/>
      <x:c r="I81" s="6"/>
      <x:c r="J81" s="6"/>
      <x:c r="K81" s="6"/>
      <x:c r="L81" s="6"/>
      <x:c r="M81" s="6"/>
      <x:c r="N81" s="6"/>
      <x:c r="O81" s="6"/>
      <x:c r="P81" s="6"/>
      <x:c r="Q81" s="6"/>
      <x:c r="R81" s="6"/>
      <x:c r="S81" s="6"/>
      <x:c r="T81" s="6"/>
      <x:c r="U81" s="6"/>
      <x:c r="V81" s="6"/>
      <x:c r="W81" s="6"/>
      <x:c r="X81" s="6"/>
      <x:c r="Y81" s="6"/>
      <x:c r="Z81" s="6"/>
    </x:row>
    <x:row r="82" s="1" customFormat="1" ht="12.75" hidden="0" customHeight="1">
      <x:c r="A82" s="6"/>
      <x:c r="B82" s="6"/>
      <x:c r="C82" s="6"/>
      <x:c r="D82" s="6"/>
      <x:c r="E82" s="6"/>
      <x:c r="F82" s="6"/>
      <x:c r="G82" s="6"/>
      <x:c r="H82" s="6"/>
      <x:c r="I82" s="6"/>
      <x:c r="J82" s="6"/>
      <x:c r="K82" s="6"/>
      <x:c r="L82" s="6"/>
      <x:c r="M82" s="6"/>
      <x:c r="N82" s="6"/>
      <x:c r="O82" s="6"/>
      <x:c r="P82" s="6"/>
      <x:c r="Q82" s="6"/>
      <x:c r="R82" s="6"/>
      <x:c r="S82" s="6"/>
      <x:c r="T82" s="6"/>
      <x:c r="U82" s="6"/>
      <x:c r="V82" s="6"/>
      <x:c r="W82" s="6"/>
      <x:c r="X82" s="6"/>
      <x:c r="Y82" s="6"/>
      <x:c r="Z82" s="6"/>
    </x:row>
    <x:row r="83" s="1" customFormat="1" ht="12.75" hidden="0" customHeight="1">
      <x:c r="A83" s="6"/>
      <x:c r="B83" s="6"/>
      <x:c r="C83" s="6"/>
      <x:c r="D83" s="6"/>
      <x:c r="E83" s="6"/>
      <x:c r="F83" s="6"/>
      <x:c r="G83" s="6"/>
      <x:c r="H83" s="6"/>
      <x:c r="I83" s="6"/>
      <x:c r="J83" s="6"/>
      <x:c r="K83" s="6"/>
      <x:c r="L83" s="6"/>
      <x:c r="M83" s="6"/>
      <x:c r="N83" s="6"/>
      <x:c r="O83" s="6"/>
      <x:c r="P83" s="6"/>
      <x:c r="Q83" s="6"/>
      <x:c r="R83" s="6"/>
      <x:c r="S83" s="6"/>
      <x:c r="T83" s="6"/>
      <x:c r="U83" s="6"/>
      <x:c r="V83" s="6"/>
      <x:c r="W83" s="6"/>
      <x:c r="X83" s="6"/>
      <x:c r="Y83" s="6"/>
      <x:c r="Z83" s="6"/>
    </x:row>
    <x:row r="84" s="1" customFormat="1" ht="12.75" hidden="0" customHeight="1">
      <x:c r="A84" s="6"/>
      <x:c r="B84" s="6"/>
      <x:c r="C84" s="6"/>
      <x:c r="D84" s="6"/>
      <x:c r="E84" s="6"/>
      <x:c r="F84" s="6"/>
      <x:c r="G84" s="6"/>
      <x:c r="H84" s="6"/>
      <x:c r="I84" s="6"/>
      <x:c r="J84" s="6"/>
      <x:c r="K84" s="6"/>
      <x:c r="L84" s="6"/>
      <x:c r="M84" s="6"/>
      <x:c r="N84" s="6"/>
      <x:c r="O84" s="6"/>
      <x:c r="P84" s="6"/>
      <x:c r="Q84" s="6"/>
      <x:c r="R84" s="6"/>
      <x:c r="S84" s="6"/>
      <x:c r="T84" s="6"/>
      <x:c r="U84" s="6"/>
      <x:c r="V84" s="6"/>
      <x:c r="W84" s="6"/>
      <x:c r="X84" s="6"/>
      <x:c r="Y84" s="6"/>
      <x:c r="Z84" s="6"/>
    </x:row>
    <x:row r="85" s="1" customFormat="1" ht="12.75" hidden="0" customHeight="1">
      <x:c r="A85" s="6"/>
      <x:c r="B85" s="6"/>
      <x:c r="C85" s="6"/>
      <x:c r="D85" s="6"/>
      <x:c r="E85" s="6"/>
      <x:c r="F85" s="6"/>
      <x:c r="G85" s="6"/>
      <x:c r="H85" s="6"/>
      <x:c r="I85" s="6"/>
      <x:c r="J85" s="6"/>
      <x:c r="K85" s="6"/>
      <x:c r="L85" s="6"/>
      <x:c r="M85" s="6"/>
      <x:c r="N85" s="6"/>
      <x:c r="O85" s="6"/>
      <x:c r="P85" s="6"/>
      <x:c r="Q85" s="6"/>
      <x:c r="R85" s="6"/>
      <x:c r="S85" s="6"/>
      <x:c r="T85" s="6"/>
      <x:c r="U85" s="6"/>
      <x:c r="V85" s="6"/>
      <x:c r="W85" s="6"/>
      <x:c r="X85" s="6"/>
      <x:c r="Y85" s="6"/>
      <x:c r="Z85" s="6"/>
    </x:row>
    <x:row r="86" s="1" customFormat="1" ht="12.75" hidden="0" customHeight="1">
      <x:c r="A86" s="6"/>
      <x:c r="B86" s="6"/>
      <x:c r="C86" s="6"/>
      <x:c r="D86" s="6"/>
      <x:c r="E86" s="6"/>
      <x:c r="F86" s="6"/>
      <x:c r="G86" s="6"/>
      <x:c r="H86" s="6"/>
      <x:c r="I86" s="6"/>
      <x:c r="J86" s="6"/>
      <x:c r="K86" s="6"/>
      <x:c r="L86" s="6"/>
      <x:c r="M86" s="6"/>
      <x:c r="N86" s="6"/>
      <x:c r="O86" s="6"/>
      <x:c r="P86" s="6"/>
      <x:c r="Q86" s="6"/>
      <x:c r="R86" s="6"/>
      <x:c r="S86" s="6"/>
      <x:c r="T86" s="6"/>
      <x:c r="U86" s="6"/>
      <x:c r="V86" s="6"/>
      <x:c r="W86" s="6"/>
      <x:c r="X86" s="6"/>
      <x:c r="Y86" s="6"/>
      <x:c r="Z86" s="6"/>
    </x:row>
    <x:row r="87" s="1" customFormat="1" ht="12.75" hidden="0" customHeight="1">
      <x:c r="A87" s="6"/>
      <x:c r="B87" s="6"/>
      <x:c r="C87" s="6"/>
      <x:c r="D87" s="6"/>
      <x:c r="E87" s="6"/>
      <x:c r="F87" s="6"/>
      <x:c r="G87" s="6"/>
      <x:c r="H87" s="6"/>
      <x:c r="I87" s="6"/>
      <x:c r="J87" s="6"/>
      <x:c r="K87" s="6"/>
      <x:c r="L87" s="6"/>
      <x:c r="M87" s="6"/>
      <x:c r="N87" s="6"/>
      <x:c r="O87" s="6"/>
      <x:c r="P87" s="6"/>
      <x:c r="Q87" s="6"/>
      <x:c r="R87" s="6"/>
      <x:c r="S87" s="6"/>
      <x:c r="T87" s="6"/>
      <x:c r="U87" s="6"/>
      <x:c r="V87" s="6"/>
      <x:c r="W87" s="6"/>
      <x:c r="X87" s="6"/>
      <x:c r="Y87" s="6"/>
      <x:c r="Z87" s="6"/>
    </x:row>
    <x:row r="88" s="1" customFormat="1" ht="12.75" hidden="0" customHeight="1">
      <x:c r="A88" s="6"/>
      <x:c r="B88" s="6"/>
      <x:c r="C88" s="6"/>
      <x:c r="D88" s="6"/>
      <x:c r="E88" s="6"/>
      <x:c r="F88" s="6"/>
      <x:c r="G88" s="6"/>
      <x:c r="H88" s="6"/>
      <x:c r="I88" s="6"/>
      <x:c r="J88" s="6"/>
      <x:c r="K88" s="6"/>
      <x:c r="L88" s="6"/>
      <x:c r="M88" s="6"/>
      <x:c r="N88" s="6"/>
      <x:c r="O88" s="6"/>
      <x:c r="P88" s="6"/>
      <x:c r="Q88" s="6"/>
      <x:c r="R88" s="6"/>
      <x:c r="S88" s="6"/>
      <x:c r="T88" s="6"/>
      <x:c r="U88" s="6"/>
      <x:c r="V88" s="6"/>
      <x:c r="W88" s="6"/>
      <x:c r="X88" s="6"/>
      <x:c r="Y88" s="6"/>
      <x:c r="Z88" s="6"/>
    </x:row>
    <x:row r="89" s="1" customFormat="1" ht="12.75" hidden="0" customHeight="1">
      <x:c r="A89" s="6"/>
      <x:c r="B89" s="6"/>
      <x:c r="C89" s="6"/>
      <x:c r="D89" s="6"/>
      <x:c r="E89" s="6"/>
      <x:c r="F89" s="6"/>
      <x:c r="G89" s="6"/>
      <x:c r="H89" s="6"/>
      <x:c r="I89" s="6"/>
      <x:c r="J89" s="6"/>
      <x:c r="K89" s="6"/>
      <x:c r="L89" s="6"/>
      <x:c r="M89" s="6"/>
      <x:c r="N89" s="6"/>
      <x:c r="O89" s="6"/>
      <x:c r="P89" s="6"/>
      <x:c r="Q89" s="6"/>
      <x:c r="R89" s="6"/>
      <x:c r="S89" s="6"/>
      <x:c r="T89" s="6"/>
      <x:c r="U89" s="6"/>
      <x:c r="V89" s="6"/>
      <x:c r="W89" s="6"/>
      <x:c r="X89" s="6"/>
      <x:c r="Y89" s="6"/>
      <x:c r="Z89" s="6"/>
    </x:row>
    <x:row r="90" s="1" customFormat="1" ht="12.75" hidden="0" customHeight="1">
      <x:c r="A90" s="6"/>
      <x:c r="B90" s="6"/>
      <x:c r="C90" s="6"/>
      <x:c r="D90" s="6"/>
      <x:c r="E90" s="6"/>
      <x:c r="F90" s="6"/>
      <x:c r="G90" s="6"/>
      <x:c r="H90" s="6"/>
      <x:c r="I90" s="6"/>
      <x:c r="J90" s="6"/>
      <x:c r="K90" s="6"/>
      <x:c r="L90" s="6"/>
      <x:c r="M90" s="6"/>
      <x:c r="N90" s="6"/>
      <x:c r="O90" s="6"/>
      <x:c r="P90" s="6"/>
      <x:c r="Q90" s="6"/>
      <x:c r="R90" s="6"/>
      <x:c r="S90" s="6"/>
      <x:c r="T90" s="6"/>
      <x:c r="U90" s="6"/>
      <x:c r="V90" s="6"/>
      <x:c r="W90" s="6"/>
      <x:c r="X90" s="6"/>
      <x:c r="Y90" s="6"/>
      <x:c r="Z90" s="6"/>
    </x:row>
    <x:row r="91" s="1" customFormat="1" ht="12.75" hidden="0" customHeight="1">
      <x:c r="A91" s="6"/>
      <x:c r="B91" s="6"/>
      <x:c r="C91" s="6"/>
      <x:c r="D91" s="6"/>
      <x:c r="E91" s="6"/>
      <x:c r="F91" s="6"/>
      <x:c r="G91" s="6"/>
      <x:c r="H91" s="6"/>
      <x:c r="I91" s="6"/>
      <x:c r="J91" s="6"/>
      <x:c r="K91" s="6"/>
      <x:c r="L91" s="6"/>
      <x:c r="M91" s="6"/>
      <x:c r="N91" s="6"/>
      <x:c r="O91" s="6"/>
      <x:c r="P91" s="6"/>
      <x:c r="Q91" s="6"/>
      <x:c r="R91" s="6"/>
      <x:c r="S91" s="6"/>
      <x:c r="T91" s="6"/>
      <x:c r="U91" s="6"/>
      <x:c r="V91" s="6"/>
      <x:c r="W91" s="6"/>
      <x:c r="X91" s="6"/>
      <x:c r="Y91" s="6"/>
      <x:c r="Z91" s="6"/>
    </x:row>
    <x:row r="92" s="1" customFormat="1" ht="12.75" hidden="0" customHeight="1">
      <x:c r="A92" s="6"/>
      <x:c r="B92" s="6"/>
      <x:c r="C92" s="6"/>
      <x:c r="D92" s="6"/>
      <x:c r="E92" s="6"/>
      <x:c r="F92" s="6"/>
      <x:c r="G92" s="6"/>
      <x:c r="H92" s="6"/>
      <x:c r="I92" s="6"/>
      <x:c r="J92" s="6"/>
      <x:c r="K92" s="6"/>
      <x:c r="L92" s="6"/>
      <x:c r="M92" s="6"/>
      <x:c r="N92" s="6"/>
      <x:c r="O92" s="6"/>
      <x:c r="P92" s="6"/>
      <x:c r="Q92" s="6"/>
      <x:c r="R92" s="6"/>
      <x:c r="S92" s="6"/>
      <x:c r="T92" s="6"/>
      <x:c r="U92" s="6"/>
      <x:c r="V92" s="6"/>
      <x:c r="W92" s="6"/>
      <x:c r="X92" s="6"/>
      <x:c r="Y92" s="6"/>
      <x:c r="Z92" s="6"/>
    </x:row>
    <x:row r="93" s="1" customFormat="1" ht="12.75" hidden="0" customHeight="1">
      <x:c r="A93" s="6"/>
      <x:c r="B93" s="6"/>
      <x:c r="C93" s="6"/>
      <x:c r="D93" s="6"/>
      <x:c r="E93" s="6"/>
      <x:c r="F93" s="6"/>
      <x:c r="G93" s="6"/>
      <x:c r="H93" s="6"/>
      <x:c r="I93" s="6"/>
      <x:c r="J93" s="6"/>
      <x:c r="K93" s="6"/>
      <x:c r="L93" s="6"/>
      <x:c r="M93" s="6"/>
      <x:c r="N93" s="6"/>
      <x:c r="O93" s="6"/>
      <x:c r="P93" s="6"/>
      <x:c r="Q93" s="6"/>
      <x:c r="R93" s="6"/>
      <x:c r="S93" s="6"/>
      <x:c r="T93" s="6"/>
      <x:c r="U93" s="6"/>
      <x:c r="V93" s="6"/>
      <x:c r="W93" s="6"/>
      <x:c r="X93" s="6"/>
      <x:c r="Y93" s="6"/>
      <x:c r="Z93" s="6"/>
    </x:row>
    <x:row r="94" s="1" customFormat="1" ht="12.75" hidden="0" customHeight="1">
      <x:c r="A94" s="6"/>
      <x:c r="B94" s="6"/>
      <x:c r="C94" s="6"/>
      <x:c r="D94" s="6"/>
      <x:c r="E94" s="6"/>
      <x:c r="F94" s="6"/>
      <x:c r="G94" s="6"/>
      <x:c r="H94" s="6"/>
      <x:c r="I94" s="6"/>
      <x:c r="J94" s="6"/>
      <x:c r="K94" s="6"/>
      <x:c r="L94" s="6"/>
      <x:c r="M94" s="6"/>
      <x:c r="N94" s="6"/>
      <x:c r="O94" s="6"/>
      <x:c r="P94" s="6"/>
      <x:c r="Q94" s="6"/>
      <x:c r="R94" s="6"/>
      <x:c r="S94" s="6"/>
      <x:c r="T94" s="6"/>
      <x:c r="U94" s="6"/>
      <x:c r="V94" s="6"/>
      <x:c r="W94" s="6"/>
      <x:c r="X94" s="6"/>
      <x:c r="Y94" s="6"/>
      <x:c r="Z94" s="6"/>
    </x:row>
    <x:row r="95" s="1" customFormat="1" ht="12.75" hidden="0" customHeight="1">
      <x:c r="A95" s="6"/>
      <x:c r="B95" s="6"/>
      <x:c r="C95" s="6"/>
      <x:c r="D95" s="6"/>
      <x:c r="E95" s="6"/>
      <x:c r="F95" s="6"/>
      <x:c r="G95" s="6"/>
      <x:c r="H95" s="6"/>
      <x:c r="I95" s="6"/>
      <x:c r="J95" s="6"/>
      <x:c r="K95" s="6"/>
      <x:c r="L95" s="6"/>
      <x:c r="M95" s="6"/>
      <x:c r="N95" s="6"/>
      <x:c r="O95" s="6"/>
      <x:c r="P95" s="6"/>
      <x:c r="Q95" s="6"/>
      <x:c r="R95" s="6"/>
      <x:c r="S95" s="6"/>
      <x:c r="T95" s="6"/>
      <x:c r="U95" s="6"/>
      <x:c r="V95" s="6"/>
      <x:c r="W95" s="6"/>
      <x:c r="X95" s="6"/>
      <x:c r="Y95" s="6"/>
      <x:c r="Z95" s="6"/>
    </x:row>
    <x:row r="96" s="1" customFormat="1" ht="12.75" hidden="0" customHeight="1">
      <x:c r="A96" s="6"/>
      <x:c r="B96" s="6"/>
      <x:c r="C96" s="6"/>
      <x:c r="D96" s="6"/>
      <x:c r="E96" s="6"/>
      <x:c r="F96" s="6"/>
      <x:c r="G96" s="6"/>
      <x:c r="H96" s="6"/>
      <x:c r="I96" s="6"/>
      <x:c r="J96" s="6"/>
      <x:c r="K96" s="6"/>
      <x:c r="L96" s="6"/>
      <x:c r="M96" s="6"/>
      <x:c r="N96" s="6"/>
      <x:c r="O96" s="6"/>
      <x:c r="P96" s="6"/>
      <x:c r="Q96" s="6"/>
      <x:c r="R96" s="6"/>
      <x:c r="S96" s="6"/>
      <x:c r="T96" s="6"/>
      <x:c r="U96" s="6"/>
      <x:c r="V96" s="6"/>
      <x:c r="W96" s="6"/>
      <x:c r="X96" s="6"/>
      <x:c r="Y96" s="6"/>
      <x:c r="Z96" s="6"/>
    </x:row>
    <x:row r="97" s="1" customFormat="1" ht="12.75" hidden="0" customHeight="1">
      <x:c r="A97" s="6"/>
      <x:c r="B97" s="6"/>
      <x:c r="C97" s="6"/>
      <x:c r="D97" s="6"/>
      <x:c r="E97" s="6"/>
      <x:c r="F97" s="6"/>
      <x:c r="G97" s="6"/>
      <x:c r="H97" s="6"/>
      <x:c r="I97" s="6"/>
      <x:c r="J97" s="6"/>
      <x:c r="K97" s="6"/>
      <x:c r="L97" s="6"/>
      <x:c r="M97" s="6"/>
      <x:c r="N97" s="6"/>
      <x:c r="O97" s="6"/>
      <x:c r="P97" s="6"/>
      <x:c r="Q97" s="6"/>
      <x:c r="R97" s="6"/>
      <x:c r="S97" s="6"/>
      <x:c r="T97" s="6"/>
      <x:c r="U97" s="6"/>
      <x:c r="V97" s="6"/>
      <x:c r="W97" s="6"/>
      <x:c r="X97" s="6"/>
      <x:c r="Y97" s="6"/>
      <x:c r="Z97" s="6"/>
    </x:row>
    <x:row r="98" s="1" customFormat="1" ht="12.75" hidden="0" customHeight="1">
      <x:c r="A98" s="6"/>
      <x:c r="B98" s="6"/>
      <x:c r="C98" s="6"/>
      <x:c r="D98" s="6"/>
      <x:c r="E98" s="6"/>
      <x:c r="F98" s="6"/>
      <x:c r="G98" s="6"/>
      <x:c r="H98" s="6"/>
      <x:c r="I98" s="6"/>
      <x:c r="J98" s="6"/>
      <x:c r="K98" s="6"/>
      <x:c r="L98" s="6"/>
      <x:c r="M98" s="6"/>
      <x:c r="N98" s="6"/>
      <x:c r="O98" s="6"/>
      <x:c r="P98" s="6"/>
      <x:c r="Q98" s="6"/>
      <x:c r="R98" s="6"/>
      <x:c r="S98" s="6"/>
      <x:c r="T98" s="6"/>
      <x:c r="U98" s="6"/>
      <x:c r="V98" s="6"/>
      <x:c r="W98" s="6"/>
      <x:c r="X98" s="6"/>
      <x:c r="Y98" s="6"/>
      <x:c r="Z98" s="6"/>
    </x:row>
    <x:row r="99" s="1" customFormat="1" ht="12.75" hidden="0" customHeight="1">
      <x:c r="A99" s="6"/>
      <x:c r="B99" s="6"/>
      <x:c r="C99" s="6"/>
      <x:c r="D99" s="6"/>
      <x:c r="E99" s="6"/>
      <x:c r="F99" s="6"/>
      <x:c r="G99" s="6"/>
      <x:c r="H99" s="6"/>
      <x:c r="I99" s="6"/>
      <x:c r="J99" s="6"/>
      <x:c r="K99" s="6"/>
      <x:c r="L99" s="6"/>
      <x:c r="M99" s="6"/>
      <x:c r="N99" s="6"/>
      <x:c r="O99" s="6"/>
      <x:c r="P99" s="6"/>
      <x:c r="Q99" s="6"/>
      <x:c r="R99" s="6"/>
      <x:c r="S99" s="6"/>
      <x:c r="T99" s="6"/>
      <x:c r="U99" s="6"/>
      <x:c r="V99" s="6"/>
      <x:c r="W99" s="6"/>
      <x:c r="X99" s="6"/>
      <x:c r="Y99" s="6"/>
      <x:c r="Z99" s="6"/>
    </x:row>
    <x:row r="100" s="1" customFormat="1" ht="12.75" hidden="0" customHeight="1">
      <x:c r="A100" s="6"/>
      <x:c r="B100" s="6"/>
      <x:c r="C100" s="6"/>
      <x:c r="D100" s="6"/>
      <x:c r="E100" s="6"/>
      <x:c r="F100" s="6"/>
      <x:c r="G100" s="6"/>
      <x:c r="H100" s="6"/>
      <x:c r="I100" s="6"/>
      <x:c r="J100" s="6"/>
      <x:c r="K100" s="6"/>
      <x:c r="L100" s="6"/>
      <x:c r="M100" s="6"/>
      <x:c r="N100" s="6"/>
      <x:c r="O100" s="6"/>
      <x:c r="P100" s="6"/>
      <x:c r="Q100" s="6"/>
      <x:c r="R100" s="6"/>
      <x:c r="S100" s="6"/>
      <x:c r="T100" s="6"/>
      <x:c r="U100" s="6"/>
      <x:c r="V100" s="6"/>
      <x:c r="W100" s="6"/>
      <x:c r="X100" s="6"/>
      <x:c r="Y100" s="6"/>
      <x:c r="Z100" s="6"/>
    </x:row>
  </x:sheetData>
  <x:pageMargins left="0.7" right="0.7" top="0.75" bottom="0.75" header="0.3" footer="0.3"/>
</x:worksheet>
</file>

<file path=xl/worksheets/sheet52.xml><?xml version="1.0" encoding="utf-8"?>
<x:worksheet xmlns:x="http://schemas.openxmlformats.org/spreadsheetml/2006/main">
  <x:sheetViews>
    <x:sheetView showGridLines="1" workbookViewId="0"/>
  </x:sheetViews>
  <x:sheetFormatPr defaultColWidth="8.6796875" defaultRowHeight="12.75"/>
  <x:cols>
    <x:col min="1" max="3" width="36" style="1" hidden="0" customWidth="1"/>
    <x:col min="4" max="26" width="16" style="1" hidden="0" customWidth="1"/>
  </x:cols>
  <x:sheetData>
    <x:row r="1" s="1" customFormat="1" ht="12.75" hidden="0" customHeight="1">
      <x:c r="A1" s="15" t="s">
        <x:v>346</x:v>
      </x:c>
      <x:c r="B1" s="15" t="s">
        <x:v>347</x:v>
      </x:c>
      <x:c r="C1" s="15" t="s">
        <x:v>1203</x:v>
      </x:c>
      <x:c r="D1" s="3"/>
      <x:c r="E1" s="3"/>
      <x:c r="F1" s="3"/>
      <x:c r="G1" s="3"/>
      <x:c r="H1" s="3"/>
      <x:c r="I1" s="3"/>
      <x:c r="J1" s="3"/>
      <x:c r="K1" s="3"/>
      <x:c r="L1" s="3"/>
      <x:c r="M1" s="3"/>
      <x:c r="N1" s="3"/>
      <x:c r="O1" s="3"/>
      <x:c r="P1" s="3"/>
      <x:c r="Q1" s="3"/>
      <x:c r="R1" s="3"/>
      <x:c r="S1" s="3"/>
      <x:c r="T1" s="3"/>
      <x:c r="U1" s="3"/>
      <x:c r="V1" s="3"/>
      <x:c r="W1" s="3"/>
      <x:c r="X1" s="3"/>
      <x:c r="Y1" s="3"/>
      <x:c r="Z1" s="3"/>
    </x:row>
    <x:row r="2" s="1" customFormat="1" ht="26.25" hidden="0" customHeight="1">
      <x:c r="A2" s="4" t="s">
        <x:v>2707</x:v>
      </x:c>
      <x:c r="B2" s="5" t="s">
        <x:v>429</x:v>
      </x:c>
      <x:c r="C2" s="5" t="s">
        <x:v>3788</x:v>
      </x:c>
      <x:c r="D2" s="6"/>
      <x:c r="E2" s="6"/>
      <x:c r="F2" s="6"/>
      <x:c r="G2" s="6"/>
      <x:c r="H2" s="6"/>
      <x:c r="I2" s="6"/>
      <x:c r="J2" s="6"/>
      <x:c r="K2" s="6"/>
      <x:c r="L2" s="6"/>
      <x:c r="M2" s="6"/>
      <x:c r="N2" s="6"/>
      <x:c r="O2" s="6"/>
      <x:c r="P2" s="6"/>
      <x:c r="Q2" s="6"/>
      <x:c r="R2" s="6"/>
      <x:c r="S2" s="6"/>
      <x:c r="T2" s="6"/>
      <x:c r="U2" s="6"/>
      <x:c r="V2" s="6"/>
      <x:c r="W2" s="6"/>
      <x:c r="X2" s="6"/>
      <x:c r="Y2" s="6"/>
      <x:c r="Z2" s="6"/>
    </x:row>
    <x:row r="3" s="1" customFormat="1" ht="12.75" hidden="0" customHeight="1">
      <x:c r="A3" s="7" t="s">
        <x:v>3789</x:v>
      </x:c>
      <x:c r="B3" s="8" t="s">
        <x:v>3790</x:v>
      </x:c>
      <x:c r="C3" s="8" t="s">
        <x:v>3791</x:v>
      </x:c>
      <x:c r="D3" s="6"/>
      <x:c r="E3" s="6"/>
      <x:c r="F3" s="6"/>
      <x:c r="G3" s="6"/>
      <x:c r="H3" s="6"/>
      <x:c r="I3" s="6"/>
      <x:c r="J3" s="6"/>
      <x:c r="K3" s="6"/>
      <x:c r="L3" s="6"/>
      <x:c r="M3" s="6"/>
      <x:c r="N3" s="6"/>
      <x:c r="O3" s="6"/>
      <x:c r="P3" s="6"/>
      <x:c r="Q3" s="6"/>
      <x:c r="R3" s="6"/>
      <x:c r="S3" s="6"/>
      <x:c r="T3" s="6"/>
      <x:c r="U3" s="6"/>
      <x:c r="V3" s="6"/>
      <x:c r="W3" s="6"/>
      <x:c r="X3" s="6"/>
      <x:c r="Y3" s="6"/>
      <x:c r="Z3" s="6"/>
    </x:row>
    <x:row r="4" s="1" customFormat="1" ht="26.25" hidden="0" customHeight="1">
      <x:c r="A4" s="7" t="s">
        <x:v>3792</x:v>
      </x:c>
      <x:c r="B4" s="5" t="s">
        <x:v>3793</x:v>
      </x:c>
      <x:c r="C4" s="5" t="s">
        <x:v>3794</x:v>
      </x:c>
      <x:c r="D4" s="6"/>
      <x:c r="E4" s="6"/>
      <x:c r="F4" s="6"/>
      <x:c r="G4" s="6"/>
      <x:c r="H4" s="6"/>
      <x:c r="I4" s="6"/>
      <x:c r="J4" s="6"/>
      <x:c r="K4" s="6"/>
      <x:c r="L4" s="6"/>
      <x:c r="M4" s="6"/>
      <x:c r="N4" s="6"/>
      <x:c r="O4" s="6"/>
      <x:c r="P4" s="6"/>
      <x:c r="Q4" s="6"/>
      <x:c r="R4" s="6"/>
      <x:c r="S4" s="6"/>
      <x:c r="T4" s="6"/>
      <x:c r="U4" s="6"/>
      <x:c r="V4" s="6"/>
      <x:c r="W4" s="6"/>
      <x:c r="X4" s="6"/>
      <x:c r="Y4" s="6"/>
      <x:c r="Z4" s="6"/>
    </x:row>
    <x:row r="5" s="1" customFormat="1" ht="12.75" hidden="0" customHeight="1">
      <x:c r="A5" s="7" t="s">
        <x:v>3795</x:v>
      </x:c>
      <x:c r="B5" s="8" t="s">
        <x:v>3796</x:v>
      </x:c>
      <x:c r="C5" s="8" t="s">
        <x:v>3797</x:v>
      </x:c>
      <x:c r="D5" s="6"/>
      <x:c r="E5" s="6"/>
      <x:c r="F5" s="6"/>
      <x:c r="G5" s="6"/>
      <x:c r="H5" s="6"/>
      <x:c r="I5" s="6"/>
      <x:c r="J5" s="6"/>
      <x:c r="K5" s="6"/>
      <x:c r="L5" s="6"/>
      <x:c r="M5" s="6"/>
      <x:c r="N5" s="6"/>
      <x:c r="O5" s="6"/>
      <x:c r="P5" s="6"/>
      <x:c r="Q5" s="6"/>
      <x:c r="R5" s="6"/>
      <x:c r="S5" s="6"/>
      <x:c r="T5" s="6"/>
      <x:c r="U5" s="6"/>
      <x:c r="V5" s="6"/>
      <x:c r="W5" s="6"/>
      <x:c r="X5" s="6"/>
      <x:c r="Y5" s="6"/>
      <x:c r="Z5" s="6"/>
    </x:row>
    <x:row r="6" s="1" customFormat="1" ht="12.75" hidden="0" customHeight="1">
      <x:c r="A6" s="7" t="s">
        <x:v>3798</x:v>
      </x:c>
      <x:c r="B6" s="5" t="s">
        <x:v>3799</x:v>
      </x:c>
      <x:c r="C6" s="5" t="s">
        <x:v>3800</x:v>
      </x:c>
      <x:c r="D6" s="6"/>
      <x:c r="E6" s="6"/>
      <x:c r="F6" s="6"/>
      <x:c r="G6" s="6"/>
      <x:c r="H6" s="6"/>
      <x:c r="I6" s="6"/>
      <x:c r="J6" s="6"/>
      <x:c r="K6" s="6"/>
      <x:c r="L6" s="6"/>
      <x:c r="M6" s="6"/>
      <x:c r="N6" s="6"/>
      <x:c r="O6" s="6"/>
      <x:c r="P6" s="6"/>
      <x:c r="Q6" s="6"/>
      <x:c r="R6" s="6"/>
      <x:c r="S6" s="6"/>
      <x:c r="T6" s="6"/>
      <x:c r="U6" s="6"/>
      <x:c r="V6" s="6"/>
      <x:c r="W6" s="6"/>
      <x:c r="X6" s="6"/>
      <x:c r="Y6" s="6"/>
      <x:c r="Z6" s="6"/>
    </x:row>
    <x:row r="7" s="1" customFormat="1" ht="26.25" hidden="0" customHeight="1">
      <x:c r="A7" s="7" t="s">
        <x:v>3801</x:v>
      </x:c>
      <x:c r="B7" s="8" t="s">
        <x:v>3421</x:v>
      </x:c>
      <x:c r="C7" s="8" t="s">
        <x:v>3802</x:v>
      </x:c>
      <x:c r="D7" s="6"/>
      <x:c r="E7" s="6"/>
      <x:c r="F7" s="6"/>
      <x:c r="G7" s="6"/>
      <x:c r="H7" s="6"/>
      <x:c r="I7" s="6"/>
      <x:c r="J7" s="6"/>
      <x:c r="K7" s="6"/>
      <x:c r="L7" s="6"/>
      <x:c r="M7" s="6"/>
      <x:c r="N7" s="6"/>
      <x:c r="O7" s="6"/>
      <x:c r="P7" s="6"/>
      <x:c r="Q7" s="6"/>
      <x:c r="R7" s="6"/>
      <x:c r="S7" s="6"/>
      <x:c r="T7" s="6"/>
      <x:c r="U7" s="6"/>
      <x:c r="V7" s="6"/>
      <x:c r="W7" s="6"/>
      <x:c r="X7" s="6"/>
      <x:c r="Y7" s="6"/>
      <x:c r="Z7" s="6"/>
    </x:row>
    <x:row r="8" s="1" customFormat="1" ht="12.75" hidden="0" customHeight="1">
      <x:c r="A8" s="12" t="s">
        <x:v>3803</x:v>
      </x:c>
      <x:c r="B8" s="12" t="s">
        <x:v>3759</x:v>
      </x:c>
      <x:c r="C8" s="12" t="s">
        <x:v>3804</x:v>
      </x:c>
      <x:c r="D8" s="6"/>
      <x:c r="E8" s="6"/>
      <x:c r="F8" s="6"/>
      <x:c r="G8" s="6"/>
      <x:c r="H8" s="6"/>
      <x:c r="I8" s="6"/>
      <x:c r="J8" s="6"/>
      <x:c r="K8" s="6"/>
      <x:c r="L8" s="6"/>
      <x:c r="M8" s="6"/>
      <x:c r="N8" s="6"/>
      <x:c r="O8" s="6"/>
      <x:c r="P8" s="6"/>
      <x:c r="Q8" s="6"/>
      <x:c r="R8" s="6"/>
      <x:c r="S8" s="6"/>
      <x:c r="T8" s="6"/>
      <x:c r="U8" s="6"/>
      <x:c r="V8" s="6"/>
      <x:c r="W8" s="6"/>
      <x:c r="X8" s="6"/>
      <x:c r="Y8" s="6"/>
      <x:c r="Z8" s="6"/>
    </x:row>
    <x:row r="9" s="1" customFormat="1" ht="12.75" hidden="0" customHeight="1">
      <x:c r="A9" s="12" t="s">
        <x:v>3805</x:v>
      </x:c>
      <x:c r="B9" s="12" t="s">
        <x:v>3806</x:v>
      </x:c>
      <x:c r="C9" s="12" t="s">
        <x:v>3807</x:v>
      </x:c>
      <x:c r="D9" s="6"/>
      <x:c r="E9" s="6"/>
      <x:c r="F9" s="6"/>
      <x:c r="G9" s="6"/>
      <x:c r="H9" s="6"/>
      <x:c r="I9" s="6"/>
      <x:c r="J9" s="6"/>
      <x:c r="K9" s="6"/>
      <x:c r="L9" s="6"/>
      <x:c r="M9" s="6"/>
      <x:c r="N9" s="6"/>
      <x:c r="O9" s="6"/>
      <x:c r="P9" s="6"/>
      <x:c r="Q9" s="6"/>
      <x:c r="R9" s="6"/>
      <x:c r="S9" s="6"/>
      <x:c r="T9" s="6"/>
      <x:c r="U9" s="6"/>
      <x:c r="V9" s="6"/>
      <x:c r="W9" s="6"/>
      <x:c r="X9" s="6"/>
      <x:c r="Y9" s="6"/>
      <x:c r="Z9" s="6"/>
    </x:row>
    <x:row r="10" s="1" customFormat="1" ht="12.75" hidden="0" customHeight="1">
      <x:c r="A10" s="6"/>
      <x:c r="B10" s="6"/>
      <x:c r="C10" s="6"/>
      <x:c r="D10" s="6"/>
      <x:c r="E10" s="6"/>
      <x:c r="F10" s="6"/>
      <x:c r="G10" s="6"/>
      <x:c r="H10" s="6"/>
      <x:c r="I10" s="6"/>
      <x:c r="J10" s="6"/>
      <x:c r="K10" s="6"/>
      <x:c r="L10" s="6"/>
      <x:c r="M10" s="6"/>
      <x:c r="N10" s="6"/>
      <x:c r="O10" s="6"/>
      <x:c r="P10" s="6"/>
      <x:c r="Q10" s="6"/>
      <x:c r="R10" s="6"/>
      <x:c r="S10" s="6"/>
      <x:c r="T10" s="6"/>
      <x:c r="U10" s="6"/>
      <x:c r="V10" s="6"/>
      <x:c r="W10" s="6"/>
      <x:c r="X10" s="6"/>
      <x:c r="Y10" s="6"/>
      <x:c r="Z10" s="6"/>
    </x:row>
    <x:row r="11" s="1" customFormat="1" ht="12.75" hidden="0" customHeight="1">
      <x:c r="A11" s="6"/>
      <x:c r="B11" s="6"/>
      <x:c r="C11" s="6"/>
      <x:c r="D11" s="6"/>
      <x:c r="E11" s="6"/>
      <x:c r="F11" s="6"/>
      <x:c r="G11" s="6"/>
      <x:c r="H11" s="6"/>
      <x:c r="I11" s="6"/>
      <x:c r="J11" s="6"/>
      <x:c r="K11" s="6"/>
      <x:c r="L11" s="6"/>
      <x:c r="M11" s="6"/>
      <x:c r="N11" s="6"/>
      <x:c r="O11" s="6"/>
      <x:c r="P11" s="6"/>
      <x:c r="Q11" s="6"/>
      <x:c r="R11" s="6"/>
      <x:c r="S11" s="6"/>
      <x:c r="T11" s="6"/>
      <x:c r="U11" s="6"/>
      <x:c r="V11" s="6"/>
      <x:c r="W11" s="6"/>
      <x:c r="X11" s="6"/>
      <x:c r="Y11" s="6"/>
      <x:c r="Z11" s="6"/>
    </x:row>
    <x:row r="12" s="1" customFormat="1" ht="12.75" hidden="0" customHeight="1">
      <x:c r="A12" s="6"/>
      <x:c r="B12" s="6"/>
      <x:c r="C12" s="6"/>
      <x:c r="D12" s="6"/>
      <x:c r="E12" s="6"/>
      <x:c r="F12" s="6"/>
      <x:c r="G12" s="6"/>
      <x:c r="H12" s="6"/>
      <x:c r="I12" s="6"/>
      <x:c r="J12" s="6"/>
      <x:c r="K12" s="6"/>
      <x:c r="L12" s="6"/>
      <x:c r="M12" s="6"/>
      <x:c r="N12" s="6"/>
      <x:c r="O12" s="6"/>
      <x:c r="P12" s="6"/>
      <x:c r="Q12" s="6"/>
      <x:c r="R12" s="6"/>
      <x:c r="S12" s="6"/>
      <x:c r="T12" s="6"/>
      <x:c r="U12" s="6"/>
      <x:c r="V12" s="6"/>
      <x:c r="W12" s="6"/>
      <x:c r="X12" s="6"/>
      <x:c r="Y12" s="6"/>
      <x:c r="Z12" s="6"/>
    </x:row>
    <x:row r="13" s="1" customFormat="1" ht="12.75" hidden="0" customHeight="1">
      <x:c r="A13" s="6"/>
      <x:c r="B13" s="6"/>
      <x:c r="C13" s="6"/>
      <x:c r="D13" s="6"/>
      <x:c r="E13" s="6"/>
      <x:c r="F13" s="6"/>
      <x:c r="G13" s="6"/>
      <x:c r="H13" s="6"/>
      <x:c r="I13" s="6"/>
      <x:c r="J13" s="6"/>
      <x:c r="K13" s="6"/>
      <x:c r="L13" s="6"/>
      <x:c r="M13" s="6"/>
      <x:c r="N13" s="6"/>
      <x:c r="O13" s="6"/>
      <x:c r="P13" s="6"/>
      <x:c r="Q13" s="6"/>
      <x:c r="R13" s="6"/>
      <x:c r="S13" s="6"/>
      <x:c r="T13" s="6"/>
      <x:c r="U13" s="6"/>
      <x:c r="V13" s="6"/>
      <x:c r="W13" s="6"/>
      <x:c r="X13" s="6"/>
      <x:c r="Y13" s="6"/>
      <x:c r="Z13" s="6"/>
    </x:row>
    <x:row r="14" s="1" customFormat="1" ht="12.75" hidden="0" customHeight="1">
      <x:c r="A14" s="6"/>
      <x:c r="B14" s="6"/>
      <x:c r="C14" s="6"/>
      <x:c r="D14" s="6"/>
      <x:c r="E14" s="6"/>
      <x:c r="F14" s="6"/>
      <x:c r="G14" s="6"/>
      <x:c r="H14" s="6"/>
      <x:c r="I14" s="6"/>
      <x:c r="J14" s="6"/>
      <x:c r="K14" s="6"/>
      <x:c r="L14" s="6"/>
      <x:c r="M14" s="6"/>
      <x:c r="N14" s="6"/>
      <x:c r="O14" s="6"/>
      <x:c r="P14" s="6"/>
      <x:c r="Q14" s="6"/>
      <x:c r="R14" s="6"/>
      <x:c r="S14" s="6"/>
      <x:c r="T14" s="6"/>
      <x:c r="U14" s="6"/>
      <x:c r="V14" s="6"/>
      <x:c r="W14" s="6"/>
      <x:c r="X14" s="6"/>
      <x:c r="Y14" s="6"/>
      <x:c r="Z14" s="6"/>
    </x:row>
    <x:row r="15" s="1" customFormat="1" ht="12.75" hidden="0" customHeight="1">
      <x:c r="A15" s="6"/>
      <x:c r="B15" s="6"/>
      <x:c r="C15" s="6"/>
      <x:c r="D15" s="6"/>
      <x:c r="E15" s="6"/>
      <x:c r="F15" s="6"/>
      <x:c r="G15" s="6"/>
      <x:c r="H15" s="6"/>
      <x:c r="I15" s="6"/>
      <x:c r="J15" s="6"/>
      <x:c r="K15" s="6"/>
      <x:c r="L15" s="6"/>
      <x:c r="M15" s="6"/>
      <x:c r="N15" s="6"/>
      <x:c r="O15" s="6"/>
      <x:c r="P15" s="6"/>
      <x:c r="Q15" s="6"/>
      <x:c r="R15" s="6"/>
      <x:c r="S15" s="6"/>
      <x:c r="T15" s="6"/>
      <x:c r="U15" s="6"/>
      <x:c r="V15" s="6"/>
      <x:c r="W15" s="6"/>
      <x:c r="X15" s="6"/>
      <x:c r="Y15" s="6"/>
      <x:c r="Z15" s="6"/>
    </x:row>
    <x:row r="16" s="1" customFormat="1" ht="12.75" hidden="0" customHeight="1">
      <x:c r="A16" s="6"/>
      <x:c r="B16" s="6"/>
      <x:c r="C16" s="6"/>
      <x:c r="D16" s="6"/>
      <x:c r="E16" s="6"/>
      <x:c r="F16" s="6"/>
      <x:c r="G16" s="6"/>
      <x:c r="H16" s="6"/>
      <x:c r="I16" s="6"/>
      <x:c r="J16" s="6"/>
      <x:c r="K16" s="6"/>
      <x:c r="L16" s="6"/>
      <x:c r="M16" s="6"/>
      <x:c r="N16" s="6"/>
      <x:c r="O16" s="6"/>
      <x:c r="P16" s="6"/>
      <x:c r="Q16" s="6"/>
      <x:c r="R16" s="6"/>
      <x:c r="S16" s="6"/>
      <x:c r="T16" s="6"/>
      <x:c r="U16" s="6"/>
      <x:c r="V16" s="6"/>
      <x:c r="W16" s="6"/>
      <x:c r="X16" s="6"/>
      <x:c r="Y16" s="6"/>
      <x:c r="Z16" s="6"/>
    </x:row>
    <x:row r="17" s="1" customFormat="1" ht="12.75" hidden="0" customHeight="1">
      <x:c r="A17" s="6"/>
      <x:c r="B17" s="6"/>
      <x:c r="C17" s="6"/>
      <x:c r="D17" s="6"/>
      <x:c r="E17" s="6"/>
      <x:c r="F17" s="6"/>
      <x:c r="G17" s="6"/>
      <x:c r="H17" s="6"/>
      <x:c r="I17" s="6"/>
      <x:c r="J17" s="6"/>
      <x:c r="K17" s="6"/>
      <x:c r="L17" s="6"/>
      <x:c r="M17" s="6"/>
      <x:c r="N17" s="6"/>
      <x:c r="O17" s="6"/>
      <x:c r="P17" s="6"/>
      <x:c r="Q17" s="6"/>
      <x:c r="R17" s="6"/>
      <x:c r="S17" s="6"/>
      <x:c r="T17" s="6"/>
      <x:c r="U17" s="6"/>
      <x:c r="V17" s="6"/>
      <x:c r="W17" s="6"/>
      <x:c r="X17" s="6"/>
      <x:c r="Y17" s="6"/>
      <x:c r="Z17" s="6"/>
    </x:row>
    <x:row r="18" s="1" customFormat="1" ht="12.75" hidden="0" customHeight="1">
      <x:c r="A18" s="6"/>
      <x:c r="B18" s="6"/>
      <x:c r="C18" s="6"/>
      <x:c r="D18" s="6"/>
      <x:c r="E18" s="6"/>
      <x:c r="F18" s="6"/>
      <x:c r="G18" s="6"/>
      <x:c r="H18" s="6"/>
      <x:c r="I18" s="6"/>
      <x:c r="J18" s="6"/>
      <x:c r="K18" s="6"/>
      <x:c r="L18" s="6"/>
      <x:c r="M18" s="6"/>
      <x:c r="N18" s="6"/>
      <x:c r="O18" s="6"/>
      <x:c r="P18" s="6"/>
      <x:c r="Q18" s="6"/>
      <x:c r="R18" s="6"/>
      <x:c r="S18" s="6"/>
      <x:c r="T18" s="6"/>
      <x:c r="U18" s="6"/>
      <x:c r="V18" s="6"/>
      <x:c r="W18" s="6"/>
      <x:c r="X18" s="6"/>
      <x:c r="Y18" s="6"/>
      <x:c r="Z18" s="6"/>
    </x:row>
    <x:row r="19" s="1" customFormat="1" ht="12.75" hidden="0" customHeight="1">
      <x:c r="A19" s="6"/>
      <x:c r="B19" s="6"/>
      <x:c r="C19" s="6"/>
      <x:c r="D19" s="6"/>
      <x:c r="E19" s="6"/>
      <x:c r="F19" s="6"/>
      <x:c r="G19" s="6"/>
      <x:c r="H19" s="6"/>
      <x:c r="I19" s="6"/>
      <x:c r="J19" s="6"/>
      <x:c r="K19" s="6"/>
      <x:c r="L19" s="6"/>
      <x:c r="M19" s="6"/>
      <x:c r="N19" s="6"/>
      <x:c r="O19" s="6"/>
      <x:c r="P19" s="6"/>
      <x:c r="Q19" s="6"/>
      <x:c r="R19" s="6"/>
      <x:c r="S19" s="6"/>
      <x:c r="T19" s="6"/>
      <x:c r="U19" s="6"/>
      <x:c r="V19" s="6"/>
      <x:c r="W19" s="6"/>
      <x:c r="X19" s="6"/>
      <x:c r="Y19" s="6"/>
      <x:c r="Z19" s="6"/>
    </x:row>
    <x:row r="20" s="1" customFormat="1" ht="12.75" hidden="0" customHeight="1">
      <x:c r="A20" s="6"/>
      <x:c r="B20" s="6"/>
      <x:c r="C20" s="6"/>
      <x:c r="D20" s="6"/>
      <x:c r="E20" s="6"/>
      <x:c r="F20" s="6"/>
      <x:c r="G20" s="6"/>
      <x:c r="H20" s="6"/>
      <x:c r="I20" s="6"/>
      <x:c r="J20" s="6"/>
      <x:c r="K20" s="6"/>
      <x:c r="L20" s="6"/>
      <x:c r="M20" s="6"/>
      <x:c r="N20" s="6"/>
      <x:c r="O20" s="6"/>
      <x:c r="P20" s="6"/>
      <x:c r="Q20" s="6"/>
      <x:c r="R20" s="6"/>
      <x:c r="S20" s="6"/>
      <x:c r="T20" s="6"/>
      <x:c r="U20" s="6"/>
      <x:c r="V20" s="6"/>
      <x:c r="W20" s="6"/>
      <x:c r="X20" s="6"/>
      <x:c r="Y20" s="6"/>
      <x:c r="Z20" s="6"/>
    </x:row>
    <x:row r="21" s="1" customFormat="1" ht="12.75" hidden="0" customHeight="1">
      <x:c r="A21" s="6"/>
      <x:c r="B21" s="6"/>
      <x:c r="C21" s="6"/>
      <x:c r="D21" s="6"/>
      <x:c r="E21" s="6"/>
      <x:c r="F21" s="6"/>
      <x:c r="G21" s="6"/>
      <x:c r="H21" s="6"/>
      <x:c r="I21" s="6"/>
      <x:c r="J21" s="6"/>
      <x:c r="K21" s="6"/>
      <x:c r="L21" s="6"/>
      <x:c r="M21" s="6"/>
      <x:c r="N21" s="6"/>
      <x:c r="O21" s="6"/>
      <x:c r="P21" s="6"/>
      <x:c r="Q21" s="6"/>
      <x:c r="R21" s="6"/>
      <x:c r="S21" s="6"/>
      <x:c r="T21" s="6"/>
      <x:c r="U21" s="6"/>
      <x:c r="V21" s="6"/>
      <x:c r="W21" s="6"/>
      <x:c r="X21" s="6"/>
      <x:c r="Y21" s="6"/>
      <x:c r="Z21" s="6"/>
    </x:row>
    <x:row r="22" s="1" customFormat="1" ht="12.75" hidden="0" customHeight="1">
      <x:c r="A22" s="6"/>
      <x:c r="B22" s="6"/>
      <x:c r="C22" s="6"/>
      <x:c r="D22" s="6"/>
      <x:c r="E22" s="6"/>
      <x:c r="F22" s="6"/>
      <x:c r="G22" s="6"/>
      <x:c r="H22" s="6"/>
      <x:c r="I22" s="6"/>
      <x:c r="J22" s="6"/>
      <x:c r="K22" s="6"/>
      <x:c r="L22" s="6"/>
      <x:c r="M22" s="6"/>
      <x:c r="N22" s="6"/>
      <x:c r="O22" s="6"/>
      <x:c r="P22" s="6"/>
      <x:c r="Q22" s="6"/>
      <x:c r="R22" s="6"/>
      <x:c r="S22" s="6"/>
      <x:c r="T22" s="6"/>
      <x:c r="U22" s="6"/>
      <x:c r="V22" s="6"/>
      <x:c r="W22" s="6"/>
      <x:c r="X22" s="6"/>
      <x:c r="Y22" s="6"/>
      <x:c r="Z22" s="6"/>
    </x:row>
    <x:row r="23" s="1" customFormat="1" ht="12.75" hidden="0" customHeight="1">
      <x:c r="A23" s="6"/>
      <x:c r="B23" s="6"/>
      <x:c r="C23" s="6"/>
      <x:c r="D23" s="6"/>
      <x:c r="E23" s="6"/>
      <x:c r="F23" s="6"/>
      <x:c r="G23" s="6"/>
      <x:c r="H23" s="6"/>
      <x:c r="I23" s="6"/>
      <x:c r="J23" s="6"/>
      <x:c r="K23" s="6"/>
      <x:c r="L23" s="6"/>
      <x:c r="M23" s="6"/>
      <x:c r="N23" s="6"/>
      <x:c r="O23" s="6"/>
      <x:c r="P23" s="6"/>
      <x:c r="Q23" s="6"/>
      <x:c r="R23" s="6"/>
      <x:c r="S23" s="6"/>
      <x:c r="T23" s="6"/>
      <x:c r="U23" s="6"/>
      <x:c r="V23" s="6"/>
      <x:c r="W23" s="6"/>
      <x:c r="X23" s="6"/>
      <x:c r="Y23" s="6"/>
      <x:c r="Z23" s="6"/>
    </x:row>
    <x:row r="24" s="1" customFormat="1" ht="12.75" hidden="0" customHeight="1">
      <x:c r="A24" s="6"/>
      <x:c r="B24" s="6"/>
      <x:c r="C24" s="6"/>
      <x:c r="D24" s="6"/>
      <x:c r="E24" s="6"/>
      <x:c r="F24" s="6"/>
      <x:c r="G24" s="6"/>
      <x:c r="H24" s="6"/>
      <x:c r="I24" s="6"/>
      <x:c r="J24" s="6"/>
      <x:c r="K24" s="6"/>
      <x:c r="L24" s="6"/>
      <x:c r="M24" s="6"/>
      <x:c r="N24" s="6"/>
      <x:c r="O24" s="6"/>
      <x:c r="P24" s="6"/>
      <x:c r="Q24" s="6"/>
      <x:c r="R24" s="6"/>
      <x:c r="S24" s="6"/>
      <x:c r="T24" s="6"/>
      <x:c r="U24" s="6"/>
      <x:c r="V24" s="6"/>
      <x:c r="W24" s="6"/>
      <x:c r="X24" s="6"/>
      <x:c r="Y24" s="6"/>
      <x:c r="Z24" s="6"/>
    </x:row>
    <x:row r="25" s="1" customFormat="1" ht="12.75" hidden="0" customHeight="1">
      <x:c r="A25" s="6"/>
      <x:c r="B25" s="6"/>
      <x:c r="C25" s="6"/>
      <x:c r="D25" s="6"/>
      <x:c r="E25" s="6"/>
      <x:c r="F25" s="6"/>
      <x:c r="G25" s="6"/>
      <x:c r="H25" s="6"/>
      <x:c r="I25" s="6"/>
      <x:c r="J25" s="6"/>
      <x:c r="K25" s="6"/>
      <x:c r="L25" s="6"/>
      <x:c r="M25" s="6"/>
      <x:c r="N25" s="6"/>
      <x:c r="O25" s="6"/>
      <x:c r="P25" s="6"/>
      <x:c r="Q25" s="6"/>
      <x:c r="R25" s="6"/>
      <x:c r="S25" s="6"/>
      <x:c r="T25" s="6"/>
      <x:c r="U25" s="6"/>
      <x:c r="V25" s="6"/>
      <x:c r="W25" s="6"/>
      <x:c r="X25" s="6"/>
      <x:c r="Y25" s="6"/>
      <x:c r="Z25" s="6"/>
    </x:row>
    <x:row r="26" s="1" customFormat="1" ht="12.75" hidden="0" customHeight="1">
      <x:c r="A26" s="6"/>
      <x:c r="B26" s="6"/>
      <x:c r="C26" s="6"/>
      <x:c r="D26" s="6"/>
      <x:c r="E26" s="6"/>
      <x:c r="F26" s="6"/>
      <x:c r="G26" s="6"/>
      <x:c r="H26" s="6"/>
      <x:c r="I26" s="6"/>
      <x:c r="J26" s="6"/>
      <x:c r="K26" s="6"/>
      <x:c r="L26" s="6"/>
      <x:c r="M26" s="6"/>
      <x:c r="N26" s="6"/>
      <x:c r="O26" s="6"/>
      <x:c r="P26" s="6"/>
      <x:c r="Q26" s="6"/>
      <x:c r="R26" s="6"/>
      <x:c r="S26" s="6"/>
      <x:c r="T26" s="6"/>
      <x:c r="U26" s="6"/>
      <x:c r="V26" s="6"/>
      <x:c r="W26" s="6"/>
      <x:c r="X26" s="6"/>
      <x:c r="Y26" s="6"/>
      <x:c r="Z26" s="6"/>
    </x:row>
    <x:row r="27" s="1" customFormat="1" ht="12.75" hidden="0" customHeight="1">
      <x:c r="A27" s="6"/>
      <x:c r="B27" s="6"/>
      <x:c r="C27" s="6"/>
      <x:c r="D27" s="6"/>
      <x:c r="E27" s="6"/>
      <x:c r="F27" s="6"/>
      <x:c r="G27" s="6"/>
      <x:c r="H27" s="6"/>
      <x:c r="I27" s="6"/>
      <x:c r="J27" s="6"/>
      <x:c r="K27" s="6"/>
      <x:c r="L27" s="6"/>
      <x:c r="M27" s="6"/>
      <x:c r="N27" s="6"/>
      <x:c r="O27" s="6"/>
      <x:c r="P27" s="6"/>
      <x:c r="Q27" s="6"/>
      <x:c r="R27" s="6"/>
      <x:c r="S27" s="6"/>
      <x:c r="T27" s="6"/>
      <x:c r="U27" s="6"/>
      <x:c r="V27" s="6"/>
      <x:c r="W27" s="6"/>
      <x:c r="X27" s="6"/>
      <x:c r="Y27" s="6"/>
      <x:c r="Z27" s="6"/>
    </x:row>
    <x:row r="28" s="1" customFormat="1" ht="12.75" hidden="0" customHeight="1">
      <x:c r="A28" s="6"/>
      <x:c r="B28" s="6"/>
      <x:c r="C28" s="6"/>
      <x:c r="D28" s="6"/>
      <x:c r="E28" s="6"/>
      <x:c r="F28" s="6"/>
      <x:c r="G28" s="6"/>
      <x:c r="H28" s="6"/>
      <x:c r="I28" s="6"/>
      <x:c r="J28" s="6"/>
      <x:c r="K28" s="6"/>
      <x:c r="L28" s="6"/>
      <x:c r="M28" s="6"/>
      <x:c r="N28" s="6"/>
      <x:c r="O28" s="6"/>
      <x:c r="P28" s="6"/>
      <x:c r="Q28" s="6"/>
      <x:c r="R28" s="6"/>
      <x:c r="S28" s="6"/>
      <x:c r="T28" s="6"/>
      <x:c r="U28" s="6"/>
      <x:c r="V28" s="6"/>
      <x:c r="W28" s="6"/>
      <x:c r="X28" s="6"/>
      <x:c r="Y28" s="6"/>
      <x:c r="Z28" s="6"/>
    </x:row>
    <x:row r="29" s="1" customFormat="1" ht="12.75" hidden="0" customHeight="1">
      <x:c r="A29" s="6"/>
      <x:c r="B29" s="6"/>
      <x:c r="C29" s="6"/>
      <x:c r="D29" s="6"/>
      <x:c r="E29" s="6"/>
      <x:c r="F29" s="6"/>
      <x:c r="G29" s="6"/>
      <x:c r="H29" s="6"/>
      <x:c r="I29" s="6"/>
      <x:c r="J29" s="6"/>
      <x:c r="K29" s="6"/>
      <x:c r="L29" s="6"/>
      <x:c r="M29" s="6"/>
      <x:c r="N29" s="6"/>
      <x:c r="O29" s="6"/>
      <x:c r="P29" s="6"/>
      <x:c r="Q29" s="6"/>
      <x:c r="R29" s="6"/>
      <x:c r="S29" s="6"/>
      <x:c r="T29" s="6"/>
      <x:c r="U29" s="6"/>
      <x:c r="V29" s="6"/>
      <x:c r="W29" s="6"/>
      <x:c r="X29" s="6"/>
      <x:c r="Y29" s="6"/>
      <x:c r="Z29" s="6"/>
    </x:row>
    <x:row r="30" s="1" customFormat="1" ht="12.75" hidden="0" customHeight="1">
      <x:c r="A30" s="6"/>
      <x:c r="B30" s="6"/>
      <x:c r="C30" s="6"/>
      <x:c r="D30" s="6"/>
      <x:c r="E30" s="6"/>
      <x:c r="F30" s="6"/>
      <x:c r="G30" s="6"/>
      <x:c r="H30" s="6"/>
      <x:c r="I30" s="6"/>
      <x:c r="J30" s="6"/>
      <x:c r="K30" s="6"/>
      <x:c r="L30" s="6"/>
      <x:c r="M30" s="6"/>
      <x:c r="N30" s="6"/>
      <x:c r="O30" s="6"/>
      <x:c r="P30" s="6"/>
      <x:c r="Q30" s="6"/>
      <x:c r="R30" s="6"/>
      <x:c r="S30" s="6"/>
      <x:c r="T30" s="6"/>
      <x:c r="U30" s="6"/>
      <x:c r="V30" s="6"/>
      <x:c r="W30" s="6"/>
      <x:c r="X30" s="6"/>
      <x:c r="Y30" s="6"/>
      <x:c r="Z30" s="6"/>
    </x:row>
    <x:row r="31" s="1" customFormat="1" ht="12.75" hidden="0" customHeight="1">
      <x:c r="A31" s="6"/>
      <x:c r="B31" s="6"/>
      <x:c r="C31" s="6"/>
      <x:c r="D31" s="6"/>
      <x:c r="E31" s="6"/>
      <x:c r="F31" s="6"/>
      <x:c r="G31" s="6"/>
      <x:c r="H31" s="6"/>
      <x:c r="I31" s="6"/>
      <x:c r="J31" s="6"/>
      <x:c r="K31" s="6"/>
      <x:c r="L31" s="6"/>
      <x:c r="M31" s="6"/>
      <x:c r="N31" s="6"/>
      <x:c r="O31" s="6"/>
      <x:c r="P31" s="6"/>
      <x:c r="Q31" s="6"/>
      <x:c r="R31" s="6"/>
      <x:c r="S31" s="6"/>
      <x:c r="T31" s="6"/>
      <x:c r="U31" s="6"/>
      <x:c r="V31" s="6"/>
      <x:c r="W31" s="6"/>
      <x:c r="X31" s="6"/>
      <x:c r="Y31" s="6"/>
      <x:c r="Z31" s="6"/>
    </x:row>
    <x:row r="32" s="1" customFormat="1" ht="12.75" hidden="0" customHeight="1">
      <x:c r="A32" s="6"/>
      <x:c r="B32" s="6"/>
      <x:c r="C32" s="6"/>
      <x:c r="D32" s="6"/>
      <x:c r="E32" s="6"/>
      <x:c r="F32" s="6"/>
      <x:c r="G32" s="6"/>
      <x:c r="H32" s="6"/>
      <x:c r="I32" s="6"/>
      <x:c r="J32" s="6"/>
      <x:c r="K32" s="6"/>
      <x:c r="L32" s="6"/>
      <x:c r="M32" s="6"/>
      <x:c r="N32" s="6"/>
      <x:c r="O32" s="6"/>
      <x:c r="P32" s="6"/>
      <x:c r="Q32" s="6"/>
      <x:c r="R32" s="6"/>
      <x:c r="S32" s="6"/>
      <x:c r="T32" s="6"/>
      <x:c r="U32" s="6"/>
      <x:c r="V32" s="6"/>
      <x:c r="W32" s="6"/>
      <x:c r="X32" s="6"/>
      <x:c r="Y32" s="6"/>
      <x:c r="Z32" s="6"/>
    </x:row>
    <x:row r="33" s="1" customFormat="1" ht="12.75" hidden="0" customHeight="1">
      <x:c r="A33" s="6"/>
      <x:c r="B33" s="6"/>
      <x:c r="C33" s="6"/>
      <x:c r="D33" s="6"/>
      <x:c r="E33" s="6"/>
      <x:c r="F33" s="6"/>
      <x:c r="G33" s="6"/>
      <x:c r="H33" s="6"/>
      <x:c r="I33" s="6"/>
      <x:c r="J33" s="6"/>
      <x:c r="K33" s="6"/>
      <x:c r="L33" s="6"/>
      <x:c r="M33" s="6"/>
      <x:c r="N33" s="6"/>
      <x:c r="O33" s="6"/>
      <x:c r="P33" s="6"/>
      <x:c r="Q33" s="6"/>
      <x:c r="R33" s="6"/>
      <x:c r="S33" s="6"/>
      <x:c r="T33" s="6"/>
      <x:c r="U33" s="6"/>
      <x:c r="V33" s="6"/>
      <x:c r="W33" s="6"/>
      <x:c r="X33" s="6"/>
      <x:c r="Y33" s="6"/>
      <x:c r="Z33" s="6"/>
    </x:row>
    <x:row r="34" s="1" customFormat="1" ht="12.75" hidden="0" customHeight="1">
      <x:c r="A34" s="6"/>
      <x:c r="B34" s="6"/>
      <x:c r="C34" s="6"/>
      <x:c r="D34" s="6"/>
      <x:c r="E34" s="6"/>
      <x:c r="F34" s="6"/>
      <x:c r="G34" s="6"/>
      <x:c r="H34" s="6"/>
      <x:c r="I34" s="6"/>
      <x:c r="J34" s="6"/>
      <x:c r="K34" s="6"/>
      <x:c r="L34" s="6"/>
      <x:c r="M34" s="6"/>
      <x:c r="N34" s="6"/>
      <x:c r="O34" s="6"/>
      <x:c r="P34" s="6"/>
      <x:c r="Q34" s="6"/>
      <x:c r="R34" s="6"/>
      <x:c r="S34" s="6"/>
      <x:c r="T34" s="6"/>
      <x:c r="U34" s="6"/>
      <x:c r="V34" s="6"/>
      <x:c r="W34" s="6"/>
      <x:c r="X34" s="6"/>
      <x:c r="Y34" s="6"/>
      <x:c r="Z34" s="6"/>
    </x:row>
    <x:row r="35" s="1" customFormat="1" ht="12.75" hidden="0" customHeight="1">
      <x:c r="A35" s="6"/>
      <x:c r="B35" s="6"/>
      <x:c r="C35" s="6"/>
      <x:c r="D35" s="6"/>
      <x:c r="E35" s="6"/>
      <x:c r="F35" s="6"/>
      <x:c r="G35" s="6"/>
      <x:c r="H35" s="6"/>
      <x:c r="I35" s="6"/>
      <x:c r="J35" s="6"/>
      <x:c r="K35" s="6"/>
      <x:c r="L35" s="6"/>
      <x:c r="M35" s="6"/>
      <x:c r="N35" s="6"/>
      <x:c r="O35" s="6"/>
      <x:c r="P35" s="6"/>
      <x:c r="Q35" s="6"/>
      <x:c r="R35" s="6"/>
      <x:c r="S35" s="6"/>
      <x:c r="T35" s="6"/>
      <x:c r="U35" s="6"/>
      <x:c r="V35" s="6"/>
      <x:c r="W35" s="6"/>
      <x:c r="X35" s="6"/>
      <x:c r="Y35" s="6"/>
      <x:c r="Z35" s="6"/>
    </x:row>
    <x:row r="36" s="1" customFormat="1" ht="12.75" hidden="0" customHeight="1">
      <x:c r="A36" s="6"/>
      <x:c r="B36" s="6"/>
      <x:c r="C36" s="6"/>
      <x:c r="D36" s="6"/>
      <x:c r="E36" s="6"/>
      <x:c r="F36" s="6"/>
      <x:c r="G36" s="6"/>
      <x:c r="H36" s="6"/>
      <x:c r="I36" s="6"/>
      <x:c r="J36" s="6"/>
      <x:c r="K36" s="6"/>
      <x:c r="L36" s="6"/>
      <x:c r="M36" s="6"/>
      <x:c r="N36" s="6"/>
      <x:c r="O36" s="6"/>
      <x:c r="P36" s="6"/>
      <x:c r="Q36" s="6"/>
      <x:c r="R36" s="6"/>
      <x:c r="S36" s="6"/>
      <x:c r="T36" s="6"/>
      <x:c r="U36" s="6"/>
      <x:c r="V36" s="6"/>
      <x:c r="W36" s="6"/>
      <x:c r="X36" s="6"/>
      <x:c r="Y36" s="6"/>
      <x:c r="Z36" s="6"/>
    </x:row>
    <x:row r="37" s="1" customFormat="1" ht="12.75" hidden="0" customHeight="1">
      <x:c r="A37" s="6"/>
      <x:c r="B37" s="6"/>
      <x:c r="C37" s="6"/>
      <x:c r="D37" s="6"/>
      <x:c r="E37" s="6"/>
      <x:c r="F37" s="6"/>
      <x:c r="G37" s="6"/>
      <x:c r="H37" s="6"/>
      <x:c r="I37" s="6"/>
      <x:c r="J37" s="6"/>
      <x:c r="K37" s="6"/>
      <x:c r="L37" s="6"/>
      <x:c r="M37" s="6"/>
      <x:c r="N37" s="6"/>
      <x:c r="O37" s="6"/>
      <x:c r="P37" s="6"/>
      <x:c r="Q37" s="6"/>
      <x:c r="R37" s="6"/>
      <x:c r="S37" s="6"/>
      <x:c r="T37" s="6"/>
      <x:c r="U37" s="6"/>
      <x:c r="V37" s="6"/>
      <x:c r="W37" s="6"/>
      <x:c r="X37" s="6"/>
      <x:c r="Y37" s="6"/>
      <x:c r="Z37" s="6"/>
    </x:row>
    <x:row r="38" s="1" customFormat="1" ht="12.75" hidden="0" customHeight="1">
      <x:c r="A38" s="6"/>
      <x:c r="B38" s="6"/>
      <x:c r="C38" s="6"/>
      <x:c r="D38" s="6"/>
      <x:c r="E38" s="6"/>
      <x:c r="F38" s="6"/>
      <x:c r="G38" s="6"/>
      <x:c r="H38" s="6"/>
      <x:c r="I38" s="6"/>
      <x:c r="J38" s="6"/>
      <x:c r="K38" s="6"/>
      <x:c r="L38" s="6"/>
      <x:c r="M38" s="6"/>
      <x:c r="N38" s="6"/>
      <x:c r="O38" s="6"/>
      <x:c r="P38" s="6"/>
      <x:c r="Q38" s="6"/>
      <x:c r="R38" s="6"/>
      <x:c r="S38" s="6"/>
      <x:c r="T38" s="6"/>
      <x:c r="U38" s="6"/>
      <x:c r="V38" s="6"/>
      <x:c r="W38" s="6"/>
      <x:c r="X38" s="6"/>
      <x:c r="Y38" s="6"/>
      <x:c r="Z38" s="6"/>
    </x:row>
    <x:row r="39" s="1" customFormat="1" ht="12.75" hidden="0" customHeight="1">
      <x:c r="A39" s="6"/>
      <x:c r="B39" s="6"/>
      <x:c r="C39" s="6"/>
      <x:c r="D39" s="6"/>
      <x:c r="E39" s="6"/>
      <x:c r="F39" s="6"/>
      <x:c r="G39" s="6"/>
      <x:c r="H39" s="6"/>
      <x:c r="I39" s="6"/>
      <x:c r="J39" s="6"/>
      <x:c r="K39" s="6"/>
      <x:c r="L39" s="6"/>
      <x:c r="M39" s="6"/>
      <x:c r="N39" s="6"/>
      <x:c r="O39" s="6"/>
      <x:c r="P39" s="6"/>
      <x:c r="Q39" s="6"/>
      <x:c r="R39" s="6"/>
      <x:c r="S39" s="6"/>
      <x:c r="T39" s="6"/>
      <x:c r="U39" s="6"/>
      <x:c r="V39" s="6"/>
      <x:c r="W39" s="6"/>
      <x:c r="X39" s="6"/>
      <x:c r="Y39" s="6"/>
      <x:c r="Z39" s="6"/>
    </x:row>
    <x:row r="40" s="1" customFormat="1" ht="12.75" hidden="0" customHeight="1">
      <x:c r="A40" s="6"/>
      <x:c r="B40" s="6"/>
      <x:c r="C40" s="6"/>
      <x:c r="D40" s="6"/>
      <x:c r="E40" s="6"/>
      <x:c r="F40" s="6"/>
      <x:c r="G40" s="6"/>
      <x:c r="H40" s="6"/>
      <x:c r="I40" s="6"/>
      <x:c r="J40" s="6"/>
      <x:c r="K40" s="6"/>
      <x:c r="L40" s="6"/>
      <x:c r="M40" s="6"/>
      <x:c r="N40" s="6"/>
      <x:c r="O40" s="6"/>
      <x:c r="P40" s="6"/>
      <x:c r="Q40" s="6"/>
      <x:c r="R40" s="6"/>
      <x:c r="S40" s="6"/>
      <x:c r="T40" s="6"/>
      <x:c r="U40" s="6"/>
      <x:c r="V40" s="6"/>
      <x:c r="W40" s="6"/>
      <x:c r="X40" s="6"/>
      <x:c r="Y40" s="6"/>
      <x:c r="Z40" s="6"/>
    </x:row>
    <x:row r="41" s="1" customFormat="1" ht="12.75" hidden="0" customHeight="1">
      <x:c r="A41" s="6"/>
      <x:c r="B41" s="6"/>
      <x:c r="C41" s="6"/>
      <x:c r="D41" s="6"/>
      <x:c r="E41" s="6"/>
      <x:c r="F41" s="6"/>
      <x:c r="G41" s="6"/>
      <x:c r="H41" s="6"/>
      <x:c r="I41" s="6"/>
      <x:c r="J41" s="6"/>
      <x:c r="K41" s="6"/>
      <x:c r="L41" s="6"/>
      <x:c r="M41" s="6"/>
      <x:c r="N41" s="6"/>
      <x:c r="O41" s="6"/>
      <x:c r="P41" s="6"/>
      <x:c r="Q41" s="6"/>
      <x:c r="R41" s="6"/>
      <x:c r="S41" s="6"/>
      <x:c r="T41" s="6"/>
      <x:c r="U41" s="6"/>
      <x:c r="V41" s="6"/>
      <x:c r="W41" s="6"/>
      <x:c r="X41" s="6"/>
      <x:c r="Y41" s="6"/>
      <x:c r="Z41" s="6"/>
    </x:row>
    <x:row r="42" s="1" customFormat="1" ht="12.75" hidden="0" customHeight="1">
      <x:c r="A42" s="6"/>
      <x:c r="B42" s="6"/>
      <x:c r="C42" s="6"/>
      <x:c r="D42" s="6"/>
      <x:c r="E42" s="6"/>
      <x:c r="F42" s="6"/>
      <x:c r="G42" s="6"/>
      <x:c r="H42" s="6"/>
      <x:c r="I42" s="6"/>
      <x:c r="J42" s="6"/>
      <x:c r="K42" s="6"/>
      <x:c r="L42" s="6"/>
      <x:c r="M42" s="6"/>
      <x:c r="N42" s="6"/>
      <x:c r="O42" s="6"/>
      <x:c r="P42" s="6"/>
      <x:c r="Q42" s="6"/>
      <x:c r="R42" s="6"/>
      <x:c r="S42" s="6"/>
      <x:c r="T42" s="6"/>
      <x:c r="U42" s="6"/>
      <x:c r="V42" s="6"/>
      <x:c r="W42" s="6"/>
      <x:c r="X42" s="6"/>
      <x:c r="Y42" s="6"/>
      <x:c r="Z42" s="6"/>
    </x:row>
    <x:row r="43" s="1" customFormat="1" ht="12.75" hidden="0" customHeight="1">
      <x:c r="A43" s="6"/>
      <x:c r="B43" s="6"/>
      <x:c r="C43" s="6"/>
      <x:c r="D43" s="6"/>
      <x:c r="E43" s="6"/>
      <x:c r="F43" s="6"/>
      <x:c r="G43" s="6"/>
      <x:c r="H43" s="6"/>
      <x:c r="I43" s="6"/>
      <x:c r="J43" s="6"/>
      <x:c r="K43" s="6"/>
      <x:c r="L43" s="6"/>
      <x:c r="M43" s="6"/>
      <x:c r="N43" s="6"/>
      <x:c r="O43" s="6"/>
      <x:c r="P43" s="6"/>
      <x:c r="Q43" s="6"/>
      <x:c r="R43" s="6"/>
      <x:c r="S43" s="6"/>
      <x:c r="T43" s="6"/>
      <x:c r="U43" s="6"/>
      <x:c r="V43" s="6"/>
      <x:c r="W43" s="6"/>
      <x:c r="X43" s="6"/>
      <x:c r="Y43" s="6"/>
      <x:c r="Z43" s="6"/>
    </x:row>
    <x:row r="44" s="1" customFormat="1" ht="12.75" hidden="0" customHeight="1">
      <x:c r="A44" s="6"/>
      <x:c r="B44" s="6"/>
      <x:c r="C44" s="6"/>
      <x:c r="D44" s="6"/>
      <x:c r="E44" s="6"/>
      <x:c r="F44" s="6"/>
      <x:c r="G44" s="6"/>
      <x:c r="H44" s="6"/>
      <x:c r="I44" s="6"/>
      <x:c r="J44" s="6"/>
      <x:c r="K44" s="6"/>
      <x:c r="L44" s="6"/>
      <x:c r="M44" s="6"/>
      <x:c r="N44" s="6"/>
      <x:c r="O44" s="6"/>
      <x:c r="P44" s="6"/>
      <x:c r="Q44" s="6"/>
      <x:c r="R44" s="6"/>
      <x:c r="S44" s="6"/>
      <x:c r="T44" s="6"/>
      <x:c r="U44" s="6"/>
      <x:c r="V44" s="6"/>
      <x:c r="W44" s="6"/>
      <x:c r="X44" s="6"/>
      <x:c r="Y44" s="6"/>
      <x:c r="Z44" s="6"/>
    </x:row>
    <x:row r="45" s="1" customFormat="1" ht="12.75" hidden="0" customHeight="1">
      <x:c r="A45" s="6"/>
      <x:c r="B45" s="6"/>
      <x:c r="C45" s="6"/>
      <x:c r="D45" s="6"/>
      <x:c r="E45" s="6"/>
      <x:c r="F45" s="6"/>
      <x:c r="G45" s="6"/>
      <x:c r="H45" s="6"/>
      <x:c r="I45" s="6"/>
      <x:c r="J45" s="6"/>
      <x:c r="K45" s="6"/>
      <x:c r="L45" s="6"/>
      <x:c r="M45" s="6"/>
      <x:c r="N45" s="6"/>
      <x:c r="O45" s="6"/>
      <x:c r="P45" s="6"/>
      <x:c r="Q45" s="6"/>
      <x:c r="R45" s="6"/>
      <x:c r="S45" s="6"/>
      <x:c r="T45" s="6"/>
      <x:c r="U45" s="6"/>
      <x:c r="V45" s="6"/>
      <x:c r="W45" s="6"/>
      <x:c r="X45" s="6"/>
      <x:c r="Y45" s="6"/>
      <x:c r="Z45" s="6"/>
    </x:row>
    <x:row r="46" s="1" customFormat="1" ht="12.75" hidden="0" customHeight="1">
      <x:c r="A46" s="6"/>
      <x:c r="B46" s="6"/>
      <x:c r="C46" s="6"/>
      <x:c r="D46" s="6"/>
      <x:c r="E46" s="6"/>
      <x:c r="F46" s="6"/>
      <x:c r="G46" s="6"/>
      <x:c r="H46" s="6"/>
      <x:c r="I46" s="6"/>
      <x:c r="J46" s="6"/>
      <x:c r="K46" s="6"/>
      <x:c r="L46" s="6"/>
      <x:c r="M46" s="6"/>
      <x:c r="N46" s="6"/>
      <x:c r="O46" s="6"/>
      <x:c r="P46" s="6"/>
      <x:c r="Q46" s="6"/>
      <x:c r="R46" s="6"/>
      <x:c r="S46" s="6"/>
      <x:c r="T46" s="6"/>
      <x:c r="U46" s="6"/>
      <x:c r="V46" s="6"/>
      <x:c r="W46" s="6"/>
      <x:c r="X46" s="6"/>
      <x:c r="Y46" s="6"/>
      <x:c r="Z46" s="6"/>
    </x:row>
    <x:row r="47" s="1" customFormat="1" ht="12.75" hidden="0" customHeight="1">
      <x:c r="A47" s="6"/>
      <x:c r="B47" s="6"/>
      <x:c r="C47" s="6"/>
      <x:c r="D47" s="6"/>
      <x:c r="E47" s="6"/>
      <x:c r="F47" s="6"/>
      <x:c r="G47" s="6"/>
      <x:c r="H47" s="6"/>
      <x:c r="I47" s="6"/>
      <x:c r="J47" s="6"/>
      <x:c r="K47" s="6"/>
      <x:c r="L47" s="6"/>
      <x:c r="M47" s="6"/>
      <x:c r="N47" s="6"/>
      <x:c r="O47" s="6"/>
      <x:c r="P47" s="6"/>
      <x:c r="Q47" s="6"/>
      <x:c r="R47" s="6"/>
      <x:c r="S47" s="6"/>
      <x:c r="T47" s="6"/>
      <x:c r="U47" s="6"/>
      <x:c r="V47" s="6"/>
      <x:c r="W47" s="6"/>
      <x:c r="X47" s="6"/>
      <x:c r="Y47" s="6"/>
      <x:c r="Z47" s="6"/>
    </x:row>
    <x:row r="48" s="1" customFormat="1" ht="12.75" hidden="0" customHeight="1">
      <x:c r="A48" s="6"/>
      <x:c r="B48" s="6"/>
      <x:c r="C48" s="6"/>
      <x:c r="D48" s="6"/>
      <x:c r="E48" s="6"/>
      <x:c r="F48" s="6"/>
      <x:c r="G48" s="6"/>
      <x:c r="H48" s="6"/>
      <x:c r="I48" s="6"/>
      <x:c r="J48" s="6"/>
      <x:c r="K48" s="6"/>
      <x:c r="L48" s="6"/>
      <x:c r="M48" s="6"/>
      <x:c r="N48" s="6"/>
      <x:c r="O48" s="6"/>
      <x:c r="P48" s="6"/>
      <x:c r="Q48" s="6"/>
      <x:c r="R48" s="6"/>
      <x:c r="S48" s="6"/>
      <x:c r="T48" s="6"/>
      <x:c r="U48" s="6"/>
      <x:c r="V48" s="6"/>
      <x:c r="W48" s="6"/>
      <x:c r="X48" s="6"/>
      <x:c r="Y48" s="6"/>
      <x:c r="Z48" s="6"/>
    </x:row>
    <x:row r="49" s="1" customFormat="1" ht="12.75" hidden="0" customHeight="1">
      <x:c r="A49" s="6"/>
      <x:c r="B49" s="6"/>
      <x:c r="C49" s="6"/>
      <x:c r="D49" s="6"/>
      <x:c r="E49" s="6"/>
      <x:c r="F49" s="6"/>
      <x:c r="G49" s="6"/>
      <x:c r="H49" s="6"/>
      <x:c r="I49" s="6"/>
      <x:c r="J49" s="6"/>
      <x:c r="K49" s="6"/>
      <x:c r="L49" s="6"/>
      <x:c r="M49" s="6"/>
      <x:c r="N49" s="6"/>
      <x:c r="O49" s="6"/>
      <x:c r="P49" s="6"/>
      <x:c r="Q49" s="6"/>
      <x:c r="R49" s="6"/>
      <x:c r="S49" s="6"/>
      <x:c r="T49" s="6"/>
      <x:c r="U49" s="6"/>
      <x:c r="V49" s="6"/>
      <x:c r="W49" s="6"/>
      <x:c r="X49" s="6"/>
      <x:c r="Y49" s="6"/>
      <x:c r="Z49" s="6"/>
    </x:row>
    <x:row r="50" s="1" customFormat="1" ht="12.75" hidden="0" customHeight="1">
      <x:c r="A50" s="6"/>
      <x:c r="B50" s="6"/>
      <x:c r="C50" s="6"/>
      <x:c r="D50" s="6"/>
      <x:c r="E50" s="6"/>
      <x:c r="F50" s="6"/>
      <x:c r="G50" s="6"/>
      <x:c r="H50" s="6"/>
      <x:c r="I50" s="6"/>
      <x:c r="J50" s="6"/>
      <x:c r="K50" s="6"/>
      <x:c r="L50" s="6"/>
      <x:c r="M50" s="6"/>
      <x:c r="N50" s="6"/>
      <x:c r="O50" s="6"/>
      <x:c r="P50" s="6"/>
      <x:c r="Q50" s="6"/>
      <x:c r="R50" s="6"/>
      <x:c r="S50" s="6"/>
      <x:c r="T50" s="6"/>
      <x:c r="U50" s="6"/>
      <x:c r="V50" s="6"/>
      <x:c r="W50" s="6"/>
      <x:c r="X50" s="6"/>
      <x:c r="Y50" s="6"/>
      <x:c r="Z50" s="6"/>
    </x:row>
    <x:row r="51" s="1" customFormat="1" ht="12.75" hidden="0" customHeight="1">
      <x:c r="A51" s="6"/>
      <x:c r="B51" s="6"/>
      <x:c r="C51" s="6"/>
      <x:c r="D51" s="6"/>
      <x:c r="E51" s="6"/>
      <x:c r="F51" s="6"/>
      <x:c r="G51" s="6"/>
      <x:c r="H51" s="6"/>
      <x:c r="I51" s="6"/>
      <x:c r="J51" s="6"/>
      <x:c r="K51" s="6"/>
      <x:c r="L51" s="6"/>
      <x:c r="M51" s="6"/>
      <x:c r="N51" s="6"/>
      <x:c r="O51" s="6"/>
      <x:c r="P51" s="6"/>
      <x:c r="Q51" s="6"/>
      <x:c r="R51" s="6"/>
      <x:c r="S51" s="6"/>
      <x:c r="T51" s="6"/>
      <x:c r="U51" s="6"/>
      <x:c r="V51" s="6"/>
      <x:c r="W51" s="6"/>
      <x:c r="X51" s="6"/>
      <x:c r="Y51" s="6"/>
      <x:c r="Z51" s="6"/>
    </x:row>
    <x:row r="52" s="1" customFormat="1" ht="12.75" hidden="0" customHeight="1">
      <x:c r="A52" s="6"/>
      <x:c r="B52" s="6"/>
      <x:c r="C52" s="6"/>
      <x:c r="D52" s="6"/>
      <x:c r="E52" s="6"/>
      <x:c r="F52" s="6"/>
      <x:c r="G52" s="6"/>
      <x:c r="H52" s="6"/>
      <x:c r="I52" s="6"/>
      <x:c r="J52" s="6"/>
      <x:c r="K52" s="6"/>
      <x:c r="L52" s="6"/>
      <x:c r="M52" s="6"/>
      <x:c r="N52" s="6"/>
      <x:c r="O52" s="6"/>
      <x:c r="P52" s="6"/>
      <x:c r="Q52" s="6"/>
      <x:c r="R52" s="6"/>
      <x:c r="S52" s="6"/>
      <x:c r="T52" s="6"/>
      <x:c r="U52" s="6"/>
      <x:c r="V52" s="6"/>
      <x:c r="W52" s="6"/>
      <x:c r="X52" s="6"/>
      <x:c r="Y52" s="6"/>
      <x:c r="Z52" s="6"/>
    </x:row>
    <x:row r="53" s="1" customFormat="1" ht="12.75" hidden="0" customHeight="1">
      <x:c r="A53" s="6"/>
      <x:c r="B53" s="6"/>
      <x:c r="C53" s="6"/>
      <x:c r="D53" s="6"/>
      <x:c r="E53" s="6"/>
      <x:c r="F53" s="6"/>
      <x:c r="G53" s="6"/>
      <x:c r="H53" s="6"/>
      <x:c r="I53" s="6"/>
      <x:c r="J53" s="6"/>
      <x:c r="K53" s="6"/>
      <x:c r="L53" s="6"/>
      <x:c r="M53" s="6"/>
      <x:c r="N53" s="6"/>
      <x:c r="O53" s="6"/>
      <x:c r="P53" s="6"/>
      <x:c r="Q53" s="6"/>
      <x:c r="R53" s="6"/>
      <x:c r="S53" s="6"/>
      <x:c r="T53" s="6"/>
      <x:c r="U53" s="6"/>
      <x:c r="V53" s="6"/>
      <x:c r="W53" s="6"/>
      <x:c r="X53" s="6"/>
      <x:c r="Y53" s="6"/>
      <x:c r="Z53" s="6"/>
    </x:row>
    <x:row r="54" s="1" customFormat="1" ht="12.75" hidden="0" customHeight="1">
      <x:c r="A54" s="6"/>
      <x:c r="B54" s="6"/>
      <x:c r="C54" s="6"/>
      <x:c r="D54" s="6"/>
      <x:c r="E54" s="6"/>
      <x:c r="F54" s="6"/>
      <x:c r="G54" s="6"/>
      <x:c r="H54" s="6"/>
      <x:c r="I54" s="6"/>
      <x:c r="J54" s="6"/>
      <x:c r="K54" s="6"/>
      <x:c r="L54" s="6"/>
      <x:c r="M54" s="6"/>
      <x:c r="N54" s="6"/>
      <x:c r="O54" s="6"/>
      <x:c r="P54" s="6"/>
      <x:c r="Q54" s="6"/>
      <x:c r="R54" s="6"/>
      <x:c r="S54" s="6"/>
      <x:c r="T54" s="6"/>
      <x:c r="U54" s="6"/>
      <x:c r="V54" s="6"/>
      <x:c r="W54" s="6"/>
      <x:c r="X54" s="6"/>
      <x:c r="Y54" s="6"/>
      <x:c r="Z54" s="6"/>
    </x:row>
    <x:row r="55" s="1" customFormat="1" ht="12.75" hidden="0" customHeight="1">
      <x:c r="A55" s="6"/>
      <x:c r="B55" s="6"/>
      <x:c r="C55" s="6"/>
      <x:c r="D55" s="6"/>
      <x:c r="E55" s="6"/>
      <x:c r="F55" s="6"/>
      <x:c r="G55" s="6"/>
      <x:c r="H55" s="6"/>
      <x:c r="I55" s="6"/>
      <x:c r="J55" s="6"/>
      <x:c r="K55" s="6"/>
      <x:c r="L55" s="6"/>
      <x:c r="M55" s="6"/>
      <x:c r="N55" s="6"/>
      <x:c r="O55" s="6"/>
      <x:c r="P55" s="6"/>
      <x:c r="Q55" s="6"/>
      <x:c r="R55" s="6"/>
      <x:c r="S55" s="6"/>
      <x:c r="T55" s="6"/>
      <x:c r="U55" s="6"/>
      <x:c r="V55" s="6"/>
      <x:c r="W55" s="6"/>
      <x:c r="X55" s="6"/>
      <x:c r="Y55" s="6"/>
      <x:c r="Z55" s="6"/>
    </x:row>
    <x:row r="56" s="1" customFormat="1" ht="12.75" hidden="0" customHeight="1">
      <x:c r="A56" s="6"/>
      <x:c r="B56" s="6"/>
      <x:c r="C56" s="6"/>
      <x:c r="D56" s="6"/>
      <x:c r="E56" s="6"/>
      <x:c r="F56" s="6"/>
      <x:c r="G56" s="6"/>
      <x:c r="H56" s="6"/>
      <x:c r="I56" s="6"/>
      <x:c r="J56" s="6"/>
      <x:c r="K56" s="6"/>
      <x:c r="L56" s="6"/>
      <x:c r="M56" s="6"/>
      <x:c r="N56" s="6"/>
      <x:c r="O56" s="6"/>
      <x:c r="P56" s="6"/>
      <x:c r="Q56" s="6"/>
      <x:c r="R56" s="6"/>
      <x:c r="S56" s="6"/>
      <x:c r="T56" s="6"/>
      <x:c r="U56" s="6"/>
      <x:c r="V56" s="6"/>
      <x:c r="W56" s="6"/>
      <x:c r="X56" s="6"/>
      <x:c r="Y56" s="6"/>
      <x:c r="Z56" s="6"/>
    </x:row>
    <x:row r="57" s="1" customFormat="1" ht="12.75" hidden="0" customHeight="1">
      <x:c r="A57" s="6"/>
      <x:c r="B57" s="6"/>
      <x:c r="C57" s="6"/>
      <x:c r="D57" s="6"/>
      <x:c r="E57" s="6"/>
      <x:c r="F57" s="6"/>
      <x:c r="G57" s="6"/>
      <x:c r="H57" s="6"/>
      <x:c r="I57" s="6"/>
      <x:c r="J57" s="6"/>
      <x:c r="K57" s="6"/>
      <x:c r="L57" s="6"/>
      <x:c r="M57" s="6"/>
      <x:c r="N57" s="6"/>
      <x:c r="O57" s="6"/>
      <x:c r="P57" s="6"/>
      <x:c r="Q57" s="6"/>
      <x:c r="R57" s="6"/>
      <x:c r="S57" s="6"/>
      <x:c r="T57" s="6"/>
      <x:c r="U57" s="6"/>
      <x:c r="V57" s="6"/>
      <x:c r="W57" s="6"/>
      <x:c r="X57" s="6"/>
      <x:c r="Y57" s="6"/>
      <x:c r="Z57" s="6"/>
    </x:row>
    <x:row r="58" s="1" customFormat="1" ht="12.75" hidden="0" customHeight="1">
      <x:c r="A58" s="6"/>
      <x:c r="B58" s="6"/>
      <x:c r="C58" s="6"/>
      <x:c r="D58" s="6"/>
      <x:c r="E58" s="6"/>
      <x:c r="F58" s="6"/>
      <x:c r="G58" s="6"/>
      <x:c r="H58" s="6"/>
      <x:c r="I58" s="6"/>
      <x:c r="J58" s="6"/>
      <x:c r="K58" s="6"/>
      <x:c r="L58" s="6"/>
      <x:c r="M58" s="6"/>
      <x:c r="N58" s="6"/>
      <x:c r="O58" s="6"/>
      <x:c r="P58" s="6"/>
      <x:c r="Q58" s="6"/>
      <x:c r="R58" s="6"/>
      <x:c r="S58" s="6"/>
      <x:c r="T58" s="6"/>
      <x:c r="U58" s="6"/>
      <x:c r="V58" s="6"/>
      <x:c r="W58" s="6"/>
      <x:c r="X58" s="6"/>
      <x:c r="Y58" s="6"/>
      <x:c r="Z58" s="6"/>
    </x:row>
    <x:row r="59" s="1" customFormat="1" ht="12.75" hidden="0" customHeight="1">
      <x:c r="A59" s="6"/>
      <x:c r="B59" s="6"/>
      <x:c r="C59" s="6"/>
      <x:c r="D59" s="6"/>
      <x:c r="E59" s="6"/>
      <x:c r="F59" s="6"/>
      <x:c r="G59" s="6"/>
      <x:c r="H59" s="6"/>
      <x:c r="I59" s="6"/>
      <x:c r="J59" s="6"/>
      <x:c r="K59" s="6"/>
      <x:c r="L59" s="6"/>
      <x:c r="M59" s="6"/>
      <x:c r="N59" s="6"/>
      <x:c r="O59" s="6"/>
      <x:c r="P59" s="6"/>
      <x:c r="Q59" s="6"/>
      <x:c r="R59" s="6"/>
      <x:c r="S59" s="6"/>
      <x:c r="T59" s="6"/>
      <x:c r="U59" s="6"/>
      <x:c r="V59" s="6"/>
      <x:c r="W59" s="6"/>
      <x:c r="X59" s="6"/>
      <x:c r="Y59" s="6"/>
      <x:c r="Z59" s="6"/>
    </x:row>
    <x:row r="60" s="1" customFormat="1" ht="12.75" hidden="0" customHeight="1">
      <x:c r="A60" s="6"/>
      <x:c r="B60" s="6"/>
      <x:c r="C60" s="6"/>
      <x:c r="D60" s="6"/>
      <x:c r="E60" s="6"/>
      <x:c r="F60" s="6"/>
      <x:c r="G60" s="6"/>
      <x:c r="H60" s="6"/>
      <x:c r="I60" s="6"/>
      <x:c r="J60" s="6"/>
      <x:c r="K60" s="6"/>
      <x:c r="L60" s="6"/>
      <x:c r="M60" s="6"/>
      <x:c r="N60" s="6"/>
      <x:c r="O60" s="6"/>
      <x:c r="P60" s="6"/>
      <x:c r="Q60" s="6"/>
      <x:c r="R60" s="6"/>
      <x:c r="S60" s="6"/>
      <x:c r="T60" s="6"/>
      <x:c r="U60" s="6"/>
      <x:c r="V60" s="6"/>
      <x:c r="W60" s="6"/>
      <x:c r="X60" s="6"/>
      <x:c r="Y60" s="6"/>
      <x:c r="Z60" s="6"/>
    </x:row>
    <x:row r="61" s="1" customFormat="1" ht="12.75" hidden="0" customHeight="1">
      <x:c r="A61" s="6"/>
      <x:c r="B61" s="6"/>
      <x:c r="C61" s="6"/>
      <x:c r="D61" s="6"/>
      <x:c r="E61" s="6"/>
      <x:c r="F61" s="6"/>
      <x:c r="G61" s="6"/>
      <x:c r="H61" s="6"/>
      <x:c r="I61" s="6"/>
      <x:c r="J61" s="6"/>
      <x:c r="K61" s="6"/>
      <x:c r="L61" s="6"/>
      <x:c r="M61" s="6"/>
      <x:c r="N61" s="6"/>
      <x:c r="O61" s="6"/>
      <x:c r="P61" s="6"/>
      <x:c r="Q61" s="6"/>
      <x:c r="R61" s="6"/>
      <x:c r="S61" s="6"/>
      <x:c r="T61" s="6"/>
      <x:c r="U61" s="6"/>
      <x:c r="V61" s="6"/>
      <x:c r="W61" s="6"/>
      <x:c r="X61" s="6"/>
      <x:c r="Y61" s="6"/>
      <x:c r="Z61" s="6"/>
    </x:row>
    <x:row r="62" s="1" customFormat="1" ht="12.75" hidden="0" customHeight="1">
      <x:c r="A62" s="6"/>
      <x:c r="B62" s="6"/>
      <x:c r="C62" s="6"/>
      <x:c r="D62" s="6"/>
      <x:c r="E62" s="6"/>
      <x:c r="F62" s="6"/>
      <x:c r="G62" s="6"/>
      <x:c r="H62" s="6"/>
      <x:c r="I62" s="6"/>
      <x:c r="J62" s="6"/>
      <x:c r="K62" s="6"/>
      <x:c r="L62" s="6"/>
      <x:c r="M62" s="6"/>
      <x:c r="N62" s="6"/>
      <x:c r="O62" s="6"/>
      <x:c r="P62" s="6"/>
      <x:c r="Q62" s="6"/>
      <x:c r="R62" s="6"/>
      <x:c r="S62" s="6"/>
      <x:c r="T62" s="6"/>
      <x:c r="U62" s="6"/>
      <x:c r="V62" s="6"/>
      <x:c r="W62" s="6"/>
      <x:c r="X62" s="6"/>
      <x:c r="Y62" s="6"/>
      <x:c r="Z62" s="6"/>
    </x:row>
    <x:row r="63" s="1" customFormat="1" ht="12.75" hidden="0" customHeight="1">
      <x:c r="A63" s="6"/>
      <x:c r="B63" s="6"/>
      <x:c r="C63" s="6"/>
      <x:c r="D63" s="6"/>
      <x:c r="E63" s="6"/>
      <x:c r="F63" s="6"/>
      <x:c r="G63" s="6"/>
      <x:c r="H63" s="6"/>
      <x:c r="I63" s="6"/>
      <x:c r="J63" s="6"/>
      <x:c r="K63" s="6"/>
      <x:c r="L63" s="6"/>
      <x:c r="M63" s="6"/>
      <x:c r="N63" s="6"/>
      <x:c r="O63" s="6"/>
      <x:c r="P63" s="6"/>
      <x:c r="Q63" s="6"/>
      <x:c r="R63" s="6"/>
      <x:c r="S63" s="6"/>
      <x:c r="T63" s="6"/>
      <x:c r="U63" s="6"/>
      <x:c r="V63" s="6"/>
      <x:c r="W63" s="6"/>
      <x:c r="X63" s="6"/>
      <x:c r="Y63" s="6"/>
      <x:c r="Z63" s="6"/>
    </x:row>
    <x:row r="64" s="1" customFormat="1" ht="12.75" hidden="0" customHeight="1">
      <x:c r="A64" s="6"/>
      <x:c r="B64" s="6"/>
      <x:c r="C64" s="6"/>
      <x:c r="D64" s="6"/>
      <x:c r="E64" s="6"/>
      <x:c r="F64" s="6"/>
      <x:c r="G64" s="6"/>
      <x:c r="H64" s="6"/>
      <x:c r="I64" s="6"/>
      <x:c r="J64" s="6"/>
      <x:c r="K64" s="6"/>
      <x:c r="L64" s="6"/>
      <x:c r="M64" s="6"/>
      <x:c r="N64" s="6"/>
      <x:c r="O64" s="6"/>
      <x:c r="P64" s="6"/>
      <x:c r="Q64" s="6"/>
      <x:c r="R64" s="6"/>
      <x:c r="S64" s="6"/>
      <x:c r="T64" s="6"/>
      <x:c r="U64" s="6"/>
      <x:c r="V64" s="6"/>
      <x:c r="W64" s="6"/>
      <x:c r="X64" s="6"/>
      <x:c r="Y64" s="6"/>
      <x:c r="Z64" s="6"/>
    </x:row>
    <x:row r="65" s="1" customFormat="1" ht="12.75" hidden="0" customHeight="1">
      <x:c r="A65" s="6"/>
      <x:c r="B65" s="6"/>
      <x:c r="C65" s="6"/>
      <x:c r="D65" s="6"/>
      <x:c r="E65" s="6"/>
      <x:c r="F65" s="6"/>
      <x:c r="G65" s="6"/>
      <x:c r="H65" s="6"/>
      <x:c r="I65" s="6"/>
      <x:c r="J65" s="6"/>
      <x:c r="K65" s="6"/>
      <x:c r="L65" s="6"/>
      <x:c r="M65" s="6"/>
      <x:c r="N65" s="6"/>
      <x:c r="O65" s="6"/>
      <x:c r="P65" s="6"/>
      <x:c r="Q65" s="6"/>
      <x:c r="R65" s="6"/>
      <x:c r="S65" s="6"/>
      <x:c r="T65" s="6"/>
      <x:c r="U65" s="6"/>
      <x:c r="V65" s="6"/>
      <x:c r="W65" s="6"/>
      <x:c r="X65" s="6"/>
      <x:c r="Y65" s="6"/>
      <x:c r="Z65" s="6"/>
    </x:row>
    <x:row r="66" s="1" customFormat="1" ht="12.75" hidden="0" customHeight="1">
      <x:c r="A66" s="6"/>
      <x:c r="B66" s="6"/>
      <x:c r="C66" s="6"/>
      <x:c r="D66" s="6"/>
      <x:c r="E66" s="6"/>
      <x:c r="F66" s="6"/>
      <x:c r="G66" s="6"/>
      <x:c r="H66" s="6"/>
      <x:c r="I66" s="6"/>
      <x:c r="J66" s="6"/>
      <x:c r="K66" s="6"/>
      <x:c r="L66" s="6"/>
      <x:c r="M66" s="6"/>
      <x:c r="N66" s="6"/>
      <x:c r="O66" s="6"/>
      <x:c r="P66" s="6"/>
      <x:c r="Q66" s="6"/>
      <x:c r="R66" s="6"/>
      <x:c r="S66" s="6"/>
      <x:c r="T66" s="6"/>
      <x:c r="U66" s="6"/>
      <x:c r="V66" s="6"/>
      <x:c r="W66" s="6"/>
      <x:c r="X66" s="6"/>
      <x:c r="Y66" s="6"/>
      <x:c r="Z66" s="6"/>
    </x:row>
    <x:row r="67" s="1" customFormat="1" ht="12.75" hidden="0" customHeight="1">
      <x:c r="A67" s="6"/>
      <x:c r="B67" s="6"/>
      <x:c r="C67" s="6"/>
      <x:c r="D67" s="6"/>
      <x:c r="E67" s="6"/>
      <x:c r="F67" s="6"/>
      <x:c r="G67" s="6"/>
      <x:c r="H67" s="6"/>
      <x:c r="I67" s="6"/>
      <x:c r="J67" s="6"/>
      <x:c r="K67" s="6"/>
      <x:c r="L67" s="6"/>
      <x:c r="M67" s="6"/>
      <x:c r="N67" s="6"/>
      <x:c r="O67" s="6"/>
      <x:c r="P67" s="6"/>
      <x:c r="Q67" s="6"/>
      <x:c r="R67" s="6"/>
      <x:c r="S67" s="6"/>
      <x:c r="T67" s="6"/>
      <x:c r="U67" s="6"/>
      <x:c r="V67" s="6"/>
      <x:c r="W67" s="6"/>
      <x:c r="X67" s="6"/>
      <x:c r="Y67" s="6"/>
      <x:c r="Z67" s="6"/>
    </x:row>
    <x:row r="68" s="1" customFormat="1" ht="12.75" hidden="0" customHeight="1">
      <x:c r="A68" s="6"/>
      <x:c r="B68" s="6"/>
      <x:c r="C68" s="6"/>
      <x:c r="D68" s="6"/>
      <x:c r="E68" s="6"/>
      <x:c r="F68" s="6"/>
      <x:c r="G68" s="6"/>
      <x:c r="H68" s="6"/>
      <x:c r="I68" s="6"/>
      <x:c r="J68" s="6"/>
      <x:c r="K68" s="6"/>
      <x:c r="L68" s="6"/>
      <x:c r="M68" s="6"/>
      <x:c r="N68" s="6"/>
      <x:c r="O68" s="6"/>
      <x:c r="P68" s="6"/>
      <x:c r="Q68" s="6"/>
      <x:c r="R68" s="6"/>
      <x:c r="S68" s="6"/>
      <x:c r="T68" s="6"/>
      <x:c r="U68" s="6"/>
      <x:c r="V68" s="6"/>
      <x:c r="W68" s="6"/>
      <x:c r="X68" s="6"/>
      <x:c r="Y68" s="6"/>
      <x:c r="Z68" s="6"/>
    </x:row>
    <x:row r="69" s="1" customFormat="1" ht="12.75" hidden="0" customHeight="1">
      <x:c r="A69" s="6"/>
      <x:c r="B69" s="6"/>
      <x:c r="C69" s="6"/>
      <x:c r="D69" s="6"/>
      <x:c r="E69" s="6"/>
      <x:c r="F69" s="6"/>
      <x:c r="G69" s="6"/>
      <x:c r="H69" s="6"/>
      <x:c r="I69" s="6"/>
      <x:c r="J69" s="6"/>
      <x:c r="K69" s="6"/>
      <x:c r="L69" s="6"/>
      <x:c r="M69" s="6"/>
      <x:c r="N69" s="6"/>
      <x:c r="O69" s="6"/>
      <x:c r="P69" s="6"/>
      <x:c r="Q69" s="6"/>
      <x:c r="R69" s="6"/>
      <x:c r="S69" s="6"/>
      <x:c r="T69" s="6"/>
      <x:c r="U69" s="6"/>
      <x:c r="V69" s="6"/>
      <x:c r="W69" s="6"/>
      <x:c r="X69" s="6"/>
      <x:c r="Y69" s="6"/>
      <x:c r="Z69" s="6"/>
    </x:row>
    <x:row r="70" s="1" customFormat="1" ht="12.75" hidden="0" customHeight="1">
      <x:c r="A70" s="6"/>
      <x:c r="B70" s="6"/>
      <x:c r="C70" s="6"/>
      <x:c r="D70" s="6"/>
      <x:c r="E70" s="6"/>
      <x:c r="F70" s="6"/>
      <x:c r="G70" s="6"/>
      <x:c r="H70" s="6"/>
      <x:c r="I70" s="6"/>
      <x:c r="J70" s="6"/>
      <x:c r="K70" s="6"/>
      <x:c r="L70" s="6"/>
      <x:c r="M70" s="6"/>
      <x:c r="N70" s="6"/>
      <x:c r="O70" s="6"/>
      <x:c r="P70" s="6"/>
      <x:c r="Q70" s="6"/>
      <x:c r="R70" s="6"/>
      <x:c r="S70" s="6"/>
      <x:c r="T70" s="6"/>
      <x:c r="U70" s="6"/>
      <x:c r="V70" s="6"/>
      <x:c r="W70" s="6"/>
      <x:c r="X70" s="6"/>
      <x:c r="Y70" s="6"/>
      <x:c r="Z70" s="6"/>
    </x:row>
    <x:row r="71" s="1" customFormat="1" ht="12.75" hidden="0" customHeight="1">
      <x:c r="A71" s="6"/>
      <x:c r="B71" s="6"/>
      <x:c r="C71" s="6"/>
      <x:c r="D71" s="6"/>
      <x:c r="E71" s="6"/>
      <x:c r="F71" s="6"/>
      <x:c r="G71" s="6"/>
      <x:c r="H71" s="6"/>
      <x:c r="I71" s="6"/>
      <x:c r="J71" s="6"/>
      <x:c r="K71" s="6"/>
      <x:c r="L71" s="6"/>
      <x:c r="M71" s="6"/>
      <x:c r="N71" s="6"/>
      <x:c r="O71" s="6"/>
      <x:c r="P71" s="6"/>
      <x:c r="Q71" s="6"/>
      <x:c r="R71" s="6"/>
      <x:c r="S71" s="6"/>
      <x:c r="T71" s="6"/>
      <x:c r="U71" s="6"/>
      <x:c r="V71" s="6"/>
      <x:c r="W71" s="6"/>
      <x:c r="X71" s="6"/>
      <x:c r="Y71" s="6"/>
      <x:c r="Z71" s="6"/>
    </x:row>
    <x:row r="72" s="1" customFormat="1" ht="12.75" hidden="0" customHeight="1">
      <x:c r="A72" s="6"/>
      <x:c r="B72" s="6"/>
      <x:c r="C72" s="6"/>
      <x:c r="D72" s="6"/>
      <x:c r="E72" s="6"/>
      <x:c r="F72" s="6"/>
      <x:c r="G72" s="6"/>
      <x:c r="H72" s="6"/>
      <x:c r="I72" s="6"/>
      <x:c r="J72" s="6"/>
      <x:c r="K72" s="6"/>
      <x:c r="L72" s="6"/>
      <x:c r="M72" s="6"/>
      <x:c r="N72" s="6"/>
      <x:c r="O72" s="6"/>
      <x:c r="P72" s="6"/>
      <x:c r="Q72" s="6"/>
      <x:c r="R72" s="6"/>
      <x:c r="S72" s="6"/>
      <x:c r="T72" s="6"/>
      <x:c r="U72" s="6"/>
      <x:c r="V72" s="6"/>
      <x:c r="W72" s="6"/>
      <x:c r="X72" s="6"/>
      <x:c r="Y72" s="6"/>
      <x:c r="Z72" s="6"/>
    </x:row>
    <x:row r="73" s="1" customFormat="1" ht="12.75" hidden="0" customHeight="1">
      <x:c r="A73" s="6"/>
      <x:c r="B73" s="6"/>
      <x:c r="C73" s="6"/>
      <x:c r="D73" s="6"/>
      <x:c r="E73" s="6"/>
      <x:c r="F73" s="6"/>
      <x:c r="G73" s="6"/>
      <x:c r="H73" s="6"/>
      <x:c r="I73" s="6"/>
      <x:c r="J73" s="6"/>
      <x:c r="K73" s="6"/>
      <x:c r="L73" s="6"/>
      <x:c r="M73" s="6"/>
      <x:c r="N73" s="6"/>
      <x:c r="O73" s="6"/>
      <x:c r="P73" s="6"/>
      <x:c r="Q73" s="6"/>
      <x:c r="R73" s="6"/>
      <x:c r="S73" s="6"/>
      <x:c r="T73" s="6"/>
      <x:c r="U73" s="6"/>
      <x:c r="V73" s="6"/>
      <x:c r="W73" s="6"/>
      <x:c r="X73" s="6"/>
      <x:c r="Y73" s="6"/>
      <x:c r="Z73" s="6"/>
    </x:row>
    <x:row r="74" s="1" customFormat="1" ht="12.75" hidden="0" customHeight="1">
      <x:c r="A74" s="6"/>
      <x:c r="B74" s="6"/>
      <x:c r="C74" s="6"/>
      <x:c r="D74" s="6"/>
      <x:c r="E74" s="6"/>
      <x:c r="F74" s="6"/>
      <x:c r="G74" s="6"/>
      <x:c r="H74" s="6"/>
      <x:c r="I74" s="6"/>
      <x:c r="J74" s="6"/>
      <x:c r="K74" s="6"/>
      <x:c r="L74" s="6"/>
      <x:c r="M74" s="6"/>
      <x:c r="N74" s="6"/>
      <x:c r="O74" s="6"/>
      <x:c r="P74" s="6"/>
      <x:c r="Q74" s="6"/>
      <x:c r="R74" s="6"/>
      <x:c r="S74" s="6"/>
      <x:c r="T74" s="6"/>
      <x:c r="U74" s="6"/>
      <x:c r="V74" s="6"/>
      <x:c r="W74" s="6"/>
      <x:c r="X74" s="6"/>
      <x:c r="Y74" s="6"/>
      <x:c r="Z74" s="6"/>
    </x:row>
    <x:row r="75" s="1" customFormat="1" ht="12.75" hidden="0" customHeight="1">
      <x:c r="A75" s="6"/>
      <x:c r="B75" s="6"/>
      <x:c r="C75" s="6"/>
      <x:c r="D75" s="6"/>
      <x:c r="E75" s="6"/>
      <x:c r="F75" s="6"/>
      <x:c r="G75" s="6"/>
      <x:c r="H75" s="6"/>
      <x:c r="I75" s="6"/>
      <x:c r="J75" s="6"/>
      <x:c r="K75" s="6"/>
      <x:c r="L75" s="6"/>
      <x:c r="M75" s="6"/>
      <x:c r="N75" s="6"/>
      <x:c r="O75" s="6"/>
      <x:c r="P75" s="6"/>
      <x:c r="Q75" s="6"/>
      <x:c r="R75" s="6"/>
      <x:c r="S75" s="6"/>
      <x:c r="T75" s="6"/>
      <x:c r="U75" s="6"/>
      <x:c r="V75" s="6"/>
      <x:c r="W75" s="6"/>
      <x:c r="X75" s="6"/>
      <x:c r="Y75" s="6"/>
      <x:c r="Z75" s="6"/>
    </x:row>
    <x:row r="76" s="1" customFormat="1" ht="12.75" hidden="0" customHeight="1">
      <x:c r="A76" s="6"/>
      <x:c r="B76" s="6"/>
      <x:c r="C76" s="6"/>
      <x:c r="D76" s="6"/>
      <x:c r="E76" s="6"/>
      <x:c r="F76" s="6"/>
      <x:c r="G76" s="6"/>
      <x:c r="H76" s="6"/>
      <x:c r="I76" s="6"/>
      <x:c r="J76" s="6"/>
      <x:c r="K76" s="6"/>
      <x:c r="L76" s="6"/>
      <x:c r="M76" s="6"/>
      <x:c r="N76" s="6"/>
      <x:c r="O76" s="6"/>
      <x:c r="P76" s="6"/>
      <x:c r="Q76" s="6"/>
      <x:c r="R76" s="6"/>
      <x:c r="S76" s="6"/>
      <x:c r="T76" s="6"/>
      <x:c r="U76" s="6"/>
      <x:c r="V76" s="6"/>
      <x:c r="W76" s="6"/>
      <x:c r="X76" s="6"/>
      <x:c r="Y76" s="6"/>
      <x:c r="Z76" s="6"/>
    </x:row>
    <x:row r="77" s="1" customFormat="1" ht="12.75" hidden="0" customHeight="1">
      <x:c r="A77" s="6"/>
      <x:c r="B77" s="6"/>
      <x:c r="C77" s="6"/>
      <x:c r="D77" s="6"/>
      <x:c r="E77" s="6"/>
      <x:c r="F77" s="6"/>
      <x:c r="G77" s="6"/>
      <x:c r="H77" s="6"/>
      <x:c r="I77" s="6"/>
      <x:c r="J77" s="6"/>
      <x:c r="K77" s="6"/>
      <x:c r="L77" s="6"/>
      <x:c r="M77" s="6"/>
      <x:c r="N77" s="6"/>
      <x:c r="O77" s="6"/>
      <x:c r="P77" s="6"/>
      <x:c r="Q77" s="6"/>
      <x:c r="R77" s="6"/>
      <x:c r="S77" s="6"/>
      <x:c r="T77" s="6"/>
      <x:c r="U77" s="6"/>
      <x:c r="V77" s="6"/>
      <x:c r="W77" s="6"/>
      <x:c r="X77" s="6"/>
      <x:c r="Y77" s="6"/>
      <x:c r="Z77" s="6"/>
    </x:row>
    <x:row r="78" s="1" customFormat="1" ht="12.75" hidden="0" customHeight="1">
      <x:c r="A78" s="6"/>
      <x:c r="B78" s="6"/>
      <x:c r="C78" s="6"/>
      <x:c r="D78" s="6"/>
      <x:c r="E78" s="6"/>
      <x:c r="F78" s="6"/>
      <x:c r="G78" s="6"/>
      <x:c r="H78" s="6"/>
      <x:c r="I78" s="6"/>
      <x:c r="J78" s="6"/>
      <x:c r="K78" s="6"/>
      <x:c r="L78" s="6"/>
      <x:c r="M78" s="6"/>
      <x:c r="N78" s="6"/>
      <x:c r="O78" s="6"/>
      <x:c r="P78" s="6"/>
      <x:c r="Q78" s="6"/>
      <x:c r="R78" s="6"/>
      <x:c r="S78" s="6"/>
      <x:c r="T78" s="6"/>
      <x:c r="U78" s="6"/>
      <x:c r="V78" s="6"/>
      <x:c r="W78" s="6"/>
      <x:c r="X78" s="6"/>
      <x:c r="Y78" s="6"/>
      <x:c r="Z78" s="6"/>
    </x:row>
    <x:row r="79" s="1" customFormat="1" ht="12.75" hidden="0" customHeight="1">
      <x:c r="A79" s="6"/>
      <x:c r="B79" s="6"/>
      <x:c r="C79" s="6"/>
      <x:c r="D79" s="6"/>
      <x:c r="E79" s="6"/>
      <x:c r="F79" s="6"/>
      <x:c r="G79" s="6"/>
      <x:c r="H79" s="6"/>
      <x:c r="I79" s="6"/>
      <x:c r="J79" s="6"/>
      <x:c r="K79" s="6"/>
      <x:c r="L79" s="6"/>
      <x:c r="M79" s="6"/>
      <x:c r="N79" s="6"/>
      <x:c r="O79" s="6"/>
      <x:c r="P79" s="6"/>
      <x:c r="Q79" s="6"/>
      <x:c r="R79" s="6"/>
      <x:c r="S79" s="6"/>
      <x:c r="T79" s="6"/>
      <x:c r="U79" s="6"/>
      <x:c r="V79" s="6"/>
      <x:c r="W79" s="6"/>
      <x:c r="X79" s="6"/>
      <x:c r="Y79" s="6"/>
      <x:c r="Z79" s="6"/>
    </x:row>
    <x:row r="80" s="1" customFormat="1" ht="12.75" hidden="0" customHeight="1">
      <x:c r="A80" s="6"/>
      <x:c r="B80" s="6"/>
      <x:c r="C80" s="6"/>
      <x:c r="D80" s="6"/>
      <x:c r="E80" s="6"/>
      <x:c r="F80" s="6"/>
      <x:c r="G80" s="6"/>
      <x:c r="H80" s="6"/>
      <x:c r="I80" s="6"/>
      <x:c r="J80" s="6"/>
      <x:c r="K80" s="6"/>
      <x:c r="L80" s="6"/>
      <x:c r="M80" s="6"/>
      <x:c r="N80" s="6"/>
      <x:c r="O80" s="6"/>
      <x:c r="P80" s="6"/>
      <x:c r="Q80" s="6"/>
      <x:c r="R80" s="6"/>
      <x:c r="S80" s="6"/>
      <x:c r="T80" s="6"/>
      <x:c r="U80" s="6"/>
      <x:c r="V80" s="6"/>
      <x:c r="W80" s="6"/>
      <x:c r="X80" s="6"/>
      <x:c r="Y80" s="6"/>
      <x:c r="Z80" s="6"/>
    </x:row>
    <x:row r="81" s="1" customFormat="1" ht="12.75" hidden="0" customHeight="1">
      <x:c r="A81" s="6"/>
      <x:c r="B81" s="6"/>
      <x:c r="C81" s="6"/>
      <x:c r="D81" s="6"/>
      <x:c r="E81" s="6"/>
      <x:c r="F81" s="6"/>
      <x:c r="G81" s="6"/>
      <x:c r="H81" s="6"/>
      <x:c r="I81" s="6"/>
      <x:c r="J81" s="6"/>
      <x:c r="K81" s="6"/>
      <x:c r="L81" s="6"/>
      <x:c r="M81" s="6"/>
      <x:c r="N81" s="6"/>
      <x:c r="O81" s="6"/>
      <x:c r="P81" s="6"/>
      <x:c r="Q81" s="6"/>
      <x:c r="R81" s="6"/>
      <x:c r="S81" s="6"/>
      <x:c r="T81" s="6"/>
      <x:c r="U81" s="6"/>
      <x:c r="V81" s="6"/>
      <x:c r="W81" s="6"/>
      <x:c r="X81" s="6"/>
      <x:c r="Y81" s="6"/>
      <x:c r="Z81" s="6"/>
    </x:row>
    <x:row r="82" s="1" customFormat="1" ht="12.75" hidden="0" customHeight="1">
      <x:c r="A82" s="6"/>
      <x:c r="B82" s="6"/>
      <x:c r="C82" s="6"/>
      <x:c r="D82" s="6"/>
      <x:c r="E82" s="6"/>
      <x:c r="F82" s="6"/>
      <x:c r="G82" s="6"/>
      <x:c r="H82" s="6"/>
      <x:c r="I82" s="6"/>
      <x:c r="J82" s="6"/>
      <x:c r="K82" s="6"/>
      <x:c r="L82" s="6"/>
      <x:c r="M82" s="6"/>
      <x:c r="N82" s="6"/>
      <x:c r="O82" s="6"/>
      <x:c r="P82" s="6"/>
      <x:c r="Q82" s="6"/>
      <x:c r="R82" s="6"/>
      <x:c r="S82" s="6"/>
      <x:c r="T82" s="6"/>
      <x:c r="U82" s="6"/>
      <x:c r="V82" s="6"/>
      <x:c r="W82" s="6"/>
      <x:c r="X82" s="6"/>
      <x:c r="Y82" s="6"/>
      <x:c r="Z82" s="6"/>
    </x:row>
    <x:row r="83" s="1" customFormat="1" ht="12.75" hidden="0" customHeight="1">
      <x:c r="A83" s="6"/>
      <x:c r="B83" s="6"/>
      <x:c r="C83" s="6"/>
      <x:c r="D83" s="6"/>
      <x:c r="E83" s="6"/>
      <x:c r="F83" s="6"/>
      <x:c r="G83" s="6"/>
      <x:c r="H83" s="6"/>
      <x:c r="I83" s="6"/>
      <x:c r="J83" s="6"/>
      <x:c r="K83" s="6"/>
      <x:c r="L83" s="6"/>
      <x:c r="M83" s="6"/>
      <x:c r="N83" s="6"/>
      <x:c r="O83" s="6"/>
      <x:c r="P83" s="6"/>
      <x:c r="Q83" s="6"/>
      <x:c r="R83" s="6"/>
      <x:c r="S83" s="6"/>
      <x:c r="T83" s="6"/>
      <x:c r="U83" s="6"/>
      <x:c r="V83" s="6"/>
      <x:c r="W83" s="6"/>
      <x:c r="X83" s="6"/>
      <x:c r="Y83" s="6"/>
      <x:c r="Z83" s="6"/>
    </x:row>
    <x:row r="84" s="1" customFormat="1" ht="12.75" hidden="0" customHeight="1">
      <x:c r="A84" s="6"/>
      <x:c r="B84" s="6"/>
      <x:c r="C84" s="6"/>
      <x:c r="D84" s="6"/>
      <x:c r="E84" s="6"/>
      <x:c r="F84" s="6"/>
      <x:c r="G84" s="6"/>
      <x:c r="H84" s="6"/>
      <x:c r="I84" s="6"/>
      <x:c r="J84" s="6"/>
      <x:c r="K84" s="6"/>
      <x:c r="L84" s="6"/>
      <x:c r="M84" s="6"/>
      <x:c r="N84" s="6"/>
      <x:c r="O84" s="6"/>
      <x:c r="P84" s="6"/>
      <x:c r="Q84" s="6"/>
      <x:c r="R84" s="6"/>
      <x:c r="S84" s="6"/>
      <x:c r="T84" s="6"/>
      <x:c r="U84" s="6"/>
      <x:c r="V84" s="6"/>
      <x:c r="W84" s="6"/>
      <x:c r="X84" s="6"/>
      <x:c r="Y84" s="6"/>
      <x:c r="Z84" s="6"/>
    </x:row>
    <x:row r="85" s="1" customFormat="1" ht="12.75" hidden="0" customHeight="1">
      <x:c r="A85" s="6"/>
      <x:c r="B85" s="6"/>
      <x:c r="C85" s="6"/>
      <x:c r="D85" s="6"/>
      <x:c r="E85" s="6"/>
      <x:c r="F85" s="6"/>
      <x:c r="G85" s="6"/>
      <x:c r="H85" s="6"/>
      <x:c r="I85" s="6"/>
      <x:c r="J85" s="6"/>
      <x:c r="K85" s="6"/>
      <x:c r="L85" s="6"/>
      <x:c r="M85" s="6"/>
      <x:c r="N85" s="6"/>
      <x:c r="O85" s="6"/>
      <x:c r="P85" s="6"/>
      <x:c r="Q85" s="6"/>
      <x:c r="R85" s="6"/>
      <x:c r="S85" s="6"/>
      <x:c r="T85" s="6"/>
      <x:c r="U85" s="6"/>
      <x:c r="V85" s="6"/>
      <x:c r="W85" s="6"/>
      <x:c r="X85" s="6"/>
      <x:c r="Y85" s="6"/>
      <x:c r="Z85" s="6"/>
    </x:row>
    <x:row r="86" s="1" customFormat="1" ht="12.75" hidden="0" customHeight="1">
      <x:c r="A86" s="6"/>
      <x:c r="B86" s="6"/>
      <x:c r="C86" s="6"/>
      <x:c r="D86" s="6"/>
      <x:c r="E86" s="6"/>
      <x:c r="F86" s="6"/>
      <x:c r="G86" s="6"/>
      <x:c r="H86" s="6"/>
      <x:c r="I86" s="6"/>
      <x:c r="J86" s="6"/>
      <x:c r="K86" s="6"/>
      <x:c r="L86" s="6"/>
      <x:c r="M86" s="6"/>
      <x:c r="N86" s="6"/>
      <x:c r="O86" s="6"/>
      <x:c r="P86" s="6"/>
      <x:c r="Q86" s="6"/>
      <x:c r="R86" s="6"/>
      <x:c r="S86" s="6"/>
      <x:c r="T86" s="6"/>
      <x:c r="U86" s="6"/>
      <x:c r="V86" s="6"/>
      <x:c r="W86" s="6"/>
      <x:c r="X86" s="6"/>
      <x:c r="Y86" s="6"/>
      <x:c r="Z86" s="6"/>
    </x:row>
    <x:row r="87" s="1" customFormat="1" ht="12.75" hidden="0" customHeight="1">
      <x:c r="A87" s="6"/>
      <x:c r="B87" s="6"/>
      <x:c r="C87" s="6"/>
      <x:c r="D87" s="6"/>
      <x:c r="E87" s="6"/>
      <x:c r="F87" s="6"/>
      <x:c r="G87" s="6"/>
      <x:c r="H87" s="6"/>
      <x:c r="I87" s="6"/>
      <x:c r="J87" s="6"/>
      <x:c r="K87" s="6"/>
      <x:c r="L87" s="6"/>
      <x:c r="M87" s="6"/>
      <x:c r="N87" s="6"/>
      <x:c r="O87" s="6"/>
      <x:c r="P87" s="6"/>
      <x:c r="Q87" s="6"/>
      <x:c r="R87" s="6"/>
      <x:c r="S87" s="6"/>
      <x:c r="T87" s="6"/>
      <x:c r="U87" s="6"/>
      <x:c r="V87" s="6"/>
      <x:c r="W87" s="6"/>
      <x:c r="X87" s="6"/>
      <x:c r="Y87" s="6"/>
      <x:c r="Z87" s="6"/>
    </x:row>
    <x:row r="88" s="1" customFormat="1" ht="12.75" hidden="0" customHeight="1">
      <x:c r="A88" s="6"/>
      <x:c r="B88" s="6"/>
      <x:c r="C88" s="6"/>
      <x:c r="D88" s="6"/>
      <x:c r="E88" s="6"/>
      <x:c r="F88" s="6"/>
      <x:c r="G88" s="6"/>
      <x:c r="H88" s="6"/>
      <x:c r="I88" s="6"/>
      <x:c r="J88" s="6"/>
      <x:c r="K88" s="6"/>
      <x:c r="L88" s="6"/>
      <x:c r="M88" s="6"/>
      <x:c r="N88" s="6"/>
      <x:c r="O88" s="6"/>
      <x:c r="P88" s="6"/>
      <x:c r="Q88" s="6"/>
      <x:c r="R88" s="6"/>
      <x:c r="S88" s="6"/>
      <x:c r="T88" s="6"/>
      <x:c r="U88" s="6"/>
      <x:c r="V88" s="6"/>
      <x:c r="W88" s="6"/>
      <x:c r="X88" s="6"/>
      <x:c r="Y88" s="6"/>
      <x:c r="Z88" s="6"/>
    </x:row>
    <x:row r="89" s="1" customFormat="1" ht="12.75" hidden="0" customHeight="1">
      <x:c r="A89" s="6"/>
      <x:c r="B89" s="6"/>
      <x:c r="C89" s="6"/>
      <x:c r="D89" s="6"/>
      <x:c r="E89" s="6"/>
      <x:c r="F89" s="6"/>
      <x:c r="G89" s="6"/>
      <x:c r="H89" s="6"/>
      <x:c r="I89" s="6"/>
      <x:c r="J89" s="6"/>
      <x:c r="K89" s="6"/>
      <x:c r="L89" s="6"/>
      <x:c r="M89" s="6"/>
      <x:c r="N89" s="6"/>
      <x:c r="O89" s="6"/>
      <x:c r="P89" s="6"/>
      <x:c r="Q89" s="6"/>
      <x:c r="R89" s="6"/>
      <x:c r="S89" s="6"/>
      <x:c r="T89" s="6"/>
      <x:c r="U89" s="6"/>
      <x:c r="V89" s="6"/>
      <x:c r="W89" s="6"/>
      <x:c r="X89" s="6"/>
      <x:c r="Y89" s="6"/>
      <x:c r="Z89" s="6"/>
    </x:row>
    <x:row r="90" s="1" customFormat="1" ht="12.75" hidden="0" customHeight="1">
      <x:c r="A90" s="6"/>
      <x:c r="B90" s="6"/>
      <x:c r="C90" s="6"/>
      <x:c r="D90" s="6"/>
      <x:c r="E90" s="6"/>
      <x:c r="F90" s="6"/>
      <x:c r="G90" s="6"/>
      <x:c r="H90" s="6"/>
      <x:c r="I90" s="6"/>
      <x:c r="J90" s="6"/>
      <x:c r="K90" s="6"/>
      <x:c r="L90" s="6"/>
      <x:c r="M90" s="6"/>
      <x:c r="N90" s="6"/>
      <x:c r="O90" s="6"/>
      <x:c r="P90" s="6"/>
      <x:c r="Q90" s="6"/>
      <x:c r="R90" s="6"/>
      <x:c r="S90" s="6"/>
      <x:c r="T90" s="6"/>
      <x:c r="U90" s="6"/>
      <x:c r="V90" s="6"/>
      <x:c r="W90" s="6"/>
      <x:c r="X90" s="6"/>
      <x:c r="Y90" s="6"/>
      <x:c r="Z90" s="6"/>
    </x:row>
    <x:row r="91" s="1" customFormat="1" ht="12.75" hidden="0" customHeight="1">
      <x:c r="A91" s="6"/>
      <x:c r="B91" s="6"/>
      <x:c r="C91" s="6"/>
      <x:c r="D91" s="6"/>
      <x:c r="E91" s="6"/>
      <x:c r="F91" s="6"/>
      <x:c r="G91" s="6"/>
      <x:c r="H91" s="6"/>
      <x:c r="I91" s="6"/>
      <x:c r="J91" s="6"/>
      <x:c r="K91" s="6"/>
      <x:c r="L91" s="6"/>
      <x:c r="M91" s="6"/>
      <x:c r="N91" s="6"/>
      <x:c r="O91" s="6"/>
      <x:c r="P91" s="6"/>
      <x:c r="Q91" s="6"/>
      <x:c r="R91" s="6"/>
      <x:c r="S91" s="6"/>
      <x:c r="T91" s="6"/>
      <x:c r="U91" s="6"/>
      <x:c r="V91" s="6"/>
      <x:c r="W91" s="6"/>
      <x:c r="X91" s="6"/>
      <x:c r="Y91" s="6"/>
      <x:c r="Z91" s="6"/>
    </x:row>
    <x:row r="92" s="1" customFormat="1" ht="12.75" hidden="0" customHeight="1">
      <x:c r="A92" s="6"/>
      <x:c r="B92" s="6"/>
      <x:c r="C92" s="6"/>
      <x:c r="D92" s="6"/>
      <x:c r="E92" s="6"/>
      <x:c r="F92" s="6"/>
      <x:c r="G92" s="6"/>
      <x:c r="H92" s="6"/>
      <x:c r="I92" s="6"/>
      <x:c r="J92" s="6"/>
      <x:c r="K92" s="6"/>
      <x:c r="L92" s="6"/>
      <x:c r="M92" s="6"/>
      <x:c r="N92" s="6"/>
      <x:c r="O92" s="6"/>
      <x:c r="P92" s="6"/>
      <x:c r="Q92" s="6"/>
      <x:c r="R92" s="6"/>
      <x:c r="S92" s="6"/>
      <x:c r="T92" s="6"/>
      <x:c r="U92" s="6"/>
      <x:c r="V92" s="6"/>
      <x:c r="W92" s="6"/>
      <x:c r="X92" s="6"/>
      <x:c r="Y92" s="6"/>
      <x:c r="Z92" s="6"/>
    </x:row>
    <x:row r="93" s="1" customFormat="1" ht="12.75" hidden="0" customHeight="1">
      <x:c r="A93" s="6"/>
      <x:c r="B93" s="6"/>
      <x:c r="C93" s="6"/>
      <x:c r="D93" s="6"/>
      <x:c r="E93" s="6"/>
      <x:c r="F93" s="6"/>
      <x:c r="G93" s="6"/>
      <x:c r="H93" s="6"/>
      <x:c r="I93" s="6"/>
      <x:c r="J93" s="6"/>
      <x:c r="K93" s="6"/>
      <x:c r="L93" s="6"/>
      <x:c r="M93" s="6"/>
      <x:c r="N93" s="6"/>
      <x:c r="O93" s="6"/>
      <x:c r="P93" s="6"/>
      <x:c r="Q93" s="6"/>
      <x:c r="R93" s="6"/>
      <x:c r="S93" s="6"/>
      <x:c r="T93" s="6"/>
      <x:c r="U93" s="6"/>
      <x:c r="V93" s="6"/>
      <x:c r="W93" s="6"/>
      <x:c r="X93" s="6"/>
      <x:c r="Y93" s="6"/>
      <x:c r="Z93" s="6"/>
    </x:row>
    <x:row r="94" s="1" customFormat="1" ht="12.75" hidden="0" customHeight="1">
      <x:c r="A94" s="6"/>
      <x:c r="B94" s="6"/>
      <x:c r="C94" s="6"/>
      <x:c r="D94" s="6"/>
      <x:c r="E94" s="6"/>
      <x:c r="F94" s="6"/>
      <x:c r="G94" s="6"/>
      <x:c r="H94" s="6"/>
      <x:c r="I94" s="6"/>
      <x:c r="J94" s="6"/>
      <x:c r="K94" s="6"/>
      <x:c r="L94" s="6"/>
      <x:c r="M94" s="6"/>
      <x:c r="N94" s="6"/>
      <x:c r="O94" s="6"/>
      <x:c r="P94" s="6"/>
      <x:c r="Q94" s="6"/>
      <x:c r="R94" s="6"/>
      <x:c r="S94" s="6"/>
      <x:c r="T94" s="6"/>
      <x:c r="U94" s="6"/>
      <x:c r="V94" s="6"/>
      <x:c r="W94" s="6"/>
      <x:c r="X94" s="6"/>
      <x:c r="Y94" s="6"/>
      <x:c r="Z94" s="6"/>
    </x:row>
    <x:row r="95" s="1" customFormat="1" ht="12.75" hidden="0" customHeight="1">
      <x:c r="A95" s="6"/>
      <x:c r="B95" s="6"/>
      <x:c r="C95" s="6"/>
      <x:c r="D95" s="6"/>
      <x:c r="E95" s="6"/>
      <x:c r="F95" s="6"/>
      <x:c r="G95" s="6"/>
      <x:c r="H95" s="6"/>
      <x:c r="I95" s="6"/>
      <x:c r="J95" s="6"/>
      <x:c r="K95" s="6"/>
      <x:c r="L95" s="6"/>
      <x:c r="M95" s="6"/>
      <x:c r="N95" s="6"/>
      <x:c r="O95" s="6"/>
      <x:c r="P95" s="6"/>
      <x:c r="Q95" s="6"/>
      <x:c r="R95" s="6"/>
      <x:c r="S95" s="6"/>
      <x:c r="T95" s="6"/>
      <x:c r="U95" s="6"/>
      <x:c r="V95" s="6"/>
      <x:c r="W95" s="6"/>
      <x:c r="X95" s="6"/>
      <x:c r="Y95" s="6"/>
      <x:c r="Z95" s="6"/>
    </x:row>
    <x:row r="96" s="1" customFormat="1" ht="12.75" hidden="0" customHeight="1">
      <x:c r="A96" s="6"/>
      <x:c r="B96" s="6"/>
      <x:c r="C96" s="6"/>
      <x:c r="D96" s="6"/>
      <x:c r="E96" s="6"/>
      <x:c r="F96" s="6"/>
      <x:c r="G96" s="6"/>
      <x:c r="H96" s="6"/>
      <x:c r="I96" s="6"/>
      <x:c r="J96" s="6"/>
      <x:c r="K96" s="6"/>
      <x:c r="L96" s="6"/>
      <x:c r="M96" s="6"/>
      <x:c r="N96" s="6"/>
      <x:c r="O96" s="6"/>
      <x:c r="P96" s="6"/>
      <x:c r="Q96" s="6"/>
      <x:c r="R96" s="6"/>
      <x:c r="S96" s="6"/>
      <x:c r="T96" s="6"/>
      <x:c r="U96" s="6"/>
      <x:c r="V96" s="6"/>
      <x:c r="W96" s="6"/>
      <x:c r="X96" s="6"/>
      <x:c r="Y96" s="6"/>
      <x:c r="Z96" s="6"/>
    </x:row>
    <x:row r="97" s="1" customFormat="1" ht="12.75" hidden="0" customHeight="1">
      <x:c r="A97" s="6"/>
      <x:c r="B97" s="6"/>
      <x:c r="C97" s="6"/>
      <x:c r="D97" s="6"/>
      <x:c r="E97" s="6"/>
      <x:c r="F97" s="6"/>
      <x:c r="G97" s="6"/>
      <x:c r="H97" s="6"/>
      <x:c r="I97" s="6"/>
      <x:c r="J97" s="6"/>
      <x:c r="K97" s="6"/>
      <x:c r="L97" s="6"/>
      <x:c r="M97" s="6"/>
      <x:c r="N97" s="6"/>
      <x:c r="O97" s="6"/>
      <x:c r="P97" s="6"/>
      <x:c r="Q97" s="6"/>
      <x:c r="R97" s="6"/>
      <x:c r="S97" s="6"/>
      <x:c r="T97" s="6"/>
      <x:c r="U97" s="6"/>
      <x:c r="V97" s="6"/>
      <x:c r="W97" s="6"/>
      <x:c r="X97" s="6"/>
      <x:c r="Y97" s="6"/>
      <x:c r="Z97" s="6"/>
    </x:row>
    <x:row r="98" s="1" customFormat="1" ht="12.75" hidden="0" customHeight="1">
      <x:c r="A98" s="6"/>
      <x:c r="B98" s="6"/>
      <x:c r="C98" s="6"/>
      <x:c r="D98" s="6"/>
      <x:c r="E98" s="6"/>
      <x:c r="F98" s="6"/>
      <x:c r="G98" s="6"/>
      <x:c r="H98" s="6"/>
      <x:c r="I98" s="6"/>
      <x:c r="J98" s="6"/>
      <x:c r="K98" s="6"/>
      <x:c r="L98" s="6"/>
      <x:c r="M98" s="6"/>
      <x:c r="N98" s="6"/>
      <x:c r="O98" s="6"/>
      <x:c r="P98" s="6"/>
      <x:c r="Q98" s="6"/>
      <x:c r="R98" s="6"/>
      <x:c r="S98" s="6"/>
      <x:c r="T98" s="6"/>
      <x:c r="U98" s="6"/>
      <x:c r="V98" s="6"/>
      <x:c r="W98" s="6"/>
      <x:c r="X98" s="6"/>
      <x:c r="Y98" s="6"/>
      <x:c r="Z98" s="6"/>
    </x:row>
    <x:row r="99" s="1" customFormat="1" ht="12.75" hidden="0" customHeight="1">
      <x:c r="A99" s="6"/>
      <x:c r="B99" s="6"/>
      <x:c r="C99" s="6"/>
      <x:c r="D99" s="6"/>
      <x:c r="E99" s="6"/>
      <x:c r="F99" s="6"/>
      <x:c r="G99" s="6"/>
      <x:c r="H99" s="6"/>
      <x:c r="I99" s="6"/>
      <x:c r="J99" s="6"/>
      <x:c r="K99" s="6"/>
      <x:c r="L99" s="6"/>
      <x:c r="M99" s="6"/>
      <x:c r="N99" s="6"/>
      <x:c r="O99" s="6"/>
      <x:c r="P99" s="6"/>
      <x:c r="Q99" s="6"/>
      <x:c r="R99" s="6"/>
      <x:c r="S99" s="6"/>
      <x:c r="T99" s="6"/>
      <x:c r="U99" s="6"/>
      <x:c r="V99" s="6"/>
      <x:c r="W99" s="6"/>
      <x:c r="X99" s="6"/>
      <x:c r="Y99" s="6"/>
      <x:c r="Z99" s="6"/>
    </x:row>
    <x:row r="100" s="1" customFormat="1" ht="12.75" hidden="0" customHeight="1">
      <x:c r="A100" s="6"/>
      <x:c r="B100" s="6"/>
      <x:c r="C100" s="6"/>
      <x:c r="D100" s="6"/>
      <x:c r="E100" s="6"/>
      <x:c r="F100" s="6"/>
      <x:c r="G100" s="6"/>
      <x:c r="H100" s="6"/>
      <x:c r="I100" s="6"/>
      <x:c r="J100" s="6"/>
      <x:c r="K100" s="6"/>
      <x:c r="L100" s="6"/>
      <x:c r="M100" s="6"/>
      <x:c r="N100" s="6"/>
      <x:c r="O100" s="6"/>
      <x:c r="P100" s="6"/>
      <x:c r="Q100" s="6"/>
      <x:c r="R100" s="6"/>
      <x:c r="S100" s="6"/>
      <x:c r="T100" s="6"/>
      <x:c r="U100" s="6"/>
      <x:c r="V100" s="6"/>
      <x:c r="W100" s="6"/>
      <x:c r="X100" s="6"/>
      <x:c r="Y100" s="6"/>
      <x:c r="Z100" s="6"/>
    </x:row>
  </x:sheetData>
  <x:pageMargins left="0.7" right="0.7" top="0.75" bottom="0.75" header="0.3" footer="0.3"/>
</x:worksheet>
</file>

<file path=xl/worksheets/sheet53.xml><?xml version="1.0" encoding="utf-8"?>
<x:worksheet xmlns:x="http://schemas.openxmlformats.org/spreadsheetml/2006/main">
  <x:sheetViews>
    <x:sheetView showGridLines="1" workbookViewId="0"/>
  </x:sheetViews>
  <x:sheetFormatPr defaultColWidth="8.6796875" defaultRowHeight="12.75"/>
  <x:cols>
    <x:col min="1" max="1" width="31" style="1" hidden="0" customWidth="1"/>
    <x:col min="2" max="3" width="36" style="1" hidden="0" customWidth="1"/>
    <x:col min="4" max="26" width="16" style="1" hidden="0" customWidth="1"/>
  </x:cols>
  <x:sheetData>
    <x:row r="1" s="1" customFormat="1" ht="12.75" hidden="0" customHeight="1">
      <x:c r="A1" s="2" t="s">
        <x:v>346</x:v>
      </x:c>
      <x:c r="B1" s="2" t="s">
        <x:v>347</x:v>
      </x:c>
      <x:c r="C1" s="2" t="s">
        <x:v>1203</x:v>
      </x:c>
      <x:c r="D1" s="3"/>
      <x:c r="E1" s="3"/>
      <x:c r="F1" s="3"/>
      <x:c r="G1" s="3"/>
      <x:c r="H1" s="3"/>
      <x:c r="I1" s="3"/>
      <x:c r="J1" s="3"/>
      <x:c r="K1" s="3"/>
      <x:c r="L1" s="3"/>
      <x:c r="M1" s="3"/>
      <x:c r="N1" s="3"/>
      <x:c r="O1" s="3"/>
      <x:c r="P1" s="3"/>
      <x:c r="Q1" s="3"/>
      <x:c r="R1" s="3"/>
      <x:c r="S1" s="3"/>
      <x:c r="T1" s="3"/>
      <x:c r="U1" s="3"/>
      <x:c r="V1" s="3"/>
      <x:c r="W1" s="3"/>
      <x:c r="X1" s="3"/>
      <x:c r="Y1" s="3"/>
      <x:c r="Z1" s="3"/>
    </x:row>
    <x:row r="2" s="1" customFormat="1" ht="12.75" hidden="0" customHeight="1">
      <x:c r="A2" s="4" t="s">
        <x:v>2709</x:v>
      </x:c>
      <x:c r="B2" s="5" t="s">
        <x:v>432</x:v>
      </x:c>
      <x:c r="C2" s="5" t="s">
        <x:v>3808</x:v>
      </x:c>
      <x:c r="D2" s="6"/>
      <x:c r="E2" s="6"/>
      <x:c r="F2" s="6"/>
      <x:c r="G2" s="6"/>
      <x:c r="H2" s="6"/>
      <x:c r="I2" s="6"/>
      <x:c r="J2" s="6"/>
      <x:c r="K2" s="6"/>
      <x:c r="L2" s="6"/>
      <x:c r="M2" s="6"/>
      <x:c r="N2" s="6"/>
      <x:c r="O2" s="6"/>
      <x:c r="P2" s="6"/>
      <x:c r="Q2" s="6"/>
      <x:c r="R2" s="6"/>
      <x:c r="S2" s="6"/>
      <x:c r="T2" s="6"/>
      <x:c r="U2" s="6"/>
      <x:c r="V2" s="6"/>
      <x:c r="W2" s="6"/>
      <x:c r="X2" s="6"/>
      <x:c r="Y2" s="6"/>
      <x:c r="Z2" s="6"/>
    </x:row>
    <x:row r="3" s="1" customFormat="1" ht="12.75" hidden="0" customHeight="1">
      <x:c r="A3" s="7" t="s">
        <x:v>3809</x:v>
      </x:c>
      <x:c r="B3" s="8" t="s">
        <x:v>3810</x:v>
      </x:c>
      <x:c r="C3" s="8" t="s">
        <x:v>3811</x:v>
      </x:c>
      <x:c r="D3" s="6"/>
      <x:c r="E3" s="6"/>
      <x:c r="F3" s="6"/>
      <x:c r="G3" s="6"/>
      <x:c r="H3" s="6"/>
      <x:c r="I3" s="6"/>
      <x:c r="J3" s="6"/>
      <x:c r="K3" s="6"/>
      <x:c r="L3" s="6"/>
      <x:c r="M3" s="6"/>
      <x:c r="N3" s="6"/>
      <x:c r="O3" s="6"/>
      <x:c r="P3" s="6"/>
      <x:c r="Q3" s="6"/>
      <x:c r="R3" s="6"/>
      <x:c r="S3" s="6"/>
      <x:c r="T3" s="6"/>
      <x:c r="U3" s="6"/>
      <x:c r="V3" s="6"/>
      <x:c r="W3" s="6"/>
      <x:c r="X3" s="6"/>
      <x:c r="Y3" s="6"/>
      <x:c r="Z3" s="6"/>
    </x:row>
    <x:row r="4" s="1" customFormat="1" ht="26.25" hidden="0" customHeight="1">
      <x:c r="A4" s="7" t="s">
        <x:v>3812</x:v>
      </x:c>
      <x:c r="B4" s="5" t="s">
        <x:v>3813</x:v>
      </x:c>
      <x:c r="C4" s="5" t="s">
        <x:v>3814</x:v>
      </x:c>
      <x:c r="D4" s="6"/>
      <x:c r="E4" s="6"/>
      <x:c r="F4" s="6"/>
      <x:c r="G4" s="6"/>
      <x:c r="H4" s="6"/>
      <x:c r="I4" s="6"/>
      <x:c r="J4" s="6"/>
      <x:c r="K4" s="6"/>
      <x:c r="L4" s="6"/>
      <x:c r="M4" s="6"/>
      <x:c r="N4" s="6"/>
      <x:c r="O4" s="6"/>
      <x:c r="P4" s="6"/>
      <x:c r="Q4" s="6"/>
      <x:c r="R4" s="6"/>
      <x:c r="S4" s="6"/>
      <x:c r="T4" s="6"/>
      <x:c r="U4" s="6"/>
      <x:c r="V4" s="6"/>
      <x:c r="W4" s="6"/>
      <x:c r="X4" s="6"/>
      <x:c r="Y4" s="6"/>
      <x:c r="Z4" s="6"/>
    </x:row>
    <x:row r="5" s="1" customFormat="1" ht="26.25" hidden="0" customHeight="1">
      <x:c r="A5" s="7" t="s">
        <x:v>3815</x:v>
      </x:c>
      <x:c r="B5" s="8" t="s">
        <x:v>3816</x:v>
      </x:c>
      <x:c r="C5" s="8" t="s">
        <x:v>3817</x:v>
      </x:c>
      <x:c r="D5" s="6"/>
      <x:c r="E5" s="6"/>
      <x:c r="F5" s="6"/>
      <x:c r="G5" s="6"/>
      <x:c r="H5" s="6"/>
      <x:c r="I5" s="6"/>
      <x:c r="J5" s="6"/>
      <x:c r="K5" s="6"/>
      <x:c r="L5" s="6"/>
      <x:c r="M5" s="6"/>
      <x:c r="N5" s="6"/>
      <x:c r="O5" s="6"/>
      <x:c r="P5" s="6"/>
      <x:c r="Q5" s="6"/>
      <x:c r="R5" s="6"/>
      <x:c r="S5" s="6"/>
      <x:c r="T5" s="6"/>
      <x:c r="U5" s="6"/>
      <x:c r="V5" s="6"/>
      <x:c r="W5" s="6"/>
      <x:c r="X5" s="6"/>
      <x:c r="Y5" s="6"/>
      <x:c r="Z5" s="6"/>
    </x:row>
    <x:row r="6" s="1" customFormat="1" ht="12.75" hidden="0" customHeight="1">
      <x:c r="A6" s="7" t="s">
        <x:v>3818</x:v>
      </x:c>
      <x:c r="B6" s="5" t="s">
        <x:v>3819</x:v>
      </x:c>
      <x:c r="C6" s="5" t="s">
        <x:v>3820</x:v>
      </x:c>
      <x:c r="D6" s="6"/>
      <x:c r="E6" s="6"/>
      <x:c r="F6" s="6"/>
      <x:c r="G6" s="6"/>
      <x:c r="H6" s="6"/>
      <x:c r="I6" s="6"/>
      <x:c r="J6" s="6"/>
      <x:c r="K6" s="6"/>
      <x:c r="L6" s="6"/>
      <x:c r="M6" s="6"/>
      <x:c r="N6" s="6"/>
      <x:c r="O6" s="6"/>
      <x:c r="P6" s="6"/>
      <x:c r="Q6" s="6"/>
      <x:c r="R6" s="6"/>
      <x:c r="S6" s="6"/>
      <x:c r="T6" s="6"/>
      <x:c r="U6" s="6"/>
      <x:c r="V6" s="6"/>
      <x:c r="W6" s="6"/>
      <x:c r="X6" s="6"/>
      <x:c r="Y6" s="6"/>
      <x:c r="Z6" s="6"/>
    </x:row>
    <x:row r="7" s="1" customFormat="1" ht="12.75" hidden="0" customHeight="1">
      <x:c r="A7" s="7" t="s">
        <x:v>3821</x:v>
      </x:c>
      <x:c r="B7" s="8" t="s">
        <x:v>3822</x:v>
      </x:c>
      <x:c r="C7" s="8" t="s">
        <x:v>3823</x:v>
      </x:c>
      <x:c r="D7" s="6"/>
      <x:c r="E7" s="6"/>
      <x:c r="F7" s="6"/>
      <x:c r="G7" s="6"/>
      <x:c r="H7" s="6"/>
      <x:c r="I7" s="6"/>
      <x:c r="J7" s="6"/>
      <x:c r="K7" s="6"/>
      <x:c r="L7" s="6"/>
      <x:c r="M7" s="6"/>
      <x:c r="N7" s="6"/>
      <x:c r="O7" s="6"/>
      <x:c r="P7" s="6"/>
      <x:c r="Q7" s="6"/>
      <x:c r="R7" s="6"/>
      <x:c r="S7" s="6"/>
      <x:c r="T7" s="6"/>
      <x:c r="U7" s="6"/>
      <x:c r="V7" s="6"/>
      <x:c r="W7" s="6"/>
      <x:c r="X7" s="6"/>
      <x:c r="Y7" s="6"/>
      <x:c r="Z7" s="6"/>
    </x:row>
    <x:row r="8" s="1" customFormat="1" ht="26.25" hidden="0" customHeight="1">
      <x:c r="A8" s="7" t="s">
        <x:v>3824</x:v>
      </x:c>
      <x:c r="B8" s="5" t="s">
        <x:v>3825</x:v>
      </x:c>
      <x:c r="C8" s="5" t="s">
        <x:v>3826</x:v>
      </x:c>
      <x:c r="D8" s="6"/>
      <x:c r="E8" s="6"/>
      <x:c r="F8" s="6"/>
      <x:c r="G8" s="6"/>
      <x:c r="H8" s="6"/>
      <x:c r="I8" s="6"/>
      <x:c r="J8" s="6"/>
      <x:c r="K8" s="6"/>
      <x:c r="L8" s="6"/>
      <x:c r="M8" s="6"/>
      <x:c r="N8" s="6"/>
      <x:c r="O8" s="6"/>
      <x:c r="P8" s="6"/>
      <x:c r="Q8" s="6"/>
      <x:c r="R8" s="6"/>
      <x:c r="S8" s="6"/>
      <x:c r="T8" s="6"/>
      <x:c r="U8" s="6"/>
      <x:c r="V8" s="6"/>
      <x:c r="W8" s="6"/>
      <x:c r="X8" s="6"/>
      <x:c r="Y8" s="6"/>
      <x:c r="Z8" s="6"/>
    </x:row>
    <x:row r="9" s="1" customFormat="1" ht="12.75" hidden="0" customHeight="1">
      <x:c r="A9" s="6"/>
      <x:c r="B9" s="6"/>
      <x:c r="C9" s="6"/>
      <x:c r="D9" s="6"/>
      <x:c r="E9" s="6"/>
      <x:c r="F9" s="6"/>
      <x:c r="G9" s="6"/>
      <x:c r="H9" s="6"/>
      <x:c r="I9" s="6"/>
      <x:c r="J9" s="6"/>
      <x:c r="K9" s="6"/>
      <x:c r="L9" s="6"/>
      <x:c r="M9" s="6"/>
      <x:c r="N9" s="6"/>
      <x:c r="O9" s="6"/>
      <x:c r="P9" s="6"/>
      <x:c r="Q9" s="6"/>
      <x:c r="R9" s="6"/>
      <x:c r="S9" s="6"/>
      <x:c r="T9" s="6"/>
      <x:c r="U9" s="6"/>
      <x:c r="V9" s="6"/>
      <x:c r="W9" s="6"/>
      <x:c r="X9" s="6"/>
      <x:c r="Y9" s="6"/>
      <x:c r="Z9" s="6"/>
    </x:row>
    <x:row r="10" s="1" customFormat="1" ht="12.75" hidden="0" customHeight="1">
      <x:c r="A10" s="6"/>
      <x:c r="B10" s="6"/>
      <x:c r="C10" s="6"/>
      <x:c r="D10" s="6"/>
      <x:c r="E10" s="6"/>
      <x:c r="F10" s="6"/>
      <x:c r="G10" s="6"/>
      <x:c r="H10" s="6"/>
      <x:c r="I10" s="6"/>
      <x:c r="J10" s="6"/>
      <x:c r="K10" s="6"/>
      <x:c r="L10" s="6"/>
      <x:c r="M10" s="6"/>
      <x:c r="N10" s="6"/>
      <x:c r="O10" s="6"/>
      <x:c r="P10" s="6"/>
      <x:c r="Q10" s="6"/>
      <x:c r="R10" s="6"/>
      <x:c r="S10" s="6"/>
      <x:c r="T10" s="6"/>
      <x:c r="U10" s="6"/>
      <x:c r="V10" s="6"/>
      <x:c r="W10" s="6"/>
      <x:c r="X10" s="6"/>
      <x:c r="Y10" s="6"/>
      <x:c r="Z10" s="6"/>
    </x:row>
    <x:row r="11" s="1" customFormat="1" ht="12.75" hidden="0" customHeight="1">
      <x:c r="A11" s="6"/>
      <x:c r="B11" s="6"/>
      <x:c r="C11" s="6"/>
      <x:c r="D11" s="6"/>
      <x:c r="E11" s="6"/>
      <x:c r="F11" s="6"/>
      <x:c r="G11" s="6"/>
      <x:c r="H11" s="6"/>
      <x:c r="I11" s="6"/>
      <x:c r="J11" s="6"/>
      <x:c r="K11" s="6"/>
      <x:c r="L11" s="6"/>
      <x:c r="M11" s="6"/>
      <x:c r="N11" s="6"/>
      <x:c r="O11" s="6"/>
      <x:c r="P11" s="6"/>
      <x:c r="Q11" s="6"/>
      <x:c r="R11" s="6"/>
      <x:c r="S11" s="6"/>
      <x:c r="T11" s="6"/>
      <x:c r="U11" s="6"/>
      <x:c r="V11" s="6"/>
      <x:c r="W11" s="6"/>
      <x:c r="X11" s="6"/>
      <x:c r="Y11" s="6"/>
      <x:c r="Z11" s="6"/>
    </x:row>
    <x:row r="12" s="1" customFormat="1" ht="12.75" hidden="0" customHeight="1">
      <x:c r="A12" s="6"/>
      <x:c r="B12" s="6"/>
      <x:c r="C12" s="6"/>
      <x:c r="D12" s="6"/>
      <x:c r="E12" s="6"/>
      <x:c r="F12" s="6"/>
      <x:c r="G12" s="6"/>
      <x:c r="H12" s="6"/>
      <x:c r="I12" s="6"/>
      <x:c r="J12" s="6"/>
      <x:c r="K12" s="6"/>
      <x:c r="L12" s="6"/>
      <x:c r="M12" s="6"/>
      <x:c r="N12" s="6"/>
      <x:c r="O12" s="6"/>
      <x:c r="P12" s="6"/>
      <x:c r="Q12" s="6"/>
      <x:c r="R12" s="6"/>
      <x:c r="S12" s="6"/>
      <x:c r="T12" s="6"/>
      <x:c r="U12" s="6"/>
      <x:c r="V12" s="6"/>
      <x:c r="W12" s="6"/>
      <x:c r="X12" s="6"/>
      <x:c r="Y12" s="6"/>
      <x:c r="Z12" s="6"/>
    </x:row>
    <x:row r="13" s="1" customFormat="1" ht="12.75" hidden="0" customHeight="1">
      <x:c r="A13" s="6"/>
      <x:c r="B13" s="6"/>
      <x:c r="C13" s="6"/>
      <x:c r="D13" s="6"/>
      <x:c r="E13" s="6"/>
      <x:c r="F13" s="6"/>
      <x:c r="G13" s="6"/>
      <x:c r="H13" s="6"/>
      <x:c r="I13" s="6"/>
      <x:c r="J13" s="6"/>
      <x:c r="K13" s="6"/>
      <x:c r="L13" s="6"/>
      <x:c r="M13" s="6"/>
      <x:c r="N13" s="6"/>
      <x:c r="O13" s="6"/>
      <x:c r="P13" s="6"/>
      <x:c r="Q13" s="6"/>
      <x:c r="R13" s="6"/>
      <x:c r="S13" s="6"/>
      <x:c r="T13" s="6"/>
      <x:c r="U13" s="6"/>
      <x:c r="V13" s="6"/>
      <x:c r="W13" s="6"/>
      <x:c r="X13" s="6"/>
      <x:c r="Y13" s="6"/>
      <x:c r="Z13" s="6"/>
    </x:row>
    <x:row r="14" s="1" customFormat="1" ht="12.75" hidden="0" customHeight="1">
      <x:c r="A14" s="6"/>
      <x:c r="B14" s="6"/>
      <x:c r="C14" s="6"/>
      <x:c r="D14" s="6"/>
      <x:c r="E14" s="6"/>
      <x:c r="F14" s="6"/>
      <x:c r="G14" s="6"/>
      <x:c r="H14" s="6"/>
      <x:c r="I14" s="6"/>
      <x:c r="J14" s="6"/>
      <x:c r="K14" s="6"/>
      <x:c r="L14" s="6"/>
      <x:c r="M14" s="6"/>
      <x:c r="N14" s="6"/>
      <x:c r="O14" s="6"/>
      <x:c r="P14" s="6"/>
      <x:c r="Q14" s="6"/>
      <x:c r="R14" s="6"/>
      <x:c r="S14" s="6"/>
      <x:c r="T14" s="6"/>
      <x:c r="U14" s="6"/>
      <x:c r="V14" s="6"/>
      <x:c r="W14" s="6"/>
      <x:c r="X14" s="6"/>
      <x:c r="Y14" s="6"/>
      <x:c r="Z14" s="6"/>
    </x:row>
    <x:row r="15" s="1" customFormat="1" ht="12.75" hidden="0" customHeight="1">
      <x:c r="A15" s="6"/>
      <x:c r="B15" s="6"/>
      <x:c r="C15" s="6"/>
      <x:c r="D15" s="6"/>
      <x:c r="E15" s="6"/>
      <x:c r="F15" s="6"/>
      <x:c r="G15" s="6"/>
      <x:c r="H15" s="6"/>
      <x:c r="I15" s="6"/>
      <x:c r="J15" s="6"/>
      <x:c r="K15" s="6"/>
      <x:c r="L15" s="6"/>
      <x:c r="M15" s="6"/>
      <x:c r="N15" s="6"/>
      <x:c r="O15" s="6"/>
      <x:c r="P15" s="6"/>
      <x:c r="Q15" s="6"/>
      <x:c r="R15" s="6"/>
      <x:c r="S15" s="6"/>
      <x:c r="T15" s="6"/>
      <x:c r="U15" s="6"/>
      <x:c r="V15" s="6"/>
      <x:c r="W15" s="6"/>
      <x:c r="X15" s="6"/>
      <x:c r="Y15" s="6"/>
      <x:c r="Z15" s="6"/>
    </x:row>
    <x:row r="16" s="1" customFormat="1" ht="12.75" hidden="0" customHeight="1">
      <x:c r="A16" s="6"/>
      <x:c r="B16" s="6"/>
      <x:c r="C16" s="6"/>
      <x:c r="D16" s="6"/>
      <x:c r="E16" s="6"/>
      <x:c r="F16" s="6"/>
      <x:c r="G16" s="6"/>
      <x:c r="H16" s="6"/>
      <x:c r="I16" s="6"/>
      <x:c r="J16" s="6"/>
      <x:c r="K16" s="6"/>
      <x:c r="L16" s="6"/>
      <x:c r="M16" s="6"/>
      <x:c r="N16" s="6"/>
      <x:c r="O16" s="6"/>
      <x:c r="P16" s="6"/>
      <x:c r="Q16" s="6"/>
      <x:c r="R16" s="6"/>
      <x:c r="S16" s="6"/>
      <x:c r="T16" s="6"/>
      <x:c r="U16" s="6"/>
      <x:c r="V16" s="6"/>
      <x:c r="W16" s="6"/>
      <x:c r="X16" s="6"/>
      <x:c r="Y16" s="6"/>
      <x:c r="Z16" s="6"/>
    </x:row>
    <x:row r="17" s="1" customFormat="1" ht="12.75" hidden="0" customHeight="1">
      <x:c r="A17" s="6"/>
      <x:c r="B17" s="6"/>
      <x:c r="C17" s="6"/>
      <x:c r="D17" s="6"/>
      <x:c r="E17" s="6"/>
      <x:c r="F17" s="6"/>
      <x:c r="G17" s="6"/>
      <x:c r="H17" s="6"/>
      <x:c r="I17" s="6"/>
      <x:c r="J17" s="6"/>
      <x:c r="K17" s="6"/>
      <x:c r="L17" s="6"/>
      <x:c r="M17" s="6"/>
      <x:c r="N17" s="6"/>
      <x:c r="O17" s="6"/>
      <x:c r="P17" s="6"/>
      <x:c r="Q17" s="6"/>
      <x:c r="R17" s="6"/>
      <x:c r="S17" s="6"/>
      <x:c r="T17" s="6"/>
      <x:c r="U17" s="6"/>
      <x:c r="V17" s="6"/>
      <x:c r="W17" s="6"/>
      <x:c r="X17" s="6"/>
      <x:c r="Y17" s="6"/>
      <x:c r="Z17" s="6"/>
    </x:row>
    <x:row r="18" s="1" customFormat="1" ht="12.75" hidden="0" customHeight="1">
      <x:c r="A18" s="6"/>
      <x:c r="B18" s="6"/>
      <x:c r="C18" s="6"/>
      <x:c r="D18" s="6"/>
      <x:c r="E18" s="6"/>
      <x:c r="F18" s="6"/>
      <x:c r="G18" s="6"/>
      <x:c r="H18" s="6"/>
      <x:c r="I18" s="6"/>
      <x:c r="J18" s="6"/>
      <x:c r="K18" s="6"/>
      <x:c r="L18" s="6"/>
      <x:c r="M18" s="6"/>
      <x:c r="N18" s="6"/>
      <x:c r="O18" s="6"/>
      <x:c r="P18" s="6"/>
      <x:c r="Q18" s="6"/>
      <x:c r="R18" s="6"/>
      <x:c r="S18" s="6"/>
      <x:c r="T18" s="6"/>
      <x:c r="U18" s="6"/>
      <x:c r="V18" s="6"/>
      <x:c r="W18" s="6"/>
      <x:c r="X18" s="6"/>
      <x:c r="Y18" s="6"/>
      <x:c r="Z18" s="6"/>
    </x:row>
    <x:row r="19" s="1" customFormat="1" ht="12.75" hidden="0" customHeight="1">
      <x:c r="A19" s="6"/>
      <x:c r="B19" s="6"/>
      <x:c r="C19" s="6"/>
      <x:c r="D19" s="6"/>
      <x:c r="E19" s="6"/>
      <x:c r="F19" s="6"/>
      <x:c r="G19" s="6"/>
      <x:c r="H19" s="6"/>
      <x:c r="I19" s="6"/>
      <x:c r="J19" s="6"/>
      <x:c r="K19" s="6"/>
      <x:c r="L19" s="6"/>
      <x:c r="M19" s="6"/>
      <x:c r="N19" s="6"/>
      <x:c r="O19" s="6"/>
      <x:c r="P19" s="6"/>
      <x:c r="Q19" s="6"/>
      <x:c r="R19" s="6"/>
      <x:c r="S19" s="6"/>
      <x:c r="T19" s="6"/>
      <x:c r="U19" s="6"/>
      <x:c r="V19" s="6"/>
      <x:c r="W19" s="6"/>
      <x:c r="X19" s="6"/>
      <x:c r="Y19" s="6"/>
      <x:c r="Z19" s="6"/>
    </x:row>
    <x:row r="20" s="1" customFormat="1" ht="12.75" hidden="0" customHeight="1">
      <x:c r="A20" s="6"/>
      <x:c r="B20" s="6"/>
      <x:c r="C20" s="6"/>
      <x:c r="D20" s="6"/>
      <x:c r="E20" s="6"/>
      <x:c r="F20" s="6"/>
      <x:c r="G20" s="6"/>
      <x:c r="H20" s="6"/>
      <x:c r="I20" s="6"/>
      <x:c r="J20" s="6"/>
      <x:c r="K20" s="6"/>
      <x:c r="L20" s="6"/>
      <x:c r="M20" s="6"/>
      <x:c r="N20" s="6"/>
      <x:c r="O20" s="6"/>
      <x:c r="P20" s="6"/>
      <x:c r="Q20" s="6"/>
      <x:c r="R20" s="6"/>
      <x:c r="S20" s="6"/>
      <x:c r="T20" s="6"/>
      <x:c r="U20" s="6"/>
      <x:c r="V20" s="6"/>
      <x:c r="W20" s="6"/>
      <x:c r="X20" s="6"/>
      <x:c r="Y20" s="6"/>
      <x:c r="Z20" s="6"/>
    </x:row>
    <x:row r="21" s="1" customFormat="1" ht="12.75" hidden="0" customHeight="1">
      <x:c r="A21" s="6"/>
      <x:c r="B21" s="6"/>
      <x:c r="C21" s="6"/>
      <x:c r="D21" s="6"/>
      <x:c r="E21" s="6"/>
      <x:c r="F21" s="6"/>
      <x:c r="G21" s="6"/>
      <x:c r="H21" s="6"/>
      <x:c r="I21" s="6"/>
      <x:c r="J21" s="6"/>
      <x:c r="K21" s="6"/>
      <x:c r="L21" s="6"/>
      <x:c r="M21" s="6"/>
      <x:c r="N21" s="6"/>
      <x:c r="O21" s="6"/>
      <x:c r="P21" s="6"/>
      <x:c r="Q21" s="6"/>
      <x:c r="R21" s="6"/>
      <x:c r="S21" s="6"/>
      <x:c r="T21" s="6"/>
      <x:c r="U21" s="6"/>
      <x:c r="V21" s="6"/>
      <x:c r="W21" s="6"/>
      <x:c r="X21" s="6"/>
      <x:c r="Y21" s="6"/>
      <x:c r="Z21" s="6"/>
    </x:row>
    <x:row r="22" s="1" customFormat="1" ht="12.75" hidden="0" customHeight="1">
      <x:c r="A22" s="6"/>
      <x:c r="B22" s="6"/>
      <x:c r="C22" s="6"/>
      <x:c r="D22" s="6"/>
      <x:c r="E22" s="6"/>
      <x:c r="F22" s="6"/>
      <x:c r="G22" s="6"/>
      <x:c r="H22" s="6"/>
      <x:c r="I22" s="6"/>
      <x:c r="J22" s="6"/>
      <x:c r="K22" s="6"/>
      <x:c r="L22" s="6"/>
      <x:c r="M22" s="6"/>
      <x:c r="N22" s="6"/>
      <x:c r="O22" s="6"/>
      <x:c r="P22" s="6"/>
      <x:c r="Q22" s="6"/>
      <x:c r="R22" s="6"/>
      <x:c r="S22" s="6"/>
      <x:c r="T22" s="6"/>
      <x:c r="U22" s="6"/>
      <x:c r="V22" s="6"/>
      <x:c r="W22" s="6"/>
      <x:c r="X22" s="6"/>
      <x:c r="Y22" s="6"/>
      <x:c r="Z22" s="6"/>
    </x:row>
    <x:row r="23" s="1" customFormat="1" ht="12.75" hidden="0" customHeight="1">
      <x:c r="A23" s="6"/>
      <x:c r="B23" s="6"/>
      <x:c r="C23" s="6"/>
      <x:c r="D23" s="6"/>
      <x:c r="E23" s="6"/>
      <x:c r="F23" s="6"/>
      <x:c r="G23" s="6"/>
      <x:c r="H23" s="6"/>
      <x:c r="I23" s="6"/>
      <x:c r="J23" s="6"/>
      <x:c r="K23" s="6"/>
      <x:c r="L23" s="6"/>
      <x:c r="M23" s="6"/>
      <x:c r="N23" s="6"/>
      <x:c r="O23" s="6"/>
      <x:c r="P23" s="6"/>
      <x:c r="Q23" s="6"/>
      <x:c r="R23" s="6"/>
      <x:c r="S23" s="6"/>
      <x:c r="T23" s="6"/>
      <x:c r="U23" s="6"/>
      <x:c r="V23" s="6"/>
      <x:c r="W23" s="6"/>
      <x:c r="X23" s="6"/>
      <x:c r="Y23" s="6"/>
      <x:c r="Z23" s="6"/>
    </x:row>
    <x:row r="24" s="1" customFormat="1" ht="12.75" hidden="0" customHeight="1">
      <x:c r="A24" s="6"/>
      <x:c r="B24" s="6"/>
      <x:c r="C24" s="6"/>
      <x:c r="D24" s="6"/>
      <x:c r="E24" s="6"/>
      <x:c r="F24" s="6"/>
      <x:c r="G24" s="6"/>
      <x:c r="H24" s="6"/>
      <x:c r="I24" s="6"/>
      <x:c r="J24" s="6"/>
      <x:c r="K24" s="6"/>
      <x:c r="L24" s="6"/>
      <x:c r="M24" s="6"/>
      <x:c r="N24" s="6"/>
      <x:c r="O24" s="6"/>
      <x:c r="P24" s="6"/>
      <x:c r="Q24" s="6"/>
      <x:c r="R24" s="6"/>
      <x:c r="S24" s="6"/>
      <x:c r="T24" s="6"/>
      <x:c r="U24" s="6"/>
      <x:c r="V24" s="6"/>
      <x:c r="W24" s="6"/>
      <x:c r="X24" s="6"/>
      <x:c r="Y24" s="6"/>
      <x:c r="Z24" s="6"/>
    </x:row>
    <x:row r="25" s="1" customFormat="1" ht="12.75" hidden="0" customHeight="1">
      <x:c r="A25" s="6"/>
      <x:c r="B25" s="6"/>
      <x:c r="C25" s="6"/>
      <x:c r="D25" s="6"/>
      <x:c r="E25" s="6"/>
      <x:c r="F25" s="6"/>
      <x:c r="G25" s="6"/>
      <x:c r="H25" s="6"/>
      <x:c r="I25" s="6"/>
      <x:c r="J25" s="6"/>
      <x:c r="K25" s="6"/>
      <x:c r="L25" s="6"/>
      <x:c r="M25" s="6"/>
      <x:c r="N25" s="6"/>
      <x:c r="O25" s="6"/>
      <x:c r="P25" s="6"/>
      <x:c r="Q25" s="6"/>
      <x:c r="R25" s="6"/>
      <x:c r="S25" s="6"/>
      <x:c r="T25" s="6"/>
      <x:c r="U25" s="6"/>
      <x:c r="V25" s="6"/>
      <x:c r="W25" s="6"/>
      <x:c r="X25" s="6"/>
      <x:c r="Y25" s="6"/>
      <x:c r="Z25" s="6"/>
    </x:row>
    <x:row r="26" s="1" customFormat="1" ht="12.75" hidden="0" customHeight="1">
      <x:c r="A26" s="6"/>
      <x:c r="B26" s="6"/>
      <x:c r="C26" s="6"/>
      <x:c r="D26" s="6"/>
      <x:c r="E26" s="6"/>
      <x:c r="F26" s="6"/>
      <x:c r="G26" s="6"/>
      <x:c r="H26" s="6"/>
      <x:c r="I26" s="6"/>
      <x:c r="J26" s="6"/>
      <x:c r="K26" s="6"/>
      <x:c r="L26" s="6"/>
      <x:c r="M26" s="6"/>
      <x:c r="N26" s="6"/>
      <x:c r="O26" s="6"/>
      <x:c r="P26" s="6"/>
      <x:c r="Q26" s="6"/>
      <x:c r="R26" s="6"/>
      <x:c r="S26" s="6"/>
      <x:c r="T26" s="6"/>
      <x:c r="U26" s="6"/>
      <x:c r="V26" s="6"/>
      <x:c r="W26" s="6"/>
      <x:c r="X26" s="6"/>
      <x:c r="Y26" s="6"/>
      <x:c r="Z26" s="6"/>
    </x:row>
    <x:row r="27" s="1" customFormat="1" ht="12.75" hidden="0" customHeight="1">
      <x:c r="A27" s="6"/>
      <x:c r="B27" s="6"/>
      <x:c r="C27" s="6"/>
      <x:c r="D27" s="6"/>
      <x:c r="E27" s="6"/>
      <x:c r="F27" s="6"/>
      <x:c r="G27" s="6"/>
      <x:c r="H27" s="6"/>
      <x:c r="I27" s="6"/>
      <x:c r="J27" s="6"/>
      <x:c r="K27" s="6"/>
      <x:c r="L27" s="6"/>
      <x:c r="M27" s="6"/>
      <x:c r="N27" s="6"/>
      <x:c r="O27" s="6"/>
      <x:c r="P27" s="6"/>
      <x:c r="Q27" s="6"/>
      <x:c r="R27" s="6"/>
      <x:c r="S27" s="6"/>
      <x:c r="T27" s="6"/>
      <x:c r="U27" s="6"/>
      <x:c r="V27" s="6"/>
      <x:c r="W27" s="6"/>
      <x:c r="X27" s="6"/>
      <x:c r="Y27" s="6"/>
      <x:c r="Z27" s="6"/>
    </x:row>
    <x:row r="28" s="1" customFormat="1" ht="12.75" hidden="0" customHeight="1">
      <x:c r="A28" s="6"/>
      <x:c r="B28" s="6"/>
      <x:c r="C28" s="6"/>
      <x:c r="D28" s="6"/>
      <x:c r="E28" s="6"/>
      <x:c r="F28" s="6"/>
      <x:c r="G28" s="6"/>
      <x:c r="H28" s="6"/>
      <x:c r="I28" s="6"/>
      <x:c r="J28" s="6"/>
      <x:c r="K28" s="6"/>
      <x:c r="L28" s="6"/>
      <x:c r="M28" s="6"/>
      <x:c r="N28" s="6"/>
      <x:c r="O28" s="6"/>
      <x:c r="P28" s="6"/>
      <x:c r="Q28" s="6"/>
      <x:c r="R28" s="6"/>
      <x:c r="S28" s="6"/>
      <x:c r="T28" s="6"/>
      <x:c r="U28" s="6"/>
      <x:c r="V28" s="6"/>
      <x:c r="W28" s="6"/>
      <x:c r="X28" s="6"/>
      <x:c r="Y28" s="6"/>
      <x:c r="Z28" s="6"/>
    </x:row>
    <x:row r="29" s="1" customFormat="1" ht="12.75" hidden="0" customHeight="1">
      <x:c r="A29" s="6"/>
      <x:c r="B29" s="6"/>
      <x:c r="C29" s="6"/>
      <x:c r="D29" s="6"/>
      <x:c r="E29" s="6"/>
      <x:c r="F29" s="6"/>
      <x:c r="G29" s="6"/>
      <x:c r="H29" s="6"/>
      <x:c r="I29" s="6"/>
      <x:c r="J29" s="6"/>
      <x:c r="K29" s="6"/>
      <x:c r="L29" s="6"/>
      <x:c r="M29" s="6"/>
      <x:c r="N29" s="6"/>
      <x:c r="O29" s="6"/>
      <x:c r="P29" s="6"/>
      <x:c r="Q29" s="6"/>
      <x:c r="R29" s="6"/>
      <x:c r="S29" s="6"/>
      <x:c r="T29" s="6"/>
      <x:c r="U29" s="6"/>
      <x:c r="V29" s="6"/>
      <x:c r="W29" s="6"/>
      <x:c r="X29" s="6"/>
      <x:c r="Y29" s="6"/>
      <x:c r="Z29" s="6"/>
    </x:row>
    <x:row r="30" s="1" customFormat="1" ht="12.75" hidden="0" customHeight="1">
      <x:c r="A30" s="6"/>
      <x:c r="B30" s="6"/>
      <x:c r="C30" s="6"/>
      <x:c r="D30" s="6"/>
      <x:c r="E30" s="6"/>
      <x:c r="F30" s="6"/>
      <x:c r="G30" s="6"/>
      <x:c r="H30" s="6"/>
      <x:c r="I30" s="6"/>
      <x:c r="J30" s="6"/>
      <x:c r="K30" s="6"/>
      <x:c r="L30" s="6"/>
      <x:c r="M30" s="6"/>
      <x:c r="N30" s="6"/>
      <x:c r="O30" s="6"/>
      <x:c r="P30" s="6"/>
      <x:c r="Q30" s="6"/>
      <x:c r="R30" s="6"/>
      <x:c r="S30" s="6"/>
      <x:c r="T30" s="6"/>
      <x:c r="U30" s="6"/>
      <x:c r="V30" s="6"/>
      <x:c r="W30" s="6"/>
      <x:c r="X30" s="6"/>
      <x:c r="Y30" s="6"/>
      <x:c r="Z30" s="6"/>
    </x:row>
    <x:row r="31" s="1" customFormat="1" ht="12.75" hidden="0" customHeight="1">
      <x:c r="A31" s="6"/>
      <x:c r="B31" s="6"/>
      <x:c r="C31" s="6"/>
      <x:c r="D31" s="6"/>
      <x:c r="E31" s="6"/>
      <x:c r="F31" s="6"/>
      <x:c r="G31" s="6"/>
      <x:c r="H31" s="6"/>
      <x:c r="I31" s="6"/>
      <x:c r="J31" s="6"/>
      <x:c r="K31" s="6"/>
      <x:c r="L31" s="6"/>
      <x:c r="M31" s="6"/>
      <x:c r="N31" s="6"/>
      <x:c r="O31" s="6"/>
      <x:c r="P31" s="6"/>
      <x:c r="Q31" s="6"/>
      <x:c r="R31" s="6"/>
      <x:c r="S31" s="6"/>
      <x:c r="T31" s="6"/>
      <x:c r="U31" s="6"/>
      <x:c r="V31" s="6"/>
      <x:c r="W31" s="6"/>
      <x:c r="X31" s="6"/>
      <x:c r="Y31" s="6"/>
      <x:c r="Z31" s="6"/>
    </x:row>
    <x:row r="32" s="1" customFormat="1" ht="12.75" hidden="0" customHeight="1">
      <x:c r="A32" s="6"/>
      <x:c r="B32" s="6"/>
      <x:c r="C32" s="6"/>
      <x:c r="D32" s="6"/>
      <x:c r="E32" s="6"/>
      <x:c r="F32" s="6"/>
      <x:c r="G32" s="6"/>
      <x:c r="H32" s="6"/>
      <x:c r="I32" s="6"/>
      <x:c r="J32" s="6"/>
      <x:c r="K32" s="6"/>
      <x:c r="L32" s="6"/>
      <x:c r="M32" s="6"/>
      <x:c r="N32" s="6"/>
      <x:c r="O32" s="6"/>
      <x:c r="P32" s="6"/>
      <x:c r="Q32" s="6"/>
      <x:c r="R32" s="6"/>
      <x:c r="S32" s="6"/>
      <x:c r="T32" s="6"/>
      <x:c r="U32" s="6"/>
      <x:c r="V32" s="6"/>
      <x:c r="W32" s="6"/>
      <x:c r="X32" s="6"/>
      <x:c r="Y32" s="6"/>
      <x:c r="Z32" s="6"/>
    </x:row>
    <x:row r="33" s="1" customFormat="1" ht="12.75" hidden="0" customHeight="1">
      <x:c r="A33" s="6"/>
      <x:c r="B33" s="6"/>
      <x:c r="C33" s="6"/>
      <x:c r="D33" s="6"/>
      <x:c r="E33" s="6"/>
      <x:c r="F33" s="6"/>
      <x:c r="G33" s="6"/>
      <x:c r="H33" s="6"/>
      <x:c r="I33" s="6"/>
      <x:c r="J33" s="6"/>
      <x:c r="K33" s="6"/>
      <x:c r="L33" s="6"/>
      <x:c r="M33" s="6"/>
      <x:c r="N33" s="6"/>
      <x:c r="O33" s="6"/>
      <x:c r="P33" s="6"/>
      <x:c r="Q33" s="6"/>
      <x:c r="R33" s="6"/>
      <x:c r="S33" s="6"/>
      <x:c r="T33" s="6"/>
      <x:c r="U33" s="6"/>
      <x:c r="V33" s="6"/>
      <x:c r="W33" s="6"/>
      <x:c r="X33" s="6"/>
      <x:c r="Y33" s="6"/>
      <x:c r="Z33" s="6"/>
    </x:row>
    <x:row r="34" s="1" customFormat="1" ht="12.75" hidden="0" customHeight="1">
      <x:c r="A34" s="6"/>
      <x:c r="B34" s="6"/>
      <x:c r="C34" s="6"/>
      <x:c r="D34" s="6"/>
      <x:c r="E34" s="6"/>
      <x:c r="F34" s="6"/>
      <x:c r="G34" s="6"/>
      <x:c r="H34" s="6"/>
      <x:c r="I34" s="6"/>
      <x:c r="J34" s="6"/>
      <x:c r="K34" s="6"/>
      <x:c r="L34" s="6"/>
      <x:c r="M34" s="6"/>
      <x:c r="N34" s="6"/>
      <x:c r="O34" s="6"/>
      <x:c r="P34" s="6"/>
      <x:c r="Q34" s="6"/>
      <x:c r="R34" s="6"/>
      <x:c r="S34" s="6"/>
      <x:c r="T34" s="6"/>
      <x:c r="U34" s="6"/>
      <x:c r="V34" s="6"/>
      <x:c r="W34" s="6"/>
      <x:c r="X34" s="6"/>
      <x:c r="Y34" s="6"/>
      <x:c r="Z34" s="6"/>
    </x:row>
    <x:row r="35" s="1" customFormat="1" ht="12.75" hidden="0" customHeight="1">
      <x:c r="A35" s="6"/>
      <x:c r="B35" s="6"/>
      <x:c r="C35" s="6"/>
      <x:c r="D35" s="6"/>
      <x:c r="E35" s="6"/>
      <x:c r="F35" s="6"/>
      <x:c r="G35" s="6"/>
      <x:c r="H35" s="6"/>
      <x:c r="I35" s="6"/>
      <x:c r="J35" s="6"/>
      <x:c r="K35" s="6"/>
      <x:c r="L35" s="6"/>
      <x:c r="M35" s="6"/>
      <x:c r="N35" s="6"/>
      <x:c r="O35" s="6"/>
      <x:c r="P35" s="6"/>
      <x:c r="Q35" s="6"/>
      <x:c r="R35" s="6"/>
      <x:c r="S35" s="6"/>
      <x:c r="T35" s="6"/>
      <x:c r="U35" s="6"/>
      <x:c r="V35" s="6"/>
      <x:c r="W35" s="6"/>
      <x:c r="X35" s="6"/>
      <x:c r="Y35" s="6"/>
      <x:c r="Z35" s="6"/>
    </x:row>
    <x:row r="36" s="1" customFormat="1" ht="12.75" hidden="0" customHeight="1">
      <x:c r="A36" s="6"/>
      <x:c r="B36" s="6"/>
      <x:c r="C36" s="6"/>
      <x:c r="D36" s="6"/>
      <x:c r="E36" s="6"/>
      <x:c r="F36" s="6"/>
      <x:c r="G36" s="6"/>
      <x:c r="H36" s="6"/>
      <x:c r="I36" s="6"/>
      <x:c r="J36" s="6"/>
      <x:c r="K36" s="6"/>
      <x:c r="L36" s="6"/>
      <x:c r="M36" s="6"/>
      <x:c r="N36" s="6"/>
      <x:c r="O36" s="6"/>
      <x:c r="P36" s="6"/>
      <x:c r="Q36" s="6"/>
      <x:c r="R36" s="6"/>
      <x:c r="S36" s="6"/>
      <x:c r="T36" s="6"/>
      <x:c r="U36" s="6"/>
      <x:c r="V36" s="6"/>
      <x:c r="W36" s="6"/>
      <x:c r="X36" s="6"/>
      <x:c r="Y36" s="6"/>
      <x:c r="Z36" s="6"/>
    </x:row>
    <x:row r="37" s="1" customFormat="1" ht="12.75" hidden="0" customHeight="1">
      <x:c r="A37" s="6"/>
      <x:c r="B37" s="6"/>
      <x:c r="C37" s="6"/>
      <x:c r="D37" s="6"/>
      <x:c r="E37" s="6"/>
      <x:c r="F37" s="6"/>
      <x:c r="G37" s="6"/>
      <x:c r="H37" s="6"/>
      <x:c r="I37" s="6"/>
      <x:c r="J37" s="6"/>
      <x:c r="K37" s="6"/>
      <x:c r="L37" s="6"/>
      <x:c r="M37" s="6"/>
      <x:c r="N37" s="6"/>
      <x:c r="O37" s="6"/>
      <x:c r="P37" s="6"/>
      <x:c r="Q37" s="6"/>
      <x:c r="R37" s="6"/>
      <x:c r="S37" s="6"/>
      <x:c r="T37" s="6"/>
      <x:c r="U37" s="6"/>
      <x:c r="V37" s="6"/>
      <x:c r="W37" s="6"/>
      <x:c r="X37" s="6"/>
      <x:c r="Y37" s="6"/>
      <x:c r="Z37" s="6"/>
    </x:row>
    <x:row r="38" s="1" customFormat="1" ht="12.75" hidden="0" customHeight="1">
      <x:c r="A38" s="6"/>
      <x:c r="B38" s="6"/>
      <x:c r="C38" s="6"/>
      <x:c r="D38" s="6"/>
      <x:c r="E38" s="6"/>
      <x:c r="F38" s="6"/>
      <x:c r="G38" s="6"/>
      <x:c r="H38" s="6"/>
      <x:c r="I38" s="6"/>
      <x:c r="J38" s="6"/>
      <x:c r="K38" s="6"/>
      <x:c r="L38" s="6"/>
      <x:c r="M38" s="6"/>
      <x:c r="N38" s="6"/>
      <x:c r="O38" s="6"/>
      <x:c r="P38" s="6"/>
      <x:c r="Q38" s="6"/>
      <x:c r="R38" s="6"/>
      <x:c r="S38" s="6"/>
      <x:c r="T38" s="6"/>
      <x:c r="U38" s="6"/>
      <x:c r="V38" s="6"/>
      <x:c r="W38" s="6"/>
      <x:c r="X38" s="6"/>
      <x:c r="Y38" s="6"/>
      <x:c r="Z38" s="6"/>
    </x:row>
    <x:row r="39" s="1" customFormat="1" ht="12.75" hidden="0" customHeight="1">
      <x:c r="A39" s="6"/>
      <x:c r="B39" s="6"/>
      <x:c r="C39" s="6"/>
      <x:c r="D39" s="6"/>
      <x:c r="E39" s="6"/>
      <x:c r="F39" s="6"/>
      <x:c r="G39" s="6"/>
      <x:c r="H39" s="6"/>
      <x:c r="I39" s="6"/>
      <x:c r="J39" s="6"/>
      <x:c r="K39" s="6"/>
      <x:c r="L39" s="6"/>
      <x:c r="M39" s="6"/>
      <x:c r="N39" s="6"/>
      <x:c r="O39" s="6"/>
      <x:c r="P39" s="6"/>
      <x:c r="Q39" s="6"/>
      <x:c r="R39" s="6"/>
      <x:c r="S39" s="6"/>
      <x:c r="T39" s="6"/>
      <x:c r="U39" s="6"/>
      <x:c r="V39" s="6"/>
      <x:c r="W39" s="6"/>
      <x:c r="X39" s="6"/>
      <x:c r="Y39" s="6"/>
      <x:c r="Z39" s="6"/>
    </x:row>
    <x:row r="40" s="1" customFormat="1" ht="12.75" hidden="0" customHeight="1">
      <x:c r="A40" s="6"/>
      <x:c r="B40" s="6"/>
      <x:c r="C40" s="6"/>
      <x:c r="D40" s="6"/>
      <x:c r="E40" s="6"/>
      <x:c r="F40" s="6"/>
      <x:c r="G40" s="6"/>
      <x:c r="H40" s="6"/>
      <x:c r="I40" s="6"/>
      <x:c r="J40" s="6"/>
      <x:c r="K40" s="6"/>
      <x:c r="L40" s="6"/>
      <x:c r="M40" s="6"/>
      <x:c r="N40" s="6"/>
      <x:c r="O40" s="6"/>
      <x:c r="P40" s="6"/>
      <x:c r="Q40" s="6"/>
      <x:c r="R40" s="6"/>
      <x:c r="S40" s="6"/>
      <x:c r="T40" s="6"/>
      <x:c r="U40" s="6"/>
      <x:c r="V40" s="6"/>
      <x:c r="W40" s="6"/>
      <x:c r="X40" s="6"/>
      <x:c r="Y40" s="6"/>
      <x:c r="Z40" s="6"/>
    </x:row>
    <x:row r="41" s="1" customFormat="1" ht="12.75" hidden="0" customHeight="1">
      <x:c r="A41" s="6"/>
      <x:c r="B41" s="6"/>
      <x:c r="C41" s="6"/>
      <x:c r="D41" s="6"/>
      <x:c r="E41" s="6"/>
      <x:c r="F41" s="6"/>
      <x:c r="G41" s="6"/>
      <x:c r="H41" s="6"/>
      <x:c r="I41" s="6"/>
      <x:c r="J41" s="6"/>
      <x:c r="K41" s="6"/>
      <x:c r="L41" s="6"/>
      <x:c r="M41" s="6"/>
      <x:c r="N41" s="6"/>
      <x:c r="O41" s="6"/>
      <x:c r="P41" s="6"/>
      <x:c r="Q41" s="6"/>
      <x:c r="R41" s="6"/>
      <x:c r="S41" s="6"/>
      <x:c r="T41" s="6"/>
      <x:c r="U41" s="6"/>
      <x:c r="V41" s="6"/>
      <x:c r="W41" s="6"/>
      <x:c r="X41" s="6"/>
      <x:c r="Y41" s="6"/>
      <x:c r="Z41" s="6"/>
    </x:row>
    <x:row r="42" s="1" customFormat="1" ht="12.75" hidden="0" customHeight="1">
      <x:c r="A42" s="6"/>
      <x:c r="B42" s="6"/>
      <x:c r="C42" s="6"/>
      <x:c r="D42" s="6"/>
      <x:c r="E42" s="6"/>
      <x:c r="F42" s="6"/>
      <x:c r="G42" s="6"/>
      <x:c r="H42" s="6"/>
      <x:c r="I42" s="6"/>
      <x:c r="J42" s="6"/>
      <x:c r="K42" s="6"/>
      <x:c r="L42" s="6"/>
      <x:c r="M42" s="6"/>
      <x:c r="N42" s="6"/>
      <x:c r="O42" s="6"/>
      <x:c r="P42" s="6"/>
      <x:c r="Q42" s="6"/>
      <x:c r="R42" s="6"/>
      <x:c r="S42" s="6"/>
      <x:c r="T42" s="6"/>
      <x:c r="U42" s="6"/>
      <x:c r="V42" s="6"/>
      <x:c r="W42" s="6"/>
      <x:c r="X42" s="6"/>
      <x:c r="Y42" s="6"/>
      <x:c r="Z42" s="6"/>
    </x:row>
    <x:row r="43" s="1" customFormat="1" ht="12.75" hidden="0" customHeight="1">
      <x:c r="A43" s="6"/>
      <x:c r="B43" s="6"/>
      <x:c r="C43" s="6"/>
      <x:c r="D43" s="6"/>
      <x:c r="E43" s="6"/>
      <x:c r="F43" s="6"/>
      <x:c r="G43" s="6"/>
      <x:c r="H43" s="6"/>
      <x:c r="I43" s="6"/>
      <x:c r="J43" s="6"/>
      <x:c r="K43" s="6"/>
      <x:c r="L43" s="6"/>
      <x:c r="M43" s="6"/>
      <x:c r="N43" s="6"/>
      <x:c r="O43" s="6"/>
      <x:c r="P43" s="6"/>
      <x:c r="Q43" s="6"/>
      <x:c r="R43" s="6"/>
      <x:c r="S43" s="6"/>
      <x:c r="T43" s="6"/>
      <x:c r="U43" s="6"/>
      <x:c r="V43" s="6"/>
      <x:c r="W43" s="6"/>
      <x:c r="X43" s="6"/>
      <x:c r="Y43" s="6"/>
      <x:c r="Z43" s="6"/>
    </x:row>
    <x:row r="44" s="1" customFormat="1" ht="12.75" hidden="0" customHeight="1">
      <x:c r="A44" s="6"/>
      <x:c r="B44" s="6"/>
      <x:c r="C44" s="6"/>
      <x:c r="D44" s="6"/>
      <x:c r="E44" s="6"/>
      <x:c r="F44" s="6"/>
      <x:c r="G44" s="6"/>
      <x:c r="H44" s="6"/>
      <x:c r="I44" s="6"/>
      <x:c r="J44" s="6"/>
      <x:c r="K44" s="6"/>
      <x:c r="L44" s="6"/>
      <x:c r="M44" s="6"/>
      <x:c r="N44" s="6"/>
      <x:c r="O44" s="6"/>
      <x:c r="P44" s="6"/>
      <x:c r="Q44" s="6"/>
      <x:c r="R44" s="6"/>
      <x:c r="S44" s="6"/>
      <x:c r="T44" s="6"/>
      <x:c r="U44" s="6"/>
      <x:c r="V44" s="6"/>
      <x:c r="W44" s="6"/>
      <x:c r="X44" s="6"/>
      <x:c r="Y44" s="6"/>
      <x:c r="Z44" s="6"/>
    </x:row>
    <x:row r="45" s="1" customFormat="1" ht="12.75" hidden="0" customHeight="1">
      <x:c r="A45" s="6"/>
      <x:c r="B45" s="6"/>
      <x:c r="C45" s="6"/>
      <x:c r="D45" s="6"/>
      <x:c r="E45" s="6"/>
      <x:c r="F45" s="6"/>
      <x:c r="G45" s="6"/>
      <x:c r="H45" s="6"/>
      <x:c r="I45" s="6"/>
      <x:c r="J45" s="6"/>
      <x:c r="K45" s="6"/>
      <x:c r="L45" s="6"/>
      <x:c r="M45" s="6"/>
      <x:c r="N45" s="6"/>
      <x:c r="O45" s="6"/>
      <x:c r="P45" s="6"/>
      <x:c r="Q45" s="6"/>
      <x:c r="R45" s="6"/>
      <x:c r="S45" s="6"/>
      <x:c r="T45" s="6"/>
      <x:c r="U45" s="6"/>
      <x:c r="V45" s="6"/>
      <x:c r="W45" s="6"/>
      <x:c r="X45" s="6"/>
      <x:c r="Y45" s="6"/>
      <x:c r="Z45" s="6"/>
    </x:row>
    <x:row r="46" s="1" customFormat="1" ht="12.75" hidden="0" customHeight="1">
      <x:c r="A46" s="6"/>
      <x:c r="B46" s="6"/>
      <x:c r="C46" s="6"/>
      <x:c r="D46" s="6"/>
      <x:c r="E46" s="6"/>
      <x:c r="F46" s="6"/>
      <x:c r="G46" s="6"/>
      <x:c r="H46" s="6"/>
      <x:c r="I46" s="6"/>
      <x:c r="J46" s="6"/>
      <x:c r="K46" s="6"/>
      <x:c r="L46" s="6"/>
      <x:c r="M46" s="6"/>
      <x:c r="N46" s="6"/>
      <x:c r="O46" s="6"/>
      <x:c r="P46" s="6"/>
      <x:c r="Q46" s="6"/>
      <x:c r="R46" s="6"/>
      <x:c r="S46" s="6"/>
      <x:c r="T46" s="6"/>
      <x:c r="U46" s="6"/>
      <x:c r="V46" s="6"/>
      <x:c r="W46" s="6"/>
      <x:c r="X46" s="6"/>
      <x:c r="Y46" s="6"/>
      <x:c r="Z46" s="6"/>
    </x:row>
    <x:row r="47" s="1" customFormat="1" ht="12.75" hidden="0" customHeight="1">
      <x:c r="A47" s="6"/>
      <x:c r="B47" s="6"/>
      <x:c r="C47" s="6"/>
      <x:c r="D47" s="6"/>
      <x:c r="E47" s="6"/>
      <x:c r="F47" s="6"/>
      <x:c r="G47" s="6"/>
      <x:c r="H47" s="6"/>
      <x:c r="I47" s="6"/>
      <x:c r="J47" s="6"/>
      <x:c r="K47" s="6"/>
      <x:c r="L47" s="6"/>
      <x:c r="M47" s="6"/>
      <x:c r="N47" s="6"/>
      <x:c r="O47" s="6"/>
      <x:c r="P47" s="6"/>
      <x:c r="Q47" s="6"/>
      <x:c r="R47" s="6"/>
      <x:c r="S47" s="6"/>
      <x:c r="T47" s="6"/>
      <x:c r="U47" s="6"/>
      <x:c r="V47" s="6"/>
      <x:c r="W47" s="6"/>
      <x:c r="X47" s="6"/>
      <x:c r="Y47" s="6"/>
      <x:c r="Z47" s="6"/>
    </x:row>
    <x:row r="48" s="1" customFormat="1" ht="12.75" hidden="0" customHeight="1">
      <x:c r="A48" s="6"/>
      <x:c r="B48" s="6"/>
      <x:c r="C48" s="6"/>
      <x:c r="D48" s="6"/>
      <x:c r="E48" s="6"/>
      <x:c r="F48" s="6"/>
      <x:c r="G48" s="6"/>
      <x:c r="H48" s="6"/>
      <x:c r="I48" s="6"/>
      <x:c r="J48" s="6"/>
      <x:c r="K48" s="6"/>
      <x:c r="L48" s="6"/>
      <x:c r="M48" s="6"/>
      <x:c r="N48" s="6"/>
      <x:c r="O48" s="6"/>
      <x:c r="P48" s="6"/>
      <x:c r="Q48" s="6"/>
      <x:c r="R48" s="6"/>
      <x:c r="S48" s="6"/>
      <x:c r="T48" s="6"/>
      <x:c r="U48" s="6"/>
      <x:c r="V48" s="6"/>
      <x:c r="W48" s="6"/>
      <x:c r="X48" s="6"/>
      <x:c r="Y48" s="6"/>
      <x:c r="Z48" s="6"/>
    </x:row>
    <x:row r="49" s="1" customFormat="1" ht="12.75" hidden="0" customHeight="1">
      <x:c r="A49" s="6"/>
      <x:c r="B49" s="6"/>
      <x:c r="C49" s="6"/>
      <x:c r="D49" s="6"/>
      <x:c r="E49" s="6"/>
      <x:c r="F49" s="6"/>
      <x:c r="G49" s="6"/>
      <x:c r="H49" s="6"/>
      <x:c r="I49" s="6"/>
      <x:c r="J49" s="6"/>
      <x:c r="K49" s="6"/>
      <x:c r="L49" s="6"/>
      <x:c r="M49" s="6"/>
      <x:c r="N49" s="6"/>
      <x:c r="O49" s="6"/>
      <x:c r="P49" s="6"/>
      <x:c r="Q49" s="6"/>
      <x:c r="R49" s="6"/>
      <x:c r="S49" s="6"/>
      <x:c r="T49" s="6"/>
      <x:c r="U49" s="6"/>
      <x:c r="V49" s="6"/>
      <x:c r="W49" s="6"/>
      <x:c r="X49" s="6"/>
      <x:c r="Y49" s="6"/>
      <x:c r="Z49" s="6"/>
    </x:row>
    <x:row r="50" s="1" customFormat="1" ht="12.75" hidden="0" customHeight="1">
      <x:c r="A50" s="6"/>
      <x:c r="B50" s="6"/>
      <x:c r="C50" s="6"/>
      <x:c r="D50" s="6"/>
      <x:c r="E50" s="6"/>
      <x:c r="F50" s="6"/>
      <x:c r="G50" s="6"/>
      <x:c r="H50" s="6"/>
      <x:c r="I50" s="6"/>
      <x:c r="J50" s="6"/>
      <x:c r="K50" s="6"/>
      <x:c r="L50" s="6"/>
      <x:c r="M50" s="6"/>
      <x:c r="N50" s="6"/>
      <x:c r="O50" s="6"/>
      <x:c r="P50" s="6"/>
      <x:c r="Q50" s="6"/>
      <x:c r="R50" s="6"/>
      <x:c r="S50" s="6"/>
      <x:c r="T50" s="6"/>
      <x:c r="U50" s="6"/>
      <x:c r="V50" s="6"/>
      <x:c r="W50" s="6"/>
      <x:c r="X50" s="6"/>
      <x:c r="Y50" s="6"/>
      <x:c r="Z50" s="6"/>
    </x:row>
    <x:row r="51" s="1" customFormat="1" ht="12.75" hidden="0" customHeight="1">
      <x:c r="A51" s="6"/>
      <x:c r="B51" s="6"/>
      <x:c r="C51" s="6"/>
      <x:c r="D51" s="6"/>
      <x:c r="E51" s="6"/>
      <x:c r="F51" s="6"/>
      <x:c r="G51" s="6"/>
      <x:c r="H51" s="6"/>
      <x:c r="I51" s="6"/>
      <x:c r="J51" s="6"/>
      <x:c r="K51" s="6"/>
      <x:c r="L51" s="6"/>
      <x:c r="M51" s="6"/>
      <x:c r="N51" s="6"/>
      <x:c r="O51" s="6"/>
      <x:c r="P51" s="6"/>
      <x:c r="Q51" s="6"/>
      <x:c r="R51" s="6"/>
      <x:c r="S51" s="6"/>
      <x:c r="T51" s="6"/>
      <x:c r="U51" s="6"/>
      <x:c r="V51" s="6"/>
      <x:c r="W51" s="6"/>
      <x:c r="X51" s="6"/>
      <x:c r="Y51" s="6"/>
      <x:c r="Z51" s="6"/>
    </x:row>
    <x:row r="52" s="1" customFormat="1" ht="12.75" hidden="0" customHeight="1">
      <x:c r="A52" s="6"/>
      <x:c r="B52" s="6"/>
      <x:c r="C52" s="6"/>
      <x:c r="D52" s="6"/>
      <x:c r="E52" s="6"/>
      <x:c r="F52" s="6"/>
      <x:c r="G52" s="6"/>
      <x:c r="H52" s="6"/>
      <x:c r="I52" s="6"/>
      <x:c r="J52" s="6"/>
      <x:c r="K52" s="6"/>
      <x:c r="L52" s="6"/>
      <x:c r="M52" s="6"/>
      <x:c r="N52" s="6"/>
      <x:c r="O52" s="6"/>
      <x:c r="P52" s="6"/>
      <x:c r="Q52" s="6"/>
      <x:c r="R52" s="6"/>
      <x:c r="S52" s="6"/>
      <x:c r="T52" s="6"/>
      <x:c r="U52" s="6"/>
      <x:c r="V52" s="6"/>
      <x:c r="W52" s="6"/>
      <x:c r="X52" s="6"/>
      <x:c r="Y52" s="6"/>
      <x:c r="Z52" s="6"/>
    </x:row>
    <x:row r="53" s="1" customFormat="1" ht="12.75" hidden="0" customHeight="1">
      <x:c r="A53" s="6"/>
      <x:c r="B53" s="6"/>
      <x:c r="C53" s="6"/>
      <x:c r="D53" s="6"/>
      <x:c r="E53" s="6"/>
      <x:c r="F53" s="6"/>
      <x:c r="G53" s="6"/>
      <x:c r="H53" s="6"/>
      <x:c r="I53" s="6"/>
      <x:c r="J53" s="6"/>
      <x:c r="K53" s="6"/>
      <x:c r="L53" s="6"/>
      <x:c r="M53" s="6"/>
      <x:c r="N53" s="6"/>
      <x:c r="O53" s="6"/>
      <x:c r="P53" s="6"/>
      <x:c r="Q53" s="6"/>
      <x:c r="R53" s="6"/>
      <x:c r="S53" s="6"/>
      <x:c r="T53" s="6"/>
      <x:c r="U53" s="6"/>
      <x:c r="V53" s="6"/>
      <x:c r="W53" s="6"/>
      <x:c r="X53" s="6"/>
      <x:c r="Y53" s="6"/>
      <x:c r="Z53" s="6"/>
    </x:row>
    <x:row r="54" s="1" customFormat="1" ht="12.75" hidden="0" customHeight="1">
      <x:c r="A54" s="6"/>
      <x:c r="B54" s="6"/>
      <x:c r="C54" s="6"/>
      <x:c r="D54" s="6"/>
      <x:c r="E54" s="6"/>
      <x:c r="F54" s="6"/>
      <x:c r="G54" s="6"/>
      <x:c r="H54" s="6"/>
      <x:c r="I54" s="6"/>
      <x:c r="J54" s="6"/>
      <x:c r="K54" s="6"/>
      <x:c r="L54" s="6"/>
      <x:c r="M54" s="6"/>
      <x:c r="N54" s="6"/>
      <x:c r="O54" s="6"/>
      <x:c r="P54" s="6"/>
      <x:c r="Q54" s="6"/>
      <x:c r="R54" s="6"/>
      <x:c r="S54" s="6"/>
      <x:c r="T54" s="6"/>
      <x:c r="U54" s="6"/>
      <x:c r="V54" s="6"/>
      <x:c r="W54" s="6"/>
      <x:c r="X54" s="6"/>
      <x:c r="Y54" s="6"/>
      <x:c r="Z54" s="6"/>
    </x:row>
    <x:row r="55" s="1" customFormat="1" ht="12.75" hidden="0" customHeight="1">
      <x:c r="A55" s="6"/>
      <x:c r="B55" s="6"/>
      <x:c r="C55" s="6"/>
      <x:c r="D55" s="6"/>
      <x:c r="E55" s="6"/>
      <x:c r="F55" s="6"/>
      <x:c r="G55" s="6"/>
      <x:c r="H55" s="6"/>
      <x:c r="I55" s="6"/>
      <x:c r="J55" s="6"/>
      <x:c r="K55" s="6"/>
      <x:c r="L55" s="6"/>
      <x:c r="M55" s="6"/>
      <x:c r="N55" s="6"/>
      <x:c r="O55" s="6"/>
      <x:c r="P55" s="6"/>
      <x:c r="Q55" s="6"/>
      <x:c r="R55" s="6"/>
      <x:c r="S55" s="6"/>
      <x:c r="T55" s="6"/>
      <x:c r="U55" s="6"/>
      <x:c r="V55" s="6"/>
      <x:c r="W55" s="6"/>
      <x:c r="X55" s="6"/>
      <x:c r="Y55" s="6"/>
      <x:c r="Z55" s="6"/>
    </x:row>
    <x:row r="56" s="1" customFormat="1" ht="12.75" hidden="0" customHeight="1">
      <x:c r="A56" s="6"/>
      <x:c r="B56" s="6"/>
      <x:c r="C56" s="6"/>
      <x:c r="D56" s="6"/>
      <x:c r="E56" s="6"/>
      <x:c r="F56" s="6"/>
      <x:c r="G56" s="6"/>
      <x:c r="H56" s="6"/>
      <x:c r="I56" s="6"/>
      <x:c r="J56" s="6"/>
      <x:c r="K56" s="6"/>
      <x:c r="L56" s="6"/>
      <x:c r="M56" s="6"/>
      <x:c r="N56" s="6"/>
      <x:c r="O56" s="6"/>
      <x:c r="P56" s="6"/>
      <x:c r="Q56" s="6"/>
      <x:c r="R56" s="6"/>
      <x:c r="S56" s="6"/>
      <x:c r="T56" s="6"/>
      <x:c r="U56" s="6"/>
      <x:c r="V56" s="6"/>
      <x:c r="W56" s="6"/>
      <x:c r="X56" s="6"/>
      <x:c r="Y56" s="6"/>
      <x:c r="Z56" s="6"/>
    </x:row>
    <x:row r="57" s="1" customFormat="1" ht="12.75" hidden="0" customHeight="1">
      <x:c r="A57" s="6"/>
      <x:c r="B57" s="6"/>
      <x:c r="C57" s="6"/>
      <x:c r="D57" s="6"/>
      <x:c r="E57" s="6"/>
      <x:c r="F57" s="6"/>
      <x:c r="G57" s="6"/>
      <x:c r="H57" s="6"/>
      <x:c r="I57" s="6"/>
      <x:c r="J57" s="6"/>
      <x:c r="K57" s="6"/>
      <x:c r="L57" s="6"/>
      <x:c r="M57" s="6"/>
      <x:c r="N57" s="6"/>
      <x:c r="O57" s="6"/>
      <x:c r="P57" s="6"/>
      <x:c r="Q57" s="6"/>
      <x:c r="R57" s="6"/>
      <x:c r="S57" s="6"/>
      <x:c r="T57" s="6"/>
      <x:c r="U57" s="6"/>
      <x:c r="V57" s="6"/>
      <x:c r="W57" s="6"/>
      <x:c r="X57" s="6"/>
      <x:c r="Y57" s="6"/>
      <x:c r="Z57" s="6"/>
    </x:row>
    <x:row r="58" s="1" customFormat="1" ht="12.75" hidden="0" customHeight="1">
      <x:c r="A58" s="6"/>
      <x:c r="B58" s="6"/>
      <x:c r="C58" s="6"/>
      <x:c r="D58" s="6"/>
      <x:c r="E58" s="6"/>
      <x:c r="F58" s="6"/>
      <x:c r="G58" s="6"/>
      <x:c r="H58" s="6"/>
      <x:c r="I58" s="6"/>
      <x:c r="J58" s="6"/>
      <x:c r="K58" s="6"/>
      <x:c r="L58" s="6"/>
      <x:c r="M58" s="6"/>
      <x:c r="N58" s="6"/>
      <x:c r="O58" s="6"/>
      <x:c r="P58" s="6"/>
      <x:c r="Q58" s="6"/>
      <x:c r="R58" s="6"/>
      <x:c r="S58" s="6"/>
      <x:c r="T58" s="6"/>
      <x:c r="U58" s="6"/>
      <x:c r="V58" s="6"/>
      <x:c r="W58" s="6"/>
      <x:c r="X58" s="6"/>
      <x:c r="Y58" s="6"/>
      <x:c r="Z58" s="6"/>
    </x:row>
    <x:row r="59" s="1" customFormat="1" ht="12.75" hidden="0" customHeight="1">
      <x:c r="A59" s="6"/>
      <x:c r="B59" s="6"/>
      <x:c r="C59" s="6"/>
      <x:c r="D59" s="6"/>
      <x:c r="E59" s="6"/>
      <x:c r="F59" s="6"/>
      <x:c r="G59" s="6"/>
      <x:c r="H59" s="6"/>
      <x:c r="I59" s="6"/>
      <x:c r="J59" s="6"/>
      <x:c r="K59" s="6"/>
      <x:c r="L59" s="6"/>
      <x:c r="M59" s="6"/>
      <x:c r="N59" s="6"/>
      <x:c r="O59" s="6"/>
      <x:c r="P59" s="6"/>
      <x:c r="Q59" s="6"/>
      <x:c r="R59" s="6"/>
      <x:c r="S59" s="6"/>
      <x:c r="T59" s="6"/>
      <x:c r="U59" s="6"/>
      <x:c r="V59" s="6"/>
      <x:c r="W59" s="6"/>
      <x:c r="X59" s="6"/>
      <x:c r="Y59" s="6"/>
      <x:c r="Z59" s="6"/>
    </x:row>
    <x:row r="60" s="1" customFormat="1" ht="12.75" hidden="0" customHeight="1">
      <x:c r="A60" s="6"/>
      <x:c r="B60" s="6"/>
      <x:c r="C60" s="6"/>
      <x:c r="D60" s="6"/>
      <x:c r="E60" s="6"/>
      <x:c r="F60" s="6"/>
      <x:c r="G60" s="6"/>
      <x:c r="H60" s="6"/>
      <x:c r="I60" s="6"/>
      <x:c r="J60" s="6"/>
      <x:c r="K60" s="6"/>
      <x:c r="L60" s="6"/>
      <x:c r="M60" s="6"/>
      <x:c r="N60" s="6"/>
      <x:c r="O60" s="6"/>
      <x:c r="P60" s="6"/>
      <x:c r="Q60" s="6"/>
      <x:c r="R60" s="6"/>
      <x:c r="S60" s="6"/>
      <x:c r="T60" s="6"/>
      <x:c r="U60" s="6"/>
      <x:c r="V60" s="6"/>
      <x:c r="W60" s="6"/>
      <x:c r="X60" s="6"/>
      <x:c r="Y60" s="6"/>
      <x:c r="Z60" s="6"/>
    </x:row>
    <x:row r="61" s="1" customFormat="1" ht="12.75" hidden="0" customHeight="1">
      <x:c r="A61" s="6"/>
      <x:c r="B61" s="6"/>
      <x:c r="C61" s="6"/>
      <x:c r="D61" s="6"/>
      <x:c r="E61" s="6"/>
      <x:c r="F61" s="6"/>
      <x:c r="G61" s="6"/>
      <x:c r="H61" s="6"/>
      <x:c r="I61" s="6"/>
      <x:c r="J61" s="6"/>
      <x:c r="K61" s="6"/>
      <x:c r="L61" s="6"/>
      <x:c r="M61" s="6"/>
      <x:c r="N61" s="6"/>
      <x:c r="O61" s="6"/>
      <x:c r="P61" s="6"/>
      <x:c r="Q61" s="6"/>
      <x:c r="R61" s="6"/>
      <x:c r="S61" s="6"/>
      <x:c r="T61" s="6"/>
      <x:c r="U61" s="6"/>
      <x:c r="V61" s="6"/>
      <x:c r="W61" s="6"/>
      <x:c r="X61" s="6"/>
      <x:c r="Y61" s="6"/>
      <x:c r="Z61" s="6"/>
    </x:row>
    <x:row r="62" s="1" customFormat="1" ht="12.75" hidden="0" customHeight="1">
      <x:c r="A62" s="6"/>
      <x:c r="B62" s="6"/>
      <x:c r="C62" s="6"/>
      <x:c r="D62" s="6"/>
      <x:c r="E62" s="6"/>
      <x:c r="F62" s="6"/>
      <x:c r="G62" s="6"/>
      <x:c r="H62" s="6"/>
      <x:c r="I62" s="6"/>
      <x:c r="J62" s="6"/>
      <x:c r="K62" s="6"/>
      <x:c r="L62" s="6"/>
      <x:c r="M62" s="6"/>
      <x:c r="N62" s="6"/>
      <x:c r="O62" s="6"/>
      <x:c r="P62" s="6"/>
      <x:c r="Q62" s="6"/>
      <x:c r="R62" s="6"/>
      <x:c r="S62" s="6"/>
      <x:c r="T62" s="6"/>
      <x:c r="U62" s="6"/>
      <x:c r="V62" s="6"/>
      <x:c r="W62" s="6"/>
      <x:c r="X62" s="6"/>
      <x:c r="Y62" s="6"/>
      <x:c r="Z62" s="6"/>
    </x:row>
    <x:row r="63" s="1" customFormat="1" ht="12.75" hidden="0" customHeight="1">
      <x:c r="A63" s="6"/>
      <x:c r="B63" s="6"/>
      <x:c r="C63" s="6"/>
      <x:c r="D63" s="6"/>
      <x:c r="E63" s="6"/>
      <x:c r="F63" s="6"/>
      <x:c r="G63" s="6"/>
      <x:c r="H63" s="6"/>
      <x:c r="I63" s="6"/>
      <x:c r="J63" s="6"/>
      <x:c r="K63" s="6"/>
      <x:c r="L63" s="6"/>
      <x:c r="M63" s="6"/>
      <x:c r="N63" s="6"/>
      <x:c r="O63" s="6"/>
      <x:c r="P63" s="6"/>
      <x:c r="Q63" s="6"/>
      <x:c r="R63" s="6"/>
      <x:c r="S63" s="6"/>
      <x:c r="T63" s="6"/>
      <x:c r="U63" s="6"/>
      <x:c r="V63" s="6"/>
      <x:c r="W63" s="6"/>
      <x:c r="X63" s="6"/>
      <x:c r="Y63" s="6"/>
      <x:c r="Z63" s="6"/>
    </x:row>
    <x:row r="64" s="1" customFormat="1" ht="12.75" hidden="0" customHeight="1">
      <x:c r="A64" s="6"/>
      <x:c r="B64" s="6"/>
      <x:c r="C64" s="6"/>
      <x:c r="D64" s="6"/>
      <x:c r="E64" s="6"/>
      <x:c r="F64" s="6"/>
      <x:c r="G64" s="6"/>
      <x:c r="H64" s="6"/>
      <x:c r="I64" s="6"/>
      <x:c r="J64" s="6"/>
      <x:c r="K64" s="6"/>
      <x:c r="L64" s="6"/>
      <x:c r="M64" s="6"/>
      <x:c r="N64" s="6"/>
      <x:c r="O64" s="6"/>
      <x:c r="P64" s="6"/>
      <x:c r="Q64" s="6"/>
      <x:c r="R64" s="6"/>
      <x:c r="S64" s="6"/>
      <x:c r="T64" s="6"/>
      <x:c r="U64" s="6"/>
      <x:c r="V64" s="6"/>
      <x:c r="W64" s="6"/>
      <x:c r="X64" s="6"/>
      <x:c r="Y64" s="6"/>
      <x:c r="Z64" s="6"/>
    </x:row>
    <x:row r="65" s="1" customFormat="1" ht="12.75" hidden="0" customHeight="1">
      <x:c r="A65" s="6"/>
      <x:c r="B65" s="6"/>
      <x:c r="C65" s="6"/>
      <x:c r="D65" s="6"/>
      <x:c r="E65" s="6"/>
      <x:c r="F65" s="6"/>
      <x:c r="G65" s="6"/>
      <x:c r="H65" s="6"/>
      <x:c r="I65" s="6"/>
      <x:c r="J65" s="6"/>
      <x:c r="K65" s="6"/>
      <x:c r="L65" s="6"/>
      <x:c r="M65" s="6"/>
      <x:c r="N65" s="6"/>
      <x:c r="O65" s="6"/>
      <x:c r="P65" s="6"/>
      <x:c r="Q65" s="6"/>
      <x:c r="R65" s="6"/>
      <x:c r="S65" s="6"/>
      <x:c r="T65" s="6"/>
      <x:c r="U65" s="6"/>
      <x:c r="V65" s="6"/>
      <x:c r="W65" s="6"/>
      <x:c r="X65" s="6"/>
      <x:c r="Y65" s="6"/>
      <x:c r="Z65" s="6"/>
    </x:row>
    <x:row r="66" s="1" customFormat="1" ht="12.75" hidden="0" customHeight="1">
      <x:c r="A66" s="6"/>
      <x:c r="B66" s="6"/>
      <x:c r="C66" s="6"/>
      <x:c r="D66" s="6"/>
      <x:c r="E66" s="6"/>
      <x:c r="F66" s="6"/>
      <x:c r="G66" s="6"/>
      <x:c r="H66" s="6"/>
      <x:c r="I66" s="6"/>
      <x:c r="J66" s="6"/>
      <x:c r="K66" s="6"/>
      <x:c r="L66" s="6"/>
      <x:c r="M66" s="6"/>
      <x:c r="N66" s="6"/>
      <x:c r="O66" s="6"/>
      <x:c r="P66" s="6"/>
      <x:c r="Q66" s="6"/>
      <x:c r="R66" s="6"/>
      <x:c r="S66" s="6"/>
      <x:c r="T66" s="6"/>
      <x:c r="U66" s="6"/>
      <x:c r="V66" s="6"/>
      <x:c r="W66" s="6"/>
      <x:c r="X66" s="6"/>
      <x:c r="Y66" s="6"/>
      <x:c r="Z66" s="6"/>
    </x:row>
    <x:row r="67" s="1" customFormat="1" ht="12.75" hidden="0" customHeight="1">
      <x:c r="A67" s="6"/>
      <x:c r="B67" s="6"/>
      <x:c r="C67" s="6"/>
      <x:c r="D67" s="6"/>
      <x:c r="E67" s="6"/>
      <x:c r="F67" s="6"/>
      <x:c r="G67" s="6"/>
      <x:c r="H67" s="6"/>
      <x:c r="I67" s="6"/>
      <x:c r="J67" s="6"/>
      <x:c r="K67" s="6"/>
      <x:c r="L67" s="6"/>
      <x:c r="M67" s="6"/>
      <x:c r="N67" s="6"/>
      <x:c r="O67" s="6"/>
      <x:c r="P67" s="6"/>
      <x:c r="Q67" s="6"/>
      <x:c r="R67" s="6"/>
      <x:c r="S67" s="6"/>
      <x:c r="T67" s="6"/>
      <x:c r="U67" s="6"/>
      <x:c r="V67" s="6"/>
      <x:c r="W67" s="6"/>
      <x:c r="X67" s="6"/>
      <x:c r="Y67" s="6"/>
      <x:c r="Z67" s="6"/>
    </x:row>
    <x:row r="68" s="1" customFormat="1" ht="12.75" hidden="0" customHeight="1">
      <x:c r="A68" s="6"/>
      <x:c r="B68" s="6"/>
      <x:c r="C68" s="6"/>
      <x:c r="D68" s="6"/>
      <x:c r="E68" s="6"/>
      <x:c r="F68" s="6"/>
      <x:c r="G68" s="6"/>
      <x:c r="H68" s="6"/>
      <x:c r="I68" s="6"/>
      <x:c r="J68" s="6"/>
      <x:c r="K68" s="6"/>
      <x:c r="L68" s="6"/>
      <x:c r="M68" s="6"/>
      <x:c r="N68" s="6"/>
      <x:c r="O68" s="6"/>
      <x:c r="P68" s="6"/>
      <x:c r="Q68" s="6"/>
      <x:c r="R68" s="6"/>
      <x:c r="S68" s="6"/>
      <x:c r="T68" s="6"/>
      <x:c r="U68" s="6"/>
      <x:c r="V68" s="6"/>
      <x:c r="W68" s="6"/>
      <x:c r="X68" s="6"/>
      <x:c r="Y68" s="6"/>
      <x:c r="Z68" s="6"/>
    </x:row>
    <x:row r="69" s="1" customFormat="1" ht="12.75" hidden="0" customHeight="1">
      <x:c r="A69" s="6"/>
      <x:c r="B69" s="6"/>
      <x:c r="C69" s="6"/>
      <x:c r="D69" s="6"/>
      <x:c r="E69" s="6"/>
      <x:c r="F69" s="6"/>
      <x:c r="G69" s="6"/>
      <x:c r="H69" s="6"/>
      <x:c r="I69" s="6"/>
      <x:c r="J69" s="6"/>
      <x:c r="K69" s="6"/>
      <x:c r="L69" s="6"/>
      <x:c r="M69" s="6"/>
      <x:c r="N69" s="6"/>
      <x:c r="O69" s="6"/>
      <x:c r="P69" s="6"/>
      <x:c r="Q69" s="6"/>
      <x:c r="R69" s="6"/>
      <x:c r="S69" s="6"/>
      <x:c r="T69" s="6"/>
      <x:c r="U69" s="6"/>
      <x:c r="V69" s="6"/>
      <x:c r="W69" s="6"/>
      <x:c r="X69" s="6"/>
      <x:c r="Y69" s="6"/>
      <x:c r="Z69" s="6"/>
    </x:row>
    <x:row r="70" s="1" customFormat="1" ht="12.75" hidden="0" customHeight="1">
      <x:c r="A70" s="6"/>
      <x:c r="B70" s="6"/>
      <x:c r="C70" s="6"/>
      <x:c r="D70" s="6"/>
      <x:c r="E70" s="6"/>
      <x:c r="F70" s="6"/>
      <x:c r="G70" s="6"/>
      <x:c r="H70" s="6"/>
      <x:c r="I70" s="6"/>
      <x:c r="J70" s="6"/>
      <x:c r="K70" s="6"/>
      <x:c r="L70" s="6"/>
      <x:c r="M70" s="6"/>
      <x:c r="N70" s="6"/>
      <x:c r="O70" s="6"/>
      <x:c r="P70" s="6"/>
      <x:c r="Q70" s="6"/>
      <x:c r="R70" s="6"/>
      <x:c r="S70" s="6"/>
      <x:c r="T70" s="6"/>
      <x:c r="U70" s="6"/>
      <x:c r="V70" s="6"/>
      <x:c r="W70" s="6"/>
      <x:c r="X70" s="6"/>
      <x:c r="Y70" s="6"/>
      <x:c r="Z70" s="6"/>
    </x:row>
    <x:row r="71" s="1" customFormat="1" ht="12.75" hidden="0" customHeight="1">
      <x:c r="A71" s="6"/>
      <x:c r="B71" s="6"/>
      <x:c r="C71" s="6"/>
      <x:c r="D71" s="6"/>
      <x:c r="E71" s="6"/>
      <x:c r="F71" s="6"/>
      <x:c r="G71" s="6"/>
      <x:c r="H71" s="6"/>
      <x:c r="I71" s="6"/>
      <x:c r="J71" s="6"/>
      <x:c r="K71" s="6"/>
      <x:c r="L71" s="6"/>
      <x:c r="M71" s="6"/>
      <x:c r="N71" s="6"/>
      <x:c r="O71" s="6"/>
      <x:c r="P71" s="6"/>
      <x:c r="Q71" s="6"/>
      <x:c r="R71" s="6"/>
      <x:c r="S71" s="6"/>
      <x:c r="T71" s="6"/>
      <x:c r="U71" s="6"/>
      <x:c r="V71" s="6"/>
      <x:c r="W71" s="6"/>
      <x:c r="X71" s="6"/>
      <x:c r="Y71" s="6"/>
      <x:c r="Z71" s="6"/>
    </x:row>
    <x:row r="72" s="1" customFormat="1" ht="12.75" hidden="0" customHeight="1">
      <x:c r="A72" s="6"/>
      <x:c r="B72" s="6"/>
      <x:c r="C72" s="6"/>
      <x:c r="D72" s="6"/>
      <x:c r="E72" s="6"/>
      <x:c r="F72" s="6"/>
      <x:c r="G72" s="6"/>
      <x:c r="H72" s="6"/>
      <x:c r="I72" s="6"/>
      <x:c r="J72" s="6"/>
      <x:c r="K72" s="6"/>
      <x:c r="L72" s="6"/>
      <x:c r="M72" s="6"/>
      <x:c r="N72" s="6"/>
      <x:c r="O72" s="6"/>
      <x:c r="P72" s="6"/>
      <x:c r="Q72" s="6"/>
      <x:c r="R72" s="6"/>
      <x:c r="S72" s="6"/>
      <x:c r="T72" s="6"/>
      <x:c r="U72" s="6"/>
      <x:c r="V72" s="6"/>
      <x:c r="W72" s="6"/>
      <x:c r="X72" s="6"/>
      <x:c r="Y72" s="6"/>
      <x:c r="Z72" s="6"/>
    </x:row>
    <x:row r="73" s="1" customFormat="1" ht="12.75" hidden="0" customHeight="1">
      <x:c r="A73" s="6"/>
      <x:c r="B73" s="6"/>
      <x:c r="C73" s="6"/>
      <x:c r="D73" s="6"/>
      <x:c r="E73" s="6"/>
      <x:c r="F73" s="6"/>
      <x:c r="G73" s="6"/>
      <x:c r="H73" s="6"/>
      <x:c r="I73" s="6"/>
      <x:c r="J73" s="6"/>
      <x:c r="K73" s="6"/>
      <x:c r="L73" s="6"/>
      <x:c r="M73" s="6"/>
      <x:c r="N73" s="6"/>
      <x:c r="O73" s="6"/>
      <x:c r="P73" s="6"/>
      <x:c r="Q73" s="6"/>
      <x:c r="R73" s="6"/>
      <x:c r="S73" s="6"/>
      <x:c r="T73" s="6"/>
      <x:c r="U73" s="6"/>
      <x:c r="V73" s="6"/>
      <x:c r="W73" s="6"/>
      <x:c r="X73" s="6"/>
      <x:c r="Y73" s="6"/>
      <x:c r="Z73" s="6"/>
    </x:row>
    <x:row r="74" s="1" customFormat="1" ht="12.75" hidden="0" customHeight="1">
      <x:c r="A74" s="6"/>
      <x:c r="B74" s="6"/>
      <x:c r="C74" s="6"/>
      <x:c r="D74" s="6"/>
      <x:c r="E74" s="6"/>
      <x:c r="F74" s="6"/>
      <x:c r="G74" s="6"/>
      <x:c r="H74" s="6"/>
      <x:c r="I74" s="6"/>
      <x:c r="J74" s="6"/>
      <x:c r="K74" s="6"/>
      <x:c r="L74" s="6"/>
      <x:c r="M74" s="6"/>
      <x:c r="N74" s="6"/>
      <x:c r="O74" s="6"/>
      <x:c r="P74" s="6"/>
      <x:c r="Q74" s="6"/>
      <x:c r="R74" s="6"/>
      <x:c r="S74" s="6"/>
      <x:c r="T74" s="6"/>
      <x:c r="U74" s="6"/>
      <x:c r="V74" s="6"/>
      <x:c r="W74" s="6"/>
      <x:c r="X74" s="6"/>
      <x:c r="Y74" s="6"/>
      <x:c r="Z74" s="6"/>
    </x:row>
    <x:row r="75" s="1" customFormat="1" ht="12.75" hidden="0" customHeight="1">
      <x:c r="A75" s="6"/>
      <x:c r="B75" s="6"/>
      <x:c r="C75" s="6"/>
      <x:c r="D75" s="6"/>
      <x:c r="E75" s="6"/>
      <x:c r="F75" s="6"/>
      <x:c r="G75" s="6"/>
      <x:c r="H75" s="6"/>
      <x:c r="I75" s="6"/>
      <x:c r="J75" s="6"/>
      <x:c r="K75" s="6"/>
      <x:c r="L75" s="6"/>
      <x:c r="M75" s="6"/>
      <x:c r="N75" s="6"/>
      <x:c r="O75" s="6"/>
      <x:c r="P75" s="6"/>
      <x:c r="Q75" s="6"/>
      <x:c r="R75" s="6"/>
      <x:c r="S75" s="6"/>
      <x:c r="T75" s="6"/>
      <x:c r="U75" s="6"/>
      <x:c r="V75" s="6"/>
      <x:c r="W75" s="6"/>
      <x:c r="X75" s="6"/>
      <x:c r="Y75" s="6"/>
      <x:c r="Z75" s="6"/>
    </x:row>
    <x:row r="76" s="1" customFormat="1" ht="12.75" hidden="0" customHeight="1">
      <x:c r="A76" s="6"/>
      <x:c r="B76" s="6"/>
      <x:c r="C76" s="6"/>
      <x:c r="D76" s="6"/>
      <x:c r="E76" s="6"/>
      <x:c r="F76" s="6"/>
      <x:c r="G76" s="6"/>
      <x:c r="H76" s="6"/>
      <x:c r="I76" s="6"/>
      <x:c r="J76" s="6"/>
      <x:c r="K76" s="6"/>
      <x:c r="L76" s="6"/>
      <x:c r="M76" s="6"/>
      <x:c r="N76" s="6"/>
      <x:c r="O76" s="6"/>
      <x:c r="P76" s="6"/>
      <x:c r="Q76" s="6"/>
      <x:c r="R76" s="6"/>
      <x:c r="S76" s="6"/>
      <x:c r="T76" s="6"/>
      <x:c r="U76" s="6"/>
      <x:c r="V76" s="6"/>
      <x:c r="W76" s="6"/>
      <x:c r="X76" s="6"/>
      <x:c r="Y76" s="6"/>
      <x:c r="Z76" s="6"/>
    </x:row>
    <x:row r="77" s="1" customFormat="1" ht="12.75" hidden="0" customHeight="1">
      <x:c r="A77" s="6"/>
      <x:c r="B77" s="6"/>
      <x:c r="C77" s="6"/>
      <x:c r="D77" s="6"/>
      <x:c r="E77" s="6"/>
      <x:c r="F77" s="6"/>
      <x:c r="G77" s="6"/>
      <x:c r="H77" s="6"/>
      <x:c r="I77" s="6"/>
      <x:c r="J77" s="6"/>
      <x:c r="K77" s="6"/>
      <x:c r="L77" s="6"/>
      <x:c r="M77" s="6"/>
      <x:c r="N77" s="6"/>
      <x:c r="O77" s="6"/>
      <x:c r="P77" s="6"/>
      <x:c r="Q77" s="6"/>
      <x:c r="R77" s="6"/>
      <x:c r="S77" s="6"/>
      <x:c r="T77" s="6"/>
      <x:c r="U77" s="6"/>
      <x:c r="V77" s="6"/>
      <x:c r="W77" s="6"/>
      <x:c r="X77" s="6"/>
      <x:c r="Y77" s="6"/>
      <x:c r="Z77" s="6"/>
    </x:row>
    <x:row r="78" s="1" customFormat="1" ht="12.75" hidden="0" customHeight="1">
      <x:c r="A78" s="6"/>
      <x:c r="B78" s="6"/>
      <x:c r="C78" s="6"/>
      <x:c r="D78" s="6"/>
      <x:c r="E78" s="6"/>
      <x:c r="F78" s="6"/>
      <x:c r="G78" s="6"/>
      <x:c r="H78" s="6"/>
      <x:c r="I78" s="6"/>
      <x:c r="J78" s="6"/>
      <x:c r="K78" s="6"/>
      <x:c r="L78" s="6"/>
      <x:c r="M78" s="6"/>
      <x:c r="N78" s="6"/>
      <x:c r="O78" s="6"/>
      <x:c r="P78" s="6"/>
      <x:c r="Q78" s="6"/>
      <x:c r="R78" s="6"/>
      <x:c r="S78" s="6"/>
      <x:c r="T78" s="6"/>
      <x:c r="U78" s="6"/>
      <x:c r="V78" s="6"/>
      <x:c r="W78" s="6"/>
      <x:c r="X78" s="6"/>
      <x:c r="Y78" s="6"/>
      <x:c r="Z78" s="6"/>
    </x:row>
    <x:row r="79" s="1" customFormat="1" ht="12.75" hidden="0" customHeight="1">
      <x:c r="A79" s="6"/>
      <x:c r="B79" s="6"/>
      <x:c r="C79" s="6"/>
      <x:c r="D79" s="6"/>
      <x:c r="E79" s="6"/>
      <x:c r="F79" s="6"/>
      <x:c r="G79" s="6"/>
      <x:c r="H79" s="6"/>
      <x:c r="I79" s="6"/>
      <x:c r="J79" s="6"/>
      <x:c r="K79" s="6"/>
      <x:c r="L79" s="6"/>
      <x:c r="M79" s="6"/>
      <x:c r="N79" s="6"/>
      <x:c r="O79" s="6"/>
      <x:c r="P79" s="6"/>
      <x:c r="Q79" s="6"/>
      <x:c r="R79" s="6"/>
      <x:c r="S79" s="6"/>
      <x:c r="T79" s="6"/>
      <x:c r="U79" s="6"/>
      <x:c r="V79" s="6"/>
      <x:c r="W79" s="6"/>
      <x:c r="X79" s="6"/>
      <x:c r="Y79" s="6"/>
      <x:c r="Z79" s="6"/>
    </x:row>
    <x:row r="80" s="1" customFormat="1" ht="12.75" hidden="0" customHeight="1">
      <x:c r="A80" s="6"/>
      <x:c r="B80" s="6"/>
      <x:c r="C80" s="6"/>
      <x:c r="D80" s="6"/>
      <x:c r="E80" s="6"/>
      <x:c r="F80" s="6"/>
      <x:c r="G80" s="6"/>
      <x:c r="H80" s="6"/>
      <x:c r="I80" s="6"/>
      <x:c r="J80" s="6"/>
      <x:c r="K80" s="6"/>
      <x:c r="L80" s="6"/>
      <x:c r="M80" s="6"/>
      <x:c r="N80" s="6"/>
      <x:c r="O80" s="6"/>
      <x:c r="P80" s="6"/>
      <x:c r="Q80" s="6"/>
      <x:c r="R80" s="6"/>
      <x:c r="S80" s="6"/>
      <x:c r="T80" s="6"/>
      <x:c r="U80" s="6"/>
      <x:c r="V80" s="6"/>
      <x:c r="W80" s="6"/>
      <x:c r="X80" s="6"/>
      <x:c r="Y80" s="6"/>
      <x:c r="Z80" s="6"/>
    </x:row>
    <x:row r="81" s="1" customFormat="1" ht="12.75" hidden="0" customHeight="1">
      <x:c r="A81" s="6"/>
      <x:c r="B81" s="6"/>
      <x:c r="C81" s="6"/>
      <x:c r="D81" s="6"/>
      <x:c r="E81" s="6"/>
      <x:c r="F81" s="6"/>
      <x:c r="G81" s="6"/>
      <x:c r="H81" s="6"/>
      <x:c r="I81" s="6"/>
      <x:c r="J81" s="6"/>
      <x:c r="K81" s="6"/>
      <x:c r="L81" s="6"/>
      <x:c r="M81" s="6"/>
      <x:c r="N81" s="6"/>
      <x:c r="O81" s="6"/>
      <x:c r="P81" s="6"/>
      <x:c r="Q81" s="6"/>
      <x:c r="R81" s="6"/>
      <x:c r="S81" s="6"/>
      <x:c r="T81" s="6"/>
      <x:c r="U81" s="6"/>
      <x:c r="V81" s="6"/>
      <x:c r="W81" s="6"/>
      <x:c r="X81" s="6"/>
      <x:c r="Y81" s="6"/>
      <x:c r="Z81" s="6"/>
    </x:row>
    <x:row r="82" s="1" customFormat="1" ht="12.75" hidden="0" customHeight="1">
      <x:c r="A82" s="6"/>
      <x:c r="B82" s="6"/>
      <x:c r="C82" s="6"/>
      <x:c r="D82" s="6"/>
      <x:c r="E82" s="6"/>
      <x:c r="F82" s="6"/>
      <x:c r="G82" s="6"/>
      <x:c r="H82" s="6"/>
      <x:c r="I82" s="6"/>
      <x:c r="J82" s="6"/>
      <x:c r="K82" s="6"/>
      <x:c r="L82" s="6"/>
      <x:c r="M82" s="6"/>
      <x:c r="N82" s="6"/>
      <x:c r="O82" s="6"/>
      <x:c r="P82" s="6"/>
      <x:c r="Q82" s="6"/>
      <x:c r="R82" s="6"/>
      <x:c r="S82" s="6"/>
      <x:c r="T82" s="6"/>
      <x:c r="U82" s="6"/>
      <x:c r="V82" s="6"/>
      <x:c r="W82" s="6"/>
      <x:c r="X82" s="6"/>
      <x:c r="Y82" s="6"/>
      <x:c r="Z82" s="6"/>
    </x:row>
    <x:row r="83" s="1" customFormat="1" ht="12.75" hidden="0" customHeight="1">
      <x:c r="A83" s="6"/>
      <x:c r="B83" s="6"/>
      <x:c r="C83" s="6"/>
      <x:c r="D83" s="6"/>
      <x:c r="E83" s="6"/>
      <x:c r="F83" s="6"/>
      <x:c r="G83" s="6"/>
      <x:c r="H83" s="6"/>
      <x:c r="I83" s="6"/>
      <x:c r="J83" s="6"/>
      <x:c r="K83" s="6"/>
      <x:c r="L83" s="6"/>
      <x:c r="M83" s="6"/>
      <x:c r="N83" s="6"/>
      <x:c r="O83" s="6"/>
      <x:c r="P83" s="6"/>
      <x:c r="Q83" s="6"/>
      <x:c r="R83" s="6"/>
      <x:c r="S83" s="6"/>
      <x:c r="T83" s="6"/>
      <x:c r="U83" s="6"/>
      <x:c r="V83" s="6"/>
      <x:c r="W83" s="6"/>
      <x:c r="X83" s="6"/>
      <x:c r="Y83" s="6"/>
      <x:c r="Z83" s="6"/>
    </x:row>
    <x:row r="84" s="1" customFormat="1" ht="12.75" hidden="0" customHeight="1">
      <x:c r="A84" s="6"/>
      <x:c r="B84" s="6"/>
      <x:c r="C84" s="6"/>
      <x:c r="D84" s="6"/>
      <x:c r="E84" s="6"/>
      <x:c r="F84" s="6"/>
      <x:c r="G84" s="6"/>
      <x:c r="H84" s="6"/>
      <x:c r="I84" s="6"/>
      <x:c r="J84" s="6"/>
      <x:c r="K84" s="6"/>
      <x:c r="L84" s="6"/>
      <x:c r="M84" s="6"/>
      <x:c r="N84" s="6"/>
      <x:c r="O84" s="6"/>
      <x:c r="P84" s="6"/>
      <x:c r="Q84" s="6"/>
      <x:c r="R84" s="6"/>
      <x:c r="S84" s="6"/>
      <x:c r="T84" s="6"/>
      <x:c r="U84" s="6"/>
      <x:c r="V84" s="6"/>
      <x:c r="W84" s="6"/>
      <x:c r="X84" s="6"/>
      <x:c r="Y84" s="6"/>
      <x:c r="Z84" s="6"/>
    </x:row>
    <x:row r="85" s="1" customFormat="1" ht="12.75" hidden="0" customHeight="1">
      <x:c r="A85" s="6"/>
      <x:c r="B85" s="6"/>
      <x:c r="C85" s="6"/>
      <x:c r="D85" s="6"/>
      <x:c r="E85" s="6"/>
      <x:c r="F85" s="6"/>
      <x:c r="G85" s="6"/>
      <x:c r="H85" s="6"/>
      <x:c r="I85" s="6"/>
      <x:c r="J85" s="6"/>
      <x:c r="K85" s="6"/>
      <x:c r="L85" s="6"/>
      <x:c r="M85" s="6"/>
      <x:c r="N85" s="6"/>
      <x:c r="O85" s="6"/>
      <x:c r="P85" s="6"/>
      <x:c r="Q85" s="6"/>
      <x:c r="R85" s="6"/>
      <x:c r="S85" s="6"/>
      <x:c r="T85" s="6"/>
      <x:c r="U85" s="6"/>
      <x:c r="V85" s="6"/>
      <x:c r="W85" s="6"/>
      <x:c r="X85" s="6"/>
      <x:c r="Y85" s="6"/>
      <x:c r="Z85" s="6"/>
    </x:row>
    <x:row r="86" s="1" customFormat="1" ht="12.75" hidden="0" customHeight="1">
      <x:c r="A86" s="6"/>
      <x:c r="B86" s="6"/>
      <x:c r="C86" s="6"/>
      <x:c r="D86" s="6"/>
      <x:c r="E86" s="6"/>
      <x:c r="F86" s="6"/>
      <x:c r="G86" s="6"/>
      <x:c r="H86" s="6"/>
      <x:c r="I86" s="6"/>
      <x:c r="J86" s="6"/>
      <x:c r="K86" s="6"/>
      <x:c r="L86" s="6"/>
      <x:c r="M86" s="6"/>
      <x:c r="N86" s="6"/>
      <x:c r="O86" s="6"/>
      <x:c r="P86" s="6"/>
      <x:c r="Q86" s="6"/>
      <x:c r="R86" s="6"/>
      <x:c r="S86" s="6"/>
      <x:c r="T86" s="6"/>
      <x:c r="U86" s="6"/>
      <x:c r="V86" s="6"/>
      <x:c r="W86" s="6"/>
      <x:c r="X86" s="6"/>
      <x:c r="Y86" s="6"/>
      <x:c r="Z86" s="6"/>
    </x:row>
    <x:row r="87" s="1" customFormat="1" ht="12.75" hidden="0" customHeight="1">
      <x:c r="A87" s="6"/>
      <x:c r="B87" s="6"/>
      <x:c r="C87" s="6"/>
      <x:c r="D87" s="6"/>
      <x:c r="E87" s="6"/>
      <x:c r="F87" s="6"/>
      <x:c r="G87" s="6"/>
      <x:c r="H87" s="6"/>
      <x:c r="I87" s="6"/>
      <x:c r="J87" s="6"/>
      <x:c r="K87" s="6"/>
      <x:c r="L87" s="6"/>
      <x:c r="M87" s="6"/>
      <x:c r="N87" s="6"/>
      <x:c r="O87" s="6"/>
      <x:c r="P87" s="6"/>
      <x:c r="Q87" s="6"/>
      <x:c r="R87" s="6"/>
      <x:c r="S87" s="6"/>
      <x:c r="T87" s="6"/>
      <x:c r="U87" s="6"/>
      <x:c r="V87" s="6"/>
      <x:c r="W87" s="6"/>
      <x:c r="X87" s="6"/>
      <x:c r="Y87" s="6"/>
      <x:c r="Z87" s="6"/>
    </x:row>
    <x:row r="88" s="1" customFormat="1" ht="12.75" hidden="0" customHeight="1">
      <x:c r="A88" s="6"/>
      <x:c r="B88" s="6"/>
      <x:c r="C88" s="6"/>
      <x:c r="D88" s="6"/>
      <x:c r="E88" s="6"/>
      <x:c r="F88" s="6"/>
      <x:c r="G88" s="6"/>
      <x:c r="H88" s="6"/>
      <x:c r="I88" s="6"/>
      <x:c r="J88" s="6"/>
      <x:c r="K88" s="6"/>
      <x:c r="L88" s="6"/>
      <x:c r="M88" s="6"/>
      <x:c r="N88" s="6"/>
      <x:c r="O88" s="6"/>
      <x:c r="P88" s="6"/>
      <x:c r="Q88" s="6"/>
      <x:c r="R88" s="6"/>
      <x:c r="S88" s="6"/>
      <x:c r="T88" s="6"/>
      <x:c r="U88" s="6"/>
      <x:c r="V88" s="6"/>
      <x:c r="W88" s="6"/>
      <x:c r="X88" s="6"/>
      <x:c r="Y88" s="6"/>
      <x:c r="Z88" s="6"/>
    </x:row>
    <x:row r="89" s="1" customFormat="1" ht="12.75" hidden="0" customHeight="1">
      <x:c r="A89" s="6"/>
      <x:c r="B89" s="6"/>
      <x:c r="C89" s="6"/>
      <x:c r="D89" s="6"/>
      <x:c r="E89" s="6"/>
      <x:c r="F89" s="6"/>
      <x:c r="G89" s="6"/>
      <x:c r="H89" s="6"/>
      <x:c r="I89" s="6"/>
      <x:c r="J89" s="6"/>
      <x:c r="K89" s="6"/>
      <x:c r="L89" s="6"/>
      <x:c r="M89" s="6"/>
      <x:c r="N89" s="6"/>
      <x:c r="O89" s="6"/>
      <x:c r="P89" s="6"/>
      <x:c r="Q89" s="6"/>
      <x:c r="R89" s="6"/>
      <x:c r="S89" s="6"/>
      <x:c r="T89" s="6"/>
      <x:c r="U89" s="6"/>
      <x:c r="V89" s="6"/>
      <x:c r="W89" s="6"/>
      <x:c r="X89" s="6"/>
      <x:c r="Y89" s="6"/>
      <x:c r="Z89" s="6"/>
    </x:row>
    <x:row r="90" s="1" customFormat="1" ht="12.75" hidden="0" customHeight="1">
      <x:c r="A90" s="6"/>
      <x:c r="B90" s="6"/>
      <x:c r="C90" s="6"/>
      <x:c r="D90" s="6"/>
      <x:c r="E90" s="6"/>
      <x:c r="F90" s="6"/>
      <x:c r="G90" s="6"/>
      <x:c r="H90" s="6"/>
      <x:c r="I90" s="6"/>
      <x:c r="J90" s="6"/>
      <x:c r="K90" s="6"/>
      <x:c r="L90" s="6"/>
      <x:c r="M90" s="6"/>
      <x:c r="N90" s="6"/>
      <x:c r="O90" s="6"/>
      <x:c r="P90" s="6"/>
      <x:c r="Q90" s="6"/>
      <x:c r="R90" s="6"/>
      <x:c r="S90" s="6"/>
      <x:c r="T90" s="6"/>
      <x:c r="U90" s="6"/>
      <x:c r="V90" s="6"/>
      <x:c r="W90" s="6"/>
      <x:c r="X90" s="6"/>
      <x:c r="Y90" s="6"/>
      <x:c r="Z90" s="6"/>
    </x:row>
    <x:row r="91" s="1" customFormat="1" ht="12.75" hidden="0" customHeight="1">
      <x:c r="A91" s="6"/>
      <x:c r="B91" s="6"/>
      <x:c r="C91" s="6"/>
      <x:c r="D91" s="6"/>
      <x:c r="E91" s="6"/>
      <x:c r="F91" s="6"/>
      <x:c r="G91" s="6"/>
      <x:c r="H91" s="6"/>
      <x:c r="I91" s="6"/>
      <x:c r="J91" s="6"/>
      <x:c r="K91" s="6"/>
      <x:c r="L91" s="6"/>
      <x:c r="M91" s="6"/>
      <x:c r="N91" s="6"/>
      <x:c r="O91" s="6"/>
      <x:c r="P91" s="6"/>
      <x:c r="Q91" s="6"/>
      <x:c r="R91" s="6"/>
      <x:c r="S91" s="6"/>
      <x:c r="T91" s="6"/>
      <x:c r="U91" s="6"/>
      <x:c r="V91" s="6"/>
      <x:c r="W91" s="6"/>
      <x:c r="X91" s="6"/>
      <x:c r="Y91" s="6"/>
      <x:c r="Z91" s="6"/>
    </x:row>
    <x:row r="92" s="1" customFormat="1" ht="12.75" hidden="0" customHeight="1">
      <x:c r="A92" s="6"/>
      <x:c r="B92" s="6"/>
      <x:c r="C92" s="6"/>
      <x:c r="D92" s="6"/>
      <x:c r="E92" s="6"/>
      <x:c r="F92" s="6"/>
      <x:c r="G92" s="6"/>
      <x:c r="H92" s="6"/>
      <x:c r="I92" s="6"/>
      <x:c r="J92" s="6"/>
      <x:c r="K92" s="6"/>
      <x:c r="L92" s="6"/>
      <x:c r="M92" s="6"/>
      <x:c r="N92" s="6"/>
      <x:c r="O92" s="6"/>
      <x:c r="P92" s="6"/>
      <x:c r="Q92" s="6"/>
      <x:c r="R92" s="6"/>
      <x:c r="S92" s="6"/>
      <x:c r="T92" s="6"/>
      <x:c r="U92" s="6"/>
      <x:c r="V92" s="6"/>
      <x:c r="W92" s="6"/>
      <x:c r="X92" s="6"/>
      <x:c r="Y92" s="6"/>
      <x:c r="Z92" s="6"/>
    </x:row>
    <x:row r="93" s="1" customFormat="1" ht="12.75" hidden="0" customHeight="1">
      <x:c r="A93" s="6"/>
      <x:c r="B93" s="6"/>
      <x:c r="C93" s="6"/>
      <x:c r="D93" s="6"/>
      <x:c r="E93" s="6"/>
      <x:c r="F93" s="6"/>
      <x:c r="G93" s="6"/>
      <x:c r="H93" s="6"/>
      <x:c r="I93" s="6"/>
      <x:c r="J93" s="6"/>
      <x:c r="K93" s="6"/>
      <x:c r="L93" s="6"/>
      <x:c r="M93" s="6"/>
      <x:c r="N93" s="6"/>
      <x:c r="O93" s="6"/>
      <x:c r="P93" s="6"/>
      <x:c r="Q93" s="6"/>
      <x:c r="R93" s="6"/>
      <x:c r="S93" s="6"/>
      <x:c r="T93" s="6"/>
      <x:c r="U93" s="6"/>
      <x:c r="V93" s="6"/>
      <x:c r="W93" s="6"/>
      <x:c r="X93" s="6"/>
      <x:c r="Y93" s="6"/>
      <x:c r="Z93" s="6"/>
    </x:row>
    <x:row r="94" s="1" customFormat="1" ht="12.75" hidden="0" customHeight="1">
      <x:c r="A94" s="6"/>
      <x:c r="B94" s="6"/>
      <x:c r="C94" s="6"/>
      <x:c r="D94" s="6"/>
      <x:c r="E94" s="6"/>
      <x:c r="F94" s="6"/>
      <x:c r="G94" s="6"/>
      <x:c r="H94" s="6"/>
      <x:c r="I94" s="6"/>
      <x:c r="J94" s="6"/>
      <x:c r="K94" s="6"/>
      <x:c r="L94" s="6"/>
      <x:c r="M94" s="6"/>
      <x:c r="N94" s="6"/>
      <x:c r="O94" s="6"/>
      <x:c r="P94" s="6"/>
      <x:c r="Q94" s="6"/>
      <x:c r="R94" s="6"/>
      <x:c r="S94" s="6"/>
      <x:c r="T94" s="6"/>
      <x:c r="U94" s="6"/>
      <x:c r="V94" s="6"/>
      <x:c r="W94" s="6"/>
      <x:c r="X94" s="6"/>
      <x:c r="Y94" s="6"/>
      <x:c r="Z94" s="6"/>
    </x:row>
    <x:row r="95" s="1" customFormat="1" ht="12.75" hidden="0" customHeight="1">
      <x:c r="A95" s="6"/>
      <x:c r="B95" s="6"/>
      <x:c r="C95" s="6"/>
      <x:c r="D95" s="6"/>
      <x:c r="E95" s="6"/>
      <x:c r="F95" s="6"/>
      <x:c r="G95" s="6"/>
      <x:c r="H95" s="6"/>
      <x:c r="I95" s="6"/>
      <x:c r="J95" s="6"/>
      <x:c r="K95" s="6"/>
      <x:c r="L95" s="6"/>
      <x:c r="M95" s="6"/>
      <x:c r="N95" s="6"/>
      <x:c r="O95" s="6"/>
      <x:c r="P95" s="6"/>
      <x:c r="Q95" s="6"/>
      <x:c r="R95" s="6"/>
      <x:c r="S95" s="6"/>
      <x:c r="T95" s="6"/>
      <x:c r="U95" s="6"/>
      <x:c r="V95" s="6"/>
      <x:c r="W95" s="6"/>
      <x:c r="X95" s="6"/>
      <x:c r="Y95" s="6"/>
      <x:c r="Z95" s="6"/>
    </x:row>
    <x:row r="96" s="1" customFormat="1" ht="12.75" hidden="0" customHeight="1">
      <x:c r="A96" s="6"/>
      <x:c r="B96" s="6"/>
      <x:c r="C96" s="6"/>
      <x:c r="D96" s="6"/>
      <x:c r="E96" s="6"/>
      <x:c r="F96" s="6"/>
      <x:c r="G96" s="6"/>
      <x:c r="H96" s="6"/>
      <x:c r="I96" s="6"/>
      <x:c r="J96" s="6"/>
      <x:c r="K96" s="6"/>
      <x:c r="L96" s="6"/>
      <x:c r="M96" s="6"/>
      <x:c r="N96" s="6"/>
      <x:c r="O96" s="6"/>
      <x:c r="P96" s="6"/>
      <x:c r="Q96" s="6"/>
      <x:c r="R96" s="6"/>
      <x:c r="S96" s="6"/>
      <x:c r="T96" s="6"/>
      <x:c r="U96" s="6"/>
      <x:c r="V96" s="6"/>
      <x:c r="W96" s="6"/>
      <x:c r="X96" s="6"/>
      <x:c r="Y96" s="6"/>
      <x:c r="Z96" s="6"/>
    </x:row>
    <x:row r="97" s="1" customFormat="1" ht="12.75" hidden="0" customHeight="1">
      <x:c r="A97" s="6"/>
      <x:c r="B97" s="6"/>
      <x:c r="C97" s="6"/>
      <x:c r="D97" s="6"/>
      <x:c r="E97" s="6"/>
      <x:c r="F97" s="6"/>
      <x:c r="G97" s="6"/>
      <x:c r="H97" s="6"/>
      <x:c r="I97" s="6"/>
      <x:c r="J97" s="6"/>
      <x:c r="K97" s="6"/>
      <x:c r="L97" s="6"/>
      <x:c r="M97" s="6"/>
      <x:c r="N97" s="6"/>
      <x:c r="O97" s="6"/>
      <x:c r="P97" s="6"/>
      <x:c r="Q97" s="6"/>
      <x:c r="R97" s="6"/>
      <x:c r="S97" s="6"/>
      <x:c r="T97" s="6"/>
      <x:c r="U97" s="6"/>
      <x:c r="V97" s="6"/>
      <x:c r="W97" s="6"/>
      <x:c r="X97" s="6"/>
      <x:c r="Y97" s="6"/>
      <x:c r="Z97" s="6"/>
    </x:row>
    <x:row r="98" s="1" customFormat="1" ht="12.75" hidden="0" customHeight="1">
      <x:c r="A98" s="6"/>
      <x:c r="B98" s="6"/>
      <x:c r="C98" s="6"/>
      <x:c r="D98" s="6"/>
      <x:c r="E98" s="6"/>
      <x:c r="F98" s="6"/>
      <x:c r="G98" s="6"/>
      <x:c r="H98" s="6"/>
      <x:c r="I98" s="6"/>
      <x:c r="J98" s="6"/>
      <x:c r="K98" s="6"/>
      <x:c r="L98" s="6"/>
      <x:c r="M98" s="6"/>
      <x:c r="N98" s="6"/>
      <x:c r="O98" s="6"/>
      <x:c r="P98" s="6"/>
      <x:c r="Q98" s="6"/>
      <x:c r="R98" s="6"/>
      <x:c r="S98" s="6"/>
      <x:c r="T98" s="6"/>
      <x:c r="U98" s="6"/>
      <x:c r="V98" s="6"/>
      <x:c r="W98" s="6"/>
      <x:c r="X98" s="6"/>
      <x:c r="Y98" s="6"/>
      <x:c r="Z98" s="6"/>
    </x:row>
    <x:row r="99" s="1" customFormat="1" ht="12.75" hidden="0" customHeight="1">
      <x:c r="A99" s="6"/>
      <x:c r="B99" s="6"/>
      <x:c r="C99" s="6"/>
      <x:c r="D99" s="6"/>
      <x:c r="E99" s="6"/>
      <x:c r="F99" s="6"/>
      <x:c r="G99" s="6"/>
      <x:c r="H99" s="6"/>
      <x:c r="I99" s="6"/>
      <x:c r="J99" s="6"/>
      <x:c r="K99" s="6"/>
      <x:c r="L99" s="6"/>
      <x:c r="M99" s="6"/>
      <x:c r="N99" s="6"/>
      <x:c r="O99" s="6"/>
      <x:c r="P99" s="6"/>
      <x:c r="Q99" s="6"/>
      <x:c r="R99" s="6"/>
      <x:c r="S99" s="6"/>
      <x:c r="T99" s="6"/>
      <x:c r="U99" s="6"/>
      <x:c r="V99" s="6"/>
      <x:c r="W99" s="6"/>
      <x:c r="X99" s="6"/>
      <x:c r="Y99" s="6"/>
      <x:c r="Z99" s="6"/>
    </x:row>
    <x:row r="100" s="1" customFormat="1" ht="12.75" hidden="0" customHeight="1">
      <x:c r="A100" s="6"/>
      <x:c r="B100" s="6"/>
      <x:c r="C100" s="6"/>
      <x:c r="D100" s="6"/>
      <x:c r="E100" s="6"/>
      <x:c r="F100" s="6"/>
      <x:c r="G100" s="6"/>
      <x:c r="H100" s="6"/>
      <x:c r="I100" s="6"/>
      <x:c r="J100" s="6"/>
      <x:c r="K100" s="6"/>
      <x:c r="L100" s="6"/>
      <x:c r="M100" s="6"/>
      <x:c r="N100" s="6"/>
      <x:c r="O100" s="6"/>
      <x:c r="P100" s="6"/>
      <x:c r="Q100" s="6"/>
      <x:c r="R100" s="6"/>
      <x:c r="S100" s="6"/>
      <x:c r="T100" s="6"/>
      <x:c r="U100" s="6"/>
      <x:c r="V100" s="6"/>
      <x:c r="W100" s="6"/>
      <x:c r="X100" s="6"/>
      <x:c r="Y100" s="6"/>
      <x:c r="Z100" s="6"/>
    </x:row>
  </x:sheetData>
  <x:pageMargins left="0.7" right="0.7" top="0.75" bottom="0.75" header="0.3" footer="0.3"/>
</x:worksheet>
</file>

<file path=xl/worksheets/sheet54.xml><?xml version="1.0" encoding="utf-8"?>
<x:worksheet xmlns:x="http://schemas.openxmlformats.org/spreadsheetml/2006/main">
  <x:sheetViews>
    <x:sheetView showGridLines="1" workbookViewId="0"/>
  </x:sheetViews>
  <x:sheetFormatPr defaultColWidth="8.6796875" defaultRowHeight="12.75"/>
  <x:cols>
    <x:col min="1" max="3" width="36" style="1" hidden="0" customWidth="1"/>
  </x:cols>
  <x:sheetData>
    <x:row r="1" s="1" customFormat="1" ht="12.75" hidden="0" customHeight="1">
      <x:c r="A1" s="2" t="s">
        <x:v>3827</x:v>
      </x:c>
      <x:c r="B1" s="2" t="s">
        <x:v>349</x:v>
      </x:c>
      <x:c r="C1" s="2" t="s">
        <x:v>1203</x:v>
      </x:c>
    </x:row>
    <x:row r="2" s="1" customFormat="1" ht="26.25" hidden="0" customHeight="1">
      <x:c r="A2" s="7" t="s">
        <x:v>3828</x:v>
      </x:c>
      <x:c r="B2" s="5" t="s">
        <x:v>3829</x:v>
      </x:c>
      <x:c r="C2" s="5" t="s">
        <x:v>3830</x:v>
      </x:c>
    </x:row>
    <x:row r="3" s="1" customFormat="1" ht="26.25" hidden="0" customHeight="1">
      <x:c r="A3" s="7" t="s">
        <x:v>3831</x:v>
      </x:c>
      <x:c r="B3" s="8" t="s">
        <x:v>3832</x:v>
      </x:c>
      <x:c r="C3" s="8" t="s">
        <x:v>3833</x:v>
      </x:c>
    </x:row>
    <x:row r="4" s="1" customFormat="1" ht="26.25" hidden="0" customHeight="1">
      <x:c r="A4" s="7" t="s">
        <x:v>3834</x:v>
      </x:c>
      <x:c r="B4" s="5" t="s">
        <x:v>3832</x:v>
      </x:c>
      <x:c r="C4" s="5" t="s">
        <x:v>3833</x:v>
      </x:c>
    </x:row>
    <x:row r="5" s="1" customFormat="1" ht="12.75" hidden="0" customHeight="1">
      <x:c r="A5" s="7" t="s">
        <x:v>3835</x:v>
      </x:c>
      <x:c r="B5" s="8" t="s">
        <x:v>3836</x:v>
      </x:c>
      <x:c r="C5" s="8" t="s">
        <x:v>3837</x:v>
      </x:c>
    </x:row>
    <x:row r="6" s="1" customFormat="1" ht="12.75" hidden="0" customHeight="1">
      <x:c r="A6" s="7" t="s">
        <x:v>3838</x:v>
      </x:c>
      <x:c r="B6" s="5" t="s">
        <x:v>3836</x:v>
      </x:c>
      <x:c r="C6" s="5" t="s">
        <x:v>3839</x:v>
      </x:c>
    </x:row>
    <x:row r="7" s="1" customFormat="1" ht="12.75" hidden="0" customHeight="1">
      <x:c r="A7" s="7" t="s">
        <x:v>3840</x:v>
      </x:c>
      <x:c r="B7" s="8" t="s">
        <x:v>3836</x:v>
      </x:c>
      <x:c r="C7" s="8" t="s">
        <x:v>3839</x:v>
      </x:c>
    </x:row>
    <x:row r="8" s="1" customFormat="1" ht="12.75" hidden="0" customHeight="1">
      <x:c r="A8" s="7" t="s">
        <x:v>3841</x:v>
      </x:c>
      <x:c r="B8" s="5" t="s">
        <x:v>3836</x:v>
      </x:c>
      <x:c r="C8" s="5" t="s">
        <x:v>3842</x:v>
      </x:c>
    </x:row>
    <x:row r="9" s="1" customFormat="1" ht="12.75" hidden="0" customHeight="1">
      <x:c r="A9" s="7" t="s">
        <x:v>3843</x:v>
      </x:c>
      <x:c r="B9" s="8" t="s">
        <x:v>3836</x:v>
      </x:c>
      <x:c r="C9" s="8" t="s">
        <x:v>3844</x:v>
      </x:c>
    </x:row>
    <x:row r="10" s="1" customFormat="1" ht="12.75" hidden="0" customHeight="1">
      <x:c r="A10" s="7" t="s">
        <x:v>3845</x:v>
      </x:c>
      <x:c r="B10" s="5" t="s">
        <x:v>3836</x:v>
      </x:c>
      <x:c r="C10" s="5" t="s">
        <x:v>3846</x:v>
      </x:c>
    </x:row>
    <x:row r="11" s="1" customFormat="1" ht="12.75" hidden="0" customHeight="1">
      <x:c r="A11" s="7" t="s">
        <x:v>3847</x:v>
      </x:c>
      <x:c r="B11" s="8" t="s">
        <x:v>3836</x:v>
      </x:c>
      <x:c r="C11" s="8" t="s">
        <x:v>3848</x:v>
      </x:c>
    </x:row>
    <x:row r="12" s="1" customFormat="1" ht="26.25" hidden="0" customHeight="1">
      <x:c r="A12" s="7" t="s">
        <x:v>3849</x:v>
      </x:c>
      <x:c r="B12" s="5" t="s">
        <x:v>3850</x:v>
      </x:c>
      <x:c r="C12" s="5" t="s">
        <x:v>3851</x:v>
      </x:c>
    </x:row>
    <x:row r="13" s="1" customFormat="1" ht="26.25" hidden="0" customHeight="1">
      <x:c r="A13" s="7" t="s">
        <x:v>3852</x:v>
      </x:c>
      <x:c r="B13" s="8" t="s">
        <x:v>3853</x:v>
      </x:c>
      <x:c r="C13" s="8" t="s">
        <x:v>3854</x:v>
      </x:c>
    </x:row>
    <x:row r="14" s="1" customFormat="1" ht="26.25" hidden="0" customHeight="1">
      <x:c r="A14" s="7" t="s">
        <x:v>3855</x:v>
      </x:c>
      <x:c r="B14" s="5" t="s">
        <x:v>233</x:v>
      </x:c>
      <x:c r="C14" s="5" t="s">
        <x:v>3856</x:v>
      </x:c>
    </x:row>
    <x:row r="15" s="1" customFormat="1" ht="12.75" hidden="0" customHeight="1">
      <x:c r="A15" s="6"/>
      <x:c r="B15" s="6"/>
      <x:c r="C15" s="6"/>
    </x:row>
    <x:row r="16" s="1" customFormat="1" ht="12.75" hidden="0" customHeight="1">
      <x:c r="A16" s="6"/>
      <x:c r="B16" s="6"/>
      <x:c r="C16" s="6"/>
    </x:row>
    <x:row r="17" s="1" customFormat="1" ht="12.75" hidden="0" customHeight="1">
      <x:c r="A17" s="6"/>
      <x:c r="B17" s="6"/>
      <x:c r="C17" s="6"/>
    </x:row>
    <x:row r="18" s="1" customFormat="1" ht="12.75" hidden="0" customHeight="1">
      <x:c r="A18" s="6"/>
      <x:c r="B18" s="6"/>
      <x:c r="C18" s="6"/>
    </x:row>
    <x:row r="19" s="1" customFormat="1" ht="12.75" hidden="0" customHeight="1">
      <x:c r="A19" s="6"/>
      <x:c r="B19" s="6"/>
      <x:c r="C19" s="6"/>
    </x:row>
    <x:row r="20" s="1" customFormat="1" ht="39" hidden="0" customHeight="1">
      <x:c r="A20" s="7" t="s">
        <x:v>3857</x:v>
      </x:c>
      <x:c r="B20" s="5" t="s">
        <x:v>3346</x:v>
      </x:c>
      <x:c r="C20" s="5" t="s">
        <x:v>3858</x:v>
      </x:c>
    </x:row>
  </x:sheetData>
  <x:pageMargins left="0.7" right="0.7" top="0.75" bottom="0.75" header="0.3" footer="0.3"/>
</x:worksheet>
</file>

<file path=xl/worksheets/sheet55.xml><?xml version="1.0" encoding="utf-8"?>
<x:worksheet xmlns:x="http://schemas.openxmlformats.org/spreadsheetml/2006/main">
  <x:sheetViews>
    <x:sheetView showGridLines="1" workbookViewId="0"/>
  </x:sheetViews>
  <x:sheetFormatPr defaultColWidth="8.6796875" defaultRowHeight="12.75"/>
  <x:cols>
    <x:col min="1" max="2" width="36" style="1" hidden="0" customWidth="1"/>
    <x:col min="1" max="1" width="42" hidden="0" customWidth="1"/>
    <x:col min="2" max="2" width="92" hidden="0" customWidth="1"/>
  </x:cols>
  <x:sheetData>
    <x:row r="1" s="1" customFormat="1" ht="12.75" hidden="0" customHeight="1">
      <x:c r="A1" s="359" t="s">
        <x:v>3859</x:v>
      </x:c>
      <x:c r="B1" s="359" t="s">
        <x:v>347</x:v>
      </x:c>
    </x:row>
    <x:row r="2" s="1" customFormat="1" ht="12.75" hidden="0" customHeight="1">
      <x:c r="A2" s="360" t="s">
        <x:v>3860</x:v>
      </x:c>
      <x:c r="B2" s="361" t="str">
        <x:f aca="0">CANON!B81</x:f>
        <x:v>YES</x:v>
      </x:c>
    </x:row>
    <x:row r="3" s="1" customFormat="1" ht="34" hidden="0" customHeight="1">
      <x:c r="A3" s="360" t="s">
        <x:v>3861</x:v>
      </x:c>
      <x:c r="B3" s="362" t="str">
        <x:f aca="0">CANON!B59</x:f>
        <x:v>NO</x:v>
      </x:c>
    </x:row>
    <x:row r="4" s="1" customFormat="1" ht="12.75" hidden="0" customHeight="1">
      <x:c r="A4" s="360" t="s">
        <x:v>3862</x:v>
      </x:c>
      <x:c r="B4" s="361" t="str">
        <x:f aca="0">CANON!B70</x:f>
        <x:v>REFUSE_DETERMINISTIC_SELECTION</x:v>
      </x:c>
    </x:row>
    <x:row r="5" s="1" customFormat="1" ht="12.75" hidden="0" customHeight="1">
      <x:c r="A5" s="360" t="s">
        <x:v>3863</x:v>
      </x:c>
      <x:c r="B5" s="362" t="str">
        <x:f aca="0">CANON!B71</x:f>
        <x:v>A</x:v>
      </x:c>
    </x:row>
    <x:row r="6" s="1" customFormat="1" ht="76" hidden="0" customHeight="1">
      <x:c r="A6" s="360" t="s">
        <x:v>3864</x:v>
      </x:c>
      <x:c r="B6" s="361" t="str">
        <x:f aca="0">CANON!B72</x:f>
        <x:v>Point-score leader A; unvalidated Method C uncertainty flips under the σ×2 stress, so RippleLogic refuses deterministic selection. Option A is separately selected by accountable authority for the bounded worked-run demonstration.</x:v>
      </x:c>
    </x:row>
    <x:row r="7" s="1" customFormat="1" ht="12.75" hidden="0" customHeight="1">
      <x:c r="A7" s="360" t="s">
        <x:v>2166</x:v>
      </x:c>
      <x:c r="B7" s="362" t="n">
        <x:f aca="0">Audit_Flags!B21</x:f>
        <x:v>0</x:v>
      </x:c>
    </x:row>
    <x:row r="8" s="1" customFormat="1" ht="12.75" hidden="0" customHeight="1">
      <x:c r="A8" s="360" t="s">
        <x:v>2168</x:v>
      </x:c>
      <x:c r="B8" s="361" t="n">
        <x:f aca="0">Audit_Flags!B22</x:f>
        <x:v>2</x:v>
      </x:c>
    </x:row>
    <x:row r="9" s="1" customFormat="1" ht="12.75" hidden="0" customHeight="1">
      <x:c r="A9" s="360" t="s">
        <x:v>2171</x:v>
      </x:c>
      <x:c r="B9" s="362" t="n">
        <x:f aca="0">Audit_Flags!B23</x:f>
        <x:v>1</x:v>
      </x:c>
    </x:row>
    <x:row r="10" s="1" customFormat="1" ht="12.75" hidden="0" customHeight="1">
      <x:c r="A10" s="360" t="str">
        <x:v>Sanity Check Failures</x:v>
      </x:c>
      <x:c r="B10" s="361" t="n">
        <x:f aca="0">Sanity_Checklist!B40</x:f>
        <x:v>0</x:v>
      </x:c>
    </x:row>
    <x:row r="11" s="1" customFormat="1" ht="78" hidden="0" customHeight="1">
      <x:c r="A11" s="360" t="s">
        <x:v>3865</x:v>
      </x:c>
      <x:c r="B11" s="362" t="str">
        <x:v>Gate-passed admissible set → point-score ordering → computed uncertainty sensitivity → REFUSE_DETERMINISTIC_SELECTION → separate accountable authority selection → separate execution authorization.</x:v>
      </x:c>
    </x:row>
  </x:sheetData>
  <x:pageMargins left="0.7" right="0.7" top="0.75" bottom="0.75" header="0.3" footer="0.3"/>
</x:worksheet>
</file>

<file path=xl/worksheets/sheet56.xml><?xml version="1.0" encoding="utf-8"?>
<x:worksheet xmlns:x="http://schemas.openxmlformats.org/spreadsheetml/2006/main">
  <x:sheetViews>
    <x:sheetView showGridLines="1" workbookViewId="0"/>
  </x:sheetViews>
  <x:sheetFormatPr defaultColWidth="8.6796875" defaultRowHeight="12.75"/>
  <x:cols>
    <x:col min="1" max="1" width="29" style="1" hidden="0" customWidth="1"/>
    <x:col min="2" max="2" width="36" style="1" hidden="0" customWidth="1"/>
    <x:col min="3" max="3" width="21" style="1" hidden="0" customWidth="1"/>
    <x:col min="4" max="5" width="36" style="1" hidden="0" customWidth="1"/>
    <x:col min="6" max="7" width="34" style="1" hidden="0" customWidth="1"/>
    <x:col min="8" max="10" width="36" style="1" hidden="0" customWidth="1"/>
  </x:cols>
  <x:sheetData>
    <x:row r="1" s="1" customFormat="1" ht="34.5" hidden="0" customHeight="1">
      <x:c r="A1" s="2" t="s">
        <x:v>3866</x:v>
      </x:c>
      <x:c r="B1" s="3"/>
      <x:c r="C1" s="3"/>
      <x:c r="D1" s="3"/>
      <x:c r="E1" s="3"/>
      <x:c r="F1" s="3"/>
      <x:c r="G1" s="3"/>
      <x:c r="H1" s="3"/>
      <x:c r="I1" s="3"/>
      <x:c r="J1" s="3"/>
    </x:row>
    <x:row r="2" s="1" customFormat="1" ht="39" hidden="0" customHeight="1">
      <x:c r="A2" s="4" t="s">
        <x:v>1</x:v>
      </x:c>
      <x:c r="B2" s="5" t="s">
        <x:v>3867</x:v>
      </x:c>
      <x:c r="C2" s="6"/>
      <x:c r="D2" s="6"/>
      <x:c r="E2" s="6"/>
      <x:c r="F2" s="6"/>
      <x:c r="G2" s="6"/>
      <x:c r="H2" s="6"/>
      <x:c r="I2" s="6"/>
      <x:c r="J2" s="6"/>
    </x:row>
    <x:row r="3" s="1" customFormat="1" ht="12.75" hidden="0" customHeight="1">
      <x:c r="A3" s="7" t="s">
        <x:v>346</x:v>
      </x:c>
      <x:c r="B3" s="160" t="s">
        <x:v>3216</x:v>
      </x:c>
      <x:c r="C3" s="160" t="s">
        <x:v>3868</x:v>
      </x:c>
      <x:c r="D3" s="160" t="s">
        <x:v>3869</x:v>
      </x:c>
      <x:c r="E3" s="160" t="s">
        <x:v>3870</x:v>
      </x:c>
      <x:c r="F3" s="160" t="s">
        <x:v>3871</x:v>
      </x:c>
      <x:c r="G3" s="8" t="s">
        <x:v>3872</x:v>
      </x:c>
      <x:c r="H3" s="8" t="s">
        <x:v>3873</x:v>
      </x:c>
      <x:c r="I3" s="8" t="s">
        <x:v>3874</x:v>
      </x:c>
      <x:c r="J3" s="8" t="s">
        <x:v>3875</x:v>
      </x:c>
    </x:row>
    <x:row r="4" s="1" customFormat="1" ht="26.25" hidden="0" customHeight="1">
      <x:c r="A4" s="7" t="s">
        <x:v>2713</x:v>
      </x:c>
      <x:c r="B4" s="5" t="s">
        <x:v>3876</x:v>
      </x:c>
      <x:c r="C4" s="5" t="s">
        <x:v>3877</x:v>
      </x:c>
      <x:c r="D4" s="5" t="s">
        <x:v>3878</x:v>
      </x:c>
      <x:c r="E4" s="5" t="s">
        <x:v>3879</x:v>
      </x:c>
      <x:c r="F4" s="5" t="s">
        <x:v>3880</x:v>
      </x:c>
      <x:c r="G4" s="5" t="s">
        <x:v>3881</x:v>
      </x:c>
      <x:c r="H4" s="5" t="s">
        <x:v>233</x:v>
      </x:c>
      <x:c r="I4" s="5" t="s">
        <x:v>3877</x:v>
      </x:c>
      <x:c r="J4" s="5" t="s">
        <x:v>351</x:v>
      </x:c>
    </x:row>
    <x:row r="5" s="1" customFormat="1" ht="26.25" hidden="0" customHeight="1">
      <x:c r="A5" s="7" t="s">
        <x:v>2714</x:v>
      </x:c>
      <x:c r="B5" s="8" t="s">
        <x:v>3882</x:v>
      </x:c>
      <x:c r="C5" s="8" t="s">
        <x:v>3877</x:v>
      </x:c>
      <x:c r="D5" s="8" t="s">
        <x:v>3883</x:v>
      </x:c>
      <x:c r="E5" s="8" t="s">
        <x:v>3884</x:v>
      </x:c>
      <x:c r="F5" s="8" t="s">
        <x:v>3885</x:v>
      </x:c>
      <x:c r="G5" s="8" t="s">
        <x:v>3886</x:v>
      </x:c>
      <x:c r="H5" s="8" t="s">
        <x:v>233</x:v>
      </x:c>
      <x:c r="I5" s="8" t="s">
        <x:v>3877</x:v>
      </x:c>
      <x:c r="J5" s="8" t="s">
        <x:v>351</x:v>
      </x:c>
    </x:row>
    <x:row r="6" s="1" customFormat="1" ht="26.25" hidden="0" customHeight="1">
      <x:c r="A6" s="7" t="s">
        <x:v>2715</x:v>
      </x:c>
      <x:c r="B6" s="5" t="s">
        <x:v>3887</x:v>
      </x:c>
      <x:c r="C6" s="5" t="s">
        <x:v>3888</x:v>
      </x:c>
      <x:c r="D6" s="5" t="s">
        <x:v>3889</x:v>
      </x:c>
      <x:c r="E6" s="5" t="s">
        <x:v>3890</x:v>
      </x:c>
      <x:c r="F6" s="5" t="s">
        <x:v>3891</x:v>
      </x:c>
      <x:c r="G6" s="5" t="s">
        <x:v>3892</x:v>
      </x:c>
      <x:c r="H6" s="5" t="s">
        <x:v>233</x:v>
      </x:c>
      <x:c r="I6" s="5" t="s">
        <x:v>3877</x:v>
      </x:c>
      <x:c r="J6" s="5" t="s">
        <x:v>351</x:v>
      </x:c>
    </x:row>
    <x:row r="7" s="1" customFormat="1" ht="26.25" hidden="0" customHeight="1">
      <x:c r="A7" s="7" t="s">
        <x:v>2717</x:v>
      </x:c>
      <x:c r="B7" s="8" t="s">
        <x:v>3893</x:v>
      </x:c>
      <x:c r="C7" s="8" t="s">
        <x:v>3888</x:v>
      </x:c>
      <x:c r="D7" s="8" t="s">
        <x:v>3894</x:v>
      </x:c>
      <x:c r="E7" s="8" t="s">
        <x:v>3895</x:v>
      </x:c>
      <x:c r="F7" s="8" t="s">
        <x:v>3896</x:v>
      </x:c>
      <x:c r="G7" s="8" t="s">
        <x:v>3049</x:v>
      </x:c>
      <x:c r="H7" s="8" t="s">
        <x:v>233</x:v>
      </x:c>
      <x:c r="I7" s="8" t="s">
        <x:v>3877</x:v>
      </x:c>
      <x:c r="J7" s="8" t="s">
        <x:v>351</x:v>
      </x:c>
    </x:row>
    <x:row r="8" s="1" customFormat="1" ht="26.25" hidden="0" customHeight="1">
      <x:c r="A8" s="7" t="s">
        <x:v>2718</x:v>
      </x:c>
      <x:c r="B8" s="5" t="s">
        <x:v>3897</x:v>
      </x:c>
      <x:c r="C8" s="5" t="s">
        <x:v>3888</x:v>
      </x:c>
      <x:c r="D8" s="5" t="s">
        <x:v>3898</x:v>
      </x:c>
      <x:c r="E8" s="5" t="s">
        <x:v>3899</x:v>
      </x:c>
      <x:c r="F8" s="5" t="s">
        <x:v>3900</x:v>
      </x:c>
      <x:c r="G8" s="5" t="s">
        <x:v>3901</x:v>
      </x:c>
      <x:c r="H8" s="5" t="s">
        <x:v>233</x:v>
      </x:c>
      <x:c r="I8" s="5" t="s">
        <x:v>3877</x:v>
      </x:c>
      <x:c r="J8" s="5" t="s">
        <x:v>351</x:v>
      </x:c>
    </x:row>
    <x:row r="9" s="1" customFormat="1" ht="26.25" hidden="0" customHeight="1">
      <x:c r="A9" s="7" t="s">
        <x:v>2719</x:v>
      </x:c>
      <x:c r="B9" s="8" t="s">
        <x:v>3902</x:v>
      </x:c>
      <x:c r="C9" s="8" t="s">
        <x:v>3888</x:v>
      </x:c>
      <x:c r="D9" s="8" t="s">
        <x:v>3903</x:v>
      </x:c>
      <x:c r="E9" s="8" t="s">
        <x:v>3904</x:v>
      </x:c>
      <x:c r="F9" s="8" t="s">
        <x:v>3905</x:v>
      </x:c>
      <x:c r="G9" s="8" t="s">
        <x:v>3906</x:v>
      </x:c>
      <x:c r="H9" s="8" t="s">
        <x:v>233</x:v>
      </x:c>
      <x:c r="I9" s="8" t="s">
        <x:v>3877</x:v>
      </x:c>
      <x:c r="J9" s="8" t="s">
        <x:v>351</x:v>
      </x:c>
    </x:row>
    <x:row r="10" s="1" customFormat="1" ht="26.25" hidden="0" customHeight="1">
      <x:c r="A10" s="7" t="s">
        <x:v>2720</x:v>
      </x:c>
      <x:c r="B10" s="5" t="s">
        <x:v>3907</x:v>
      </x:c>
      <x:c r="C10" s="5" t="s">
        <x:v>3908</x:v>
      </x:c>
      <x:c r="D10" s="5" t="s">
        <x:v>3909</x:v>
      </x:c>
      <x:c r="E10" s="5" t="s">
        <x:v>3910</x:v>
      </x:c>
      <x:c r="F10" s="5" t="s">
        <x:v>3911</x:v>
      </x:c>
      <x:c r="G10" s="5" t="s">
        <x:v>3912</x:v>
      </x:c>
      <x:c r="H10" s="5" t="s">
        <x:v>233</x:v>
      </x:c>
      <x:c r="I10" s="5" t="s">
        <x:v>3877</x:v>
      </x:c>
      <x:c r="J10" s="5" t="s">
        <x:v>351</x:v>
      </x:c>
    </x:row>
    <x:row r="11" s="1" customFormat="1" ht="39" hidden="0" customHeight="1">
      <x:c r="A11" s="7" t="s">
        <x:v>3729</x:v>
      </x:c>
      <x:c r="B11" s="8" t="s">
        <x:v>3913</x:v>
      </x:c>
      <x:c r="C11" s="6"/>
      <x:c r="D11" s="6"/>
      <x:c r="E11" s="6"/>
      <x:c r="F11" s="6"/>
      <x:c r="G11" s="6"/>
      <x:c r="H11" s="6"/>
      <x:c r="I11" s="6"/>
      <x:c r="J11" s="6"/>
    </x:row>
  </x:sheetData>
  <x:pageMargins left="0.7" right="0.7" top="0.75" bottom="0.75" header="0.3" footer="0.3"/>
</x:worksheet>
</file>

<file path=xl/worksheets/sheet57.xml><?xml version="1.0" encoding="utf-8"?>
<x:worksheet xmlns:x="http://schemas.openxmlformats.org/spreadsheetml/2006/main">
  <x:sheetViews>
    <x:sheetView showGridLines="1" workbookViewId="0"/>
  </x:sheetViews>
  <x:sheetFormatPr defaultColWidth="8.6796875" defaultRowHeight="12.75"/>
  <x:cols>
    <x:col min="1" max="1" width="34" style="1" hidden="0" customWidth="1"/>
    <x:col min="2" max="4" width="36" style="1" hidden="0" customWidth="1"/>
    <x:col min="5" max="5" width="16" style="1" hidden="0" customWidth="1"/>
    <x:col min="6" max="6" width="22" style="1" hidden="0" customWidth="1"/>
    <x:col min="7" max="8" width="36" style="1" hidden="0" customWidth="1"/>
  </x:cols>
  <x:sheetData>
    <x:row r="1" s="1" customFormat="1" ht="12.75" hidden="0" customHeight="1">
      <x:c r="A1" s="2" t="s">
        <x:v>3914</x:v>
      </x:c>
      <x:c r="B1" s="3"/>
      <x:c r="C1" s="3"/>
      <x:c r="D1" s="3"/>
      <x:c r="E1" s="3"/>
      <x:c r="F1" s="3"/>
      <x:c r="G1" s="3"/>
      <x:c r="H1" s="3"/>
    </x:row>
    <x:row r="2" s="1" customFormat="1" ht="12.75" hidden="0" customHeight="1">
      <x:c r="A2" s="4" t="s">
        <x:v>3915</x:v>
      </x:c>
      <x:c r="B2" s="5" t="s">
        <x:v>1736</x:v>
      </x:c>
      <x:c r="C2" s="5" t="s">
        <x:v>3916</x:v>
      </x:c>
      <x:c r="D2" s="5" t="s">
        <x:v>88</x:v>
      </x:c>
      <x:c r="E2" s="6"/>
      <x:c r="F2" s="5" t="s">
        <x:v>3917</x:v>
      </x:c>
      <x:c r="G2" s="5" t="s">
        <x:v>3918</x:v>
      </x:c>
      <x:c r="H2" s="5" t="s">
        <x:v>349</x:v>
      </x:c>
    </x:row>
    <x:row r="3" s="1" customFormat="1" ht="12.75" hidden="0" customHeight="1">
      <x:c r="A3" s="7" t="s">
        <x:v>3919</x:v>
      </x:c>
      <x:c r="B3" s="8" t="s">
        <x:v>3920</x:v>
      </x:c>
      <x:c r="C3" s="8" t="s">
        <x:v>3921</x:v>
      </x:c>
      <x:c r="D3" s="8" t="s">
        <x:v>3922</x:v>
      </x:c>
      <x:c r="E3" s="6"/>
      <x:c r="F3" s="8" t="s">
        <x:v>3923</x:v>
      </x:c>
      <x:c r="G3" s="8" t="s">
        <x:v>3924</x:v>
      </x:c>
      <x:c r="H3" s="8" t="s">
        <x:v>351</x:v>
      </x:c>
    </x:row>
    <x:row r="4" s="1" customFormat="1" ht="12.75" hidden="0" customHeight="1">
      <x:c r="A4" s="7" t="s">
        <x:v>2741</x:v>
      </x:c>
      <x:c r="B4" s="5" t="s">
        <x:v>3925</x:v>
      </x:c>
      <x:c r="C4" s="5" t="s">
        <x:v>3926</x:v>
      </x:c>
      <x:c r="D4" s="5" t="s">
        <x:v>3927</x:v>
      </x:c>
      <x:c r="E4" s="6"/>
      <x:c r="F4" s="5" t="s">
        <x:v>3928</x:v>
      </x:c>
      <x:c r="G4" s="5" t="s">
        <x:v>3929</x:v>
      </x:c>
      <x:c r="H4" s="5" t="s">
        <x:v>351</x:v>
      </x:c>
    </x:row>
    <x:row r="5" s="1" customFormat="1" ht="12.75" hidden="0" customHeight="1">
      <x:c r="A5" s="7" t="s">
        <x:v>3930</x:v>
      </x:c>
      <x:c r="B5" s="8" t="s">
        <x:v>3931</x:v>
      </x:c>
      <x:c r="C5" s="8" t="s">
        <x:v>3932</x:v>
      </x:c>
      <x:c r="D5" s="8" t="s">
        <x:v>3933</x:v>
      </x:c>
      <x:c r="E5" s="6"/>
      <x:c r="F5" s="8" t="s">
        <x:v>88</x:v>
      </x:c>
      <x:c r="G5" s="8" t="s">
        <x:v>3934</x:v>
      </x:c>
      <x:c r="H5" s="8" t="s">
        <x:v>351</x:v>
      </x:c>
    </x:row>
    <x:row r="6" s="1" customFormat="1" ht="12.75" hidden="0" customHeight="1">
      <x:c r="A6" s="7" t="s">
        <x:v>3935</x:v>
      </x:c>
      <x:c r="B6" s="5" t="s">
        <x:v>3936</x:v>
      </x:c>
      <x:c r="C6" s="5" t="s">
        <x:v>3937</x:v>
      </x:c>
      <x:c r="D6" s="5" t="s">
        <x:v>3938</x:v>
      </x:c>
      <x:c r="E6" s="6"/>
      <x:c r="F6" s="6"/>
      <x:c r="G6" s="6"/>
      <x:c r="H6" s="6"/>
    </x:row>
    <x:row r="7" s="1" customFormat="1" ht="12.75" hidden="0" customHeight="1">
      <x:c r="A7" s="7" t="s">
        <x:v>1343</x:v>
      </x:c>
      <x:c r="B7" s="8" t="s">
        <x:v>3939</x:v>
      </x:c>
      <x:c r="C7" s="8" t="s">
        <x:v>3940</x:v>
      </x:c>
      <x:c r="D7" s="8" t="s">
        <x:v>3941</x:v>
      </x:c>
      <x:c r="E7" s="6"/>
      <x:c r="F7" s="6"/>
      <x:c r="G7" s="6"/>
      <x:c r="H7" s="6"/>
    </x:row>
    <x:row r="8" s="1" customFormat="1" ht="12.75" hidden="0" customHeight="1">
      <x:c r="A8" s="7" t="s">
        <x:v>230</x:v>
      </x:c>
      <x:c r="B8" s="5" t="s">
        <x:v>3942</x:v>
      </x:c>
      <x:c r="C8" s="5" t="s">
        <x:v>3943</x:v>
      </x:c>
      <x:c r="D8" s="5" t="s">
        <x:v>3944</x:v>
      </x:c>
      <x:c r="E8" s="6"/>
      <x:c r="F8" s="6"/>
      <x:c r="G8" s="6"/>
      <x:c r="H8" s="6"/>
    </x:row>
    <x:row r="9" s="1" customFormat="1" ht="12.75" hidden="0" customHeight="1">
      <x:c r="A9" s="7" t="s">
        <x:v>3945</x:v>
      </x:c>
      <x:c r="B9" s="8" t="s">
        <x:v>3946</x:v>
      </x:c>
      <x:c r="C9" s="8" t="s">
        <x:v>3947</x:v>
      </x:c>
      <x:c r="D9" s="8" t="s">
        <x:v>3948</x:v>
      </x:c>
      <x:c r="E9" s="6"/>
      <x:c r="F9" s="6"/>
      <x:c r="G9" s="6"/>
      <x:c r="H9" s="6"/>
    </x:row>
    <x:row r="10" s="1" customFormat="1" ht="12.75" hidden="0" customHeight="1">
      <x:c r="A10" s="7" t="s">
        <x:v>3949</x:v>
      </x:c>
      <x:c r="B10" s="5" t="s">
        <x:v>3950</x:v>
      </x:c>
      <x:c r="C10" s="5" t="s">
        <x:v>3951</x:v>
      </x:c>
      <x:c r="D10" s="5" t="s">
        <x:v>3952</x:v>
      </x:c>
      <x:c r="E10" s="6"/>
      <x:c r="F10" s="6"/>
      <x:c r="G10" s="6"/>
      <x:c r="H10" s="6"/>
    </x:row>
  </x:sheetData>
  <x:pageMargins left="0.7" right="0.7" top="0.75" bottom="0.75" header="0.3" footer="0.3"/>
</x:worksheet>
</file>

<file path=xl/worksheets/sheet58.xml><?xml version="1.0" encoding="utf-8"?>
<x:worksheet xmlns:x="http://schemas.openxmlformats.org/spreadsheetml/2006/main">
  <x:sheetViews>
    <x:sheetView showGridLines="1" workbookViewId="0"/>
  </x:sheetViews>
  <x:sheetFormatPr defaultColWidth="8.6796875" defaultRowHeight="12.75"/>
  <x:cols>
    <x:col min="1" max="7" width="36" style="1" hidden="0" customWidth="1"/>
    <x:col min="8" max="8" width="32" style="1" hidden="0" customWidth="1"/>
    <x:col min="9" max="9" width="36" style="1" hidden="0" customWidth="1"/>
  </x:cols>
  <x:sheetData>
    <x:row r="1" s="1" customFormat="1" ht="26.25" hidden="0" customHeight="1">
      <x:c r="A1" s="2" t="s">
        <x:v>3953</x:v>
      </x:c>
      <x:c r="B1" s="3"/>
      <x:c r="C1" s="3"/>
      <x:c r="D1" s="3"/>
      <x:c r="E1" s="3"/>
      <x:c r="F1" s="3"/>
      <x:c r="G1" s="3"/>
      <x:c r="H1" s="3"/>
      <x:c r="I1" s="3"/>
    </x:row>
    <x:row r="2" s="1" customFormat="1" ht="12.75" hidden="0" customHeight="1">
      <x:c r="A2" s="4" t="s">
        <x:v>3954</x:v>
      </x:c>
      <x:c r="B2" s="5" t="s">
        <x:v>3955</x:v>
      </x:c>
      <x:c r="C2" s="5" t="s">
        <x:v>3956</x:v>
      </x:c>
      <x:c r="D2" s="5" t="s">
        <x:v>3957</x:v>
      </x:c>
      <x:c r="E2" s="5" t="s">
        <x:v>3958</x:v>
      </x:c>
      <x:c r="F2" s="5" t="s">
        <x:v>3959</x:v>
      </x:c>
      <x:c r="G2" s="5" t="s">
        <x:v>3960</x:v>
      </x:c>
      <x:c r="H2" s="5" t="s">
        <x:v>3961</x:v>
      </x:c>
      <x:c r="I2" s="5" t="s">
        <x:v>3875</x:v>
      </x:c>
    </x:row>
    <x:row r="3" s="1" customFormat="1" ht="12.75" hidden="0" customHeight="1">
      <x:c r="A3" s="7" t="s">
        <x:v>3962</x:v>
      </x:c>
      <x:c r="B3" s="8" t="s">
        <x:v>3963</x:v>
      </x:c>
      <x:c r="C3" s="8" t="s">
        <x:v>3964</x:v>
      </x:c>
      <x:c r="D3" s="8" t="s">
        <x:v>3965</x:v>
      </x:c>
      <x:c r="E3" s="8" t="s">
        <x:v>3966</x:v>
      </x:c>
      <x:c r="F3" s="8" t="s">
        <x:v>3967</x:v>
      </x:c>
      <x:c r="G3" s="8" t="s">
        <x:v>3968</x:v>
      </x:c>
      <x:c r="H3" s="8" t="s">
        <x:v>292</x:v>
      </x:c>
      <x:c r="I3" s="8" t="s">
        <x:v>351</x:v>
      </x:c>
    </x:row>
    <x:row r="4" s="1" customFormat="1" ht="12.75" hidden="0" customHeight="1">
      <x:c r="A4" s="7" t="s">
        <x:v>3969</x:v>
      </x:c>
      <x:c r="B4" s="5" t="s">
        <x:v>3970</x:v>
      </x:c>
      <x:c r="C4" s="5" t="s">
        <x:v>3971</x:v>
      </x:c>
      <x:c r="D4" s="5" t="s">
        <x:v>3972</x:v>
      </x:c>
      <x:c r="E4" s="5" t="s">
        <x:v>3973</x:v>
      </x:c>
      <x:c r="F4" s="5" t="s">
        <x:v>3974</x:v>
      </x:c>
      <x:c r="G4" s="5" t="s">
        <x:v>3968</x:v>
      </x:c>
      <x:c r="H4" s="5" t="s">
        <x:v>292</x:v>
      </x:c>
      <x:c r="I4" s="5" t="s">
        <x:v>351</x:v>
      </x:c>
    </x:row>
    <x:row r="5" s="1" customFormat="1" ht="12.75" hidden="0" customHeight="1">
      <x:c r="A5" s="7" t="s">
        <x:v>3975</x:v>
      </x:c>
      <x:c r="B5" s="8" t="s">
        <x:v>3976</x:v>
      </x:c>
      <x:c r="C5" s="8" t="s">
        <x:v>3977</x:v>
      </x:c>
      <x:c r="D5" s="8" t="s">
        <x:v>3978</x:v>
      </x:c>
      <x:c r="E5" s="8" t="s">
        <x:v>3979</x:v>
      </x:c>
      <x:c r="F5" s="8" t="s">
        <x:v>3980</x:v>
      </x:c>
      <x:c r="G5" s="8" t="s">
        <x:v>3968</x:v>
      </x:c>
      <x:c r="H5" s="8" t="s">
        <x:v>292</x:v>
      </x:c>
      <x:c r="I5" s="8" t="s">
        <x:v>351</x:v>
      </x:c>
    </x:row>
    <x:row r="6" s="1" customFormat="1" ht="12.75" hidden="0" customHeight="1">
      <x:c r="A6" s="7" t="s">
        <x:v>3981</x:v>
      </x:c>
      <x:c r="B6" s="5" t="s">
        <x:v>3982</x:v>
      </x:c>
      <x:c r="C6" s="5" t="s">
        <x:v>3983</x:v>
      </x:c>
      <x:c r="D6" s="5" t="s">
        <x:v>3984</x:v>
      </x:c>
      <x:c r="E6" s="5" t="s">
        <x:v>3985</x:v>
      </x:c>
      <x:c r="F6" s="5" t="s">
        <x:v>3986</x:v>
      </x:c>
      <x:c r="G6" s="5" t="s">
        <x:v>3968</x:v>
      </x:c>
      <x:c r="H6" s="5" t="s">
        <x:v>292</x:v>
      </x:c>
      <x:c r="I6" s="5" t="s">
        <x:v>351</x:v>
      </x:c>
    </x:row>
    <x:row r="7" s="1" customFormat="1" ht="12.75" hidden="0" customHeight="1">
      <x:c r="A7" s="7" t="s">
        <x:v>3987</x:v>
      </x:c>
      <x:c r="B7" s="8" t="s">
        <x:v>3988</x:v>
      </x:c>
      <x:c r="C7" s="8" t="s">
        <x:v>3989</x:v>
      </x:c>
      <x:c r="D7" s="8" t="s">
        <x:v>3990</x:v>
      </x:c>
      <x:c r="E7" s="8" t="s">
        <x:v>3991</x:v>
      </x:c>
      <x:c r="F7" s="8" t="s">
        <x:v>3992</x:v>
      </x:c>
      <x:c r="G7" s="8" t="s">
        <x:v>3968</x:v>
      </x:c>
      <x:c r="H7" s="8" t="s">
        <x:v>292</x:v>
      </x:c>
      <x:c r="I7" s="8" t="s">
        <x:v>351</x:v>
      </x:c>
    </x:row>
  </x:sheetData>
  <x:pageMargins left="0.7" right="0.7" top="0.75" bottom="0.75" header="0.3" footer="0.3"/>
</x:worksheet>
</file>

<file path=xl/worksheets/sheet59.xml><?xml version="1.0" encoding="utf-8"?>
<x:worksheet xmlns:x="http://schemas.openxmlformats.org/spreadsheetml/2006/main">
  <x:sheetViews>
    <x:sheetView showGridLines="1" workbookViewId="0"/>
  </x:sheetViews>
  <x:sheetFormatPr defaultColWidth="8.6796875" defaultRowHeight="12.75"/>
  <x:cols>
    <x:col min="1" max="4" width="36" style="1" hidden="0" customWidth="1"/>
    <x:col min="5" max="5" width="24" style="1" hidden="0" customWidth="1"/>
  </x:cols>
  <x:sheetData>
    <x:row r="1" s="1" customFormat="1" ht="24" hidden="0" customHeight="1">
      <x:c r="A1" s="140" t="s">
        <x:v>3993</x:v>
      </x:c>
      <x:c r="B1" s="140"/>
      <x:c r="C1" s="140"/>
      <x:c r="D1" s="140"/>
      <x:c r="E1" s="140"/>
    </x:row>
    <x:row r="2" s="1" customFormat="1" ht="12.75" hidden="0" customHeight="1">
      <x:c r="A2" s="15" t="s">
        <x:v>3994</x:v>
      </x:c>
      <x:c r="B2" s="15" t="s">
        <x:v>3995</x:v>
      </x:c>
      <x:c r="C2" s="15" t="s">
        <x:v>3996</x:v>
      </x:c>
      <x:c r="D2" s="15" t="s">
        <x:v>3997</x:v>
      </x:c>
      <x:c r="E2" s="11" t="s">
        <x:v>3998</x:v>
      </x:c>
    </x:row>
    <x:row r="3" s="1" customFormat="1" ht="24" hidden="0" customHeight="1">
      <x:c r="A3" s="7" t="s">
        <x:v>3999</x:v>
      </x:c>
      <x:c r="B3" s="8" t="s">
        <x:v>4000</x:v>
      </x:c>
      <x:c r="C3" s="8" t="s">
        <x:v>4001</x:v>
      </x:c>
      <x:c r="D3" s="8" t="s">
        <x:v>4002</x:v>
      </x:c>
      <x:c r="E3" s="12" t="s">
        <x:v>4003</x:v>
      </x:c>
    </x:row>
    <x:row r="4" s="1" customFormat="1" ht="24" hidden="0" customHeight="1">
      <x:c r="A4" s="7" t="s">
        <x:v>2940</x:v>
      </x:c>
      <x:c r="B4" s="5" t="s">
        <x:v>4004</x:v>
      </x:c>
      <x:c r="C4" s="5" t="s">
        <x:v>4005</x:v>
      </x:c>
      <x:c r="D4" s="5" t="s">
        <x:v>4006</x:v>
      </x:c>
      <x:c r="E4" s="12" t="s">
        <x:v>4007</x:v>
      </x:c>
    </x:row>
    <x:row r="5" s="1" customFormat="1" ht="12.75" hidden="0" customHeight="1">
      <x:c r="A5" s="7" t="s">
        <x:v>2971</x:v>
      </x:c>
      <x:c r="B5" s="8" t="s">
        <x:v>4008</x:v>
      </x:c>
      <x:c r="C5" s="8" t="s">
        <x:v>4009</x:v>
      </x:c>
      <x:c r="D5" s="8" t="s">
        <x:v>4010</x:v>
      </x:c>
      <x:c r="E5" s="12" t="s">
        <x:v>4011</x:v>
      </x:c>
    </x:row>
    <x:row r="6" s="1" customFormat="1" ht="12.75" hidden="0" customHeight="1">
      <x:c r="A6" s="7" t="s">
        <x:v>2973</x:v>
      </x:c>
      <x:c r="B6" s="5" t="s">
        <x:v>4012</x:v>
      </x:c>
      <x:c r="C6" s="5" t="s">
        <x:v>4013</x:v>
      </x:c>
      <x:c r="D6" s="5" t="s">
        <x:v>4014</x:v>
      </x:c>
      <x:c r="E6" s="12" t="s">
        <x:v>4011</x:v>
      </x:c>
    </x:row>
    <x:row r="7" s="1" customFormat="1" ht="12.75" hidden="0" customHeight="1">
      <x:c r="A7" s="7" t="s">
        <x:v>4015</x:v>
      </x:c>
      <x:c r="B7" s="8" t="s">
        <x:v>4016</x:v>
      </x:c>
      <x:c r="C7" s="8" t="s">
        <x:v>4017</x:v>
      </x:c>
      <x:c r="D7" s="8" t="s">
        <x:v>4018</x:v>
      </x:c>
      <x:c r="E7" s="12" t="s">
        <x:v>4011</x:v>
      </x:c>
    </x:row>
    <x:row r="8" s="1" customFormat="1" ht="36" hidden="0" customHeight="1">
      <x:c r="A8" s="12" t="s">
        <x:v>4019</x:v>
      </x:c>
      <x:c r="B8" s="12" t="s">
        <x:v>4020</x:v>
      </x:c>
      <x:c r="C8" s="12" t="s">
        <x:v>4021</x:v>
      </x:c>
      <x:c r="D8" s="12" t="s">
        <x:v>4022</x:v>
      </x:c>
      <x:c r="E8" s="12" t="s">
        <x:v>4023</x:v>
      </x:c>
    </x:row>
    <x:row r="9" s="1" customFormat="1" ht="24" hidden="0" customHeight="1">
      <x:c r="A9" s="7" t="s">
        <x:v>4024</x:v>
      </x:c>
      <x:c r="B9" s="8" t="s">
        <x:v>4025</x:v>
      </x:c>
      <x:c r="C9" s="8" t="s">
        <x:v>4026</x:v>
      </x:c>
      <x:c r="D9" s="8" t="s">
        <x:v>4027</x:v>
      </x:c>
      <x:c r="E9" s="8" t="s">
        <x:v>4028</x:v>
      </x:c>
    </x:row>
    <x:row r="10" s="1" customFormat="1" ht="12.75" hidden="0" customHeight="1">
      <x:c r="A10" s="15" t="s">
        <x:v>4029</x:v>
      </x:c>
      <x:c r="B10" s="15" t="s">
        <x:v>4030</x:v>
      </x:c>
      <x:c r="C10" s="15" t="s">
        <x:v>4031</x:v>
      </x:c>
      <x:c r="D10" s="15" t="s">
        <x:v>4032</x:v>
      </x:c>
      <x:c r="E10" s="15" t="s">
        <x:v>4033</x:v>
      </x:c>
    </x:row>
    <x:row r="11" s="1" customFormat="1" ht="12.75" hidden="0" customHeight="1">
      <x:c r="A11" s="7"/>
      <x:c r="B11" s="8"/>
      <x:c r="C11" s="8"/>
      <x:c r="D11" s="8"/>
      <x:c r="E11" s="8"/>
    </x:row>
    <x:row r="12" s="1" customFormat="1" ht="12.75" hidden="0" customHeight="1">
      <x:c r="A12" s="7" t="s">
        <x:v>4034</x:v>
      </x:c>
      <x:c r="B12" s="5" t="s">
        <x:v>4035</x:v>
      </x:c>
      <x:c r="C12" s="5" t="s">
        <x:v>456</x:v>
      </x:c>
      <x:c r="D12" s="5" t="s">
        <x:v>2680</x:v>
      </x:c>
      <x:c r="E12" s="5" t="s">
        <x:v>349</x:v>
      </x:c>
    </x:row>
    <x:row r="13" s="1" customFormat="1" ht="12.75" hidden="0" customHeight="1">
      <x:c r="A13" s="7" t="s">
        <x:v>2967</x:v>
      </x:c>
      <x:c r="B13" s="8" t="s">
        <x:v>4036</x:v>
      </x:c>
      <x:c r="C13" s="8" t="s">
        <x:v>4037</x:v>
      </x:c>
      <x:c r="D13" s="8" t="s">
        <x:v>2683</x:v>
      </x:c>
      <x:c r="E13" s="8" t="s">
        <x:v>351</x:v>
      </x:c>
    </x:row>
    <x:row r="14" s="1" customFormat="1" ht="24" hidden="0" customHeight="1">
      <x:c r="A14" s="12" t="s">
        <x:v>4038</x:v>
      </x:c>
      <x:c r="B14" s="12" t="s">
        <x:v>4039</x:v>
      </x:c>
      <x:c r="C14" s="12" t="s">
        <x:v>4040</x:v>
      </x:c>
      <x:c r="D14" s="12" t="s">
        <x:v>4041</x:v>
      </x:c>
      <x:c r="E14" s="12" t="s">
        <x:v>351</x:v>
      </x:c>
    </x:row>
    <x:row r="15" s="1" customFormat="1" ht="24" hidden="0" customHeight="1">
      <x:c r="A15" s="7" t="s">
        <x:v>4042</x:v>
      </x:c>
      <x:c r="B15" s="8" t="s">
        <x:v>4043</x:v>
      </x:c>
      <x:c r="C15" s="8" t="s">
        <x:v>4044</x:v>
      </x:c>
      <x:c r="D15" s="8" t="s">
        <x:v>4041</x:v>
      </x:c>
      <x:c r="E15" s="8" t="s">
        <x:v>351</x:v>
      </x:c>
    </x:row>
    <x:row r="16" ht="12.75" hidden="0" customHeight="1">
      <x:c r="A16" s="12" t="s">
        <x:v>4045</x:v>
      </x:c>
      <x:c r="B16" s="12" t="s">
        <x:v>4043</x:v>
      </x:c>
      <x:c r="C16" s="12" t="s">
        <x:v>4046</x:v>
      </x:c>
      <x:c r="D16" s="12" t="s">
        <x:v>4041</x:v>
      </x:c>
      <x:c r="E16" s="12" t="s">
        <x:v>351</x:v>
      </x:c>
    </x:row>
    <x:row r="17" ht="24" hidden="0" customHeight="1">
      <x:c r="A17" s="12" t="s">
        <x:v>4047</x:v>
      </x:c>
      <x:c r="B17" s="12" t="s">
        <x:v>4043</x:v>
      </x:c>
      <x:c r="C17" s="12" t="s">
        <x:v>4048</x:v>
      </x:c>
      <x:c r="D17" s="12" t="s">
        <x:v>4041</x:v>
      </x:c>
      <x:c r="E17" s="12" t="s">
        <x:v>351</x:v>
      </x:c>
    </x:row>
    <x:row r="18" ht="24" hidden="0" customHeight="1">
      <x:c r="A18" s="12" t="s">
        <x:v>4049</x:v>
      </x:c>
      <x:c r="B18" s="12" t="s">
        <x:v>4050</x:v>
      </x:c>
      <x:c r="C18" s="12" t="s">
        <x:v>4051</x:v>
      </x:c>
      <x:c r="D18" s="12" t="s">
        <x:v>4041</x:v>
      </x:c>
      <x:c r="E18" s="12" t="s">
        <x:v>351</x:v>
      </x:c>
    </x:row>
    <x:row r="19" ht="12.75" hidden="0" customHeight="1">
      <x:c r="A19" s="12" t="s">
        <x:v>4052</x:v>
      </x:c>
      <x:c r="B19" s="12" t="s">
        <x:v>4043</x:v>
      </x:c>
      <x:c r="C19" s="12" t="s">
        <x:v>4053</x:v>
      </x:c>
      <x:c r="D19" s="12" t="s">
        <x:v>4041</x:v>
      </x:c>
      <x:c r="E19" s="12" t="s">
        <x:v>351</x:v>
      </x:c>
    </x:row>
    <x:row r="20" ht="12.75" hidden="0" customHeight="1">
      <x:c r="A20" s="12" t="s">
        <x:v>4054</x:v>
      </x:c>
      <x:c r="B20" s="12" t="s">
        <x:v>4043</x:v>
      </x:c>
      <x:c r="C20" s="12" t="s">
        <x:v>4055</x:v>
      </x:c>
      <x:c r="D20" s="12" t="s">
        <x:v>4041</x:v>
      </x:c>
      <x:c r="E20" s="12" t="s">
        <x:v>351</x:v>
      </x:c>
    </x:row>
  </x:sheetData>
  <x:mergeCells>
    <x:mergeCell ref="A1:E1"/>
  </x:mergeCells>
  <x:pageMargins left="0.7" right="0.7" top="0.75" bottom="0.75" header="0.3" footer="0.3"/>
</x:worksheet>
</file>

<file path=xl/worksheets/sheet60.xml><?xml version="1.0" encoding="utf-8"?>
<x:worksheet xmlns:x="http://schemas.openxmlformats.org/spreadsheetml/2006/main">
  <x:sheetViews>
    <x:sheetView showGridLines="1" workbookViewId="0"/>
  </x:sheetViews>
  <x:sheetFormatPr defaultColWidth="8.6796875" defaultRowHeight="12.75"/>
  <x:cols>
    <x:col min="1" max="1" width="36" style="1" hidden="0" customWidth="1"/>
    <x:col min="2" max="2" width="33" style="1" hidden="0" customWidth="1"/>
    <x:col min="3" max="4" width="36" style="1" hidden="0" customWidth="1"/>
    <x:col min="5" max="5" width="16" style="1" hidden="0" customWidth="1"/>
    <x:col min="6" max="6" width="30" style="1" hidden="0" customWidth="1"/>
    <x:col min="7" max="7" width="36" style="1" hidden="0" customWidth="1"/>
  </x:cols>
  <x:sheetData>
    <x:row r="1" s="1" customFormat="1" ht="26.25" hidden="0" customHeight="1">
      <x:c r="A1" s="2" t="s">
        <x:v>4056</x:v>
      </x:c>
      <x:c r="B1" s="3"/>
      <x:c r="C1" s="3"/>
      <x:c r="D1" s="3"/>
      <x:c r="E1" s="3"/>
      <x:c r="F1" s="3"/>
      <x:c r="G1" s="3"/>
    </x:row>
    <x:row r="2" s="1" customFormat="1" ht="12.75" hidden="0" customHeight="1">
      <x:c r="A2" s="4" t="s">
        <x:v>4057</x:v>
      </x:c>
      <x:c r="B2" s="5" t="s">
        <x:v>4058</x:v>
      </x:c>
      <x:c r="C2" s="5" t="s">
        <x:v>4059</x:v>
      </x:c>
      <x:c r="D2" s="5" t="s">
        <x:v>4060</x:v>
      </x:c>
      <x:c r="E2" s="5" t="s">
        <x:v>4061</x:v>
      </x:c>
      <x:c r="F2" s="5" t="s">
        <x:v>4062</x:v>
      </x:c>
      <x:c r="G2" s="5" t="s">
        <x:v>349</x:v>
      </x:c>
    </x:row>
    <x:row r="3" s="1" customFormat="1" ht="12.75" hidden="0" customHeight="1">
      <x:c r="A3" s="7" t="n">
        <x:v>1</x:v>
      </x:c>
      <x:c r="B3" s="8" t="s">
        <x:v>4063</x:v>
      </x:c>
      <x:c r="C3" s="8" t="s">
        <x:v>4064</x:v>
      </x:c>
      <x:c r="D3" s="8" t="s">
        <x:v>4065</x:v>
      </x:c>
      <x:c r="E3" s="8" t="s">
        <x:v>4066</x:v>
      </x:c>
      <x:c r="F3" s="8" t="s">
        <x:v>4067</x:v>
      </x:c>
      <x:c r="G3" s="8" t="s">
        <x:v>3968</x:v>
      </x:c>
    </x:row>
    <x:row r="4" s="1" customFormat="1" ht="12.75" hidden="0" customHeight="1">
      <x:c r="A4" s="7" t="n">
        <x:v>2</x:v>
      </x:c>
      <x:c r="B4" s="5" t="s">
        <x:v>4068</x:v>
      </x:c>
      <x:c r="C4" s="5" t="s">
        <x:v>4069</x:v>
      </x:c>
      <x:c r="D4" s="5" t="s">
        <x:v>4070</x:v>
      </x:c>
      <x:c r="E4" s="5" t="s">
        <x:v>4066</x:v>
      </x:c>
      <x:c r="F4" s="5" t="s">
        <x:v>4067</x:v>
      </x:c>
      <x:c r="G4" s="5" t="s">
        <x:v>3968</x:v>
      </x:c>
    </x:row>
    <x:row r="5" s="1" customFormat="1" ht="12.75" hidden="0" customHeight="1">
      <x:c r="A5" s="7" t="n">
        <x:v>3</x:v>
      </x:c>
      <x:c r="B5" s="8" t="s">
        <x:v>4071</x:v>
      </x:c>
      <x:c r="C5" s="8" t="s">
        <x:v>4072</x:v>
      </x:c>
      <x:c r="D5" s="8" t="s">
        <x:v>4073</x:v>
      </x:c>
      <x:c r="E5" s="8" t="s">
        <x:v>4066</x:v>
      </x:c>
      <x:c r="F5" s="8" t="s">
        <x:v>4067</x:v>
      </x:c>
      <x:c r="G5" s="8" t="s">
        <x:v>3968</x:v>
      </x:c>
    </x:row>
    <x:row r="6" s="1" customFormat="1" ht="12.75" hidden="0" customHeight="1">
      <x:c r="A6" s="7" t="n">
        <x:v>4</x:v>
      </x:c>
      <x:c r="B6" s="5" t="s">
        <x:v>4074</x:v>
      </x:c>
      <x:c r="C6" s="5" t="s">
        <x:v>4075</x:v>
      </x:c>
      <x:c r="D6" s="5" t="s">
        <x:v>4076</x:v>
      </x:c>
      <x:c r="E6" s="5" t="s">
        <x:v>4077</x:v>
      </x:c>
      <x:c r="F6" s="5" t="s">
        <x:v>4067</x:v>
      </x:c>
      <x:c r="G6" s="5" t="s">
        <x:v>3968</x:v>
      </x:c>
    </x:row>
    <x:row r="7" s="1" customFormat="1" ht="12.75" hidden="0" customHeight="1">
      <x:c r="A7" s="7" t="n">
        <x:v>5</x:v>
      </x:c>
      <x:c r="B7" s="8" t="s">
        <x:v>4078</x:v>
      </x:c>
      <x:c r="C7" s="8" t="s">
        <x:v>4079</x:v>
      </x:c>
      <x:c r="D7" s="8" t="s">
        <x:v>4080</x:v>
      </x:c>
      <x:c r="E7" s="8" t="s">
        <x:v>4077</x:v>
      </x:c>
      <x:c r="F7" s="8" t="s">
        <x:v>4067</x:v>
      </x:c>
      <x:c r="G7" s="8" t="s">
        <x:v>3968</x:v>
      </x:c>
    </x:row>
    <x:row r="8" s="1" customFormat="1" ht="12.75" hidden="0" customHeight="1">
      <x:c r="A8" s="7" t="n">
        <x:v>6</x:v>
      </x:c>
      <x:c r="B8" s="5" t="s">
        <x:v>4081</x:v>
      </x:c>
      <x:c r="C8" s="5" t="s">
        <x:v>4082</x:v>
      </x:c>
      <x:c r="D8" s="5" t="s">
        <x:v>4083</x:v>
      </x:c>
      <x:c r="E8" s="5" t="s">
        <x:v>4077</x:v>
      </x:c>
      <x:c r="F8" s="5" t="s">
        <x:v>4067</x:v>
      </x:c>
      <x:c r="G8" s="5" t="s">
        <x:v>3968</x:v>
      </x:c>
    </x:row>
    <x:row r="9" s="1" customFormat="1" ht="12.75" hidden="0" customHeight="1">
      <x:c r="A9" s="7" t="n">
        <x:v>7</x:v>
      </x:c>
      <x:c r="B9" s="8" t="s">
        <x:v>4084</x:v>
      </x:c>
      <x:c r="C9" s="8" t="s">
        <x:v>4085</x:v>
      </x:c>
      <x:c r="D9" s="8" t="s">
        <x:v>4086</x:v>
      </x:c>
      <x:c r="E9" s="8" t="s">
        <x:v>4077</x:v>
      </x:c>
      <x:c r="F9" s="8" t="s">
        <x:v>4067</x:v>
      </x:c>
      <x:c r="G9" s="8" t="s">
        <x:v>3968</x:v>
      </x:c>
    </x:row>
  </x:sheetData>
  <x:pageMargins left="0.7" right="0.7" top="0.75" bottom="0.75" header="0.3" footer="0.3"/>
</x:worksheet>
</file>

<file path=xl/worksheets/sheet61.xml><?xml version="1.0" encoding="utf-8"?>
<x:worksheet xmlns:x="http://schemas.openxmlformats.org/spreadsheetml/2006/main">
  <x:sheetViews>
    <x:sheetView showGridLines="1" workbookViewId="0"/>
  </x:sheetViews>
  <x:sheetFormatPr defaultColWidth="8.6796875" defaultRowHeight="12.75"/>
  <x:cols>
    <x:col min="1" max="4" width="36" style="1" hidden="0" customWidth="1"/>
  </x:cols>
  <x:sheetData>
    <x:row r="1" s="1" customFormat="1" ht="51.75" hidden="0" customHeight="1">
      <x:c r="A1" s="2" t="s">
        <x:v>4087</x:v>
      </x:c>
      <x:c r="B1" s="3"/>
      <x:c r="C1" s="3"/>
      <x:c r="D1" s="3"/>
    </x:row>
    <x:row r="2" s="1" customFormat="1" ht="12.75" hidden="0" customHeight="1">
      <x:c r="A2" s="7" t="s">
        <x:v>4088</x:v>
      </x:c>
      <x:c r="B2" s="5" t="s">
        <x:v>3146</x:v>
      </x:c>
      <x:c r="C2" s="6"/>
      <x:c r="D2" s="6"/>
    </x:row>
    <x:row r="3" s="1" customFormat="1" ht="26.25" hidden="0" customHeight="1">
      <x:c r="A3" s="7" t="s">
        <x:v>4089</x:v>
      </x:c>
      <x:c r="B3" s="8" t="s">
        <x:v>4090</x:v>
      </x:c>
      <x:c r="C3" s="6"/>
      <x:c r="D3" s="6"/>
    </x:row>
    <x:row r="4" s="1" customFormat="1" ht="39" hidden="0" customHeight="1">
      <x:c r="A4" s="7" t="s">
        <x:v>4091</x:v>
      </x:c>
      <x:c r="B4" s="5" t="s">
        <x:v>4092</x:v>
      </x:c>
      <x:c r="C4" s="6"/>
      <x:c r="D4" s="6"/>
    </x:row>
    <x:row r="5" s="1" customFormat="1" ht="12.75" hidden="0" customHeight="1">
      <x:c r="A5" s="6"/>
      <x:c r="B5" s="6"/>
      <x:c r="C5" s="6"/>
      <x:c r="D5" s="6"/>
    </x:row>
    <x:row r="6" s="1" customFormat="1" ht="12.75" hidden="0" customHeight="1">
      <x:c r="A6" s="7" t="s">
        <x:v>4093</x:v>
      </x:c>
      <x:c r="B6" s="5" t="s">
        <x:v>4094</x:v>
      </x:c>
      <x:c r="C6" s="5" t="s">
        <x:v>1988</x:v>
      </x:c>
      <x:c r="D6" s="5" t="s">
        <x:v>4095</x:v>
      </x:c>
    </x:row>
    <x:row r="7" s="1" customFormat="1" ht="52.5" hidden="0" customHeight="1">
      <x:c r="A7" s="7" t="s">
        <x:v>4096</x:v>
      </x:c>
      <x:c r="B7" s="8" t="s">
        <x:v>4097</x:v>
      </x:c>
      <x:c r="C7" s="8" t="s">
        <x:v>4098</x:v>
      </x:c>
      <x:c r="D7" s="8" t="s">
        <x:v>4099</x:v>
      </x:c>
    </x:row>
    <x:row r="8" s="1" customFormat="1" ht="66" hidden="0" customHeight="1">
      <x:c r="A8" s="7" t="s">
        <x:v>4100</x:v>
      </x:c>
      <x:c r="B8" s="5" t="s">
        <x:v>4101</x:v>
      </x:c>
      <x:c r="C8" s="5" t="s">
        <x:v>351</x:v>
      </x:c>
      <x:c r="D8" s="5" t="s">
        <x:v>4102</x:v>
      </x:c>
    </x:row>
    <x:row r="9" s="1" customFormat="1" ht="78.75" hidden="0" customHeight="1">
      <x:c r="A9" s="7" t="s">
        <x:v>4103</x:v>
      </x:c>
      <x:c r="B9" s="8" t="s">
        <x:v>4104</x:v>
      </x:c>
      <x:c r="C9" s="8" t="s">
        <x:v>4105</x:v>
      </x:c>
      <x:c r="D9" s="8" t="s">
        <x:v>4106</x:v>
      </x:c>
    </x:row>
    <x:row r="10" s="1" customFormat="1" ht="12.75" hidden="0" customHeight="1">
      <x:c r="A10" s="6"/>
      <x:c r="B10" s="6"/>
      <x:c r="C10" s="6"/>
      <x:c r="D10" s="6"/>
    </x:row>
    <x:row r="11" s="1" customFormat="1" ht="12.75" hidden="0" customHeight="1">
      <x:c r="A11" s="7" t="s">
        <x:v>4107</x:v>
      </x:c>
      <x:c r="B11" s="161" t="s">
        <x:v>2265</x:v>
      </x:c>
      <x:c r="C11" s="161" t="s">
        <x:v>4108</x:v>
      </x:c>
      <x:c r="D11" s="161" t="s">
        <x:v>4109</x:v>
      </x:c>
    </x:row>
    <x:row r="12" s="1" customFormat="1" ht="39" hidden="0" customHeight="1">
      <x:c r="A12" s="7" t="s">
        <x:v>4110</x:v>
      </x:c>
      <x:c r="B12" s="5" t="s">
        <x:v>4111</x:v>
      </x:c>
      <x:c r="C12" s="5" t="s">
        <x:v>4112</x:v>
      </x:c>
      <x:c r="D12" s="5" t="s">
        <x:v>4113</x:v>
      </x:c>
    </x:row>
    <x:row r="13" s="1" customFormat="1" ht="39" hidden="0" customHeight="1">
      <x:c r="A13" s="7" t="s">
        <x:v>4114</x:v>
      </x:c>
      <x:c r="B13" s="8" t="s">
        <x:v>4111</x:v>
      </x:c>
      <x:c r="C13" s="8" t="s">
        <x:v>4115</x:v>
      </x:c>
      <x:c r="D13" s="8" t="s">
        <x:v>4113</x:v>
      </x:c>
    </x:row>
    <x:row r="14" s="1" customFormat="1" ht="39" hidden="0" customHeight="1">
      <x:c r="A14" s="7" t="s">
        <x:v>4116</x:v>
      </x:c>
      <x:c r="B14" s="5" t="s">
        <x:v>4117</x:v>
      </x:c>
      <x:c r="C14" s="5" t="s">
        <x:v>4118</x:v>
      </x:c>
      <x:c r="D14" s="5" t="s">
        <x:v>4113</x:v>
      </x:c>
    </x:row>
    <x:row r="15" s="1" customFormat="1" ht="39" hidden="0" customHeight="1">
      <x:c r="A15" s="7" t="s">
        <x:v>4119</x:v>
      </x:c>
      <x:c r="B15" s="8" t="s">
        <x:v>4117</x:v>
      </x:c>
      <x:c r="C15" s="8" t="s">
        <x:v>4120</x:v>
      </x:c>
      <x:c r="D15" s="8" t="s">
        <x:v>4113</x:v>
      </x:c>
    </x:row>
    <x:row r="16" s="1" customFormat="1" ht="39" hidden="0" customHeight="1">
      <x:c r="A16" s="7" t="s">
        <x:v>4121</x:v>
      </x:c>
      <x:c r="B16" s="5" t="s">
        <x:v>4117</x:v>
      </x:c>
      <x:c r="C16" s="5" t="s">
        <x:v>4122</x:v>
      </x:c>
      <x:c r="D16" s="5" t="s">
        <x:v>4113</x:v>
      </x:c>
    </x:row>
    <x:row r="17" s="1" customFormat="1" ht="12.75" hidden="0" customHeight="1">
      <x:c r="A17" s="6"/>
      <x:c r="B17" s="6"/>
      <x:c r="C17" s="6"/>
      <x:c r="D17" s="6"/>
    </x:row>
    <x:row r="18" s="1" customFormat="1" ht="52.5" hidden="0" customHeight="1">
      <x:c r="A18" s="7" t="s">
        <x:v>4123</x:v>
      </x:c>
      <x:c r="B18" s="5" t="s">
        <x:v>4124</x:v>
      </x:c>
      <x:c r="C18" s="5" t="s">
        <x:v>4125</x:v>
      </x:c>
      <x:c r="D18" s="6"/>
    </x:row>
    <x:row r="19" s="1" customFormat="1" ht="12.75" hidden="0" customHeight="1">
      <x:c r="A19" s="6"/>
      <x:c r="B19" s="6"/>
      <x:c r="C19" s="6"/>
      <x:c r="D19" s="6"/>
    </x:row>
    <x:row r="20" s="1" customFormat="1" ht="12.75" hidden="0" customHeight="1">
      <x:c r="A20" s="7" t="s">
        <x:v>4126</x:v>
      </x:c>
      <x:c r="B20" s="162"/>
      <x:c r="C20" s="162"/>
      <x:c r="D20" s="162"/>
    </x:row>
    <x:row r="21" s="1" customFormat="1" ht="90.75" hidden="0" customHeight="1">
      <x:c r="A21" s="7" t="s">
        <x:v>4127</x:v>
      </x:c>
      <x:c r="B21" s="8" t="s">
        <x:v>4128</x:v>
      </x:c>
      <x:c r="C21" s="8" t="s">
        <x:v>351</x:v>
      </x:c>
      <x:c r="D21" s="8" t="str">
        <x:v>Current surfaces must pin Canon v12.6, SGP v8.5, ripple.md v5.5, Agent v12.5, Primer v4.4, Sheet v5.6, Cascade v2.6, RLS Validation Protocol v2.6, and WDBIP v1.6.</x:v>
      </x:c>
    </x:row>
    <x:row r="22" s="1" customFormat="1" ht="34.5" hidden="0" customHeight="1">
      <x:c r="A22" s="7" t="s">
        <x:v>4127</x:v>
      </x:c>
      <x:c r="B22" s="5" t="s">
        <x:v>4129</x:v>
      </x:c>
      <x:c r="C22" s="5" t="s">
        <x:v>351</x:v>
      </x:c>
      <x:c r="D22" s="5" t="s">
        <x:v>4130</x:v>
      </x:c>
    </x:row>
    <x:row r="23" s="1" customFormat="1" ht="45.75" hidden="0" customHeight="1">
      <x:c r="A23" s="7" t="s">
        <x:v>4127</x:v>
      </x:c>
      <x:c r="B23" s="8" t="s">
        <x:v>4131</x:v>
      </x:c>
      <x:c r="C23" s="8" t="s">
        <x:v>351</x:v>
      </x:c>
      <x:c r="D23" s="8" t="s">
        <x:v>4132</x:v>
      </x:c>
    </x:row>
    <x:row r="24" s="1" customFormat="1" ht="45.75" hidden="0" customHeight="1">
      <x:c r="A24" s="7" t="s">
        <x:v>4127</x:v>
      </x:c>
      <x:c r="B24" s="5" t="s">
        <x:v>4133</x:v>
      </x:c>
      <x:c r="C24" s="5" t="s">
        <x:v>351</x:v>
      </x:c>
      <x:c r="D24" s="5" t="s">
        <x:v>4134</x:v>
      </x:c>
    </x:row>
    <x:row r="25" s="1" customFormat="1" ht="12.75" hidden="0" customHeight="1">
      <x:c r="A25" s="6"/>
      <x:c r="B25" s="6"/>
      <x:c r="C25" s="6"/>
      <x:c r="D25" s="6"/>
    </x:row>
  </x:sheetData>
  <x:pageMargins left="0.7" right="0.7" top="0.75" bottom="0.75" header="0.3" footer="0.3"/>
</x:worksheet>
</file>

<file path=xl/worksheets/sheet62.xml><?xml version="1.0" encoding="utf-8"?>
<x:worksheet xmlns:x="http://schemas.openxmlformats.org/spreadsheetml/2006/main">
  <x:sheetPr>
    <x:tabColor rgb="FFC00000"/>
  </x:sheetPr>
  <x:sheetViews>
    <x:sheetView showGridLines="1" workbookViewId="0"/>
  </x:sheetViews>
  <x:sheetFormatPr defaultColWidth="8.6796875" defaultRowHeight="15"/>
  <x:cols>
    <x:col min="1" max="1" width="36" style="1" hidden="0" customWidth="1"/>
    <x:col min="2" max="2" width="27" style="1" hidden="0" customWidth="1"/>
    <x:col min="3" max="3" width="36" style="1" hidden="0" customWidth="1"/>
  </x:cols>
  <x:sheetData>
    <x:row r="1" s="1" customFormat="1" ht="23.25" hidden="0" customHeight="1">
      <x:c r="A1" s="2" t="s">
        <x:v>4135</x:v>
      </x:c>
      <x:c r="B1" s="2" t="s">
        <x:v>349</x:v>
      </x:c>
      <x:c r="C1" s="2" t="s">
        <x:v>1203</x:v>
      </x:c>
    </x:row>
    <x:row r="2" s="1" customFormat="1" ht="15" hidden="0" customHeight="1">
      <x:c r="A2" s="7" t="s">
        <x:v>4136</x:v>
      </x:c>
      <x:c r="B2" s="5" t="s">
        <x:v>4137</x:v>
      </x:c>
      <x:c r="C2" s="5" t="s">
        <x:v>4138</x:v>
      </x:c>
    </x:row>
    <x:row r="3" s="1" customFormat="1" ht="15" hidden="0" customHeight="1">
      <x:c r="A3" s="7" t="s">
        <x:v>4139</x:v>
      </x:c>
      <x:c r="B3" s="8" t="s">
        <x:v>292</x:v>
      </x:c>
      <x:c r="C3" s="8" t="s">
        <x:v>4140</x:v>
      </x:c>
    </x:row>
    <x:row r="4" s="1" customFormat="1" ht="23.25" hidden="0" customHeight="1">
      <x:c r="A4" s="7" t="s">
        <x:v>2215</x:v>
      </x:c>
      <x:c r="B4" s="5" t="s">
        <x:v>233</x:v>
      </x:c>
      <x:c r="C4" s="5" t="s">
        <x:v>4141</x:v>
      </x:c>
    </x:row>
    <x:row r="5" s="1" customFormat="1" ht="15" hidden="0" customHeight="1">
      <x:c r="A5" s="7" t="s">
        <x:v>2217</x:v>
      </x:c>
      <x:c r="B5" s="8" t="s">
        <x:v>233</x:v>
      </x:c>
      <x:c r="C5" s="8" t="s">
        <x:v>4142</x:v>
      </x:c>
    </x:row>
    <x:row r="6" s="1" customFormat="1" ht="23.25" hidden="0" customHeight="1">
      <x:c r="A6" s="7" t="s">
        <x:v>4143</x:v>
      </x:c>
      <x:c r="B6" s="5" t="s">
        <x:v>233</x:v>
      </x:c>
      <x:c r="C6" s="5" t="s">
        <x:v>4144</x:v>
      </x:c>
    </x:row>
    <x:row r="7" s="1" customFormat="1" ht="23.25" hidden="0" customHeight="1">
      <x:c r="A7" s="7" t="s">
        <x:v>2221</x:v>
      </x:c>
      <x:c r="B7" s="8" t="s">
        <x:v>233</x:v>
      </x:c>
      <x:c r="C7" s="8" t="s">
        <x:v>4145</x:v>
      </x:c>
    </x:row>
    <x:row r="8" s="1" customFormat="1" ht="23.25" hidden="0" customHeight="1">
      <x:c r="A8" s="7" t="s">
        <x:v>4146</x:v>
      </x:c>
      <x:c r="B8" s="5" t="s">
        <x:v>233</x:v>
      </x:c>
      <x:c r="C8" s="5" t="s">
        <x:v>4147</x:v>
      </x:c>
    </x:row>
    <x:row r="9" s="1" customFormat="1" ht="23.25" hidden="0" customHeight="1">
      <x:c r="A9" s="7" t="s">
        <x:v>4148</x:v>
      </x:c>
      <x:c r="B9" s="8" t="s">
        <x:v>2672</x:v>
      </x:c>
      <x:c r="C9" s="8" t="s">
        <x:v>4149</x:v>
      </x:c>
    </x:row>
    <x:row r="10" s="1" customFormat="1" ht="23.25" hidden="0" customHeight="1">
      <x:c r="A10" s="7" t="s">
        <x:v>4150</x:v>
      </x:c>
      <x:c r="B10" s="5" t="s">
        <x:v>2672</x:v>
      </x:c>
      <x:c r="C10" s="5" t="s">
        <x:v>4151</x:v>
      </x:c>
    </x:row>
    <x:row r="11" s="1" customFormat="1" ht="23.25" hidden="0" customHeight="1">
      <x:c r="A11" s="7" t="s">
        <x:v>4152</x:v>
      </x:c>
      <x:c r="B11" s="8" t="s">
        <x:v>2672</x:v>
      </x:c>
      <x:c r="C11" s="8" t="s">
        <x:v>4153</x:v>
      </x:c>
    </x:row>
    <x:row r="12" s="1" customFormat="1" ht="23.25" hidden="0" customHeight="1">
      <x:c r="A12" s="7" t="s">
        <x:v>4154</x:v>
      </x:c>
      <x:c r="B12" s="5" t="s">
        <x:v>2672</x:v>
      </x:c>
      <x:c r="C12" s="5" t="s">
        <x:v>4155</x:v>
      </x:c>
    </x:row>
    <x:row r="13" s="1" customFormat="1" ht="15" hidden="0" customHeight="1">
      <x:c r="A13" s="7" t="s">
        <x:v>4156</x:v>
      </x:c>
      <x:c r="B13" s="8" t="s">
        <x:v>2672</x:v>
      </x:c>
      <x:c r="C13" s="8" t="s">
        <x:v>4157</x:v>
      </x:c>
    </x:row>
    <x:row r="14" s="1" customFormat="1" ht="15" hidden="0" customHeight="1">
      <x:c r="A14" s="7" t="s">
        <x:v>4158</x:v>
      </x:c>
      <x:c r="B14" s="5" t="s">
        <x:v>233</x:v>
      </x:c>
      <x:c r="C14" s="5" t="s">
        <x:v>4159</x:v>
      </x:c>
    </x:row>
    <x:row r="15" s="1" customFormat="1" ht="15" hidden="0" customHeight="1">
      <x:c r="A15" s="7" t="s">
        <x:v>4160</x:v>
      </x:c>
      <x:c r="B15" s="8" t="s">
        <x:v>233</x:v>
      </x:c>
      <x:c r="C15" s="8" t="s">
        <x:v>4161</x:v>
      </x:c>
    </x:row>
    <x:row r="16" s="1" customFormat="1" ht="15" hidden="0" customHeight="1">
      <x:c r="A16" s="7" t="s">
        <x:v>4162</x:v>
      </x:c>
      <x:c r="B16" s="5" t="s">
        <x:v>233</x:v>
      </x:c>
      <x:c r="C16" s="5" t="s">
        <x:v>4163</x:v>
      </x:c>
    </x:row>
    <x:row r="17" s="1" customFormat="1" ht="15" hidden="0" customHeight="1">
      <x:c r="A17" s="7" t="s">
        <x:v>4164</x:v>
      </x:c>
      <x:c r="B17" s="8" t="s">
        <x:v>4165</x:v>
      </x:c>
      <x:c r="C17" s="8" t="s">
        <x:v>4166</x:v>
      </x:c>
    </x:row>
    <x:row r="18" s="1" customFormat="1" ht="15" hidden="0" customHeight="1">
      <x:c r="A18" s="7" t="s">
        <x:v>4167</x:v>
      </x:c>
      <x:c r="B18" s="5" t="s">
        <x:v>4168</x:v>
      </x:c>
      <x:c r="C18" s="5" t="str">
        <x:v>Manifest, hashes, document magic, formula integrity/recalculation checks, and sanity coverage must pass.</x:v>
      </x:c>
    </x:row>
    <x:row r="19">
      <x:c r="A19" t="str">
        <x:v>Spreadsheet viewer boundary</x:v>
      </x:c>
      <x:c r="B19" t="str">
        <x:v>RECALCULATING ENGINE REQUIRED</x:v>
      </x:c>
      <x:c r="C19" t="str">
        <x:v>Formula-driven view sheets may lack portable serialized caches. Non-recalculating previews are not authoritative; recalculate before relying on view cells.</x:v>
      </x:c>
    </x:row>
  </x:sheetData>
  <x:pageMargins left="0.7" right="0.7" top="0.75" bottom="0.75" header="0.3" footer="0.3"/>
</x:worksheet>
</file>

<file path=xl/worksheets/sheet63.xml><?xml version="1.0" encoding="utf-8"?>
<x:worksheet xmlns:x="http://schemas.openxmlformats.org/spreadsheetml/2006/main">
  <x:sheetViews>
    <x:sheetView showGridLines="1" workbookViewId="0"/>
  </x:sheetViews>
  <x:sheetFormatPr defaultColWidth="8.6796875" defaultRowHeight="15"/>
  <x:cols>
    <x:col min="1" max="1" width="14" style="1" hidden="0" customWidth="1"/>
    <x:col min="2" max="2" width="16" style="1" hidden="0" customWidth="1"/>
    <x:col min="3" max="13" width="36" style="1" hidden="0" customWidth="1"/>
    <x:col min="14" max="16" width="28" style="1" hidden="0" customWidth="1"/>
    <x:col min="17" max="17" width="26" style="1" hidden="0" customWidth="1"/>
    <x:col min="18" max="18" width="22" style="1" hidden="0" customWidth="1"/>
    <x:col min="19" max="22" width="28" style="1" hidden="0" customWidth="1"/>
    <x:col min="23" max="23" width="24" style="1" hidden="0" customWidth="1"/>
    <x:col min="24" max="24" width="18" style="1" hidden="0" customWidth="1"/>
    <x:col min="25" max="25" width="28" style="1" hidden="0" customWidth="1"/>
    <x:col min="26" max="26" width="26" style="1" hidden="0" customWidth="1"/>
    <x:col min="27" max="30" width="16" style="1" hidden="0" customWidth="1"/>
  </x:cols>
  <x:sheetData>
    <x:row r="1" s="1" customFormat="1" ht="45" hidden="0" customHeight="1">
      <x:c r="A1" s="2" t="s">
        <x:v>4169</x:v>
      </x:c>
      <x:c r="B1" s="2" t="s">
        <x:v>4170</x:v>
      </x:c>
      <x:c r="C1" s="2" t="s">
        <x:v>4171</x:v>
      </x:c>
      <x:c r="D1" s="2" t="s">
        <x:v>4172</x:v>
      </x:c>
      <x:c r="E1" s="2" t="s">
        <x:v>4173</x:v>
      </x:c>
      <x:c r="F1" s="2" t="s">
        <x:v>4174</x:v>
      </x:c>
      <x:c r="G1" s="2" t="s">
        <x:v>4175</x:v>
      </x:c>
      <x:c r="H1" s="2" t="s">
        <x:v>4176</x:v>
      </x:c>
      <x:c r="I1" s="2" t="s">
        <x:v>4177</x:v>
      </x:c>
      <x:c r="J1" s="2" t="s">
        <x:v>4178</x:v>
      </x:c>
      <x:c r="K1" s="2" t="s">
        <x:v>4179</x:v>
      </x:c>
      <x:c r="L1" s="2" t="s">
        <x:v>4180</x:v>
      </x:c>
      <x:c r="M1" s="2" t="s">
        <x:v>4181</x:v>
      </x:c>
      <x:c r="N1" s="2" t="s">
        <x:v>4182</x:v>
      </x:c>
      <x:c r="O1" s="2" t="s">
        <x:v>4183</x:v>
      </x:c>
      <x:c r="P1" s="2" t="s">
        <x:v>3400</x:v>
      </x:c>
      <x:c r="Q1" s="2" t="s">
        <x:v>4184</x:v>
      </x:c>
      <x:c r="R1" s="2" t="s">
        <x:v>4185</x:v>
      </x:c>
      <x:c r="S1" s="2" t="s">
        <x:v>3401</x:v>
      </x:c>
      <x:c r="T1" s="2" t="s">
        <x:v>4186</x:v>
      </x:c>
      <x:c r="U1" s="2" t="s">
        <x:v>4187</x:v>
      </x:c>
      <x:c r="V1" s="2" t="s">
        <x:v>4188</x:v>
      </x:c>
      <x:c r="W1" s="2" t="s">
        <x:v>4189</x:v>
      </x:c>
      <x:c r="X1" s="2" t="s">
        <x:v>4190</x:v>
      </x:c>
      <x:c r="Y1" s="2" t="s">
        <x:v>3431</x:v>
      </x:c>
      <x:c r="Z1" s="2" t="s">
        <x:v>2737</x:v>
      </x:c>
      <x:c r="AA1" s="3"/>
      <x:c r="AB1" s="2" t="s">
        <x:v>3919</x:v>
      </x:c>
      <x:c r="AC1" s="2" t="s">
        <x:v>4191</x:v>
      </x:c>
      <x:c r="AD1" s="2" t="s">
        <x:v>3919</x:v>
      </x:c>
    </x:row>
    <x:row r="2" s="1" customFormat="1" ht="102" hidden="0" customHeight="1">
      <x:c r="A2" s="4" t="s">
        <x:v>2389</x:v>
      </x:c>
      <x:c r="B2" s="5" t="s">
        <x:v>4192</x:v>
      </x:c>
      <x:c r="C2" s="5" t="s">
        <x:v>4193</x:v>
      </x:c>
      <x:c r="D2" s="5" t="s">
        <x:v>4194</x:v>
      </x:c>
      <x:c r="E2" s="5" t="s">
        <x:v>4195</x:v>
      </x:c>
      <x:c r="F2" s="5" t="s">
        <x:v>4196</x:v>
      </x:c>
      <x:c r="G2" s="5" t="s">
        <x:v>4197</x:v>
      </x:c>
      <x:c r="H2" s="5" t="s">
        <x:v>4198</x:v>
      </x:c>
      <x:c r="I2" s="5" t="s">
        <x:v>4199</x:v>
      </x:c>
      <x:c r="J2" s="5" t="s">
        <x:v>4200</x:v>
      </x:c>
      <x:c r="K2" s="5" t="s">
        <x:v>4201</x:v>
      </x:c>
      <x:c r="L2" s="5" t="s">
        <x:v>4202</x:v>
      </x:c>
      <x:c r="M2" s="5" t="s">
        <x:v>4203</x:v>
      </x:c>
      <x:c r="N2" s="5" t="s">
        <x:v>4204</x:v>
      </x:c>
      <x:c r="O2" s="5" t="s">
        <x:v>4205</x:v>
      </x:c>
      <x:c r="P2" s="5" t="s">
        <x:v>4206</x:v>
      </x:c>
      <x:c r="Q2" s="5" t="s">
        <x:v>2741</x:v>
      </x:c>
      <x:c r="R2" s="5" t="s">
        <x:v>4137</x:v>
      </x:c>
      <x:c r="S2" s="5" t="s">
        <x:v>2744</x:v>
      </x:c>
      <x:c r="T2" s="5" t="s">
        <x:v>4207</x:v>
      </x:c>
      <x:c r="U2" s="5" t="s">
        <x:v>2747</x:v>
      </x:c>
      <x:c r="V2" s="5" t="s">
        <x:v>4208</x:v>
      </x:c>
      <x:c r="W2" s="5" t="s">
        <x:v>4191</x:v>
      </x:c>
      <x:c r="X2" s="5" t="s">
        <x:v>4209</x:v>
      </x:c>
      <x:c r="Y2" s="5" t="s">
        <x:v>4210</x:v>
      </x:c>
      <x:c r="Z2" s="5" t="s">
        <x:v>685</x:v>
      </x:c>
      <x:c r="AA2" s="6"/>
      <x:c r="AB2" s="5" t="s">
        <x:v>2741</x:v>
      </x:c>
      <x:c r="AC2" s="5" t="s">
        <x:v>4211</x:v>
      </x:c>
      <x:c r="AD2" s="5" t="s">
        <x:v>4212</x:v>
      </x:c>
    </x:row>
    <x:row r="3" s="1" customFormat="1" ht="15" hidden="0" customHeight="1">
      <x:c r="A3" s="6"/>
      <x:c r="B3" s="6"/>
      <x:c r="C3" s="6"/>
      <x:c r="D3" s="6"/>
      <x:c r="E3" s="6"/>
      <x:c r="F3" s="6"/>
      <x:c r="G3" s="6"/>
      <x:c r="H3" s="6"/>
      <x:c r="I3" s="6"/>
      <x:c r="J3" s="6"/>
      <x:c r="K3" s="6"/>
      <x:c r="L3" s="6"/>
      <x:c r="M3" s="6"/>
      <x:c r="N3" s="6"/>
      <x:c r="O3" s="6"/>
      <x:c r="P3" s="6"/>
      <x:c r="Q3" s="6"/>
      <x:c r="R3" s="6"/>
      <x:c r="S3" s="6"/>
      <x:c r="T3" s="6"/>
      <x:c r="U3" s="6"/>
      <x:c r="V3" s="6"/>
      <x:c r="W3" s="6"/>
      <x:c r="X3" s="6"/>
      <x:c r="Y3" s="6"/>
      <x:c r="Z3" s="8" t="s">
        <x:v>4213</x:v>
      </x:c>
      <x:c r="AA3" s="6"/>
      <x:c r="AB3" s="8" t="s">
        <x:v>3935</x:v>
      </x:c>
      <x:c r="AC3" s="8" t="s">
        <x:v>4214</x:v>
      </x:c>
      <x:c r="AD3" s="8" t="s">
        <x:v>4215</x:v>
      </x:c>
    </x:row>
    <x:row r="4" s="1" customFormat="1" ht="15" hidden="0" customHeight="1">
      <x:c r="A4" s="6"/>
      <x:c r="B4" s="6"/>
      <x:c r="C4" s="6"/>
      <x:c r="D4" s="6"/>
      <x:c r="E4" s="6"/>
      <x:c r="F4" s="6"/>
      <x:c r="G4" s="6"/>
      <x:c r="H4" s="6"/>
      <x:c r="I4" s="6"/>
      <x:c r="J4" s="6"/>
      <x:c r="K4" s="6"/>
      <x:c r="L4" s="6"/>
      <x:c r="M4" s="6"/>
      <x:c r="N4" s="6"/>
      <x:c r="O4" s="6"/>
      <x:c r="P4" s="6"/>
      <x:c r="Q4" s="6"/>
      <x:c r="R4" s="6"/>
      <x:c r="S4" s="6"/>
      <x:c r="T4" s="6"/>
      <x:c r="U4" s="6"/>
      <x:c r="V4" s="6"/>
      <x:c r="W4" s="6"/>
      <x:c r="X4" s="6"/>
      <x:c r="Y4" s="6"/>
      <x:c r="Z4" s="5" t="s">
        <x:v>4213</x:v>
      </x:c>
      <x:c r="AA4" s="6"/>
      <x:c r="AB4" s="5" t="s">
        <x:v>3930</x:v>
      </x:c>
      <x:c r="AC4" s="5" t="s">
        <x:v>4216</x:v>
      </x:c>
      <x:c r="AD4" s="5" t="s">
        <x:v>4217</x:v>
      </x:c>
    </x:row>
    <x:row r="5" s="1" customFormat="1" ht="15" hidden="0" customHeight="1">
      <x:c r="A5" s="6"/>
      <x:c r="B5" s="6"/>
      <x:c r="C5" s="6"/>
      <x:c r="D5" s="6"/>
      <x:c r="E5" s="6"/>
      <x:c r="F5" s="6"/>
      <x:c r="G5" s="6"/>
      <x:c r="H5" s="6"/>
      <x:c r="I5" s="6"/>
      <x:c r="J5" s="6"/>
      <x:c r="K5" s="6"/>
      <x:c r="L5" s="6"/>
      <x:c r="M5" s="6"/>
      <x:c r="N5" s="6"/>
      <x:c r="O5" s="6"/>
      <x:c r="P5" s="6"/>
      <x:c r="Q5" s="6"/>
      <x:c r="R5" s="6"/>
      <x:c r="S5" s="6"/>
      <x:c r="T5" s="6"/>
      <x:c r="U5" s="6"/>
      <x:c r="V5" s="6"/>
      <x:c r="W5" s="6"/>
      <x:c r="X5" s="6"/>
      <x:c r="Y5" s="6"/>
      <x:c r="Z5" s="8" t="s">
        <x:v>4213</x:v>
      </x:c>
      <x:c r="AA5" s="6"/>
      <x:c r="AB5" s="8" t="s">
        <x:v>1343</x:v>
      </x:c>
      <x:c r="AC5" s="6"/>
      <x:c r="AD5" s="8" t="s">
        <x:v>230</x:v>
      </x:c>
    </x:row>
    <x:row r="6" s="1" customFormat="1" ht="15" hidden="0" customHeight="1">
      <x:c r="A6" s="6"/>
      <x:c r="B6" s="6"/>
      <x:c r="C6" s="6"/>
      <x:c r="D6" s="6"/>
      <x:c r="E6" s="6"/>
      <x:c r="F6" s="6"/>
      <x:c r="G6" s="6"/>
      <x:c r="H6" s="6"/>
      <x:c r="I6" s="6"/>
      <x:c r="J6" s="6"/>
      <x:c r="K6" s="6"/>
      <x:c r="L6" s="6"/>
      <x:c r="M6" s="6"/>
      <x:c r="N6" s="6"/>
      <x:c r="O6" s="6"/>
      <x:c r="P6" s="6"/>
      <x:c r="Q6" s="6"/>
      <x:c r="R6" s="6"/>
      <x:c r="S6" s="6"/>
      <x:c r="T6" s="6"/>
      <x:c r="U6" s="6"/>
      <x:c r="V6" s="6"/>
      <x:c r="W6" s="6"/>
      <x:c r="X6" s="6"/>
      <x:c r="Y6" s="6"/>
      <x:c r="Z6" s="5" t="s">
        <x:v>4213</x:v>
      </x:c>
      <x:c r="AA6" s="6"/>
      <x:c r="AB6" s="5" t="s">
        <x:v>230</x:v>
      </x:c>
      <x:c r="AC6" s="6"/>
      <x:c r="AD6" s="5" t="s">
        <x:v>1343</x:v>
      </x:c>
    </x:row>
    <x:row r="7" s="1" customFormat="1" ht="15" hidden="0" customHeight="1">
      <x:c r="A7" s="6"/>
      <x:c r="B7" s="6"/>
      <x:c r="C7" s="6"/>
      <x:c r="D7" s="6"/>
      <x:c r="E7" s="6"/>
      <x:c r="F7" s="6"/>
      <x:c r="G7" s="6"/>
      <x:c r="H7" s="6"/>
      <x:c r="I7" s="6"/>
      <x:c r="J7" s="6"/>
      <x:c r="K7" s="6"/>
      <x:c r="L7" s="6"/>
      <x:c r="M7" s="6"/>
      <x:c r="N7" s="6"/>
      <x:c r="O7" s="6"/>
      <x:c r="P7" s="6"/>
      <x:c r="Q7" s="6"/>
      <x:c r="R7" s="6"/>
      <x:c r="S7" s="6"/>
      <x:c r="T7" s="6"/>
      <x:c r="U7" s="6"/>
      <x:c r="V7" s="6"/>
      <x:c r="W7" s="6"/>
      <x:c r="X7" s="6"/>
      <x:c r="Y7" s="6"/>
      <x:c r="Z7" s="8" t="s">
        <x:v>4213</x:v>
      </x:c>
      <x:c r="AA7" s="6"/>
      <x:c r="AB7" s="8" t="s">
        <x:v>3945</x:v>
      </x:c>
      <x:c r="AC7" s="6"/>
      <x:c r="AD7" s="8" t="s">
        <x:v>3945</x:v>
      </x:c>
    </x:row>
    <x:row r="8" s="1" customFormat="1" ht="15" hidden="0" customHeight="1">
      <x:c r="A8" s="6"/>
      <x:c r="B8" s="6"/>
      <x:c r="C8" s="6"/>
      <x:c r="D8" s="6"/>
      <x:c r="E8" s="6"/>
      <x:c r="F8" s="6"/>
      <x:c r="G8" s="6"/>
      <x:c r="H8" s="6"/>
      <x:c r="I8" s="6"/>
      <x:c r="J8" s="6"/>
      <x:c r="K8" s="6"/>
      <x:c r="L8" s="6"/>
      <x:c r="M8" s="6"/>
      <x:c r="N8" s="6"/>
      <x:c r="O8" s="6"/>
      <x:c r="P8" s="6"/>
      <x:c r="Q8" s="6"/>
      <x:c r="R8" s="6"/>
      <x:c r="S8" s="6"/>
      <x:c r="T8" s="6"/>
      <x:c r="U8" s="6"/>
      <x:c r="V8" s="6"/>
      <x:c r="W8" s="6"/>
      <x:c r="X8" s="6"/>
      <x:c r="Y8" s="6"/>
      <x:c r="Z8" s="5" t="s">
        <x:v>4213</x:v>
      </x:c>
      <x:c r="AA8" s="6"/>
      <x:c r="AB8" s="5" t="s">
        <x:v>3949</x:v>
      </x:c>
      <x:c r="AC8" s="6"/>
      <x:c r="AD8" s="6"/>
    </x:row>
    <x:row r="9" s="1" customFormat="1" ht="15" hidden="0" customHeight="1">
      <x:c r="A9" s="6"/>
      <x:c r="B9" s="6"/>
      <x:c r="C9" s="6"/>
      <x:c r="D9" s="6"/>
      <x:c r="E9" s="6"/>
      <x:c r="F9" s="6"/>
      <x:c r="G9" s="6"/>
      <x:c r="H9" s="6"/>
      <x:c r="I9" s="6"/>
      <x:c r="J9" s="6"/>
      <x:c r="K9" s="6"/>
      <x:c r="L9" s="6"/>
      <x:c r="M9" s="6"/>
      <x:c r="N9" s="6"/>
      <x:c r="O9" s="6"/>
      <x:c r="P9" s="6"/>
      <x:c r="Q9" s="6"/>
      <x:c r="R9" s="6"/>
      <x:c r="S9" s="6"/>
      <x:c r="T9" s="6"/>
      <x:c r="U9" s="6"/>
      <x:c r="V9" s="6"/>
      <x:c r="W9" s="6"/>
      <x:c r="X9" s="6"/>
      <x:c r="Y9" s="6"/>
      <x:c r="Z9" s="8" t="s">
        <x:v>4213</x:v>
      </x:c>
      <x:c r="AA9" s="6"/>
      <x:c r="AB9" s="6"/>
      <x:c r="AC9" s="6"/>
      <x:c r="AD9" s="6"/>
    </x:row>
    <x:row r="10" s="1" customFormat="1" ht="15" hidden="0" customHeight="1">
      <x:c r="A10" s="6"/>
      <x:c r="B10" s="6"/>
      <x:c r="C10" s="6"/>
      <x:c r="D10" s="6"/>
      <x:c r="E10" s="6"/>
      <x:c r="F10" s="6"/>
      <x:c r="G10" s="6"/>
      <x:c r="H10" s="6"/>
      <x:c r="I10" s="6"/>
      <x:c r="J10" s="6"/>
      <x:c r="K10" s="6"/>
      <x:c r="L10" s="6"/>
      <x:c r="M10" s="6"/>
      <x:c r="N10" s="6"/>
      <x:c r="O10" s="6"/>
      <x:c r="P10" s="6"/>
      <x:c r="Q10" s="6"/>
      <x:c r="R10" s="6"/>
      <x:c r="S10" s="6"/>
      <x:c r="T10" s="6"/>
      <x:c r="U10" s="6"/>
      <x:c r="V10" s="6"/>
      <x:c r="W10" s="6"/>
      <x:c r="X10" s="6"/>
      <x:c r="Y10" s="6"/>
      <x:c r="Z10" s="5" t="s">
        <x:v>4213</x:v>
      </x:c>
      <x:c r="AA10" s="6"/>
      <x:c r="AB10" s="6"/>
      <x:c r="AC10" s="6"/>
      <x:c r="AD10" s="6"/>
    </x:row>
    <x:row r="11" s="1" customFormat="1" ht="15" hidden="0" customHeight="1">
      <x:c r="A11" s="6"/>
      <x:c r="B11" s="6"/>
      <x:c r="C11" s="6"/>
      <x:c r="D11" s="6"/>
      <x:c r="E11" s="6"/>
      <x:c r="F11" s="6"/>
      <x:c r="G11" s="6"/>
      <x:c r="H11" s="6"/>
      <x:c r="I11" s="6"/>
      <x:c r="J11" s="6"/>
      <x:c r="K11" s="6"/>
      <x:c r="L11" s="6"/>
      <x:c r="M11" s="6"/>
      <x:c r="N11" s="6"/>
      <x:c r="O11" s="6"/>
      <x:c r="P11" s="6"/>
      <x:c r="Q11" s="6"/>
      <x:c r="R11" s="6"/>
      <x:c r="S11" s="6"/>
      <x:c r="T11" s="6"/>
      <x:c r="U11" s="6"/>
      <x:c r="V11" s="6"/>
      <x:c r="W11" s="6"/>
      <x:c r="X11" s="6"/>
      <x:c r="Y11" s="6"/>
      <x:c r="Z11" s="8" t="s">
        <x:v>4213</x:v>
      </x:c>
      <x:c r="AA11" s="6"/>
      <x:c r="AB11" s="6"/>
      <x:c r="AC11" s="6"/>
      <x:c r="AD11" s="6"/>
    </x:row>
    <x:row r="12" s="1" customFormat="1" ht="15" hidden="0" customHeight="1">
      <x:c r="A12" s="6"/>
      <x:c r="B12" s="6"/>
      <x:c r="C12" s="6"/>
      <x:c r="D12" s="6"/>
      <x:c r="E12" s="6"/>
      <x:c r="F12" s="6"/>
      <x:c r="G12" s="6"/>
      <x:c r="H12" s="6"/>
      <x:c r="I12" s="6"/>
      <x:c r="J12" s="6"/>
      <x:c r="K12" s="6"/>
      <x:c r="L12" s="6"/>
      <x:c r="M12" s="6"/>
      <x:c r="N12" s="6"/>
      <x:c r="O12" s="6"/>
      <x:c r="P12" s="6"/>
      <x:c r="Q12" s="6"/>
      <x:c r="R12" s="6"/>
      <x:c r="S12" s="6"/>
      <x:c r="T12" s="6"/>
      <x:c r="U12" s="6"/>
      <x:c r="V12" s="6"/>
      <x:c r="W12" s="6"/>
      <x:c r="X12" s="6"/>
      <x:c r="Y12" s="6"/>
      <x:c r="Z12" s="5" t="s">
        <x:v>4213</x:v>
      </x:c>
      <x:c r="AA12" s="6"/>
      <x:c r="AB12" s="6"/>
      <x:c r="AC12" s="6"/>
      <x:c r="AD12" s="6"/>
    </x:row>
    <x:row r="13" s="1" customFormat="1" ht="15" hidden="0" customHeight="1">
      <x:c r="A13" s="6"/>
      <x:c r="B13" s="6"/>
      <x:c r="C13" s="6"/>
      <x:c r="D13" s="6"/>
      <x:c r="E13" s="6"/>
      <x:c r="F13" s="6"/>
      <x:c r="G13" s="6"/>
      <x:c r="H13" s="6"/>
      <x:c r="I13" s="6"/>
      <x:c r="J13" s="6"/>
      <x:c r="K13" s="6"/>
      <x:c r="L13" s="6"/>
      <x:c r="M13" s="6"/>
      <x:c r="N13" s="6"/>
      <x:c r="O13" s="6"/>
      <x:c r="P13" s="6"/>
      <x:c r="Q13" s="6"/>
      <x:c r="R13" s="6"/>
      <x:c r="S13" s="6"/>
      <x:c r="T13" s="6"/>
      <x:c r="U13" s="6"/>
      <x:c r="V13" s="6"/>
      <x:c r="W13" s="6"/>
      <x:c r="X13" s="6"/>
      <x:c r="Y13" s="6"/>
      <x:c r="Z13" s="8" t="s">
        <x:v>4213</x:v>
      </x:c>
      <x:c r="AA13" s="6"/>
      <x:c r="AB13" s="6"/>
      <x:c r="AC13" s="6"/>
      <x:c r="AD13" s="6"/>
    </x:row>
    <x:row r="14" s="1" customFormat="1" ht="15" hidden="0" customHeight="1">
      <x:c r="A14" s="6"/>
      <x:c r="B14" s="6"/>
      <x:c r="C14" s="6"/>
      <x:c r="D14" s="6"/>
      <x:c r="E14" s="6"/>
      <x:c r="F14" s="6"/>
      <x:c r="G14" s="6"/>
      <x:c r="H14" s="6"/>
      <x:c r="I14" s="6"/>
      <x:c r="J14" s="6"/>
      <x:c r="K14" s="6"/>
      <x:c r="L14" s="6"/>
      <x:c r="M14" s="6"/>
      <x:c r="N14" s="6"/>
      <x:c r="O14" s="6"/>
      <x:c r="P14" s="6"/>
      <x:c r="Q14" s="6"/>
      <x:c r="R14" s="6"/>
      <x:c r="S14" s="6"/>
      <x:c r="T14" s="6"/>
      <x:c r="U14" s="6"/>
      <x:c r="V14" s="6"/>
      <x:c r="W14" s="6"/>
      <x:c r="X14" s="6"/>
      <x:c r="Y14" s="6"/>
      <x:c r="Z14" s="5" t="s">
        <x:v>4213</x:v>
      </x:c>
      <x:c r="AA14" s="6"/>
      <x:c r="AB14" s="6"/>
      <x:c r="AC14" s="6"/>
      <x:c r="AD14" s="6"/>
    </x:row>
    <x:row r="15" s="1" customFormat="1" ht="15" hidden="0" customHeight="1">
      <x:c r="A15" s="6"/>
      <x:c r="B15" s="6"/>
      <x:c r="C15" s="6"/>
      <x:c r="D15" s="6"/>
      <x:c r="E15" s="6"/>
      <x:c r="F15" s="6"/>
      <x:c r="G15" s="6"/>
      <x:c r="H15" s="6"/>
      <x:c r="I15" s="6"/>
      <x:c r="J15" s="6"/>
      <x:c r="K15" s="6"/>
      <x:c r="L15" s="6"/>
      <x:c r="M15" s="6"/>
      <x:c r="N15" s="6"/>
      <x:c r="O15" s="6"/>
      <x:c r="P15" s="6"/>
      <x:c r="Q15" s="6"/>
      <x:c r="R15" s="6"/>
      <x:c r="S15" s="6"/>
      <x:c r="T15" s="6"/>
      <x:c r="U15" s="6"/>
      <x:c r="V15" s="6"/>
      <x:c r="W15" s="6"/>
      <x:c r="X15" s="6"/>
      <x:c r="Y15" s="6"/>
      <x:c r="Z15" s="8" t="s">
        <x:v>4213</x:v>
      </x:c>
      <x:c r="AA15" s="6"/>
      <x:c r="AB15" s="6"/>
      <x:c r="AC15" s="6"/>
      <x:c r="AD15" s="6"/>
    </x:row>
    <x:row r="16" s="1" customFormat="1" ht="15" hidden="0" customHeight="1">
      <x:c r="A16" s="6"/>
      <x:c r="B16" s="6"/>
      <x:c r="C16" s="6"/>
      <x:c r="D16" s="6"/>
      <x:c r="E16" s="6"/>
      <x:c r="F16" s="6"/>
      <x:c r="G16" s="6"/>
      <x:c r="H16" s="6"/>
      <x:c r="I16" s="6"/>
      <x:c r="J16" s="6"/>
      <x:c r="K16" s="6"/>
      <x:c r="L16" s="6"/>
      <x:c r="M16" s="6"/>
      <x:c r="N16" s="6"/>
      <x:c r="O16" s="6"/>
      <x:c r="P16" s="6"/>
      <x:c r="Q16" s="6"/>
      <x:c r="R16" s="6"/>
      <x:c r="S16" s="6"/>
      <x:c r="T16" s="6"/>
      <x:c r="U16" s="6"/>
      <x:c r="V16" s="6"/>
      <x:c r="W16" s="6"/>
      <x:c r="X16" s="6"/>
      <x:c r="Y16" s="6"/>
      <x:c r="Z16" s="5" t="s">
        <x:v>4213</x:v>
      </x:c>
      <x:c r="AA16" s="6"/>
      <x:c r="AB16" s="6"/>
      <x:c r="AC16" s="6"/>
      <x:c r="AD16" s="6"/>
    </x:row>
    <x:row r="17" s="1" customFormat="1" ht="15" hidden="0" customHeight="1">
      <x:c r="A17" s="6"/>
      <x:c r="B17" s="6"/>
      <x:c r="C17" s="6"/>
      <x:c r="D17" s="6"/>
      <x:c r="E17" s="6"/>
      <x:c r="F17" s="6"/>
      <x:c r="G17" s="6"/>
      <x:c r="H17" s="6"/>
      <x:c r="I17" s="6"/>
      <x:c r="J17" s="6"/>
      <x:c r="K17" s="6"/>
      <x:c r="L17" s="6"/>
      <x:c r="M17" s="6"/>
      <x:c r="N17" s="6"/>
      <x:c r="O17" s="6"/>
      <x:c r="P17" s="6"/>
      <x:c r="Q17" s="6"/>
      <x:c r="R17" s="6"/>
      <x:c r="S17" s="6"/>
      <x:c r="T17" s="6"/>
      <x:c r="U17" s="6"/>
      <x:c r="V17" s="6"/>
      <x:c r="W17" s="6"/>
      <x:c r="X17" s="6"/>
      <x:c r="Y17" s="6"/>
      <x:c r="Z17" s="8" t="s">
        <x:v>4213</x:v>
      </x:c>
      <x:c r="AA17" s="6"/>
      <x:c r="AB17" s="6"/>
      <x:c r="AC17" s="6"/>
      <x:c r="AD17" s="6"/>
    </x:row>
    <x:row r="18" s="1" customFormat="1" ht="15" hidden="0" customHeight="1">
      <x:c r="A18" s="6"/>
      <x:c r="B18" s="6"/>
      <x:c r="C18" s="6"/>
      <x:c r="D18" s="6"/>
      <x:c r="E18" s="6"/>
      <x:c r="F18" s="6"/>
      <x:c r="G18" s="6"/>
      <x:c r="H18" s="6"/>
      <x:c r="I18" s="6"/>
      <x:c r="J18" s="6"/>
      <x:c r="K18" s="6"/>
      <x:c r="L18" s="6"/>
      <x:c r="M18" s="6"/>
      <x:c r="N18" s="6"/>
      <x:c r="O18" s="6"/>
      <x:c r="P18" s="6"/>
      <x:c r="Q18" s="6"/>
      <x:c r="R18" s="6"/>
      <x:c r="S18" s="6"/>
      <x:c r="T18" s="6"/>
      <x:c r="U18" s="6"/>
      <x:c r="V18" s="6"/>
      <x:c r="W18" s="6"/>
      <x:c r="X18" s="6"/>
      <x:c r="Y18" s="6"/>
      <x:c r="Z18" s="5" t="s">
        <x:v>4213</x:v>
      </x:c>
      <x:c r="AA18" s="6"/>
      <x:c r="AB18" s="6"/>
      <x:c r="AC18" s="6"/>
      <x:c r="AD18" s="6"/>
    </x:row>
    <x:row r="19" s="1" customFormat="1" ht="15" hidden="0" customHeight="1">
      <x:c r="A19" s="6"/>
      <x:c r="B19" s="6"/>
      <x:c r="C19" s="6"/>
      <x:c r="D19" s="6"/>
      <x:c r="E19" s="6"/>
      <x:c r="F19" s="6"/>
      <x:c r="G19" s="6"/>
      <x:c r="H19" s="6"/>
      <x:c r="I19" s="6"/>
      <x:c r="J19" s="6"/>
      <x:c r="K19" s="6"/>
      <x:c r="L19" s="6"/>
      <x:c r="M19" s="6"/>
      <x:c r="N19" s="6"/>
      <x:c r="O19" s="6"/>
      <x:c r="P19" s="6"/>
      <x:c r="Q19" s="6"/>
      <x:c r="R19" s="6"/>
      <x:c r="S19" s="6"/>
      <x:c r="T19" s="6"/>
      <x:c r="U19" s="6"/>
      <x:c r="V19" s="6"/>
      <x:c r="W19" s="6"/>
      <x:c r="X19" s="6"/>
      <x:c r="Y19" s="6"/>
      <x:c r="Z19" s="8" t="s">
        <x:v>4213</x:v>
      </x:c>
      <x:c r="AA19" s="6"/>
      <x:c r="AB19" s="6"/>
      <x:c r="AC19" s="6"/>
      <x:c r="AD19" s="6"/>
    </x:row>
    <x:row r="20" s="1" customFormat="1" ht="15" hidden="0" customHeight="1">
      <x:c r="A20" s="6"/>
      <x:c r="B20" s="6"/>
      <x:c r="C20" s="6"/>
      <x:c r="D20" s="6"/>
      <x:c r="E20" s="6"/>
      <x:c r="F20" s="6"/>
      <x:c r="G20" s="6"/>
      <x:c r="H20" s="6"/>
      <x:c r="I20" s="6"/>
      <x:c r="J20" s="6"/>
      <x:c r="K20" s="6"/>
      <x:c r="L20" s="6"/>
      <x:c r="M20" s="6"/>
      <x:c r="N20" s="6"/>
      <x:c r="O20" s="6"/>
      <x:c r="P20" s="6"/>
      <x:c r="Q20" s="6"/>
      <x:c r="R20" s="6"/>
      <x:c r="S20" s="6"/>
      <x:c r="T20" s="6"/>
      <x:c r="U20" s="6"/>
      <x:c r="V20" s="6"/>
      <x:c r="W20" s="6"/>
      <x:c r="X20" s="6"/>
      <x:c r="Y20" s="6"/>
      <x:c r="Z20" s="5" t="s">
        <x:v>4213</x:v>
      </x:c>
      <x:c r="AA20" s="6"/>
      <x:c r="AB20" s="6"/>
      <x:c r="AC20" s="6"/>
      <x:c r="AD20" s="6"/>
    </x:row>
    <x:row r="21" s="1" customFormat="1" ht="15" hidden="0" customHeight="1">
      <x:c r="A21" s="6"/>
      <x:c r="B21" s="6"/>
      <x:c r="C21" s="6"/>
      <x:c r="D21" s="6"/>
      <x:c r="E21" s="6"/>
      <x:c r="F21" s="6"/>
      <x:c r="G21" s="6"/>
      <x:c r="H21" s="6"/>
      <x:c r="I21" s="6"/>
      <x:c r="J21" s="6"/>
      <x:c r="K21" s="6"/>
      <x:c r="L21" s="6"/>
      <x:c r="M21" s="6"/>
      <x:c r="N21" s="6"/>
      <x:c r="O21" s="6"/>
      <x:c r="P21" s="6"/>
      <x:c r="Q21" s="6"/>
      <x:c r="R21" s="6"/>
      <x:c r="S21" s="6"/>
      <x:c r="T21" s="6"/>
      <x:c r="U21" s="6"/>
      <x:c r="V21" s="6"/>
      <x:c r="W21" s="6"/>
      <x:c r="X21" s="6"/>
      <x:c r="Y21" s="6"/>
      <x:c r="Z21" s="8" t="s">
        <x:v>4213</x:v>
      </x:c>
      <x:c r="AA21" s="6"/>
      <x:c r="AB21" s="6"/>
      <x:c r="AC21" s="6"/>
      <x:c r="AD21" s="6"/>
    </x:row>
    <x:row r="22" s="1" customFormat="1" ht="15" hidden="0" customHeight="1">
      <x:c r="A22" s="6"/>
      <x:c r="B22" s="6"/>
      <x:c r="C22" s="6"/>
      <x:c r="D22" s="6"/>
      <x:c r="E22" s="6"/>
      <x:c r="F22" s="6"/>
      <x:c r="G22" s="6"/>
      <x:c r="H22" s="6"/>
      <x:c r="I22" s="6"/>
      <x:c r="J22" s="6"/>
      <x:c r="K22" s="6"/>
      <x:c r="L22" s="6"/>
      <x:c r="M22" s="6"/>
      <x:c r="N22" s="6"/>
      <x:c r="O22" s="6"/>
      <x:c r="P22" s="6"/>
      <x:c r="Q22" s="6"/>
      <x:c r="R22" s="6"/>
      <x:c r="S22" s="6"/>
      <x:c r="T22" s="6"/>
      <x:c r="U22" s="6"/>
      <x:c r="V22" s="6"/>
      <x:c r="W22" s="6"/>
      <x:c r="X22" s="6"/>
      <x:c r="Y22" s="6"/>
      <x:c r="Z22" s="5" t="s">
        <x:v>4213</x:v>
      </x:c>
      <x:c r="AA22" s="6"/>
      <x:c r="AB22" s="6"/>
      <x:c r="AC22" s="6"/>
      <x:c r="AD22" s="6"/>
    </x:row>
    <x:row r="23" s="1" customFormat="1" ht="15" hidden="0" customHeight="1">
      <x:c r="A23" s="6"/>
      <x:c r="B23" s="6"/>
      <x:c r="C23" s="6"/>
      <x:c r="D23" s="6"/>
      <x:c r="E23" s="6"/>
      <x:c r="F23" s="6"/>
      <x:c r="G23" s="6"/>
      <x:c r="H23" s="6"/>
      <x:c r="I23" s="6"/>
      <x:c r="J23" s="6"/>
      <x:c r="K23" s="6"/>
      <x:c r="L23" s="6"/>
      <x:c r="M23" s="6"/>
      <x:c r="N23" s="6"/>
      <x:c r="O23" s="6"/>
      <x:c r="P23" s="6"/>
      <x:c r="Q23" s="6"/>
      <x:c r="R23" s="6"/>
      <x:c r="S23" s="6"/>
      <x:c r="T23" s="6"/>
      <x:c r="U23" s="6"/>
      <x:c r="V23" s="6"/>
      <x:c r="W23" s="6"/>
      <x:c r="X23" s="6"/>
      <x:c r="Y23" s="6"/>
      <x:c r="Z23" s="8" t="s">
        <x:v>4213</x:v>
      </x:c>
      <x:c r="AA23" s="6"/>
      <x:c r="AB23" s="6"/>
      <x:c r="AC23" s="6"/>
      <x:c r="AD23" s="6"/>
    </x:row>
    <x:row r="24" s="1" customFormat="1" ht="15" hidden="0" customHeight="1">
      <x:c r="A24" s="6"/>
      <x:c r="B24" s="6"/>
      <x:c r="C24" s="6"/>
      <x:c r="D24" s="6"/>
      <x:c r="E24" s="6"/>
      <x:c r="F24" s="6"/>
      <x:c r="G24" s="6"/>
      <x:c r="H24" s="6"/>
      <x:c r="I24" s="6"/>
      <x:c r="J24" s="6"/>
      <x:c r="K24" s="6"/>
      <x:c r="L24" s="6"/>
      <x:c r="M24" s="6"/>
      <x:c r="N24" s="6"/>
      <x:c r="O24" s="6"/>
      <x:c r="P24" s="6"/>
      <x:c r="Q24" s="6"/>
      <x:c r="R24" s="6"/>
      <x:c r="S24" s="6"/>
      <x:c r="T24" s="6"/>
      <x:c r="U24" s="6"/>
      <x:c r="V24" s="6"/>
      <x:c r="W24" s="6"/>
      <x:c r="X24" s="6"/>
      <x:c r="Y24" s="6"/>
      <x:c r="Z24" s="5" t="s">
        <x:v>4213</x:v>
      </x:c>
      <x:c r="AA24" s="6"/>
      <x:c r="AB24" s="6"/>
      <x:c r="AC24" s="6"/>
      <x:c r="AD24" s="6"/>
    </x:row>
    <x:row r="25" s="1" customFormat="1" ht="15" hidden="0" customHeight="1">
      <x:c r="A25" s="6"/>
      <x:c r="B25" s="6"/>
      <x:c r="C25" s="6"/>
      <x:c r="D25" s="6"/>
      <x:c r="E25" s="6"/>
      <x:c r="F25" s="6"/>
      <x:c r="G25" s="6"/>
      <x:c r="H25" s="6"/>
      <x:c r="I25" s="6"/>
      <x:c r="J25" s="6"/>
      <x:c r="K25" s="6"/>
      <x:c r="L25" s="6"/>
      <x:c r="M25" s="6"/>
      <x:c r="N25" s="6"/>
      <x:c r="O25" s="6"/>
      <x:c r="P25" s="6"/>
      <x:c r="Q25" s="6"/>
      <x:c r="R25" s="6"/>
      <x:c r="S25" s="6"/>
      <x:c r="T25" s="6"/>
      <x:c r="U25" s="6"/>
      <x:c r="V25" s="6"/>
      <x:c r="W25" s="6"/>
      <x:c r="X25" s="6"/>
      <x:c r="Y25" s="6"/>
      <x:c r="Z25" s="8" t="s">
        <x:v>4213</x:v>
      </x:c>
      <x:c r="AA25" s="6"/>
      <x:c r="AB25" s="6"/>
      <x:c r="AC25" s="6"/>
      <x:c r="AD25" s="6"/>
    </x:row>
    <x:row r="26" s="1" customFormat="1" ht="15" hidden="0" customHeight="1">
      <x:c r="A26" s="6"/>
      <x:c r="B26" s="6"/>
      <x:c r="C26" s="6"/>
      <x:c r="D26" s="6"/>
      <x:c r="E26" s="6"/>
      <x:c r="F26" s="6"/>
      <x:c r="G26" s="6"/>
      <x:c r="H26" s="6"/>
      <x:c r="I26" s="6"/>
      <x:c r="J26" s="6"/>
      <x:c r="K26" s="6"/>
      <x:c r="L26" s="6"/>
      <x:c r="M26" s="6"/>
      <x:c r="N26" s="6"/>
      <x:c r="O26" s="6"/>
      <x:c r="P26" s="6"/>
      <x:c r="Q26" s="6"/>
      <x:c r="R26" s="6"/>
      <x:c r="S26" s="6"/>
      <x:c r="T26" s="6"/>
      <x:c r="U26" s="6"/>
      <x:c r="V26" s="6"/>
      <x:c r="W26" s="6"/>
      <x:c r="X26" s="6"/>
      <x:c r="Y26" s="6"/>
      <x:c r="Z26" s="5" t="s">
        <x:v>4213</x:v>
      </x:c>
      <x:c r="AA26" s="6"/>
      <x:c r="AB26" s="6"/>
      <x:c r="AC26" s="6"/>
      <x:c r="AD26" s="6"/>
    </x:row>
    <x:row r="27" s="1" customFormat="1" ht="15" hidden="0" customHeight="1">
      <x:c r="A27" s="6"/>
      <x:c r="B27" s="6"/>
      <x:c r="C27" s="6"/>
      <x:c r="D27" s="6"/>
      <x:c r="E27" s="6"/>
      <x:c r="F27" s="6"/>
      <x:c r="G27" s="6"/>
      <x:c r="H27" s="6"/>
      <x:c r="I27" s="6"/>
      <x:c r="J27" s="6"/>
      <x:c r="K27" s="6"/>
      <x:c r="L27" s="6"/>
      <x:c r="M27" s="6"/>
      <x:c r="N27" s="6"/>
      <x:c r="O27" s="6"/>
      <x:c r="P27" s="6"/>
      <x:c r="Q27" s="6"/>
      <x:c r="R27" s="6"/>
      <x:c r="S27" s="6"/>
      <x:c r="T27" s="6"/>
      <x:c r="U27" s="6"/>
      <x:c r="V27" s="6"/>
      <x:c r="W27" s="6"/>
      <x:c r="X27" s="6"/>
      <x:c r="Y27" s="6"/>
      <x:c r="Z27" s="8" t="s">
        <x:v>4213</x:v>
      </x:c>
      <x:c r="AA27" s="6"/>
      <x:c r="AB27" s="6"/>
      <x:c r="AC27" s="6"/>
      <x:c r="AD27" s="6"/>
    </x:row>
    <x:row r="28" s="1" customFormat="1" ht="15" hidden="0" customHeight="1">
      <x:c r="A28" s="6"/>
      <x:c r="B28" s="6"/>
      <x:c r="C28" s="6"/>
      <x:c r="D28" s="6"/>
      <x:c r="E28" s="6"/>
      <x:c r="F28" s="6"/>
      <x:c r="G28" s="6"/>
      <x:c r="H28" s="6"/>
      <x:c r="I28" s="6"/>
      <x:c r="J28" s="6"/>
      <x:c r="K28" s="6"/>
      <x:c r="L28" s="6"/>
      <x:c r="M28" s="6"/>
      <x:c r="N28" s="6"/>
      <x:c r="O28" s="6"/>
      <x:c r="P28" s="6"/>
      <x:c r="Q28" s="6"/>
      <x:c r="R28" s="6"/>
      <x:c r="S28" s="6"/>
      <x:c r="T28" s="6"/>
      <x:c r="U28" s="6"/>
      <x:c r="V28" s="6"/>
      <x:c r="W28" s="6"/>
      <x:c r="X28" s="6"/>
      <x:c r="Y28" s="6"/>
      <x:c r="Z28" s="5" t="s">
        <x:v>4213</x:v>
      </x:c>
      <x:c r="AA28" s="6"/>
      <x:c r="AB28" s="6"/>
      <x:c r="AC28" s="6"/>
      <x:c r="AD28" s="6"/>
    </x:row>
    <x:row r="29" s="1" customFormat="1" ht="15" hidden="0" customHeight="1">
      <x:c r="A29" s="6"/>
      <x:c r="B29" s="6"/>
      <x:c r="C29" s="6"/>
      <x:c r="D29" s="6"/>
      <x:c r="E29" s="6"/>
      <x:c r="F29" s="6"/>
      <x:c r="G29" s="6"/>
      <x:c r="H29" s="6"/>
      <x:c r="I29" s="6"/>
      <x:c r="J29" s="6"/>
      <x:c r="K29" s="6"/>
      <x:c r="L29" s="6"/>
      <x:c r="M29" s="6"/>
      <x:c r="N29" s="6"/>
      <x:c r="O29" s="6"/>
      <x:c r="P29" s="6"/>
      <x:c r="Q29" s="6"/>
      <x:c r="R29" s="6"/>
      <x:c r="S29" s="6"/>
      <x:c r="T29" s="6"/>
      <x:c r="U29" s="6"/>
      <x:c r="V29" s="6"/>
      <x:c r="W29" s="6"/>
      <x:c r="X29" s="6"/>
      <x:c r="Y29" s="6"/>
      <x:c r="Z29" s="8" t="s">
        <x:v>4213</x:v>
      </x:c>
      <x:c r="AA29" s="6"/>
      <x:c r="AB29" s="6"/>
      <x:c r="AC29" s="6"/>
      <x:c r="AD29" s="6"/>
    </x:row>
    <x:row r="30" s="1" customFormat="1" ht="15" hidden="0" customHeight="1">
      <x:c r="A30" s="6"/>
      <x:c r="B30" s="6"/>
      <x:c r="C30" s="6"/>
      <x:c r="D30" s="6"/>
      <x:c r="E30" s="6"/>
      <x:c r="F30" s="6"/>
      <x:c r="G30" s="6"/>
      <x:c r="H30" s="6"/>
      <x:c r="I30" s="6"/>
      <x:c r="J30" s="6"/>
      <x:c r="K30" s="6"/>
      <x:c r="L30" s="6"/>
      <x:c r="M30" s="6"/>
      <x:c r="N30" s="6"/>
      <x:c r="O30" s="6"/>
      <x:c r="P30" s="6"/>
      <x:c r="Q30" s="6"/>
      <x:c r="R30" s="6"/>
      <x:c r="S30" s="6"/>
      <x:c r="T30" s="6"/>
      <x:c r="U30" s="6"/>
      <x:c r="V30" s="6"/>
      <x:c r="W30" s="6"/>
      <x:c r="X30" s="6"/>
      <x:c r="Y30" s="6"/>
      <x:c r="Z30" s="5" t="s">
        <x:v>4213</x:v>
      </x:c>
      <x:c r="AA30" s="6"/>
      <x:c r="AB30" s="6"/>
      <x:c r="AC30" s="6"/>
      <x:c r="AD30" s="6"/>
    </x:row>
    <x:row r="31" s="1" customFormat="1" ht="15" hidden="0" customHeight="1">
      <x:c r="A31" s="6"/>
      <x:c r="B31" s="6"/>
      <x:c r="C31" s="6"/>
      <x:c r="D31" s="6"/>
      <x:c r="E31" s="6"/>
      <x:c r="F31" s="6"/>
      <x:c r="G31" s="6"/>
      <x:c r="H31" s="6"/>
      <x:c r="I31" s="6"/>
      <x:c r="J31" s="6"/>
      <x:c r="K31" s="6"/>
      <x:c r="L31" s="6"/>
      <x:c r="M31" s="6"/>
      <x:c r="N31" s="6"/>
      <x:c r="O31" s="6"/>
      <x:c r="P31" s="6"/>
      <x:c r="Q31" s="6"/>
      <x:c r="R31" s="6"/>
      <x:c r="S31" s="6"/>
      <x:c r="T31" s="6"/>
      <x:c r="U31" s="6"/>
      <x:c r="V31" s="6"/>
      <x:c r="W31" s="6"/>
      <x:c r="X31" s="6"/>
      <x:c r="Y31" s="6"/>
      <x:c r="Z31" s="8" t="s">
        <x:v>4213</x:v>
      </x:c>
      <x:c r="AA31" s="6"/>
      <x:c r="AB31" s="6"/>
      <x:c r="AC31" s="6"/>
      <x:c r="AD31" s="6"/>
    </x:row>
    <x:row r="32" s="1" customFormat="1" ht="15" hidden="0" customHeight="1">
      <x:c r="A32" s="6"/>
      <x:c r="B32" s="6"/>
      <x:c r="C32" s="6"/>
      <x:c r="D32" s="6"/>
      <x:c r="E32" s="6"/>
      <x:c r="F32" s="6"/>
      <x:c r="G32" s="6"/>
      <x:c r="H32" s="6"/>
      <x:c r="I32" s="6"/>
      <x:c r="J32" s="6"/>
      <x:c r="K32" s="6"/>
      <x:c r="L32" s="6"/>
      <x:c r="M32" s="6"/>
      <x:c r="N32" s="6"/>
      <x:c r="O32" s="6"/>
      <x:c r="P32" s="6"/>
      <x:c r="Q32" s="6"/>
      <x:c r="R32" s="6"/>
      <x:c r="S32" s="6"/>
      <x:c r="T32" s="6"/>
      <x:c r="U32" s="6"/>
      <x:c r="V32" s="6"/>
      <x:c r="W32" s="6"/>
      <x:c r="X32" s="6"/>
      <x:c r="Y32" s="6"/>
      <x:c r="Z32" s="5" t="s">
        <x:v>4213</x:v>
      </x:c>
      <x:c r="AA32" s="6"/>
      <x:c r="AB32" s="6"/>
      <x:c r="AC32" s="6"/>
      <x:c r="AD32" s="6"/>
    </x:row>
    <x:row r="33" s="1" customFormat="1" ht="15" hidden="0" customHeight="1">
      <x:c r="A33" s="6"/>
      <x:c r="B33" s="6"/>
      <x:c r="C33" s="6"/>
      <x:c r="D33" s="6"/>
      <x:c r="E33" s="6"/>
      <x:c r="F33" s="6"/>
      <x:c r="G33" s="6"/>
      <x:c r="H33" s="6"/>
      <x:c r="I33" s="6"/>
      <x:c r="J33" s="6"/>
      <x:c r="K33" s="6"/>
      <x:c r="L33" s="6"/>
      <x:c r="M33" s="6"/>
      <x:c r="N33" s="6"/>
      <x:c r="O33" s="6"/>
      <x:c r="P33" s="6"/>
      <x:c r="Q33" s="6"/>
      <x:c r="R33" s="6"/>
      <x:c r="S33" s="6"/>
      <x:c r="T33" s="6"/>
      <x:c r="U33" s="6"/>
      <x:c r="V33" s="6"/>
      <x:c r="W33" s="6"/>
      <x:c r="X33" s="6"/>
      <x:c r="Y33" s="6"/>
      <x:c r="Z33" s="8" t="s">
        <x:v>4213</x:v>
      </x:c>
      <x:c r="AA33" s="6"/>
      <x:c r="AB33" s="6"/>
      <x:c r="AC33" s="6"/>
      <x:c r="AD33" s="6"/>
    </x:row>
    <x:row r="34" s="1" customFormat="1" ht="15" hidden="0" customHeight="1">
      <x:c r="A34" s="6"/>
      <x:c r="B34" s="6"/>
      <x:c r="C34" s="6"/>
      <x:c r="D34" s="6"/>
      <x:c r="E34" s="6"/>
      <x:c r="F34" s="6"/>
      <x:c r="G34" s="6"/>
      <x:c r="H34" s="6"/>
      <x:c r="I34" s="6"/>
      <x:c r="J34" s="6"/>
      <x:c r="K34" s="6"/>
      <x:c r="L34" s="6"/>
      <x:c r="M34" s="6"/>
      <x:c r="N34" s="6"/>
      <x:c r="O34" s="6"/>
      <x:c r="P34" s="6"/>
      <x:c r="Q34" s="6"/>
      <x:c r="R34" s="6"/>
      <x:c r="S34" s="6"/>
      <x:c r="T34" s="6"/>
      <x:c r="U34" s="6"/>
      <x:c r="V34" s="6"/>
      <x:c r="W34" s="6"/>
      <x:c r="X34" s="6"/>
      <x:c r="Y34" s="6"/>
      <x:c r="Z34" s="5" t="s">
        <x:v>4213</x:v>
      </x:c>
      <x:c r="AA34" s="6"/>
      <x:c r="AB34" s="6"/>
      <x:c r="AC34" s="6"/>
      <x:c r="AD34" s="6"/>
    </x:row>
    <x:row r="35" s="1" customFormat="1" ht="15" hidden="0" customHeight="1">
      <x:c r="A35" s="6"/>
      <x:c r="B35" s="6"/>
      <x:c r="C35" s="6"/>
      <x:c r="D35" s="6"/>
      <x:c r="E35" s="6"/>
      <x:c r="F35" s="6"/>
      <x:c r="G35" s="6"/>
      <x:c r="H35" s="6"/>
      <x:c r="I35" s="6"/>
      <x:c r="J35" s="6"/>
      <x:c r="K35" s="6"/>
      <x:c r="L35" s="6"/>
      <x:c r="M35" s="6"/>
      <x:c r="N35" s="6"/>
      <x:c r="O35" s="6"/>
      <x:c r="P35" s="6"/>
      <x:c r="Q35" s="6"/>
      <x:c r="R35" s="6"/>
      <x:c r="S35" s="6"/>
      <x:c r="T35" s="6"/>
      <x:c r="U35" s="6"/>
      <x:c r="V35" s="6"/>
      <x:c r="W35" s="6"/>
      <x:c r="X35" s="6"/>
      <x:c r="Y35" s="6"/>
      <x:c r="Z35" s="8" t="s">
        <x:v>4213</x:v>
      </x:c>
      <x:c r="AA35" s="6"/>
      <x:c r="AB35" s="6"/>
      <x:c r="AC35" s="6"/>
      <x:c r="AD35" s="6"/>
    </x:row>
    <x:row r="36" s="1" customFormat="1" ht="15" hidden="0" customHeight="1">
      <x:c r="A36" s="6"/>
      <x:c r="B36" s="6"/>
      <x:c r="C36" s="6"/>
      <x:c r="D36" s="6"/>
      <x:c r="E36" s="6"/>
      <x:c r="F36" s="6"/>
      <x:c r="G36" s="6"/>
      <x:c r="H36" s="6"/>
      <x:c r="I36" s="6"/>
      <x:c r="J36" s="6"/>
      <x:c r="K36" s="6"/>
      <x:c r="L36" s="6"/>
      <x:c r="M36" s="6"/>
      <x:c r="N36" s="6"/>
      <x:c r="O36" s="6"/>
      <x:c r="P36" s="6"/>
      <x:c r="Q36" s="6"/>
      <x:c r="R36" s="6"/>
      <x:c r="S36" s="6"/>
      <x:c r="T36" s="6"/>
      <x:c r="U36" s="6"/>
      <x:c r="V36" s="6"/>
      <x:c r="W36" s="6"/>
      <x:c r="X36" s="6"/>
      <x:c r="Y36" s="6"/>
      <x:c r="Z36" s="5" t="s">
        <x:v>4213</x:v>
      </x:c>
      <x:c r="AA36" s="6"/>
      <x:c r="AB36" s="6"/>
      <x:c r="AC36" s="6"/>
      <x:c r="AD36" s="6"/>
    </x:row>
    <x:row r="37" s="1" customFormat="1" ht="15" hidden="0" customHeight="1">
      <x:c r="A37" s="6"/>
      <x:c r="B37" s="6"/>
      <x:c r="C37" s="6"/>
      <x:c r="D37" s="6"/>
      <x:c r="E37" s="6"/>
      <x:c r="F37" s="6"/>
      <x:c r="G37" s="6"/>
      <x:c r="H37" s="6"/>
      <x:c r="I37" s="6"/>
      <x:c r="J37" s="6"/>
      <x:c r="K37" s="6"/>
      <x:c r="L37" s="6"/>
      <x:c r="M37" s="6"/>
      <x:c r="N37" s="6"/>
      <x:c r="O37" s="6"/>
      <x:c r="P37" s="6"/>
      <x:c r="Q37" s="6"/>
      <x:c r="R37" s="6"/>
      <x:c r="S37" s="6"/>
      <x:c r="T37" s="6"/>
      <x:c r="U37" s="6"/>
      <x:c r="V37" s="6"/>
      <x:c r="W37" s="6"/>
      <x:c r="X37" s="6"/>
      <x:c r="Y37" s="6"/>
      <x:c r="Z37" s="8" t="s">
        <x:v>4213</x:v>
      </x:c>
      <x:c r="AA37" s="6"/>
      <x:c r="AB37" s="6"/>
      <x:c r="AC37" s="6"/>
      <x:c r="AD37" s="6"/>
    </x:row>
    <x:row r="38" s="1" customFormat="1" ht="15" hidden="0" customHeight="1">
      <x:c r="A38" s="6"/>
      <x:c r="B38" s="6"/>
      <x:c r="C38" s="6"/>
      <x:c r="D38" s="6"/>
      <x:c r="E38" s="6"/>
      <x:c r="F38" s="6"/>
      <x:c r="G38" s="6"/>
      <x:c r="H38" s="6"/>
      <x:c r="I38" s="6"/>
      <x:c r="J38" s="6"/>
      <x:c r="K38" s="6"/>
      <x:c r="L38" s="6"/>
      <x:c r="M38" s="6"/>
      <x:c r="N38" s="6"/>
      <x:c r="O38" s="6"/>
      <x:c r="P38" s="6"/>
      <x:c r="Q38" s="6"/>
      <x:c r="R38" s="6"/>
      <x:c r="S38" s="6"/>
      <x:c r="T38" s="6"/>
      <x:c r="U38" s="6"/>
      <x:c r="V38" s="6"/>
      <x:c r="W38" s="6"/>
      <x:c r="X38" s="6"/>
      <x:c r="Y38" s="6"/>
      <x:c r="Z38" s="5" t="s">
        <x:v>4213</x:v>
      </x:c>
      <x:c r="AA38" s="6"/>
      <x:c r="AB38" s="6"/>
      <x:c r="AC38" s="6"/>
      <x:c r="AD38" s="6"/>
    </x:row>
    <x:row r="39" s="1" customFormat="1" ht="15" hidden="0" customHeight="1">
      <x:c r="A39" s="6"/>
      <x:c r="B39" s="6"/>
      <x:c r="C39" s="6"/>
      <x:c r="D39" s="6"/>
      <x:c r="E39" s="6"/>
      <x:c r="F39" s="6"/>
      <x:c r="G39" s="6"/>
      <x:c r="H39" s="6"/>
      <x:c r="I39" s="6"/>
      <x:c r="J39" s="6"/>
      <x:c r="K39" s="6"/>
      <x:c r="L39" s="6"/>
      <x:c r="M39" s="6"/>
      <x:c r="N39" s="6"/>
      <x:c r="O39" s="6"/>
      <x:c r="P39" s="6"/>
      <x:c r="Q39" s="6"/>
      <x:c r="R39" s="6"/>
      <x:c r="S39" s="6"/>
      <x:c r="T39" s="6"/>
      <x:c r="U39" s="6"/>
      <x:c r="V39" s="6"/>
      <x:c r="W39" s="6"/>
      <x:c r="X39" s="6"/>
      <x:c r="Y39" s="6"/>
      <x:c r="Z39" s="8" t="s">
        <x:v>4213</x:v>
      </x:c>
      <x:c r="AA39" s="6"/>
      <x:c r="AB39" s="6"/>
      <x:c r="AC39" s="6"/>
      <x:c r="AD39" s="6"/>
    </x:row>
    <x:row r="40" s="1" customFormat="1" ht="15" hidden="0" customHeight="1">
      <x:c r="A40" s="6"/>
      <x:c r="B40" s="6"/>
      <x:c r="C40" s="6"/>
      <x:c r="D40" s="6"/>
      <x:c r="E40" s="6"/>
      <x:c r="F40" s="6"/>
      <x:c r="G40" s="6"/>
      <x:c r="H40" s="6"/>
      <x:c r="I40" s="6"/>
      <x:c r="J40" s="6"/>
      <x:c r="K40" s="6"/>
      <x:c r="L40" s="6"/>
      <x:c r="M40" s="6"/>
      <x:c r="N40" s="6"/>
      <x:c r="O40" s="6"/>
      <x:c r="P40" s="6"/>
      <x:c r="Q40" s="6"/>
      <x:c r="R40" s="6"/>
      <x:c r="S40" s="6"/>
      <x:c r="T40" s="6"/>
      <x:c r="U40" s="6"/>
      <x:c r="V40" s="6"/>
      <x:c r="W40" s="6"/>
      <x:c r="X40" s="6"/>
      <x:c r="Y40" s="6"/>
      <x:c r="Z40" s="5" t="s">
        <x:v>4213</x:v>
      </x:c>
      <x:c r="AA40" s="6"/>
      <x:c r="AB40" s="6"/>
      <x:c r="AC40" s="6"/>
      <x:c r="AD40" s="6"/>
    </x:row>
    <x:row r="41" s="1" customFormat="1" ht="15" hidden="0" customHeight="1">
      <x:c r="A41" s="6"/>
      <x:c r="B41" s="6"/>
      <x:c r="C41" s="6"/>
      <x:c r="D41" s="6"/>
      <x:c r="E41" s="6"/>
      <x:c r="F41" s="6"/>
      <x:c r="G41" s="6"/>
      <x:c r="H41" s="6"/>
      <x:c r="I41" s="6"/>
      <x:c r="J41" s="6"/>
      <x:c r="K41" s="6"/>
      <x:c r="L41" s="6"/>
      <x:c r="M41" s="6"/>
      <x:c r="N41" s="6"/>
      <x:c r="O41" s="6"/>
      <x:c r="P41" s="6"/>
      <x:c r="Q41" s="6"/>
      <x:c r="R41" s="6"/>
      <x:c r="S41" s="6"/>
      <x:c r="T41" s="6"/>
      <x:c r="U41" s="6"/>
      <x:c r="V41" s="6"/>
      <x:c r="W41" s="6"/>
      <x:c r="X41" s="6"/>
      <x:c r="Y41" s="6"/>
      <x:c r="Z41" s="8" t="s">
        <x:v>4213</x:v>
      </x:c>
      <x:c r="AA41" s="6"/>
      <x:c r="AB41" s="6"/>
      <x:c r="AC41" s="6"/>
      <x:c r="AD41" s="6"/>
    </x:row>
    <x:row r="42" s="1" customFormat="1" ht="15" hidden="0" customHeight="1">
      <x:c r="A42" s="6"/>
      <x:c r="B42" s="6"/>
      <x:c r="C42" s="6"/>
      <x:c r="D42" s="6"/>
      <x:c r="E42" s="6"/>
      <x:c r="F42" s="6"/>
      <x:c r="G42" s="6"/>
      <x:c r="H42" s="6"/>
      <x:c r="I42" s="6"/>
      <x:c r="J42" s="6"/>
      <x:c r="K42" s="6"/>
      <x:c r="L42" s="6"/>
      <x:c r="M42" s="6"/>
      <x:c r="N42" s="6"/>
      <x:c r="O42" s="6"/>
      <x:c r="P42" s="6"/>
      <x:c r="Q42" s="6"/>
      <x:c r="R42" s="6"/>
      <x:c r="S42" s="6"/>
      <x:c r="T42" s="6"/>
      <x:c r="U42" s="6"/>
      <x:c r="V42" s="6"/>
      <x:c r="W42" s="6"/>
      <x:c r="X42" s="6"/>
      <x:c r="Y42" s="6"/>
      <x:c r="Z42" s="5" t="s">
        <x:v>4213</x:v>
      </x:c>
      <x:c r="AA42" s="6"/>
      <x:c r="AB42" s="6"/>
      <x:c r="AC42" s="6"/>
      <x:c r="AD42" s="6"/>
    </x:row>
    <x:row r="43" s="1" customFormat="1" ht="15" hidden="0" customHeight="1">
      <x:c r="A43" s="6"/>
      <x:c r="B43" s="6"/>
      <x:c r="C43" s="6"/>
      <x:c r="D43" s="6"/>
      <x:c r="E43" s="6"/>
      <x:c r="F43" s="6"/>
      <x:c r="G43" s="6"/>
      <x:c r="H43" s="6"/>
      <x:c r="I43" s="6"/>
      <x:c r="J43" s="6"/>
      <x:c r="K43" s="6"/>
      <x:c r="L43" s="6"/>
      <x:c r="M43" s="6"/>
      <x:c r="N43" s="6"/>
      <x:c r="O43" s="6"/>
      <x:c r="P43" s="6"/>
      <x:c r="Q43" s="6"/>
      <x:c r="R43" s="6"/>
      <x:c r="S43" s="6"/>
      <x:c r="T43" s="6"/>
      <x:c r="U43" s="6"/>
      <x:c r="V43" s="6"/>
      <x:c r="W43" s="6"/>
      <x:c r="X43" s="6"/>
      <x:c r="Y43" s="6"/>
      <x:c r="Z43" s="8" t="s">
        <x:v>4213</x:v>
      </x:c>
      <x:c r="AA43" s="6"/>
      <x:c r="AB43" s="6"/>
      <x:c r="AC43" s="6"/>
      <x:c r="AD43" s="6"/>
    </x:row>
    <x:row r="44" s="1" customFormat="1" ht="15" hidden="0" customHeight="1">
      <x:c r="A44" s="6"/>
      <x:c r="B44" s="6"/>
      <x:c r="C44" s="6"/>
      <x:c r="D44" s="6"/>
      <x:c r="E44" s="6"/>
      <x:c r="F44" s="6"/>
      <x:c r="G44" s="6"/>
      <x:c r="H44" s="6"/>
      <x:c r="I44" s="6"/>
      <x:c r="J44" s="6"/>
      <x:c r="K44" s="6"/>
      <x:c r="L44" s="6"/>
      <x:c r="M44" s="6"/>
      <x:c r="N44" s="6"/>
      <x:c r="O44" s="6"/>
      <x:c r="P44" s="6"/>
      <x:c r="Q44" s="6"/>
      <x:c r="R44" s="6"/>
      <x:c r="S44" s="6"/>
      <x:c r="T44" s="6"/>
      <x:c r="U44" s="6"/>
      <x:c r="V44" s="6"/>
      <x:c r="W44" s="6"/>
      <x:c r="X44" s="6"/>
      <x:c r="Y44" s="6"/>
      <x:c r="Z44" s="5" t="s">
        <x:v>4213</x:v>
      </x:c>
      <x:c r="AA44" s="6"/>
      <x:c r="AB44" s="6"/>
      <x:c r="AC44" s="6"/>
      <x:c r="AD44" s="6"/>
    </x:row>
    <x:row r="45" s="1" customFormat="1" ht="15" hidden="0" customHeight="1">
      <x:c r="A45" s="6"/>
      <x:c r="B45" s="6"/>
      <x:c r="C45" s="6"/>
      <x:c r="D45" s="6"/>
      <x:c r="E45" s="6"/>
      <x:c r="F45" s="6"/>
      <x:c r="G45" s="6"/>
      <x:c r="H45" s="6"/>
      <x:c r="I45" s="6"/>
      <x:c r="J45" s="6"/>
      <x:c r="K45" s="6"/>
      <x:c r="L45" s="6"/>
      <x:c r="M45" s="6"/>
      <x:c r="N45" s="6"/>
      <x:c r="O45" s="6"/>
      <x:c r="P45" s="6"/>
      <x:c r="Q45" s="6"/>
      <x:c r="R45" s="6"/>
      <x:c r="S45" s="6"/>
      <x:c r="T45" s="6"/>
      <x:c r="U45" s="6"/>
      <x:c r="V45" s="6"/>
      <x:c r="W45" s="6"/>
      <x:c r="X45" s="6"/>
      <x:c r="Y45" s="6"/>
      <x:c r="Z45" s="8" t="s">
        <x:v>4213</x:v>
      </x:c>
      <x:c r="AA45" s="6"/>
      <x:c r="AB45" s="6"/>
      <x:c r="AC45" s="6"/>
      <x:c r="AD45" s="6"/>
    </x:row>
    <x:row r="46" s="1" customFormat="1" ht="15" hidden="0" customHeight="1">
      <x:c r="A46" s="6"/>
      <x:c r="B46" s="6"/>
      <x:c r="C46" s="6"/>
      <x:c r="D46" s="6"/>
      <x:c r="E46" s="6"/>
      <x:c r="F46" s="6"/>
      <x:c r="G46" s="6"/>
      <x:c r="H46" s="6"/>
      <x:c r="I46" s="6"/>
      <x:c r="J46" s="6"/>
      <x:c r="K46" s="6"/>
      <x:c r="L46" s="6"/>
      <x:c r="M46" s="6"/>
      <x:c r="N46" s="6"/>
      <x:c r="O46" s="6"/>
      <x:c r="P46" s="6"/>
      <x:c r="Q46" s="6"/>
      <x:c r="R46" s="6"/>
      <x:c r="S46" s="6"/>
      <x:c r="T46" s="6"/>
      <x:c r="U46" s="6"/>
      <x:c r="V46" s="6"/>
      <x:c r="W46" s="6"/>
      <x:c r="X46" s="6"/>
      <x:c r="Y46" s="6"/>
      <x:c r="Z46" s="5" t="s">
        <x:v>4213</x:v>
      </x:c>
      <x:c r="AA46" s="6"/>
      <x:c r="AB46" s="6"/>
      <x:c r="AC46" s="6"/>
      <x:c r="AD46" s="6"/>
    </x:row>
    <x:row r="47" s="1" customFormat="1" ht="15" hidden="0" customHeight="1">
      <x:c r="A47" s="6"/>
      <x:c r="B47" s="6"/>
      <x:c r="C47" s="6"/>
      <x:c r="D47" s="6"/>
      <x:c r="E47" s="6"/>
      <x:c r="F47" s="6"/>
      <x:c r="G47" s="6"/>
      <x:c r="H47" s="6"/>
      <x:c r="I47" s="6"/>
      <x:c r="J47" s="6"/>
      <x:c r="K47" s="6"/>
      <x:c r="L47" s="6"/>
      <x:c r="M47" s="6"/>
      <x:c r="N47" s="6"/>
      <x:c r="O47" s="6"/>
      <x:c r="P47" s="6"/>
      <x:c r="Q47" s="6"/>
      <x:c r="R47" s="6"/>
      <x:c r="S47" s="6"/>
      <x:c r="T47" s="6"/>
      <x:c r="U47" s="6"/>
      <x:c r="V47" s="6"/>
      <x:c r="W47" s="6"/>
      <x:c r="X47" s="6"/>
      <x:c r="Y47" s="6"/>
      <x:c r="Z47" s="8" t="s">
        <x:v>4213</x:v>
      </x:c>
      <x:c r="AA47" s="6"/>
      <x:c r="AB47" s="6"/>
      <x:c r="AC47" s="6"/>
      <x:c r="AD47" s="6"/>
    </x:row>
    <x:row r="48" s="1" customFormat="1" ht="15" hidden="0" customHeight="1">
      <x:c r="A48" s="6"/>
      <x:c r="B48" s="6"/>
      <x:c r="C48" s="6"/>
      <x:c r="D48" s="6"/>
      <x:c r="E48" s="6"/>
      <x:c r="F48" s="6"/>
      <x:c r="G48" s="6"/>
      <x:c r="H48" s="6"/>
      <x:c r="I48" s="6"/>
      <x:c r="J48" s="6"/>
      <x:c r="K48" s="6"/>
      <x:c r="L48" s="6"/>
      <x:c r="M48" s="6"/>
      <x:c r="N48" s="6"/>
      <x:c r="O48" s="6"/>
      <x:c r="P48" s="6"/>
      <x:c r="Q48" s="6"/>
      <x:c r="R48" s="6"/>
      <x:c r="S48" s="6"/>
      <x:c r="T48" s="6"/>
      <x:c r="U48" s="6"/>
      <x:c r="V48" s="6"/>
      <x:c r="W48" s="6"/>
      <x:c r="X48" s="6"/>
      <x:c r="Y48" s="6"/>
      <x:c r="Z48" s="5" t="s">
        <x:v>4213</x:v>
      </x:c>
      <x:c r="AA48" s="6"/>
      <x:c r="AB48" s="6"/>
      <x:c r="AC48" s="6"/>
      <x:c r="AD48" s="6"/>
    </x:row>
    <x:row r="49" s="1" customFormat="1" ht="15" hidden="0" customHeight="1">
      <x:c r="A49" s="6"/>
      <x:c r="B49" s="6"/>
      <x:c r="C49" s="6"/>
      <x:c r="D49" s="6"/>
      <x:c r="E49" s="6"/>
      <x:c r="F49" s="6"/>
      <x:c r="G49" s="6"/>
      <x:c r="H49" s="6"/>
      <x:c r="I49" s="6"/>
      <x:c r="J49" s="6"/>
      <x:c r="K49" s="6"/>
      <x:c r="L49" s="6"/>
      <x:c r="M49" s="6"/>
      <x:c r="N49" s="6"/>
      <x:c r="O49" s="6"/>
      <x:c r="P49" s="6"/>
      <x:c r="Q49" s="6"/>
      <x:c r="R49" s="6"/>
      <x:c r="S49" s="6"/>
      <x:c r="T49" s="6"/>
      <x:c r="U49" s="6"/>
      <x:c r="V49" s="6"/>
      <x:c r="W49" s="6"/>
      <x:c r="X49" s="6"/>
      <x:c r="Y49" s="6"/>
      <x:c r="Z49" s="8" t="s">
        <x:v>4213</x:v>
      </x:c>
      <x:c r="AA49" s="6"/>
      <x:c r="AB49" s="6"/>
      <x:c r="AC49" s="6"/>
      <x:c r="AD49" s="6"/>
    </x:row>
    <x:row r="50" s="1" customFormat="1" ht="15" hidden="0" customHeight="1">
      <x:c r="A50" s="6"/>
      <x:c r="B50" s="6"/>
      <x:c r="C50" s="6"/>
      <x:c r="D50" s="6"/>
      <x:c r="E50" s="6"/>
      <x:c r="F50" s="6"/>
      <x:c r="G50" s="6"/>
      <x:c r="H50" s="6"/>
      <x:c r="I50" s="6"/>
      <x:c r="J50" s="6"/>
      <x:c r="K50" s="6"/>
      <x:c r="L50" s="6"/>
      <x:c r="M50" s="6"/>
      <x:c r="N50" s="6"/>
      <x:c r="O50" s="6"/>
      <x:c r="P50" s="6"/>
      <x:c r="Q50" s="6"/>
      <x:c r="R50" s="6"/>
      <x:c r="S50" s="6"/>
      <x:c r="T50" s="6"/>
      <x:c r="U50" s="6"/>
      <x:c r="V50" s="6"/>
      <x:c r="W50" s="6"/>
      <x:c r="X50" s="6"/>
      <x:c r="Y50" s="6"/>
      <x:c r="Z50" s="5" t="s">
        <x:v>4213</x:v>
      </x:c>
      <x:c r="AA50" s="6"/>
      <x:c r="AB50" s="6"/>
      <x:c r="AC50" s="6"/>
      <x:c r="AD50" s="6"/>
    </x:row>
    <x:row r="51" s="1" customFormat="1" ht="15" hidden="0" customHeight="1">
      <x:c r="A51" s="6"/>
      <x:c r="B51" s="6"/>
      <x:c r="C51" s="6"/>
      <x:c r="D51" s="6"/>
      <x:c r="E51" s="6"/>
      <x:c r="F51" s="6"/>
      <x:c r="G51" s="6"/>
      <x:c r="H51" s="6"/>
      <x:c r="I51" s="6"/>
      <x:c r="J51" s="6"/>
      <x:c r="K51" s="6"/>
      <x:c r="L51" s="6"/>
      <x:c r="M51" s="6"/>
      <x:c r="N51" s="6"/>
      <x:c r="O51" s="6"/>
      <x:c r="P51" s="6"/>
      <x:c r="Q51" s="6"/>
      <x:c r="R51" s="6"/>
      <x:c r="S51" s="6"/>
      <x:c r="T51" s="6"/>
      <x:c r="U51" s="6"/>
      <x:c r="V51" s="6"/>
      <x:c r="W51" s="6"/>
      <x:c r="X51" s="6"/>
      <x:c r="Y51" s="6"/>
      <x:c r="Z51" s="8" t="s">
        <x:v>4213</x:v>
      </x:c>
      <x:c r="AA51" s="6"/>
      <x:c r="AB51" s="6"/>
      <x:c r="AC51" s="6"/>
      <x:c r="AD51" s="6"/>
    </x:row>
    <x:row r="52" s="1" customFormat="1" ht="15" hidden="0" customHeight="1">
      <x:c r="A52" s="6"/>
      <x:c r="B52" s="6"/>
      <x:c r="C52" s="6"/>
      <x:c r="D52" s="6"/>
      <x:c r="E52" s="6"/>
      <x:c r="F52" s="6"/>
      <x:c r="G52" s="6"/>
      <x:c r="H52" s="6"/>
      <x:c r="I52" s="6"/>
      <x:c r="J52" s="6"/>
      <x:c r="K52" s="6"/>
      <x:c r="L52" s="6"/>
      <x:c r="M52" s="6"/>
      <x:c r="N52" s="6"/>
      <x:c r="O52" s="6"/>
      <x:c r="P52" s="6"/>
      <x:c r="Q52" s="6"/>
      <x:c r="R52" s="6"/>
      <x:c r="S52" s="6"/>
      <x:c r="T52" s="6"/>
      <x:c r="U52" s="6"/>
      <x:c r="V52" s="6"/>
      <x:c r="W52" s="6"/>
      <x:c r="X52" s="6"/>
      <x:c r="Y52" s="6"/>
      <x:c r="Z52" s="5" t="s">
        <x:v>4213</x:v>
      </x:c>
      <x:c r="AA52" s="6"/>
      <x:c r="AB52" s="6"/>
      <x:c r="AC52" s="6"/>
      <x:c r="AD52" s="6"/>
    </x:row>
    <x:row r="53" s="1" customFormat="1" ht="15" hidden="0" customHeight="1">
      <x:c r="A53" s="7" t="s">
        <x:v>4218</x:v>
      </x:c>
      <x:c r="B53" s="7"/>
      <x:c r="C53" s="7"/>
      <x:c r="D53" s="7"/>
      <x:c r="E53" s="7"/>
      <x:c r="F53" s="7"/>
      <x:c r="G53" s="7"/>
      <x:c r="H53" s="7"/>
      <x:c r="I53" s="7"/>
      <x:c r="J53" s="7"/>
      <x:c r="K53" s="7"/>
      <x:c r="L53" s="7"/>
      <x:c r="M53" s="7"/>
      <x:c r="N53" s="7"/>
      <x:c r="O53" s="7"/>
      <x:c r="P53" s="7"/>
      <x:c r="Q53" s="7"/>
      <x:c r="R53" s="7"/>
      <x:c r="S53" s="7"/>
      <x:c r="T53" s="7"/>
      <x:c r="U53" s="7"/>
      <x:c r="V53" s="7"/>
      <x:c r="W53" s="7"/>
      <x:c r="X53" s="7"/>
      <x:c r="Y53" s="7"/>
      <x:c r="Z53" s="7"/>
      <x:c r="AA53" s="6"/>
      <x:c r="AB53" s="6"/>
      <x:c r="AC53" s="6"/>
      <x:c r="AD53" s="6"/>
    </x:row>
    <x:row r="54" s="1" customFormat="1" ht="15" hidden="0" customHeight="1">
      <x:c r="A54" s="7" t="s">
        <x:v>4219</x:v>
      </x:c>
      <x:c r="B54" s="7"/>
      <x:c r="C54" s="7"/>
      <x:c r="D54" s="7"/>
      <x:c r="E54" s="7"/>
      <x:c r="F54" s="7"/>
      <x:c r="G54" s="7"/>
      <x:c r="H54" s="7"/>
      <x:c r="I54" s="7"/>
      <x:c r="J54" s="7"/>
      <x:c r="K54" s="7"/>
      <x:c r="L54" s="7"/>
      <x:c r="M54" s="7"/>
      <x:c r="N54" s="7"/>
      <x:c r="O54" s="7"/>
      <x:c r="P54" s="7"/>
      <x:c r="Q54" s="7"/>
      <x:c r="R54" s="7"/>
      <x:c r="S54" s="7"/>
      <x:c r="T54" s="7"/>
      <x:c r="U54" s="7"/>
      <x:c r="V54" s="7"/>
      <x:c r="W54" s="7"/>
      <x:c r="X54" s="7"/>
      <x:c r="Y54" s="7"/>
      <x:c r="Z54" s="7"/>
      <x:c r="AA54" s="6"/>
      <x:c r="AB54" s="6"/>
      <x:c r="AC54" s="6"/>
      <x:c r="AD54" s="6"/>
    </x:row>
    <x:row r="55" s="1" customFormat="1" ht="15" hidden="0" customHeight="1">
      <x:c r="A55" s="7" t="s">
        <x:v>4220</x:v>
      </x:c>
      <x:c r="B55" s="7"/>
      <x:c r="C55" s="7"/>
      <x:c r="D55" s="7"/>
      <x:c r="E55" s="7"/>
      <x:c r="F55" s="7"/>
      <x:c r="G55" s="7"/>
      <x:c r="H55" s="7"/>
      <x:c r="I55" s="7"/>
      <x:c r="J55" s="7"/>
      <x:c r="K55" s="7"/>
      <x:c r="L55" s="7"/>
      <x:c r="M55" s="7"/>
      <x:c r="N55" s="7"/>
      <x:c r="O55" s="7"/>
      <x:c r="P55" s="7"/>
      <x:c r="Q55" s="7"/>
      <x:c r="R55" s="7"/>
      <x:c r="S55" s="7"/>
      <x:c r="T55" s="7"/>
      <x:c r="U55" s="7"/>
      <x:c r="V55" s="7"/>
      <x:c r="W55" s="7"/>
      <x:c r="X55" s="7"/>
      <x:c r="Y55" s="7"/>
      <x:c r="Z55" s="7"/>
      <x:c r="AA55" s="6"/>
      <x:c r="AB55" s="6"/>
      <x:c r="AC55" s="6"/>
      <x:c r="AD55" s="6"/>
    </x:row>
  </x:sheetData>
  <x:mergeCells>
    <x:mergeCell ref="A53:Z53"/>
    <x:mergeCell ref="A54:Z54"/>
    <x:mergeCell ref="A55:Z55"/>
  </x:mergeCells>
  <x:conditionalFormatting sqref="Z2:Z200">
    <x:cfRule type="expression" dxfId="11" priority="2" aboveAverage="0" percent="0" bottom="0" rank="0" equalAverage="0">
      <x:formula>$Z2="INCOMPLETE"</x:formula>
    </x:cfRule>
    <x:cfRule type="expression" dxfId="12" priority="3" aboveAverage="0" percent="0" bottom="0" rank="0" equalAverage="0">
      <x:formula>$Z2="COMPLETE"</x:formula>
    </x:cfRule>
  </x:conditionalFormatting>
  <x:dataValidations count="3">
    <x:dataValidation type="list" errorStyle="stop" operator="between" allowBlank="0" showDropDown="0" showInputMessage="0" showErrorMessage="0" sqref="Q2:Q200">
      <x:formula1>ReferenceStructureRecord!$AB$1:$AB$8</x:formula1>
      <x:formula2>0</x:formula2>
    </x:dataValidation>
    <x:dataValidation type="list" errorStyle="stop" operator="between" allowBlank="0" showDropDown="0" showInputMessage="0" showErrorMessage="0" sqref="X2:X200">
      <x:formula1>ReferenceStructureRecord!$AC$1:$AC$4</x:formula1>
      <x:formula2>0</x:formula2>
    </x:dataValidation>
    <x:dataValidation type="list" errorStyle="stop" operator="between" allowBlank="0" showDropDown="0" showInputMessage="0" showErrorMessage="0" sqref="R2:R200">
      <x:formula1>ReferenceStructureRecord!$AD$1:$AD$7</x:formula1>
      <x:formula2>0</x:formula2>
    </x:dataValidation>
  </x:dataValidations>
  <x:pageMargins left="0.7" right="0.7" top="0.75" bottom="0.75" header="0.3" footer="0.3"/>
  <x:tableParts count="1">
    <x:tablePart xmlns:r="http://schemas.openxmlformats.org/officeDocument/2006/relationships" r:id="R065882c227394e14"/>
  </x:tableParts>
</x:worksheet>
</file>

<file path=xl/worksheets/sheet64.xml><?xml version="1.0" encoding="utf-8"?>
<x:worksheet xmlns:x="http://schemas.openxmlformats.org/spreadsheetml/2006/main">
  <x:sheetViews>
    <x:sheetView showGridLines="1" workbookViewId="0"/>
  </x:sheetViews>
  <x:sheetFormatPr defaultColWidth="8.6796875" defaultRowHeight="15"/>
  <x:cols>
    <x:col min="1" max="4" width="36" style="1" hidden="0" customWidth="1"/>
  </x:cols>
  <x:sheetData>
    <x:row r="1" s="1" customFormat="1" ht="23.25" hidden="0" customHeight="1">
      <x:c r="A1" s="2" t="s">
        <x:v>4221</x:v>
      </x:c>
      <x:c r="B1" s="3"/>
      <x:c r="C1" s="3"/>
      <x:c r="D1" s="3"/>
    </x:row>
    <x:row r="2" s="1" customFormat="1" ht="15" hidden="0" customHeight="1">
      <x:c r="A2" s="7" t="s">
        <x:v>4222</x:v>
      </x:c>
      <x:c r="B2" s="5" t="s">
        <x:v>4223</x:v>
      </x:c>
      <x:c r="C2" s="5" t="s">
        <x:v>4224</x:v>
      </x:c>
      <x:c r="D2" s="5" t="s">
        <x:v>88</x:v>
      </x:c>
    </x:row>
    <x:row r="3" s="1" customFormat="1" ht="23.25" hidden="0" customHeight="1">
      <x:c r="A3" s="7" t="s">
        <x:v>4225</x:v>
      </x:c>
      <x:c r="B3" s="8" t="s">
        <x:v>4226</x:v>
      </x:c>
      <x:c r="C3" s="8" t="s">
        <x:v>4227</x:v>
      </x:c>
      <x:c r="D3" s="8" t="s">
        <x:v>4228</x:v>
      </x:c>
    </x:row>
    <x:row r="4" s="1" customFormat="1" ht="15" hidden="0" customHeight="1">
      <x:c r="A4" s="7" t="s">
        <x:v>4229</x:v>
      </x:c>
      <x:c r="B4" s="5" t="s">
        <x:v>4230</x:v>
      </x:c>
      <x:c r="C4" s="5" t="s">
        <x:v>4231</x:v>
      </x:c>
      <x:c r="D4" s="5" t="s">
        <x:v>4232</x:v>
      </x:c>
    </x:row>
    <x:row r="5" s="1" customFormat="1" ht="15" hidden="0" customHeight="1">
      <x:c r="A5" s="7" t="s">
        <x:v>4233</x:v>
      </x:c>
      <x:c r="B5" s="8" t="s">
        <x:v>4234</x:v>
      </x:c>
      <x:c r="C5" s="8" t="s">
        <x:v>4235</x:v>
      </x:c>
      <x:c r="D5" s="8" t="s">
        <x:v>4236</x:v>
      </x:c>
    </x:row>
    <x:row r="6" s="1" customFormat="1" ht="15" hidden="0" customHeight="1">
      <x:c r="A6" s="7" t="s">
        <x:v>4237</x:v>
      </x:c>
      <x:c r="B6" s="5" t="s">
        <x:v>4238</x:v>
      </x:c>
      <x:c r="C6" s="5" t="s">
        <x:v>4239</x:v>
      </x:c>
      <x:c r="D6" s="5" t="s">
        <x:v>4240</x:v>
      </x:c>
    </x:row>
    <x:row r="7" s="1" customFormat="1" ht="23.25" hidden="0" customHeight="1">
      <x:c r="A7" s="7" t="s">
        <x:v>4241</x:v>
      </x:c>
      <x:c r="B7" s="8" t="s">
        <x:v>4242</x:v>
      </x:c>
      <x:c r="C7" s="8" t="s">
        <x:v>4243</x:v>
      </x:c>
      <x:c r="D7" s="8" t="s">
        <x:v>4244</x:v>
      </x:c>
    </x:row>
    <x:row r="8" s="1" customFormat="1" ht="15" hidden="0" customHeight="1">
      <x:c r="A8" s="6"/>
      <x:c r="B8" s="6"/>
      <x:c r="C8" s="6"/>
      <x:c r="D8" s="6"/>
    </x:row>
    <x:row r="9" s="1" customFormat="1" ht="15" hidden="0" customHeight="1">
      <x:c r="A9" s="7" t="s">
        <x:v>4245</x:v>
      </x:c>
      <x:c r="B9" s="8" t="s">
        <x:v>4246</x:v>
      </x:c>
      <x:c r="C9" s="6"/>
      <x:c r="D9" s="6"/>
    </x:row>
    <x:row r="10" s="1" customFormat="1" ht="15" hidden="0" customHeight="1">
      <x:c r="A10" s="7" t="s">
        <x:v>4247</x:v>
      </x:c>
      <x:c r="B10" s="5" t="s">
        <x:v>4248</x:v>
      </x:c>
      <x:c r="C10" s="6"/>
      <x:c r="D10" s="6"/>
    </x:row>
    <x:row r="11" s="1" customFormat="1" ht="15" hidden="0" customHeight="1">
      <x:c r="A11" s="7" t="s">
        <x:v>4249</x:v>
      </x:c>
      <x:c r="B11" s="8" t="s">
        <x:v>4250</x:v>
      </x:c>
      <x:c r="C11" s="6"/>
      <x:c r="D11" s="6"/>
    </x:row>
    <x:row r="12" s="1" customFormat="1" ht="23.25" hidden="0" customHeight="1">
      <x:c r="A12" s="7" t="s">
        <x:v>4251</x:v>
      </x:c>
      <x:c r="B12" s="5" t="s">
        <x:v>4252</x:v>
      </x:c>
      <x:c r="C12" s="6"/>
      <x:c r="D12" s="6"/>
    </x:row>
    <x:row r="13" s="1" customFormat="1" ht="15" hidden="0" customHeight="1">
      <x:c r="A13" s="7" t="s">
        <x:v>3955</x:v>
      </x:c>
      <x:c r="B13" s="8" t="s">
        <x:v>4253</x:v>
      </x:c>
      <x:c r="C13" s="6"/>
      <x:c r="D13" s="6"/>
    </x:row>
    <x:row r="14" s="1" customFormat="1" ht="15" hidden="0" customHeight="1">
      <x:c r="A14" s="7" t="s">
        <x:v>4254</x:v>
      </x:c>
      <x:c r="B14" s="5" t="s">
        <x:v>4255</x:v>
      </x:c>
      <x:c r="C14" s="6"/>
      <x:c r="D14" s="6"/>
    </x:row>
    <x:row r="15" s="1" customFormat="1" ht="15" hidden="0" customHeight="1">
      <x:c r="A15" s="7" t="s">
        <x:v>4256</x:v>
      </x:c>
      <x:c r="B15" s="8" t="s">
        <x:v>4257</x:v>
      </x:c>
      <x:c r="C15" s="6"/>
      <x:c r="D15" s="6"/>
    </x:row>
    <x:row r="16" s="1" customFormat="1" ht="15" hidden="0" customHeight="1">
      <x:c r="A16" s="7" t="s">
        <x:v>4258</x:v>
      </x:c>
      <x:c r="B16" s="5" t="s">
        <x:v>4259</x:v>
      </x:c>
      <x:c r="C16" s="6"/>
      <x:c r="D16" s="6"/>
    </x:row>
    <x:row r="17" s="1" customFormat="1" ht="15" hidden="0" customHeight="1">
      <x:c r="A17" s="7" t="s">
        <x:v>4260</x:v>
      </x:c>
      <x:c r="B17" s="8" t="s">
        <x:v>4261</x:v>
      </x:c>
      <x:c r="C17" s="6"/>
      <x:c r="D17" s="6"/>
    </x:row>
    <x:row r="18" s="1" customFormat="1" ht="15" hidden="0" customHeight="1">
      <x:c r="A18" s="6"/>
      <x:c r="B18" s="6"/>
      <x:c r="C18" s="6"/>
      <x:c r="D18" s="6"/>
    </x:row>
    <x:row r="19" s="1" customFormat="1" ht="15" hidden="0" customHeight="1">
      <x:c r="A19" s="6"/>
      <x:c r="B19" s="6"/>
      <x:c r="C19" s="6"/>
      <x:c r="D19" s="6"/>
    </x:row>
    <x:row r="20" s="1" customFormat="1" ht="15" hidden="0" customHeight="1">
      <x:c r="A20" s="6"/>
      <x:c r="B20" s="6"/>
      <x:c r="C20" s="6"/>
      <x:c r="D20" s="6"/>
    </x:row>
  </x:sheetData>
  <x:pageMargins left="0.7" right="0.7" top="0.75" bottom="0.75" header="0.3" footer="0.3"/>
</x:worksheet>
</file>

<file path=xl/worksheets/sheet65.xml><?xml version="1.0" encoding="utf-8"?>
<x:worksheet xmlns:x="http://schemas.openxmlformats.org/spreadsheetml/2006/main">
  <x:sheetViews>
    <x:sheetView showGridLines="1" workbookViewId="0"/>
  </x:sheetViews>
  <x:sheetFormatPr defaultColWidth="8.6796875" defaultRowHeight="15"/>
  <x:cols>
    <x:col min="1" max="4" width="36" style="1" hidden="0" customWidth="1"/>
  </x:cols>
  <x:sheetData>
    <x:row r="1" s="1" customFormat="1" ht="23.25" hidden="0" customHeight="1">
      <x:c r="A1" s="2" t="s">
        <x:v>4262</x:v>
      </x:c>
      <x:c r="B1" s="3"/>
      <x:c r="C1" s="3"/>
      <x:c r="D1" s="3"/>
    </x:row>
    <x:row r="2" s="1" customFormat="1" ht="15" hidden="0" customHeight="1">
      <x:c r="A2" s="7" t="s">
        <x:v>4263</x:v>
      </x:c>
      <x:c r="B2" s="5" t="s">
        <x:v>4264</x:v>
      </x:c>
      <x:c r="C2" s="5" t="s">
        <x:v>4265</x:v>
      </x:c>
      <x:c r="D2" s="5" t="s">
        <x:v>1610</x:v>
      </x:c>
    </x:row>
    <x:row r="3" s="1" customFormat="1" ht="15" hidden="0" customHeight="1">
      <x:c r="A3" s="7" t="s">
        <x:v>488</x:v>
      </x:c>
      <x:c r="B3" s="8" t="s">
        <x:v>4266</x:v>
      </x:c>
      <x:c r="C3" s="8" t="s">
        <x:v>4267</x:v>
      </x:c>
      <x:c r="D3" s="8" t="s">
        <x:v>4268</x:v>
      </x:c>
    </x:row>
    <x:row r="4" s="1" customFormat="1" ht="23.25" hidden="0" customHeight="1">
      <x:c r="A4" s="7" t="s">
        <x:v>3049</x:v>
      </x:c>
      <x:c r="B4" s="5" t="s">
        <x:v>4269</x:v>
      </x:c>
      <x:c r="C4" s="5" t="s">
        <x:v>4270</x:v>
      </x:c>
      <x:c r="D4" s="5" t="s">
        <x:v>4271</x:v>
      </x:c>
    </x:row>
    <x:row r="5" s="1" customFormat="1" ht="15" hidden="0" customHeight="1">
      <x:c r="A5" s="7" t="s">
        <x:v>497</x:v>
      </x:c>
      <x:c r="B5" s="8" t="s">
        <x:v>4272</x:v>
      </x:c>
      <x:c r="C5" s="8" t="s">
        <x:v>4273</x:v>
      </x:c>
      <x:c r="D5" s="8" t="s">
        <x:v>4274</x:v>
      </x:c>
    </x:row>
    <x:row r="6" s="1" customFormat="1" ht="15" hidden="0" customHeight="1">
      <x:c r="A6" s="7" t="s">
        <x:v>725</x:v>
      </x:c>
      <x:c r="B6" s="5" t="s">
        <x:v>4275</x:v>
      </x:c>
      <x:c r="C6" s="5" t="s">
        <x:v>4276</x:v>
      </x:c>
      <x:c r="D6" s="5" t="s">
        <x:v>4277</x:v>
      </x:c>
    </x:row>
    <x:row r="7" s="1" customFormat="1" ht="23.25" hidden="0" customHeight="1">
      <x:c r="A7" s="7" t="s">
        <x:v>4278</x:v>
      </x:c>
      <x:c r="B7" s="8" t="s">
        <x:v>4279</x:v>
      </x:c>
      <x:c r="C7" s="8" t="s">
        <x:v>4280</x:v>
      </x:c>
      <x:c r="D7" s="8" t="s">
        <x:v>4281</x:v>
      </x:c>
    </x:row>
    <x:row r="8" s="1" customFormat="1" ht="15" hidden="0" customHeight="1">
      <x:c r="A8" s="7" t="s">
        <x:v>4282</x:v>
      </x:c>
      <x:c r="B8" s="5" t="s">
        <x:v>4283</x:v>
      </x:c>
      <x:c r="C8" s="5" t="s">
        <x:v>4284</x:v>
      </x:c>
      <x:c r="D8" s="5" t="s">
        <x:v>4285</x:v>
      </x:c>
    </x:row>
    <x:row r="9" s="1" customFormat="1" ht="23.25" hidden="0" customHeight="1">
      <x:c r="A9" s="7" t="s">
        <x:v>4286</x:v>
      </x:c>
      <x:c r="B9" s="8" t="s">
        <x:v>4287</x:v>
      </x:c>
      <x:c r="C9" s="8" t="s">
        <x:v>4288</x:v>
      </x:c>
      <x:c r="D9" s="8" t="s">
        <x:v>4289</x:v>
      </x:c>
    </x:row>
    <x:row r="10" s="1" customFormat="1" ht="15" hidden="0" customHeight="1">
      <x:c r="A10" s="6"/>
      <x:c r="B10" s="6"/>
      <x:c r="C10" s="6"/>
      <x:c r="D10" s="6"/>
    </x:row>
    <x:row r="11" s="1" customFormat="1" ht="15" hidden="0" customHeight="1">
      <x:c r="A11" s="6"/>
      <x:c r="B11" s="6"/>
      <x:c r="C11" s="6"/>
      <x:c r="D11" s="6"/>
    </x:row>
    <x:row r="12" s="1" customFormat="1" ht="15" hidden="0" customHeight="1">
      <x:c r="A12" s="6"/>
      <x:c r="B12" s="6"/>
      <x:c r="C12" s="6"/>
      <x:c r="D12" s="6"/>
    </x:row>
    <x:row r="13" s="1" customFormat="1" ht="15" hidden="0" customHeight="1">
      <x:c r="A13" s="6"/>
      <x:c r="B13" s="6"/>
      <x:c r="C13" s="6"/>
      <x:c r="D13" s="6"/>
    </x:row>
    <x:row r="14" s="1" customFormat="1" ht="15" hidden="0" customHeight="1">
      <x:c r="A14" s="6"/>
      <x:c r="B14" s="6"/>
      <x:c r="C14" s="6"/>
      <x:c r="D14" s="6"/>
    </x:row>
    <x:row r="15" s="1" customFormat="1" ht="15" hidden="0" customHeight="1">
      <x:c r="A15" s="6"/>
      <x:c r="B15" s="6"/>
      <x:c r="C15" s="6"/>
      <x:c r="D15" s="6"/>
    </x:row>
    <x:row r="16" s="1" customFormat="1" ht="15" hidden="0" customHeight="1">
      <x:c r="A16" s="6"/>
      <x:c r="B16" s="6"/>
      <x:c r="C16" s="6"/>
      <x:c r="D16" s="6"/>
    </x:row>
    <x:row r="17" s="1" customFormat="1" ht="15" hidden="0" customHeight="1">
      <x:c r="A17" s="6"/>
      <x:c r="B17" s="6"/>
      <x:c r="C17" s="6"/>
      <x:c r="D17" s="6"/>
    </x:row>
    <x:row r="18" s="1" customFormat="1" ht="15" hidden="0" customHeight="1">
      <x:c r="A18" s="6"/>
      <x:c r="B18" s="6"/>
      <x:c r="C18" s="6"/>
      <x:c r="D18" s="6"/>
    </x:row>
    <x:row r="19" s="1" customFormat="1" ht="15" hidden="0" customHeight="1">
      <x:c r="A19" s="6"/>
      <x:c r="B19" s="6"/>
      <x:c r="C19" s="6"/>
      <x:c r="D19" s="6"/>
    </x:row>
    <x:row r="20" s="1" customFormat="1" ht="15" hidden="0" customHeight="1">
      <x:c r="A20" s="6"/>
      <x:c r="B20" s="6"/>
      <x:c r="C20" s="6"/>
      <x:c r="D20" s="6"/>
    </x:row>
  </x:sheetData>
  <x:pageMargins left="0.7" right="0.7" top="0.75" bottom="0.75" header="0.3" footer="0.3"/>
</x:worksheet>
</file>

<file path=xl/worksheets/sheet66.xml><?xml version="1.0" encoding="utf-8"?>
<x:worksheet xmlns:x="http://schemas.openxmlformats.org/spreadsheetml/2006/main">
  <x:sheetViews>
    <x:sheetView showGridLines="1" workbookViewId="0"/>
  </x:sheetViews>
  <x:sheetFormatPr defaultColWidth="8.6796875" defaultRowHeight="15"/>
  <x:cols>
    <x:col min="1" max="4" width="36" style="1" hidden="0" customWidth="1"/>
  </x:cols>
  <x:sheetData>
    <x:row r="1" s="1" customFormat="1" ht="23.25" hidden="0" customHeight="1">
      <x:c r="A1" s="2" t="s">
        <x:v>4290</x:v>
      </x:c>
      <x:c r="B1" s="3"/>
      <x:c r="C1" s="3"/>
      <x:c r="D1" s="3"/>
    </x:row>
    <x:row r="2" s="1" customFormat="1" ht="15" hidden="0" customHeight="1">
      <x:c r="A2" s="7" t="s">
        <x:v>346</x:v>
      </x:c>
      <x:c r="B2" s="5" t="s">
        <x:v>1717</x:v>
      </x:c>
      <x:c r="C2" s="5" t="s">
        <x:v>1718</x:v>
      </x:c>
      <x:c r="D2" s="5" t="s">
        <x:v>111</x:v>
      </x:c>
    </x:row>
    <x:row r="3" s="1" customFormat="1" ht="15" hidden="0" customHeight="1">
      <x:c r="A3" s="7" t="s">
        <x:v>4291</x:v>
      </x:c>
      <x:c r="B3" s="8" t="s">
        <x:v>4292</x:v>
      </x:c>
      <x:c r="C3" s="8" t="s">
        <x:v>4292</x:v>
      </x:c>
      <x:c r="D3" s="8" t="s">
        <x:v>4293</x:v>
      </x:c>
    </x:row>
    <x:row r="4" s="1" customFormat="1" ht="15" hidden="0" customHeight="1">
      <x:c r="A4" s="7" t="s">
        <x:v>4294</x:v>
      </x:c>
      <x:c r="B4" s="5" t="s">
        <x:v>4295</x:v>
      </x:c>
      <x:c r="C4" s="5" t="s">
        <x:v>4295</x:v>
      </x:c>
      <x:c r="D4" s="5" t="s">
        <x:v>4296</x:v>
      </x:c>
    </x:row>
    <x:row r="5" s="1" customFormat="1" ht="15" hidden="0" customHeight="1">
      <x:c r="A5" s="7" t="s">
        <x:v>4297</x:v>
      </x:c>
      <x:c r="B5" s="8" t="s">
        <x:v>4298</x:v>
      </x:c>
      <x:c r="C5" s="8" t="s">
        <x:v>4298</x:v>
      </x:c>
      <x:c r="D5" s="8" t="s">
        <x:v>4299</x:v>
      </x:c>
    </x:row>
    <x:row r="6" s="1" customFormat="1" ht="15" hidden="0" customHeight="1">
      <x:c r="A6" s="7" t="s">
        <x:v>4300</x:v>
      </x:c>
      <x:c r="B6" s="5" t="s">
        <x:v>4301</x:v>
      </x:c>
      <x:c r="C6" s="5" t="s">
        <x:v>4301</x:v>
      </x:c>
      <x:c r="D6" s="5" t="s">
        <x:v>4302</x:v>
      </x:c>
    </x:row>
    <x:row r="7" s="1" customFormat="1" ht="15" hidden="0" customHeight="1">
      <x:c r="A7" s="7" t="s">
        <x:v>4303</x:v>
      </x:c>
      <x:c r="B7" s="8" t="s">
        <x:v>4304</x:v>
      </x:c>
      <x:c r="C7" s="8" t="s">
        <x:v>4304</x:v>
      </x:c>
      <x:c r="D7" s="8" t="s">
        <x:v>4305</x:v>
      </x:c>
    </x:row>
    <x:row r="8" s="1" customFormat="1" ht="15" hidden="0" customHeight="1">
      <x:c r="A8" s="7" t="s">
        <x:v>4306</x:v>
      </x:c>
      <x:c r="B8" s="5" t="s">
        <x:v>4307</x:v>
      </x:c>
      <x:c r="C8" s="5" t="s">
        <x:v>4307</x:v>
      </x:c>
      <x:c r="D8" s="5" t="s">
        <x:v>4308</x:v>
      </x:c>
    </x:row>
    <x:row r="9" s="1" customFormat="1" ht="15" hidden="0" customHeight="1">
      <x:c r="A9" s="7" t="s">
        <x:v>4309</x:v>
      </x:c>
      <x:c r="B9" s="8" t="s">
        <x:v>4310</x:v>
      </x:c>
      <x:c r="C9" s="8" t="s">
        <x:v>4310</x:v>
      </x:c>
      <x:c r="D9" s="8" t="s">
        <x:v>4311</x:v>
      </x:c>
    </x:row>
    <x:row r="10" s="1" customFormat="1" ht="15" hidden="0" customHeight="1">
      <x:c r="A10" s="7" t="s">
        <x:v>2062</x:v>
      </x:c>
      <x:c r="B10" s="5" t="s">
        <x:v>4312</x:v>
      </x:c>
      <x:c r="C10" s="5" t="s">
        <x:v>4312</x:v>
      </x:c>
      <x:c r="D10" s="5" t="s">
        <x:v>4313</x:v>
      </x:c>
    </x:row>
    <x:row r="11" s="1" customFormat="1" ht="23.25" hidden="0" customHeight="1">
      <x:c r="A11" s="7" t="s">
        <x:v>4314</x:v>
      </x:c>
      <x:c r="B11" s="8" t="s">
        <x:v>2945</x:v>
      </x:c>
      <x:c r="C11" s="8" t="s">
        <x:v>2945</x:v>
      </x:c>
      <x:c r="D11" s="8" t="s">
        <x:v>4315</x:v>
      </x:c>
    </x:row>
    <x:row r="12" s="1" customFormat="1" ht="15" hidden="0" customHeight="1">
      <x:c r="A12" s="6"/>
      <x:c r="B12" s="6"/>
      <x:c r="C12" s="6"/>
      <x:c r="D12" s="6"/>
    </x:row>
    <x:row r="13" s="1" customFormat="1" ht="15" hidden="0" customHeight="1">
      <x:c r="A13" s="6"/>
      <x:c r="B13" s="6"/>
      <x:c r="C13" s="6"/>
      <x:c r="D13" s="6"/>
    </x:row>
    <x:row r="14" s="1" customFormat="1" ht="15" hidden="0" customHeight="1">
      <x:c r="A14" s="6"/>
      <x:c r="B14" s="6"/>
      <x:c r="C14" s="6"/>
      <x:c r="D14" s="6"/>
    </x:row>
    <x:row r="15" s="1" customFormat="1" ht="15" hidden="0" customHeight="1">
      <x:c r="A15" s="6"/>
      <x:c r="B15" s="6"/>
      <x:c r="C15" s="6"/>
      <x:c r="D15" s="6"/>
    </x:row>
    <x:row r="16" s="1" customFormat="1" ht="15" hidden="0" customHeight="1">
      <x:c r="A16" s="6"/>
      <x:c r="B16" s="6"/>
      <x:c r="C16" s="6"/>
      <x:c r="D16" s="6"/>
    </x:row>
    <x:row r="17" s="1" customFormat="1" ht="15" hidden="0" customHeight="1">
      <x:c r="A17" s="6"/>
      <x:c r="B17" s="6"/>
      <x:c r="C17" s="6"/>
      <x:c r="D17" s="6"/>
    </x:row>
    <x:row r="18" s="1" customFormat="1" ht="15" hidden="0" customHeight="1">
      <x:c r="A18" s="6"/>
      <x:c r="B18" s="6"/>
      <x:c r="C18" s="6"/>
      <x:c r="D18" s="6"/>
    </x:row>
    <x:row r="19" s="1" customFormat="1" ht="15" hidden="0" customHeight="1">
      <x:c r="A19" s="6"/>
      <x:c r="B19" s="6"/>
      <x:c r="C19" s="6"/>
      <x:c r="D19" s="6"/>
    </x:row>
    <x:row r="20" s="1" customFormat="1" ht="15" hidden="0" customHeight="1">
      <x:c r="A20" s="6"/>
      <x:c r="B20" s="6"/>
      <x:c r="C20" s="6"/>
      <x:c r="D20" s="6"/>
    </x:row>
  </x:sheetData>
  <x:pageMargins left="0.7" right="0.7" top="0.75" bottom="0.75" header="0.3" footer="0.3"/>
</x:worksheet>
</file>

<file path=xl/worksheets/sheet67.xml><?xml version="1.0" encoding="utf-8"?>
<x:worksheet xmlns:x="http://schemas.openxmlformats.org/spreadsheetml/2006/main">
  <x:sheetViews>
    <x:sheetView showGridLines="1" workbookViewId="0"/>
  </x:sheetViews>
  <x:sheetFormatPr defaultColWidth="8.6796875" defaultRowHeight="15"/>
  <x:cols>
    <x:col min="1" max="4" width="36" style="1" hidden="0" customWidth="1"/>
  </x:cols>
  <x:sheetData>
    <x:row r="1" s="1" customFormat="1" ht="23.25" hidden="0" customHeight="1">
      <x:c r="A1" s="2" t="s">
        <x:v>1571</x:v>
      </x:c>
      <x:c r="B1" s="3"/>
      <x:c r="C1" s="3"/>
      <x:c r="D1" s="3"/>
    </x:row>
    <x:row r="2" s="1" customFormat="1" ht="15" hidden="0" customHeight="1">
      <x:c r="A2" s="6"/>
      <x:c r="B2" s="6"/>
      <x:c r="C2" s="6"/>
      <x:c r="D2" s="6"/>
    </x:row>
    <x:row r="3" s="1" customFormat="1" ht="15" hidden="0" customHeight="1">
      <x:c r="A3" s="7" t="s">
        <x:v>346</x:v>
      </x:c>
      <x:c r="B3" s="8" t="s">
        <x:v>347</x:v>
      </x:c>
      <x:c r="C3" s="8" t="s">
        <x:v>1736</x:v>
      </x:c>
      <x:c r="D3" s="8" t="s">
        <x:v>4316</x:v>
      </x:c>
    </x:row>
    <x:row r="4" s="1" customFormat="1" ht="15" hidden="0" customHeight="1">
      <x:c r="A4" s="7" t="s">
        <x:v>4317</x:v>
      </x:c>
      <x:c r="B4" s="5" t="str">
        <x:v>REFUSE_DETERMINISTIC_SELECTION</x:v>
      </x:c>
      <x:c r="C4" s="5" t="str">
        <x:v>The framework does not claim unique technical selection because a computed uncertainty stress changes decisiveness.</x:v>
      </x:c>
      <x:c r="D4" s="5" t="str">
        <x:v>Routes to transparent authority selection without converting a score into mandate or execution permission.</x:v>
      </x:c>
    </x:row>
    <x:row r="5" s="1" customFormat="1" ht="15" hidden="0" customHeight="1">
      <x:c r="A5" s="7" t="s">
        <x:v>4318</x:v>
      </x:c>
      <x:c r="B5" s="8" t="s">
        <x:v>2461</x:v>
      </x:c>
      <x:c r="C5" s="8" t="s">
        <x:v>4319</x:v>
      </x:c>
      <x:c r="D5" s="8" t="s">
        <x:v>4320</x:v>
      </x:c>
    </x:row>
    <x:row r="6" s="1" customFormat="1" ht="15" hidden="0" customHeight="1">
      <x:c r="A6" s="7" t="s">
        <x:v>4321</x:v>
      </x:c>
      <x:c r="B6" s="5" t="str">
        <x:v>NO</x:v>
      </x:c>
      <x:c r="C6" s="5" t="str">
        <x:v>No unique technical framework selection is claimed under the declared inputs.</x:v>
      </x:c>
      <x:c r="D6" s="5" t="s">
        <x:v>4322</x:v>
      </x:c>
    </x:row>
    <x:row r="7" s="1" customFormat="1" ht="15" hidden="0" customHeight="1">
      <x:c r="A7" s="7" t="s">
        <x:v>1522</x:v>
      </x:c>
      <x:c r="B7" s="8" t="str">
        <x:v>OPTION A SELECTED BY ACCOUNTABLE AUTHORITY; EXECUTION AUTHORITY SEPARATE</x:v>
      </x:c>
      <x:c r="C7" s="8" t="str">
        <x:v>Authority selects among qualified non-decisive options; lawful execution authorization remains a separate record.</x:v>
      </x:c>
      <x:c r="D7" s="8" t="s">
        <x:v>4323</x:v>
      </x:c>
    </x:row>
    <x:row r="8" s="1" customFormat="1" ht="15" hidden="0" customHeight="1">
      <x:c r="A8" s="7" t="s">
        <x:v>4324</x:v>
      </x:c>
      <x:c r="B8" s="5" t="str">
        <x:v>Option A is the point-score leader, but σ×2 changes decisiveness and Method C calibration is unvalidated.</x:v>
      </x:c>
      <x:c r="C8" s="5" t="str">
        <x:v>Point-score ordering after RG/RF/TRC/CSV qualification; not a decisive framework verdict.</x:v>
      </x:c>
      <x:c r="D8" s="5" t="s">
        <x:v>4325</x:v>
      </x:c>
    </x:row>
    <x:row r="9" s="1" customFormat="1" ht="15" hidden="0" customHeight="1">
      <x:c r="A9" s="7" t="s">
        <x:v>4326</x:v>
      </x:c>
      <x:c r="B9" s="8" t="s">
        <x:v>4327</x:v>
      </x:c>
      <x:c r="C9" s="8" t="s">
        <x:v>4328</x:v>
      </x:c>
      <x:c r="D9" s="8" t="s">
        <x:v>4329</x:v>
      </x:c>
    </x:row>
    <x:row r="10" s="1" customFormat="1" ht="15" hidden="0" customHeight="1">
      <x:c r="A10" s="7" t="s">
        <x:v>4330</x:v>
      </x:c>
      <x:c r="B10" s="5" t="s">
        <x:v>4331</x:v>
      </x:c>
      <x:c r="C10" s="5" t="s">
        <x:v>4332</x:v>
      </x:c>
      <x:c r="D10" s="5" t="s">
        <x:v>4333</x:v>
      </x:c>
    </x:row>
    <x:row r="11" s="1" customFormat="1" ht="15" hidden="0" customHeight="1">
      <x:c r="A11" s="7" t="s">
        <x:v>4334</x:v>
      </x:c>
      <x:c r="B11" s="8" t="s">
        <x:v>4335</x:v>
      </x:c>
      <x:c r="C11" s="8" t="s">
        <x:v>4336</x:v>
      </x:c>
      <x:c r="D11" s="8" t="s">
        <x:v>4337</x:v>
      </x:c>
    </x:row>
    <x:row r="12" s="1" customFormat="1" ht="15" hidden="0" customHeight="1">
      <x:c r="A12" s="7" t="s">
        <x:v>1222</x:v>
      </x:c>
      <x:c r="B12" s="5" t="s">
        <x:v>4338</x:v>
      </x:c>
      <x:c r="C12" s="5" t="s">
        <x:v>4339</x:v>
      </x:c>
      <x:c r="D12" s="5" t="s">
        <x:v>4340</x:v>
      </x:c>
    </x:row>
    <x:row r="13" s="1" customFormat="1" ht="15" hidden="0" customHeight="1">
      <x:c r="A13" s="6"/>
      <x:c r="B13" s="6"/>
      <x:c r="C13" s="6"/>
      <x:c r="D13" s="6"/>
    </x:row>
    <x:row r="14" s="1" customFormat="1" ht="15" hidden="0" customHeight="1">
      <x:c r="A14" s="7" t="s">
        <x:v>4341</x:v>
      </x:c>
      <x:c r="B14" s="5" t="s">
        <x:v>4342</x:v>
      </x:c>
      <x:c r="C14" s="5" t="s">
        <x:v>4343</x:v>
      </x:c>
      <x:c r="D14" s="5" t="s">
        <x:v>4344</x:v>
      </x:c>
    </x:row>
    <x:row r="15" s="1" customFormat="1" ht="15" hidden="0" customHeight="1">
      <x:c r="A15" s="7" t="s">
        <x:v>4341</x:v>
      </x:c>
      <x:c r="B15" s="8" t="s">
        <x:v>4345</x:v>
      </x:c>
      <x:c r="C15" s="8" t="s">
        <x:v>4346</x:v>
      </x:c>
      <x:c r="D15" s="8" t="s">
        <x:v>4347</x:v>
      </x:c>
    </x:row>
    <x:row r="16" s="1" customFormat="1" ht="15" hidden="0" customHeight="1">
      <x:c r="A16" s="7" t="s">
        <x:v>4341</x:v>
      </x:c>
      <x:c r="B16" s="5" t="s">
        <x:v>4348</x:v>
      </x:c>
      <x:c r="C16" s="5" t="s">
        <x:v>4349</x:v>
      </x:c>
      <x:c r="D16" s="5" t="s">
        <x:v>4350</x:v>
      </x:c>
    </x:row>
    <x:row r="17" s="1" customFormat="1" ht="15" hidden="0" customHeight="1">
      <x:c r="A17" s="7" t="s">
        <x:v>4341</x:v>
      </x:c>
      <x:c r="B17" s="8" t="s">
        <x:v>1346</x:v>
      </x:c>
      <x:c r="C17" s="8" t="s">
        <x:v>4351</x:v>
      </x:c>
      <x:c r="D17" s="8" t="s">
        <x:v>4352</x:v>
      </x:c>
    </x:row>
    <x:row r="18" s="1" customFormat="1" ht="15" hidden="0" customHeight="1">
      <x:c r="A18" s="6"/>
      <x:c r="B18" s="6"/>
      <x:c r="C18" s="6"/>
      <x:c r="D18" s="6"/>
    </x:row>
    <x:row r="19" s="1" customFormat="1" ht="15" hidden="0" customHeight="1">
      <x:c r="A19" s="7" t="s">
        <x:v>4353</x:v>
      </x:c>
      <x:c r="B19" s="8" t="s">
        <x:v>4354</x:v>
      </x:c>
      <x:c r="C19" s="8" t="s">
        <x:v>4355</x:v>
      </x:c>
      <x:c r="D19" s="8" t="s">
        <x:v>4356</x:v>
      </x:c>
    </x:row>
    <x:row r="20" s="1" customFormat="1" ht="15" hidden="0" customHeight="1">
      <x:c r="A20" s="6"/>
      <x:c r="B20" s="6"/>
      <x:c r="C20" s="6"/>
      <x:c r="D20" s="6"/>
    </x:row>
    <x:row r="21" s="1" customFormat="1" ht="15" hidden="0" customHeight="1">
      <x:c r="A21" s="7" t="s">
        <x:v>4357</x:v>
      </x:c>
      <x:c r="B21" s="8" t="s">
        <x:v>4358</x:v>
      </x:c>
      <x:c r="C21" s="8" t="s">
        <x:v>4359</x:v>
      </x:c>
      <x:c r="D21" s="8" t="s">
        <x:v>4360</x:v>
      </x:c>
    </x:row>
    <x:row r="22" s="1" customFormat="1" ht="15" hidden="0" customHeight="1">
      <x:c r="A22" s="6"/>
      <x:c r="B22" s="6"/>
      <x:c r="C22" s="6"/>
      <x:c r="D22" s="6"/>
    </x:row>
    <x:row r="23" s="1" customFormat="1" ht="15" hidden="0" customHeight="1">
      <x:c r="A23" s="6"/>
      <x:c r="B23" s="6"/>
      <x:c r="C23" s="6"/>
      <x:c r="D23" s="6"/>
    </x:row>
    <x:row r="24" s="1" customFormat="1" ht="15" hidden="0" customHeight="1">
      <x:c r="A24" s="7" t="s">
        <x:v>4361</x:v>
      </x:c>
      <x:c r="B24" s="6"/>
      <x:c r="C24" s="6"/>
      <x:c r="D24" s="6"/>
    </x:row>
    <x:row r="25" s="1" customFormat="1" ht="15" hidden="0" customHeight="1">
      <x:c r="A25" s="7" t="s">
        <x:v>4362</x:v>
      </x:c>
      <x:c r="B25" s="8" t="n">
        <x:v>1</x:v>
      </x:c>
      <x:c r="C25" s="6" t="s">
        <x:v>4363</x:v>
      </x:c>
      <x:c r="D25" s="6"/>
    </x:row>
    <x:row r="26" s="1" customFormat="1" ht="15" hidden="0" customHeight="1">
      <x:c r="A26" s="7" t="s">
        <x:v>4364</x:v>
      </x:c>
      <x:c r="B26" s="5" t="n">
        <x:v>1</x:v>
      </x:c>
      <x:c r="C26" s="6" t="s">
        <x:v>4365</x:v>
      </x:c>
      <x:c r="D26" s="6"/>
    </x:row>
    <x:row r="27" s="1" customFormat="1" ht="15" hidden="0" customHeight="1">
      <x:c r="A27" s="7" t="s">
        <x:v>4366</x:v>
      </x:c>
      <x:c r="B27" s="8" t="n">
        <x:v>2</x:v>
      </x:c>
      <x:c r="C27" s="6"/>
      <x:c r="D27" s="6"/>
    </x:row>
    <x:row r="28" s="1" customFormat="1" ht="15" hidden="0" customHeight="1">
      <x:c r="A28" s="7" t="s">
        <x:v>4367</x:v>
      </x:c>
      <x:c r="B28" s="5" t="str">
        <x:v>NO</x:v>
      </x:c>
      <x:c r="C28" s="6"/>
      <x:c r="D28" s="6"/>
    </x:row>
    <x:row r="29" s="1" customFormat="1" ht="15" hidden="0" customHeight="1">
      <x:c r="A29" s="7" t="s">
        <x:v>4368</x:v>
      </x:c>
      <x:c r="B29" s="8" t="str">
        <x:v>YES</x:v>
      </x:c>
      <x:c r="C29" s="6"/>
      <x:c r="D29" s="6"/>
    </x:row>
    <x:row r="30" s="1" customFormat="1" ht="15" hidden="0" customHeight="1">
      <x:c r="A30" s="7" t="s">
        <x:v>4369</x:v>
      </x:c>
      <x:c r="B30" s="5" t="str">
        <x:v>REFUSE_DETERMINISTIC_SELECTION</x:v>
      </x:c>
      <x:c r="C30" s="6"/>
      <x:c r="D30" s="6"/>
    </x:row>
    <x:row r="31" s="1" customFormat="1" ht="15" hidden="0" customHeight="1">
      <x:c r="A31" s="7" t="s">
        <x:v>4370</x:v>
      </x:c>
      <x:c r="B31" s="8" t="s">
        <x:v>2461</x:v>
      </x:c>
      <x:c r="C31" s="6"/>
      <x:c r="D31" s="6"/>
    </x:row>
    <x:row r="32" s="1" customFormat="1" ht="15" hidden="0" customHeight="1">
      <x:c r="A32" s="7" t="s">
        <x:v>4371</x:v>
      </x:c>
      <x:c r="B32" s="5" t="str">
        <x:v>NO</x:v>
      </x:c>
      <x:c r="C32" s="6"/>
      <x:c r="D32" s="6"/>
    </x:row>
  </x:sheetData>
  <x:pageMargins left="0.7" right="0.7" top="0.75" bottom="0.75" header="0.3" footer="0.3"/>
</x:worksheet>
</file>

<file path=xl/worksheets/sheet68.xml><?xml version="1.0" encoding="utf-8"?>
<x:worksheet xmlns:x="http://schemas.openxmlformats.org/spreadsheetml/2006/main">
  <x:sheetViews>
    <x:sheetView showGridLines="1" workbookViewId="0"/>
  </x:sheetViews>
  <x:sheetFormatPr defaultColWidth="8.6796875" defaultRowHeight="15"/>
  <x:cols>
    <x:col min="1" max="4" width="36" style="1" hidden="0" customWidth="1"/>
  </x:cols>
  <x:sheetData>
    <x:row r="1" s="1" customFormat="1" ht="16.5" hidden="0" customHeight="1">
      <x:c r="A1" s="2" t="s">
        <x:v>4372</x:v>
      </x:c>
      <x:c r="B1" s="2"/>
      <x:c r="C1" s="2"/>
      <x:c r="D1" s="2"/>
    </x:row>
    <x:row r="2" s="1" customFormat="1" ht="15" hidden="0" customHeight="1">
      <x:c r="A2" s="7" t="s">
        <x:v>346</x:v>
      </x:c>
      <x:c r="B2" s="5" t="s">
        <x:v>347</x:v>
      </x:c>
      <x:c r="C2" s="5" t="s">
        <x:v>1736</x:v>
      </x:c>
      <x:c r="D2" s="5" t="s">
        <x:v>4373</x:v>
      </x:c>
    </x:row>
    <x:row r="3" s="1" customFormat="1" ht="15" hidden="0" customHeight="1">
      <x:c r="A3" s="7" t="s">
        <x:v>761</x:v>
      </x:c>
      <x:c r="B3" s="8" t="s">
        <x:v>762</x:v>
      </x:c>
      <x:c r="C3" s="8" t="s">
        <x:v>4374</x:v>
      </x:c>
      <x:c r="D3" s="8" t="s">
        <x:v>4375</x:v>
      </x:c>
    </x:row>
    <x:row r="4" s="1" customFormat="1" ht="48" hidden="0" customHeight="1">
      <x:c r="A4" s="7" t="s">
        <x:v>51</x:v>
      </x:c>
      <x:c r="B4" s="5" t="s">
        <x:v>4376</x:v>
      </x:c>
      <x:c r="C4" s="5" t="s">
        <x:v>4377</x:v>
      </x:c>
      <x:c r="D4" s="5" t="s">
        <x:v>4378</x:v>
      </x:c>
    </x:row>
    <x:row r="5" s="1" customFormat="1" ht="15" hidden="0" customHeight="1">
      <x:c r="A5" s="7" t="s">
        <x:v>54</x:v>
      </x:c>
      <x:c r="B5" s="8" t="s">
        <x:v>764</x:v>
      </x:c>
      <x:c r="C5" s="8" t="s">
        <x:v>4379</x:v>
      </x:c>
      <x:c r="D5" s="8" t="s">
        <x:v>4380</x:v>
      </x:c>
    </x:row>
    <x:row r="6" s="1" customFormat="1" ht="15" hidden="0" customHeight="1">
      <x:c r="A6" s="7" t="s">
        <x:v>765</x:v>
      </x:c>
      <x:c r="B6" s="5" t="s">
        <x:v>210</x:v>
      </x:c>
      <x:c r="C6" s="5" t="s">
        <x:v>4381</x:v>
      </x:c>
      <x:c r="D6" s="5" t="s">
        <x:v>4382</x:v>
      </x:c>
    </x:row>
    <x:row r="7" s="1" customFormat="1" ht="15" hidden="0" customHeight="1">
      <x:c r="A7" s="7" t="s">
        <x:v>4383</x:v>
      </x:c>
      <x:c r="B7" s="8" t="s">
        <x:v>4384</x:v>
      </x:c>
      <x:c r="C7" s="8" t="s">
        <x:v>4385</x:v>
      </x:c>
      <x:c r="D7" s="8" t="s">
        <x:v>4386</x:v>
      </x:c>
    </x:row>
    <x:row r="8" s="1" customFormat="1" ht="15" hidden="0" customHeight="1">
      <x:c r="A8" s="7" t="s">
        <x:v>4387</x:v>
      </x:c>
      <x:c r="B8" s="5" t="str">
        <x:v>Agent System v12.5</x:v>
      </x:c>
      <x:c r="C8" s="5" t="s">
        <x:v>4388</x:v>
      </x:c>
      <x:c r="D8" s="5" t="s">
        <x:v>4389</x:v>
      </x:c>
    </x:row>
    <x:row r="9" s="1" customFormat="1" ht="15" hidden="0" customHeight="1">
      <x:c r="A9" s="7" t="s">
        <x:v>4390</x:v>
      </x:c>
      <x:c r="B9" s="8" t="s">
        <x:v>4391</x:v>
      </x:c>
      <x:c r="C9" s="8" t="s">
        <x:v>4392</x:v>
      </x:c>
      <x:c r="D9" s="8" t="s">
        <x:v>4393</x:v>
      </x:c>
    </x:row>
    <x:row r="10" s="1" customFormat="1" ht="15" hidden="0" customHeight="1">
      <x:c r="A10" s="7" t="s">
        <x:v>153</x:v>
      </x:c>
      <x:c r="B10" s="5" t="s">
        <x:v>4394</x:v>
      </x:c>
      <x:c r="C10" s="5" t="s">
        <x:v>4395</x:v>
      </x:c>
      <x:c r="D10" s="5" t="s">
        <x:v>4396</x:v>
      </x:c>
    </x:row>
    <x:row r="11" s="1" customFormat="1" ht="15" hidden="0" customHeight="1">
      <x:c r="A11" s="7" t="s">
        <x:v>4397</x:v>
      </x:c>
      <x:c r="B11" s="8" t="s">
        <x:v>4398</x:v>
      </x:c>
      <x:c r="C11" s="8" t="s">
        <x:v>4399</x:v>
      </x:c>
      <x:c r="D11" s="8" t="s">
        <x:v>4400</x:v>
      </x:c>
    </x:row>
    <x:row r="12" s="1" customFormat="1" ht="15" hidden="0" customHeight="1">
      <x:c r="A12" s="7" t="s">
        <x:v>4401</x:v>
      </x:c>
      <x:c r="B12" s="5" t="s">
        <x:v>4402</x:v>
      </x:c>
      <x:c r="C12" s="5" t="s">
        <x:v>4403</x:v>
      </x:c>
      <x:c r="D12" s="5" t="s">
        <x:v>4404</x:v>
      </x:c>
    </x:row>
    <x:row r="13" s="1" customFormat="1" ht="15" hidden="0" customHeight="1">
      <x:c r="A13" s="7" t="s">
        <x:v>4405</x:v>
      </x:c>
      <x:c r="B13" s="8" t="s">
        <x:v>4406</x:v>
      </x:c>
      <x:c r="C13" s="8" t="s">
        <x:v>4407</x:v>
      </x:c>
      <x:c r="D13" s="8" t="s">
        <x:v>4408</x:v>
      </x:c>
    </x:row>
    <x:row r="14" s="1" customFormat="1" ht="15" hidden="0" customHeight="1">
      <x:c r="A14" s="7" t="s">
        <x:v>4409</x:v>
      </x:c>
      <x:c r="B14" s="5" t="s">
        <x:v>4410</x:v>
      </x:c>
      <x:c r="C14" s="5" t="s">
        <x:v>4411</x:v>
      </x:c>
      <x:c r="D14" s="5" t="s">
        <x:v>4412</x:v>
      </x:c>
    </x:row>
    <x:row r="15" s="1" customFormat="1" ht="15" hidden="0" customHeight="1">
      <x:c r="A15" s="7" t="s">
        <x:v>4413</x:v>
      </x:c>
      <x:c r="B15" s="8" t="s">
        <x:v>4414</x:v>
      </x:c>
      <x:c r="C15" s="8" t="s">
        <x:v>19</x:v>
      </x:c>
      <x:c r="D15" s="8" t="s">
        <x:v>4415</x:v>
      </x:c>
    </x:row>
    <x:row r="16" s="1" customFormat="1" ht="15" hidden="0" customHeight="1">
      <x:c r="A16" s="7" t="s">
        <x:v>4416</x:v>
      </x:c>
      <x:c r="B16" s="5" t="s">
        <x:v>4417</x:v>
      </x:c>
      <x:c r="C16" s="5" t="s">
        <x:v>4418</x:v>
      </x:c>
      <x:c r="D16" s="5" t="s">
        <x:v>4419</x:v>
      </x:c>
    </x:row>
    <x:row r="17" s="1" customFormat="1" ht="24" hidden="0" customHeight="1">
      <x:c r="A17" s="7" t="s">
        <x:v>4420</x:v>
      </x:c>
      <x:c r="B17" s="8" t="s">
        <x:v>4421</x:v>
      </x:c>
      <x:c r="C17" s="8" t="s">
        <x:v>4422</x:v>
      </x:c>
      <x:c r="D17" s="8" t="s">
        <x:v>4423</x:v>
      </x:c>
    </x:row>
    <x:row r="18" s="1" customFormat="1" ht="15" hidden="0" customHeight="1">
      <x:c r="A18" s="7" t="s">
        <x:v>4424</x:v>
      </x:c>
      <x:c r="B18" s="5" t="s">
        <x:v>4425</x:v>
      </x:c>
      <x:c r="C18" s="5" t="s">
        <x:v>4426</x:v>
      </x:c>
      <x:c r="D18" s="5" t="s">
        <x:v>4427</x:v>
      </x:c>
    </x:row>
  </x:sheetData>
  <x:mergeCells>
    <x:mergeCell ref="A1:D1"/>
  </x:mergeCells>
  <x:pageMargins left="0.7" right="0.7" top="0.75" bottom="0.75" header="0.3" footer="0.3"/>
</x:worksheet>
</file>

<file path=xl/worksheets/sheet69.xml><?xml version="1.0" encoding="utf-8"?>
<x:worksheet xmlns:x="http://schemas.openxmlformats.org/spreadsheetml/2006/main">
  <x:sheetViews>
    <x:sheetView showGridLines="1" workbookViewId="0"/>
  </x:sheetViews>
  <x:sheetFormatPr defaultColWidth="8.6796875" defaultRowHeight="15"/>
  <x:cols>
    <x:col min="1" max="2" width="36" style="1" hidden="0" customWidth="1"/>
    <x:col min="3" max="4" width="16" style="1" hidden="0" customWidth="1"/>
  </x:cols>
  <x:sheetData>
    <x:row r="1" s="1" customFormat="1" ht="27.75" hidden="0" customHeight="1">
      <x:c r="A1" s="2" t="s">
        <x:v>4428</x:v>
      </x:c>
      <x:c r="B1" s="2" t="s">
        <x:v>4376</x:v>
      </x:c>
      <x:c r="C1" s="3"/>
      <x:c r="D1" s="3"/>
    </x:row>
    <x:row r="2" s="1" customFormat="1" ht="43.5" hidden="0" customHeight="1">
      <x:c r="A2" s="7" t="s">
        <x:v>761</x:v>
      </x:c>
      <x:c r="B2" s="5" t="s">
        <x:v>762</x:v>
      </x:c>
      <x:c r="C2" s="6"/>
      <x:c r="D2" s="6"/>
    </x:row>
    <x:row r="3" s="1" customFormat="1" ht="43.5" hidden="0" customHeight="1">
      <x:c r="A3" s="7" t="s">
        <x:v>4401</x:v>
      </x:c>
      <x:c r="B3" s="8" t="s">
        <x:v>4402</x:v>
      </x:c>
      <x:c r="C3" s="6"/>
      <x:c r="D3" s="6"/>
    </x:row>
    <x:row r="4" s="1" customFormat="1" ht="43.5" hidden="0" customHeight="1">
      <x:c r="A4" s="7" t="s">
        <x:v>4397</x:v>
      </x:c>
      <x:c r="B4" s="5" t="s">
        <x:v>4398</x:v>
      </x:c>
      <x:c r="C4" s="6"/>
      <x:c r="D4" s="6"/>
    </x:row>
    <x:row r="5" s="1" customFormat="1" ht="43.5" hidden="0" customHeight="1">
      <x:c r="A5" s="7" t="s">
        <x:v>4429</x:v>
      </x:c>
      <x:c r="B5" s="8" t="s">
        <x:v>4430</x:v>
      </x:c>
      <x:c r="C5" s="6"/>
      <x:c r="D5" s="6"/>
    </x:row>
    <x:row r="6" s="1" customFormat="1" ht="43.5" hidden="0" customHeight="1">
      <x:c r="A6" s="7" t="s">
        <x:v>4431</x:v>
      </x:c>
      <x:c r="B6" s="5" t="s">
        <x:v>4432</x:v>
      </x:c>
      <x:c r="C6" s="6"/>
      <x:c r="D6" s="6"/>
    </x:row>
    <x:row r="7" s="1" customFormat="1" ht="43.5" hidden="0" customHeight="1">
      <x:c r="A7" s="7" t="s">
        <x:v>4433</x:v>
      </x:c>
      <x:c r="B7" s="8" t="s">
        <x:v>4434</x:v>
      </x:c>
      <x:c r="C7" s="6"/>
      <x:c r="D7" s="6"/>
    </x:row>
    <x:row r="8" s="1" customFormat="1" ht="43.5" hidden="0" customHeight="1">
      <x:c r="A8" s="7" t="s">
        <x:v>4420</x:v>
      </x:c>
      <x:c r="B8" s="5" t="s">
        <x:v>4435</x:v>
      </x:c>
      <x:c r="C8" s="6"/>
      <x:c r="D8" s="6"/>
    </x:row>
    <x:row r="9" s="1" customFormat="1" ht="43.5" hidden="0" customHeight="1">
      <x:c r="A9" s="7" t="s">
        <x:v>19</x:v>
      </x:c>
      <x:c r="B9" s="8" t="s">
        <x:v>4436</x:v>
      </x:c>
      <x:c r="C9" s="6"/>
      <x:c r="D9" s="6"/>
    </x:row>
    <x:row r="10" s="1" customFormat="1" ht="43.5" hidden="0" customHeight="1">
      <x:c r="A10" s="7" t="s">
        <x:v>4437</x:v>
      </x:c>
      <x:c r="B10" s="5" t="s">
        <x:v>4438</x:v>
      </x:c>
      <x:c r="C10" s="6"/>
      <x:c r="D10" s="6"/>
    </x:row>
    <x:row r="11" s="1" customFormat="1" ht="45" hidden="0" customHeight="1">
      <x:c r="A11" s="7" t="s">
        <x:v>4439</x:v>
      </x:c>
      <x:c r="B11" s="8" t="s">
        <x:v>4440</x:v>
      </x:c>
      <x:c r="C11" s="6"/>
      <x:c r="D11" s="6"/>
    </x:row>
    <x:row r="12" s="1" customFormat="1" ht="15" hidden="0" customHeight="1">
      <x:c r="A12" s="6"/>
      <x:c r="B12" s="6"/>
      <x:c r="C12" s="6"/>
      <x:c r="D12" s="6"/>
    </x:row>
    <x:row r="13" s="1" customFormat="1" ht="15" hidden="0" customHeight="1">
      <x:c r="A13" s="6"/>
      <x:c r="B13" s="6"/>
      <x:c r="C13" s="6"/>
      <x:c r="D13" s="6"/>
    </x:row>
    <x:row r="14" s="1" customFormat="1" ht="15" hidden="0" customHeight="1">
      <x:c r="A14" s="6"/>
      <x:c r="B14" s="6"/>
      <x:c r="C14" s="6"/>
      <x:c r="D14" s="6"/>
    </x:row>
    <x:row r="15" s="1" customFormat="1" ht="15" hidden="0" customHeight="1">
      <x:c r="A15" s="6"/>
      <x:c r="B15" s="6"/>
      <x:c r="C15" s="6"/>
      <x:c r="D15" s="6"/>
    </x:row>
    <x:row r="16" s="1" customFormat="1" ht="15" hidden="0" customHeight="1">
      <x:c r="A16" s="6"/>
      <x:c r="B16" s="6"/>
      <x:c r="C16" s="6"/>
      <x:c r="D16" s="6"/>
    </x:row>
    <x:row r="17" s="1" customFormat="1" ht="15" hidden="0" customHeight="1">
      <x:c r="A17" s="6"/>
      <x:c r="B17" s="6"/>
      <x:c r="C17" s="6"/>
      <x:c r="D17" s="6"/>
    </x:row>
    <x:row r="18" s="1" customFormat="1" ht="15" hidden="0" customHeight="1">
      <x:c r="A18" s="6"/>
      <x:c r="B18" s="6"/>
      <x:c r="C18" s="6"/>
      <x:c r="D18" s="6"/>
    </x:row>
    <x:row r="19" s="1" customFormat="1" ht="15" hidden="0" customHeight="1">
      <x:c r="A19" s="6"/>
      <x:c r="B19" s="6"/>
      <x:c r="C19" s="6"/>
      <x:c r="D19" s="6"/>
    </x:row>
    <x:row r="20" s="1" customFormat="1" ht="15" hidden="0" customHeight="1">
      <x:c r="A20" s="6"/>
      <x:c r="B20" s="6"/>
      <x:c r="C20" s="6"/>
      <x:c r="D20" s="6"/>
    </x:row>
    <x:row r="21" s="1" customFormat="1" ht="15" hidden="0" customHeight="1">
      <x:c r="A21" s="6"/>
      <x:c r="B21" s="6"/>
      <x:c r="C21" s="6"/>
      <x:c r="D21" s="6"/>
    </x:row>
    <x:row r="22" s="1" customFormat="1" ht="15" hidden="0" customHeight="1">
      <x:c r="A22" s="6"/>
      <x:c r="B22" s="6"/>
      <x:c r="C22" s="6"/>
      <x:c r="D22" s="6"/>
    </x:row>
    <x:row r="23" s="1" customFormat="1" ht="15" hidden="0" customHeight="1">
      <x:c r="A23" s="6"/>
      <x:c r="B23" s="6"/>
      <x:c r="C23" s="6"/>
      <x:c r="D23" s="6"/>
    </x:row>
    <x:row r="24" s="1" customFormat="1" ht="15" hidden="0" customHeight="1">
      <x:c r="A24" s="6"/>
      <x:c r="B24" s="6"/>
      <x:c r="C24" s="6"/>
      <x:c r="D24" s="6"/>
    </x:row>
    <x:row r="25" s="1" customFormat="1" ht="15" hidden="0" customHeight="1">
      <x:c r="A25" s="6"/>
      <x:c r="B25" s="6"/>
      <x:c r="C25" s="6"/>
      <x:c r="D25" s="6"/>
    </x:row>
    <x:row r="26" s="1" customFormat="1" ht="15" hidden="0" customHeight="1">
      <x:c r="A26" s="6"/>
      <x:c r="B26" s="6"/>
      <x:c r="C26" s="6"/>
      <x:c r="D26" s="6"/>
    </x:row>
    <x:row r="27" s="1" customFormat="1" ht="15" hidden="0" customHeight="1">
      <x:c r="A27" s="6"/>
      <x:c r="B27" s="6"/>
      <x:c r="C27" s="6"/>
      <x:c r="D27" s="6"/>
    </x:row>
    <x:row r="28" s="1" customFormat="1" ht="15" hidden="0" customHeight="1">
      <x:c r="A28" s="6"/>
      <x:c r="B28" s="6"/>
      <x:c r="C28" s="6"/>
      <x:c r="D28" s="6"/>
    </x:row>
    <x:row r="29" s="1" customFormat="1" ht="15" hidden="0" customHeight="1">
      <x:c r="A29" s="6"/>
      <x:c r="B29" s="6"/>
      <x:c r="C29" s="6"/>
      <x:c r="D29" s="6"/>
    </x:row>
    <x:row r="30" s="1" customFormat="1" ht="15" hidden="0" customHeight="1">
      <x:c r="A30" s="6"/>
      <x:c r="B30" s="6"/>
      <x:c r="C30" s="6"/>
      <x:c r="D30" s="6"/>
    </x:row>
    <x:row r="31" s="1" customFormat="1" ht="15" hidden="0" customHeight="1">
      <x:c r="A31" s="6"/>
      <x:c r="B31" s="6"/>
      <x:c r="C31" s="6"/>
      <x:c r="D31" s="6"/>
    </x:row>
    <x:row r="32" s="1" customFormat="1" ht="15" hidden="0" customHeight="1">
      <x:c r="A32" s="6"/>
      <x:c r="B32" s="6"/>
      <x:c r="C32" s="6"/>
      <x:c r="D32" s="6"/>
    </x:row>
    <x:row r="33" s="1" customFormat="1" ht="15" hidden="0" customHeight="1">
      <x:c r="A33" s="6"/>
      <x:c r="B33" s="6"/>
      <x:c r="C33" s="6"/>
      <x:c r="D33" s="6"/>
    </x:row>
    <x:row r="34" s="1" customFormat="1" ht="15" hidden="0" customHeight="1">
      <x:c r="A34" s="6"/>
      <x:c r="B34" s="6"/>
      <x:c r="C34" s="6"/>
      <x:c r="D34" s="6"/>
    </x:row>
    <x:row r="35" s="1" customFormat="1" ht="15" hidden="0" customHeight="1">
      <x:c r="A35" s="6"/>
      <x:c r="B35" s="6"/>
      <x:c r="C35" s="6"/>
      <x:c r="D35" s="6"/>
    </x:row>
    <x:row r="36" s="1" customFormat="1" ht="15" hidden="0" customHeight="1">
      <x:c r="A36" s="6"/>
      <x:c r="B36" s="6"/>
      <x:c r="C36" s="6"/>
      <x:c r="D36" s="6"/>
    </x:row>
    <x:row r="37" s="1" customFormat="1" ht="15" hidden="0" customHeight="1">
      <x:c r="A37" s="6"/>
      <x:c r="B37" s="6"/>
      <x:c r="C37" s="6"/>
      <x:c r="D37" s="6"/>
    </x:row>
    <x:row r="38" s="1" customFormat="1" ht="15" hidden="0" customHeight="1">
      <x:c r="A38" s="6"/>
      <x:c r="B38" s="6"/>
      <x:c r="C38" s="6"/>
      <x:c r="D38" s="6"/>
    </x:row>
    <x:row r="39" s="1" customFormat="1" ht="15" hidden="0" customHeight="1">
      <x:c r="A39" s="6"/>
      <x:c r="B39" s="6"/>
      <x:c r="C39" s="6"/>
      <x:c r="D39" s="6"/>
    </x:row>
    <x:row r="40" s="1" customFormat="1" ht="15" hidden="0" customHeight="1">
      <x:c r="A40" s="6"/>
      <x:c r="B40" s="6"/>
      <x:c r="C40" s="6"/>
      <x:c r="D40" s="6"/>
    </x:row>
    <x:row r="41" s="1" customFormat="1" ht="15" hidden="0" customHeight="1">
      <x:c r="A41" s="6"/>
      <x:c r="B41" s="6"/>
      <x:c r="C41" s="6"/>
      <x:c r="D41" s="6"/>
    </x:row>
    <x:row r="42" s="1" customFormat="1" ht="15" hidden="0" customHeight="1">
      <x:c r="A42" s="6"/>
      <x:c r="B42" s="6"/>
      <x:c r="C42" s="6"/>
      <x:c r="D42" s="6"/>
    </x:row>
    <x:row r="43" s="1" customFormat="1" ht="15" hidden="0" customHeight="1">
      <x:c r="A43" s="6"/>
      <x:c r="B43" s="6"/>
      <x:c r="C43" s="6"/>
      <x:c r="D43" s="6"/>
    </x:row>
    <x:row r="44" s="1" customFormat="1" ht="15" hidden="0" customHeight="1">
      <x:c r="A44" s="6"/>
      <x:c r="B44" s="6"/>
      <x:c r="C44" s="6"/>
      <x:c r="D44" s="6"/>
    </x:row>
    <x:row r="45" s="1" customFormat="1" ht="15" hidden="0" customHeight="1">
      <x:c r="A45" s="6"/>
      <x:c r="B45" s="6"/>
      <x:c r="C45" s="6"/>
      <x:c r="D45" s="6"/>
    </x:row>
    <x:row r="46" s="1" customFormat="1" ht="15" hidden="0" customHeight="1">
      <x:c r="A46" s="6"/>
      <x:c r="B46" s="6"/>
      <x:c r="C46" s="6"/>
      <x:c r="D46" s="6"/>
    </x:row>
    <x:row r="47" s="1" customFormat="1" ht="15" hidden="0" customHeight="1">
      <x:c r="A47" s="6"/>
      <x:c r="B47" s="6"/>
      <x:c r="C47" s="6"/>
      <x:c r="D47" s="6"/>
    </x:row>
    <x:row r="48" s="1" customFormat="1" ht="15" hidden="0" customHeight="1">
      <x:c r="A48" s="6"/>
      <x:c r="B48" s="6"/>
      <x:c r="C48" s="6"/>
      <x:c r="D48" s="6"/>
    </x:row>
    <x:row r="49" s="1" customFormat="1" ht="15" hidden="0" customHeight="1">
      <x:c r="A49" s="6"/>
      <x:c r="B49" s="6"/>
      <x:c r="C49" s="6"/>
      <x:c r="D49" s="6"/>
    </x:row>
    <x:row r="50" s="1" customFormat="1" ht="15" hidden="0" customHeight="1">
      <x:c r="A50" s="6"/>
      <x:c r="B50" s="6"/>
      <x:c r="C50" s="6"/>
      <x:c r="D50" s="6"/>
    </x:row>
    <x:row r="51" s="1" customFormat="1" ht="15" hidden="0" customHeight="1">
      <x:c r="A51" s="6"/>
      <x:c r="B51" s="6"/>
      <x:c r="C51" s="6"/>
      <x:c r="D51" s="6"/>
    </x:row>
    <x:row r="52" s="1" customFormat="1" ht="15" hidden="0" customHeight="1">
      <x:c r="A52" s="6"/>
      <x:c r="B52" s="6"/>
      <x:c r="C52" s="6"/>
      <x:c r="D52" s="6"/>
    </x:row>
    <x:row r="53" s="1" customFormat="1" ht="15" hidden="0" customHeight="1">
      <x:c r="A53" s="6"/>
      <x:c r="B53" s="6"/>
      <x:c r="C53" s="6"/>
      <x:c r="D53" s="6"/>
    </x:row>
    <x:row r="54" s="1" customFormat="1" ht="15" hidden="0" customHeight="1">
      <x:c r="A54" s="6"/>
      <x:c r="B54" s="6"/>
      <x:c r="C54" s="6"/>
      <x:c r="D54" s="6"/>
    </x:row>
    <x:row r="55" s="1" customFormat="1" ht="15" hidden="0" customHeight="1">
      <x:c r="A55" s="6"/>
      <x:c r="B55" s="6"/>
      <x:c r="C55" s="6"/>
      <x:c r="D55" s="6"/>
    </x:row>
    <x:row r="56" s="1" customFormat="1" ht="15" hidden="0" customHeight="1">
      <x:c r="A56" s="6"/>
      <x:c r="B56" s="6"/>
      <x:c r="C56" s="6"/>
      <x:c r="D56" s="6"/>
    </x:row>
    <x:row r="57" s="1" customFormat="1" ht="15" hidden="0" customHeight="1">
      <x:c r="A57" s="6"/>
      <x:c r="B57" s="6"/>
      <x:c r="C57" s="6"/>
      <x:c r="D57" s="6"/>
    </x:row>
    <x:row r="58" s="1" customFormat="1" ht="15" hidden="0" customHeight="1">
      <x:c r="A58" s="6"/>
      <x:c r="B58" s="6"/>
      <x:c r="C58" s="6"/>
      <x:c r="D58" s="6"/>
    </x:row>
    <x:row r="59" s="1" customFormat="1" ht="15" hidden="0" customHeight="1">
      <x:c r="A59" s="6"/>
      <x:c r="B59" s="6"/>
      <x:c r="C59" s="6"/>
      <x:c r="D59" s="6"/>
    </x:row>
    <x:row r="60" s="1" customFormat="1" ht="15" hidden="0" customHeight="1">
      <x:c r="A60" s="6"/>
      <x:c r="B60" s="6"/>
      <x:c r="C60" s="6"/>
      <x:c r="D60" s="6"/>
    </x:row>
    <x:row r="61" s="1" customFormat="1" ht="15" hidden="0" customHeight="1">
      <x:c r="A61" s="6"/>
      <x:c r="B61" s="6"/>
      <x:c r="C61" s="6"/>
      <x:c r="D61" s="6"/>
    </x:row>
    <x:row r="62" s="1" customFormat="1" ht="15" hidden="0" customHeight="1">
      <x:c r="A62" s="6"/>
      <x:c r="B62" s="6"/>
      <x:c r="C62" s="6"/>
      <x:c r="D62" s="6"/>
    </x:row>
    <x:row r="63" s="1" customFormat="1" ht="15" hidden="0" customHeight="1">
      <x:c r="A63" s="6"/>
      <x:c r="B63" s="6"/>
      <x:c r="C63" s="6"/>
      <x:c r="D63" s="6"/>
    </x:row>
    <x:row r="64" s="1" customFormat="1" ht="15" hidden="0" customHeight="1">
      <x:c r="A64" s="6"/>
      <x:c r="B64" s="6"/>
      <x:c r="C64" s="6"/>
      <x:c r="D64" s="6"/>
    </x:row>
    <x:row r="65" s="1" customFormat="1" ht="15" hidden="0" customHeight="1">
      <x:c r="A65" s="6"/>
      <x:c r="B65" s="6"/>
      <x:c r="C65" s="6"/>
      <x:c r="D65" s="6"/>
    </x:row>
    <x:row r="66" s="1" customFormat="1" ht="15" hidden="0" customHeight="1">
      <x:c r="A66" s="6"/>
      <x:c r="B66" s="6"/>
      <x:c r="C66" s="6"/>
      <x:c r="D66" s="6"/>
    </x:row>
    <x:row r="67" s="1" customFormat="1" ht="15" hidden="0" customHeight="1">
      <x:c r="A67" s="6"/>
      <x:c r="B67" s="6"/>
      <x:c r="C67" s="6"/>
      <x:c r="D67" s="6"/>
    </x:row>
    <x:row r="68" s="1" customFormat="1" ht="15" hidden="0" customHeight="1">
      <x:c r="A68" s="6"/>
      <x:c r="B68" s="6"/>
      <x:c r="C68" s="6"/>
      <x:c r="D68" s="6"/>
    </x:row>
    <x:row r="69" s="1" customFormat="1" ht="15" hidden="0" customHeight="1">
      <x:c r="A69" s="6"/>
      <x:c r="B69" s="6"/>
      <x:c r="C69" s="6"/>
      <x:c r="D69" s="6"/>
    </x:row>
    <x:row r="70" s="1" customFormat="1" ht="15" hidden="0" customHeight="1">
      <x:c r="A70" s="6"/>
      <x:c r="B70" s="6"/>
      <x:c r="C70" s="6"/>
      <x:c r="D70" s="6"/>
    </x:row>
    <x:row r="71" s="1" customFormat="1" ht="15" hidden="0" customHeight="1">
      <x:c r="A71" s="6"/>
      <x:c r="B71" s="6"/>
      <x:c r="C71" s="6"/>
      <x:c r="D71" s="6"/>
    </x:row>
    <x:row r="72" s="1" customFormat="1" ht="15" hidden="0" customHeight="1">
      <x:c r="A72" s="6"/>
      <x:c r="B72" s="6"/>
      <x:c r="C72" s="6"/>
      <x:c r="D72" s="6"/>
    </x:row>
    <x:row r="73" s="1" customFormat="1" ht="15" hidden="0" customHeight="1">
      <x:c r="A73" s="6"/>
      <x:c r="B73" s="6"/>
      <x:c r="C73" s="6"/>
      <x:c r="D73" s="6"/>
    </x:row>
    <x:row r="74" s="1" customFormat="1" ht="15" hidden="0" customHeight="1">
      <x:c r="A74" s="6"/>
      <x:c r="B74" s="6"/>
      <x:c r="C74" s="6"/>
      <x:c r="D74" s="6"/>
    </x:row>
    <x:row r="75" s="1" customFormat="1" ht="15" hidden="0" customHeight="1">
      <x:c r="A75" s="6"/>
      <x:c r="B75" s="6"/>
      <x:c r="C75" s="6"/>
      <x:c r="D75" s="6"/>
    </x:row>
    <x:row r="76" s="1" customFormat="1" ht="15" hidden="0" customHeight="1">
      <x:c r="A76" s="6"/>
      <x:c r="B76" s="6"/>
      <x:c r="C76" s="6"/>
      <x:c r="D76" s="6"/>
    </x:row>
    <x:row r="77" s="1" customFormat="1" ht="15" hidden="0" customHeight="1">
      <x:c r="A77" s="6"/>
      <x:c r="B77" s="6"/>
      <x:c r="C77" s="6"/>
      <x:c r="D77" s="6"/>
    </x:row>
    <x:row r="78" s="1" customFormat="1" ht="15" hidden="0" customHeight="1">
      <x:c r="A78" s="6"/>
      <x:c r="B78" s="6"/>
      <x:c r="C78" s="6"/>
      <x:c r="D78" s="6"/>
    </x:row>
    <x:row r="79" s="1" customFormat="1" ht="15" hidden="0" customHeight="1">
      <x:c r="A79" s="6"/>
      <x:c r="B79" s="6"/>
      <x:c r="C79" s="6"/>
      <x:c r="D79" s="6"/>
    </x:row>
    <x:row r="80" s="1" customFormat="1" ht="15" hidden="0" customHeight="1">
      <x:c r="A80" s="6"/>
      <x:c r="B80" s="6"/>
      <x:c r="C80" s="6"/>
      <x:c r="D80" s="6"/>
    </x:row>
  </x:sheetData>
  <x:pageMargins left="0.7" right="0.7" top="0.75" bottom="0.75" header="0.3" footer="0.3"/>
</x:worksheet>
</file>

<file path=xl/worksheets/sheet70.xml><?xml version="1.0" encoding="utf-8"?>
<x:worksheet xmlns:x="http://schemas.openxmlformats.org/spreadsheetml/2006/main">
  <x:sheetViews>
    <x:sheetView showGridLines="1" workbookViewId="0"/>
  </x:sheetViews>
  <x:sheetFormatPr defaultColWidth="8.6796875" defaultRowHeight="15"/>
  <x:cols>
    <x:col min="1" max="1" width="22" style="1" hidden="0" customWidth="1"/>
    <x:col min="2" max="2" width="16" style="1" hidden="0" customWidth="1"/>
    <x:col min="3" max="5" width="36" style="1" hidden="0" customWidth="1"/>
  </x:cols>
  <x:sheetData>
    <x:row r="1" s="1" customFormat="1" ht="15" hidden="0" customHeight="1">
      <x:c r="A1" s="2" t="str">
        <x:v>CALCULATION MAP - v5.6</x:v>
      </x:c>
      <x:c r="B1" s="3"/>
      <x:c r="C1" s="3"/>
      <x:c r="D1" s="3"/>
      <x:c r="E1" s="3"/>
    </x:row>
    <x:row r="2" s="1" customFormat="1" ht="15" hidden="0" customHeight="1">
      <x:c r="A2" s="6"/>
      <x:c r="B2" s="6"/>
      <x:c r="C2" s="6"/>
      <x:c r="D2" s="6"/>
      <x:c r="E2" s="6"/>
    </x:row>
    <x:row r="3" s="1" customFormat="1" ht="15" hidden="0" customHeight="1">
      <x:c r="A3" s="7" t="s">
        <x:v>4441</x:v>
      </x:c>
      <x:c r="B3" s="8" t="s">
        <x:v>4442</x:v>
      </x:c>
      <x:c r="C3" s="8" t="str">
        <x:v>Calculation role</x:v>
      </x:c>
      <x:c r="D3" s="8" t="s">
        <x:v>4443</x:v>
      </x:c>
      <x:c r="E3" s="8" t="s">
        <x:v>1203</x:v>
      </x:c>
    </x:row>
    <x:row r="4" s="1" customFormat="1" ht="15" hidden="0" customHeight="1">
      <x:c r="A4" s="7" t="s">
        <x:v>3039</x:v>
      </x:c>
      <x:c r="B4" s="5" t="s">
        <x:v>4444</x:v>
      </x:c>
      <x:c r="C4" s="5" t="s">
        <x:v>4445</x:v>
      </x:c>
      <x:c r="D4" s="5" t="s">
        <x:v>4446</x:v>
      </x:c>
      <x:c r="E4" s="5" t="s">
        <x:v>4447</x:v>
      </x:c>
    </x:row>
    <x:row r="5" s="1" customFormat="1" ht="15" hidden="0" customHeight="1">
      <x:c r="A5" s="7" t="s">
        <x:v>2858</x:v>
      </x:c>
      <x:c r="B5" s="8" t="s">
        <x:v>4448</x:v>
      </x:c>
      <x:c r="C5" s="8" t="s">
        <x:v>4449</x:v>
      </x:c>
      <x:c r="D5" s="8" t="s">
        <x:v>4450</x:v>
      </x:c>
      <x:c r="E5" s="8" t="s">
        <x:v>4451</x:v>
      </x:c>
    </x:row>
    <x:row r="6" s="1" customFormat="1" ht="15" hidden="0" customHeight="1">
      <x:c r="A6" s="7" t="s">
        <x:v>488</x:v>
      </x:c>
      <x:c r="B6" s="5" t="s">
        <x:v>4452</x:v>
      </x:c>
      <x:c r="C6" s="5" t="s">
        <x:v>4453</x:v>
      </x:c>
      <x:c r="D6" s="5" t="s">
        <x:v>4454</x:v>
      </x:c>
      <x:c r="E6" s="5" t="s">
        <x:v>4455</x:v>
      </x:c>
    </x:row>
    <x:row r="7" s="1" customFormat="1" ht="15" hidden="0" customHeight="1">
      <x:c r="A7" s="7" t="s">
        <x:v>3049</x:v>
      </x:c>
      <x:c r="B7" s="8" t="s">
        <x:v>4456</x:v>
      </x:c>
      <x:c r="C7" s="8" t="s">
        <x:v>4457</x:v>
      </x:c>
      <x:c r="D7" s="8" t="s">
        <x:v>4458</x:v>
      </x:c>
      <x:c r="E7" s="8" t="s">
        <x:v>4459</x:v>
      </x:c>
    </x:row>
    <x:row r="8" s="1" customFormat="1" ht="15" hidden="0" customHeight="1">
      <x:c r="A8" s="7" t="s">
        <x:v>13</x:v>
      </x:c>
      <x:c r="B8" s="5" t="s">
        <x:v>4460</x:v>
      </x:c>
      <x:c r="C8" s="5" t="s">
        <x:v>4461</x:v>
      </x:c>
      <x:c r="D8" s="5" t="s">
        <x:v>4462</x:v>
      </x:c>
      <x:c r="E8" s="5" t="s">
        <x:v>4463</x:v>
      </x:c>
    </x:row>
    <x:row r="9" s="1" customFormat="1" ht="15" hidden="0" customHeight="1">
      <x:c r="A9" s="7" t="s">
        <x:v>497</x:v>
      </x:c>
      <x:c r="B9" s="8" t="s">
        <x:v>4464</x:v>
      </x:c>
      <x:c r="C9" s="8" t="s">
        <x:v>4465</x:v>
      </x:c>
      <x:c r="D9" s="8" t="s">
        <x:v>4466</x:v>
      </x:c>
      <x:c r="E9" s="8" t="s">
        <x:v>4467</x:v>
      </x:c>
    </x:row>
    <x:row r="10" s="1" customFormat="1" ht="15" hidden="0" customHeight="1">
      <x:c r="A10" s="7" t="s">
        <x:v>3053</x:v>
      </x:c>
      <x:c r="B10" s="5" t="s">
        <x:v>4468</x:v>
      </x:c>
      <x:c r="C10" s="5" t="s">
        <x:v>4469</x:v>
      </x:c>
      <x:c r="D10" s="5" t="s">
        <x:v>4470</x:v>
      </x:c>
      <x:c r="E10" s="5" t="s">
        <x:v>4471</x:v>
      </x:c>
    </x:row>
    <x:row r="11" s="1" customFormat="1" ht="15" hidden="0" customHeight="1">
      <x:c r="A11" s="1" t="s">
        <x:v>713</x:v>
      </x:c>
      <x:c r="B11" s="1" t="s">
        <x:v>4472</x:v>
      </x:c>
      <x:c r="C11" s="1" t="s">
        <x:v>4473</x:v>
      </x:c>
      <x:c r="D11" s="1" t="s">
        <x:v>4474</x:v>
      </x:c>
      <x:c r="E11" s="1" t="s">
        <x:v>4475</x:v>
      </x:c>
    </x:row>
    <x:row r="12" s="1" customFormat="1" ht="15" hidden="0" customHeight="1">
      <x:c r="A12" s="1" t="s">
        <x:v>4476</x:v>
      </x:c>
      <x:c r="B12" s="1" t="s">
        <x:v>4472</x:v>
      </x:c>
      <x:c r="C12" s="1" t="s">
        <x:v>4477</x:v>
      </x:c>
      <x:c r="D12" s="1" t="s">
        <x:v>4478</x:v>
      </x:c>
      <x:c r="E12" s="1" t="s">
        <x:v>4479</x:v>
      </x:c>
    </x:row>
    <x:row r="13" s="1" customFormat="1" ht="15" hidden="0" customHeight="1">
      <x:c r="A13" s="7" t="s">
        <x:v>725</x:v>
      </x:c>
      <x:c r="B13" s="8" t="s">
        <x:v>4480</x:v>
      </x:c>
      <x:c r="C13" s="8" t="s">
        <x:v>4481</x:v>
      </x:c>
      <x:c r="D13" s="8" t="s">
        <x:v>4482</x:v>
      </x:c>
      <x:c r="E13" s="8" t="s">
        <x:v>4483</x:v>
      </x:c>
    </x:row>
    <x:row r="14" s="1" customFormat="1" ht="24" hidden="0" customHeight="1">
      <x:c r="A14" s="7" t="s">
        <x:v>481</x:v>
      </x:c>
      <x:c r="B14" s="5" t="s">
        <x:v>4484</x:v>
      </x:c>
      <x:c r="C14" s="5" t="s">
        <x:v>4485</x:v>
      </x:c>
      <x:c r="D14" s="5" t="s">
        <x:v>4486</x:v>
      </x:c>
      <x:c r="E14" s="5" t="s">
        <x:v>4487</x:v>
      </x:c>
    </x:row>
    <x:row r="15" s="1" customFormat="1" ht="23.25" hidden="0" customHeight="1">
      <x:c r="A15" s="7" t="s">
        <x:v>652</x:v>
      </x:c>
      <x:c r="B15" s="8" t="s">
        <x:v>4488</x:v>
      </x:c>
      <x:c r="C15" s="8" t="s">
        <x:v>4489</x:v>
      </x:c>
      <x:c r="D15" s="8" t="s">
        <x:v>4490</x:v>
      </x:c>
      <x:c r="E15" s="8" t="s">
        <x:v>4491</x:v>
      </x:c>
    </x:row>
    <x:row r="16" ht="26.850000381469727" hidden="0">
      <x:c r="A16" s="7" t="s">
        <x:v>4492</x:v>
      </x:c>
      <x:c r="B16" s="5" t="s">
        <x:v>4493</x:v>
      </x:c>
      <x:c r="C16" s="5" t="s">
        <x:v>4494</x:v>
      </x:c>
      <x:c r="D16" s="5" t="s">
        <x:v>4495</x:v>
      </x:c>
      <x:c r="E16" s="5" t="s">
        <x:v>4496</x:v>
      </x:c>
    </x:row>
    <x:row r="17" ht="52.20000076293945" hidden="0">
      <x:c r="A17" s="7" t="s">
        <x:v>4497</x:v>
      </x:c>
      <x:c r="B17" s="8" t="s">
        <x:v>4498</x:v>
      </x:c>
      <x:c r="C17" s="8" t="s">
        <x:v>4499</x:v>
      </x:c>
      <x:c r="D17" s="8" t="s">
        <x:v>72</x:v>
      </x:c>
      <x:c r="E17" s="8" t="s">
        <x:v>4500</x:v>
      </x:c>
    </x:row>
  </x:sheetData>
  <x:pageMargins left="0.7" right="0.7" top="0.75" bottom="0.75" header="0.3" footer="0.3"/>
</x:worksheet>
</file>

<file path=xl/worksheets/sheet71.xml><?xml version="1.0" encoding="utf-8"?>
<x:worksheet xmlns:x="http://schemas.openxmlformats.org/spreadsheetml/2006/main">
  <x:sheetViews>
    <x:sheetView showGridLines="1" workbookViewId="0"/>
  </x:sheetViews>
  <x:sheetFormatPr defaultColWidth="8.6796875" defaultRowHeight="15"/>
  <x:cols>
    <x:col min="1" max="1" width="28" style="1" hidden="0" customWidth="1"/>
    <x:col min="2" max="2" width="110" style="1" hidden="0" customWidth="1"/>
  </x:cols>
  <x:sheetData>
    <x:row r="1" s="1" customFormat="1" ht="15" hidden="0" customHeight="1">
      <x:c r="A1" s="2" t="s">
        <x:v>4501</x:v>
      </x:c>
      <x:c r="B1" s="2" t="s">
        <x:v>347</x:v>
      </x:c>
    </x:row>
    <x:row r="2" s="1" customFormat="1" ht="15" hidden="0" customHeight="1">
      <x:c r="A2" s="7" t="s">
        <x:v>151</x:v>
      </x:c>
      <x:c r="B2" s="5" t="s">
        <x:v>4502</x:v>
      </x:c>
    </x:row>
    <x:row r="3" s="1" customFormat="1" ht="15" hidden="0" customHeight="1">
      <x:c r="A3" s="7" t="s">
        <x:v>4503</x:v>
      </x:c>
      <x:c r="B3" s="8" t="s">
        <x:v>196</x:v>
      </x:c>
    </x:row>
    <x:row r="4" s="1" customFormat="1" ht="15" hidden="0" customHeight="1">
      <x:c r="A4" s="7" t="s">
        <x:v>4504</x:v>
      </x:c>
      <x:c r="B4" s="5" t="s">
        <x:v>4505</x:v>
      </x:c>
    </x:row>
    <x:row r="5" s="1" customFormat="1" ht="15" hidden="0" customHeight="1">
      <x:c r="A5" s="7" t="s">
        <x:v>4506</x:v>
      </x:c>
      <x:c r="B5" s="8" t="s">
        <x:v>4507</x:v>
      </x:c>
    </x:row>
    <x:row r="6" s="1" customFormat="1" ht="15" hidden="0" customHeight="1">
      <x:c r="A6" s="7" t="s">
        <x:v>88</x:v>
      </x:c>
      <x:c r="B6" s="5" t="s">
        <x:v>4508</x:v>
      </x:c>
    </x:row>
  </x:sheetData>
  <x:pageMargins left="0.7" right="0.7" top="0.75" bottom="0.75" header="0.3" footer="0.3"/>
</x:worksheet>
</file>

<file path=xl/worksheets/sheet72.xml><?xml version="1.0" encoding="utf-8"?>
<x:worksheet xmlns:x="http://schemas.openxmlformats.org/spreadsheetml/2006/main">
  <x:sheetViews>
    <x:sheetView showGridLines="1" workbookViewId="0"/>
  </x:sheetViews>
  <x:sheetFormatPr defaultColWidth="8.6796875" defaultRowHeight="15"/>
  <x:cols>
    <x:col min="1" max="3" width="36" style="1" hidden="0" customWidth="1"/>
    <x:col min="4" max="4" width="28" style="1" hidden="0" customWidth="1"/>
    <x:col min="5" max="5" width="30" style="1" hidden="0" customWidth="1"/>
    <x:col min="6" max="6" width="24" style="1" hidden="0" customWidth="1"/>
    <x:col min="7" max="7" width="28" style="1" hidden="0" customWidth="1"/>
    <x:col min="8" max="8" width="26" style="1" hidden="0" customWidth="1"/>
  </x:cols>
  <x:sheetData>
    <x:row r="1" s="1" customFormat="1" ht="27.75" hidden="0" customHeight="1">
      <x:c r="A1" s="2" t="s">
        <x:v>4509</x:v>
      </x:c>
      <x:c r="B1" s="3"/>
      <x:c r="C1" s="3"/>
      <x:c r="D1" s="3"/>
      <x:c r="E1" s="3"/>
      <x:c r="F1" s="3"/>
      <x:c r="G1" s="3"/>
      <x:c r="H1" s="3"/>
    </x:row>
    <x:row r="2" s="1" customFormat="1" ht="15" hidden="0" customHeight="1">
      <x:c r="A2" s="4" t="s">
        <x:v>4510</x:v>
      </x:c>
      <x:c r="B2" s="5" t="s">
        <x:v>196</x:v>
      </x:c>
      <x:c r="C2" s="6"/>
      <x:c r="D2" s="6"/>
      <x:c r="E2" s="6"/>
      <x:c r="F2" s="6"/>
      <x:c r="G2" s="6"/>
      <x:c r="H2" s="6"/>
    </x:row>
    <x:row r="3" s="1" customFormat="1" ht="68.25" hidden="0" customHeight="1">
      <x:c r="A3" s="7" t="s">
        <x:v>435</x:v>
      </x:c>
      <x:c r="B3" s="8" t="s">
        <x:v>4511</x:v>
      </x:c>
      <x:c r="C3" s="6"/>
      <x:c r="D3" s="6"/>
      <x:c r="E3" s="6"/>
      <x:c r="F3" s="6"/>
      <x:c r="G3" s="6"/>
      <x:c r="H3" s="6"/>
    </x:row>
    <x:row r="4" s="1" customFormat="1" ht="15" hidden="0" customHeight="1">
      <x:c r="A4" s="6"/>
      <x:c r="B4" s="6"/>
      <x:c r="C4" s="6"/>
      <x:c r="D4" s="6"/>
      <x:c r="E4" s="6"/>
      <x:c r="F4" s="6"/>
      <x:c r="G4" s="6"/>
      <x:c r="H4" s="6"/>
    </x:row>
    <x:row r="5" s="1" customFormat="1" ht="15" hidden="0" customHeight="1">
      <x:c r="A5" s="7" t="s">
        <x:v>4512</x:v>
      </x:c>
      <x:c r="B5" s="9" t="s">
        <x:v>1736</x:v>
      </x:c>
      <x:c r="C5" s="9" t="s">
        <x:v>4513</x:v>
      </x:c>
      <x:c r="D5" s="9" t="s">
        <x:v>4514</x:v>
      </x:c>
      <x:c r="E5" s="9" t="s">
        <x:v>4515</x:v>
      </x:c>
      <x:c r="F5" s="9" t="s">
        <x:v>4516</x:v>
      </x:c>
      <x:c r="G5" s="9" t="s">
        <x:v>1203</x:v>
      </x:c>
      <x:c r="H5" s="9" t="s">
        <x:v>4517</x:v>
      </x:c>
    </x:row>
    <x:row r="6" s="1" customFormat="1" ht="23.25" hidden="0" customHeight="1">
      <x:c r="A6" s="7" t="s">
        <x:v>4518</x:v>
      </x:c>
      <x:c r="B6" s="5" t="s">
        <x:v>4519</x:v>
      </x:c>
      <x:c r="C6" s="5" t="s">
        <x:v>4520</x:v>
      </x:c>
      <x:c r="D6" s="5" t="s">
        <x:v>4521</x:v>
      </x:c>
      <x:c r="E6" s="5" t="s">
        <x:v>4522</x:v>
      </x:c>
      <x:c r="F6" s="5" t="s">
        <x:v>4522</x:v>
      </x:c>
      <x:c r="G6" s="5" t="s">
        <x:v>4523</x:v>
      </x:c>
      <x:c r="H6" s="5" t="s">
        <x:v>4524</x:v>
      </x:c>
    </x:row>
    <x:row r="7" s="1" customFormat="1" ht="15" hidden="0" customHeight="1">
      <x:c r="A7" s="7" t="s">
        <x:v>311</x:v>
      </x:c>
      <x:c r="B7" s="8" t="s">
        <x:v>4525</x:v>
      </x:c>
      <x:c r="C7" s="8" t="s">
        <x:v>4526</x:v>
      </x:c>
      <x:c r="D7" s="8" t="s">
        <x:v>4521</x:v>
      </x:c>
      <x:c r="E7" s="8" t="s">
        <x:v>4527</x:v>
      </x:c>
      <x:c r="F7" s="8" t="s">
        <x:v>4522</x:v>
      </x:c>
      <x:c r="G7" s="8" t="s">
        <x:v>4528</x:v>
      </x:c>
      <x:c r="H7" s="8" t="s">
        <x:v>4529</x:v>
      </x:c>
    </x:row>
    <x:row r="8" s="1" customFormat="1" ht="23.25" hidden="0" customHeight="1">
      <x:c r="A8" s="7" t="s">
        <x:v>1940</x:v>
      </x:c>
      <x:c r="B8" s="5" t="s">
        <x:v>4530</x:v>
      </x:c>
      <x:c r="C8" s="5" t="s">
        <x:v>4531</x:v>
      </x:c>
      <x:c r="D8" s="5" t="s">
        <x:v>4532</x:v>
      </x:c>
      <x:c r="E8" s="5" t="s">
        <x:v>1179</x:v>
      </x:c>
      <x:c r="F8" s="5" t="s">
        <x:v>4522</x:v>
      </x:c>
      <x:c r="G8" s="5" t="s">
        <x:v>4533</x:v>
      </x:c>
      <x:c r="H8" s="5" t="s">
        <x:v>4534</x:v>
      </x:c>
    </x:row>
    <x:row r="9" s="1" customFormat="1" ht="15" hidden="0" customHeight="1">
      <x:c r="A9" s="7" t="s">
        <x:v>1947</x:v>
      </x:c>
      <x:c r="B9" s="8" t="s">
        <x:v>4535</x:v>
      </x:c>
      <x:c r="C9" s="8" t="s">
        <x:v>4536</x:v>
      </x:c>
      <x:c r="D9" s="8" t="s">
        <x:v>4537</x:v>
      </x:c>
      <x:c r="E9" s="8" t="s">
        <x:v>1179</x:v>
      </x:c>
      <x:c r="F9" s="8" t="s">
        <x:v>4538</x:v>
      </x:c>
      <x:c r="G9" s="8" t="s">
        <x:v>4539</x:v>
      </x:c>
      <x:c r="H9" s="8" t="s">
        <x:v>4540</x:v>
      </x:c>
    </x:row>
    <x:row r="10" s="1" customFormat="1" ht="23.25" hidden="0" customHeight="1">
      <x:c r="A10" s="7" t="s">
        <x:v>4541</x:v>
      </x:c>
      <x:c r="B10" s="5" t="s">
        <x:v>4542</x:v>
      </x:c>
      <x:c r="C10" s="5" t="s">
        <x:v>4543</x:v>
      </x:c>
      <x:c r="D10" s="5" t="s">
        <x:v>4544</x:v>
      </x:c>
      <x:c r="E10" s="5" t="s">
        <x:v>1179</x:v>
      </x:c>
      <x:c r="F10" s="5" t="s">
        <x:v>4522</x:v>
      </x:c>
      <x:c r="G10" s="5" t="s">
        <x:v>4545</x:v>
      </x:c>
      <x:c r="H10" s="5" t="s">
        <x:v>4546</x:v>
      </x:c>
    </x:row>
    <x:row r="11" s="1" customFormat="1" ht="23.25" hidden="0" customHeight="1">
      <x:c r="A11" s="7" t="s">
        <x:v>4547</x:v>
      </x:c>
      <x:c r="B11" s="8" t="s">
        <x:v>4548</x:v>
      </x:c>
      <x:c r="C11" s="8" t="s">
        <x:v>4549</x:v>
      </x:c>
      <x:c r="D11" s="8" t="s">
        <x:v>4550</x:v>
      </x:c>
      <x:c r="E11" s="8" t="s">
        <x:v>4527</x:v>
      </x:c>
      <x:c r="F11" s="8" t="s">
        <x:v>4527</x:v>
      </x:c>
      <x:c r="G11" s="8" t="s">
        <x:v>4551</x:v>
      </x:c>
      <x:c r="H11" s="8" t="s">
        <x:v>4552</x:v>
      </x:c>
    </x:row>
    <x:row r="12" s="1" customFormat="1" ht="15" hidden="0" customHeight="1">
      <x:c r="A12" s="7" t="s">
        <x:v>4553</x:v>
      </x:c>
      <x:c r="B12" s="5" t="s">
        <x:v>4554</x:v>
      </x:c>
      <x:c r="C12" s="5" t="s">
        <x:v>4555</x:v>
      </x:c>
      <x:c r="D12" s="5" t="s">
        <x:v>4556</x:v>
      </x:c>
      <x:c r="E12" s="5" t="s">
        <x:v>4522</x:v>
      </x:c>
      <x:c r="F12" s="5" t="s">
        <x:v>4522</x:v>
      </x:c>
      <x:c r="G12" s="5" t="s">
        <x:v>4557</x:v>
      </x:c>
      <x:c r="H12" s="5" t="s">
        <x:v>4558</x:v>
      </x:c>
    </x:row>
    <x:row r="13" s="1" customFormat="1" ht="15" hidden="0" customHeight="1">
      <x:c r="A13" s="6"/>
      <x:c r="B13" s="6"/>
      <x:c r="C13" s="6"/>
      <x:c r="D13" s="6"/>
      <x:c r="E13" s="6"/>
      <x:c r="F13" s="6"/>
      <x:c r="G13" s="6"/>
      <x:c r="H13" s="6"/>
    </x:row>
    <x:row r="14" s="1" customFormat="1" ht="15" hidden="0" customHeight="1">
      <x:c r="A14" s="7" t="s">
        <x:v>1957</x:v>
      </x:c>
      <x:c r="B14" s="5" t="s">
        <x:v>4559</x:v>
      </x:c>
      <x:c r="C14" s="5" t="s">
        <x:v>21</x:v>
      </x:c>
      <x:c r="D14" s="5" t="s">
        <x:v>23</x:v>
      </x:c>
      <x:c r="E14" s="5" t="s">
        <x:v>25</x:v>
      </x:c>
      <x:c r="F14" s="5" t="s">
        <x:v>27</x:v>
      </x:c>
      <x:c r="G14" s="5" t="s">
        <x:v>4560</x:v>
      </x:c>
      <x:c r="H14" s="6"/>
    </x:row>
    <x:row r="15" s="1" customFormat="1" ht="15" hidden="0" customHeight="1">
      <x:c r="A15" s="7" t="s">
        <x:v>1963</x:v>
      </x:c>
      <x:c r="B15" s="8" t="s">
        <x:v>4561</x:v>
      </x:c>
      <x:c r="C15" s="8" t="s">
        <x:v>4562</x:v>
      </x:c>
      <x:c r="D15" s="8" t="s">
        <x:v>4563</x:v>
      </x:c>
      <x:c r="E15" s="8" t="s">
        <x:v>4564</x:v>
      </x:c>
      <x:c r="F15" s="8" t="s">
        <x:v>4565</x:v>
      </x:c>
      <x:c r="G15" s="8" t="s">
        <x:v>4566</x:v>
      </x:c>
      <x:c r="H15" s="6"/>
    </x:row>
    <x:row r="16" s="1" customFormat="1" ht="15" hidden="0" customHeight="1">
      <x:c r="A16" s="7" t="s">
        <x:v>4567</x:v>
      </x:c>
      <x:c r="B16" s="5" t="s">
        <x:v>4561</x:v>
      </x:c>
      <x:c r="C16" s="5" t="s">
        <x:v>4562</x:v>
      </x:c>
      <x:c r="D16" s="5" t="s">
        <x:v>4563</x:v>
      </x:c>
      <x:c r="E16" s="5" t="s">
        <x:v>4564</x:v>
      </x:c>
      <x:c r="F16" s="5" t="s">
        <x:v>4565</x:v>
      </x:c>
      <x:c r="G16" s="5" t="s">
        <x:v>4566</x:v>
      </x:c>
      <x:c r="H16" s="6"/>
    </x:row>
    <x:row r="17" s="1" customFormat="1" ht="15" hidden="0" customHeight="1">
      <x:c r="A17" s="7" t="s">
        <x:v>4568</x:v>
      </x:c>
      <x:c r="B17" s="8" t="s">
        <x:v>4561</x:v>
      </x:c>
      <x:c r="C17" s="8" t="s">
        <x:v>4562</x:v>
      </x:c>
      <x:c r="D17" s="8" t="s">
        <x:v>4563</x:v>
      </x:c>
      <x:c r="E17" s="8" t="s">
        <x:v>4564</x:v>
      </x:c>
      <x:c r="F17" s="8" t="s">
        <x:v>4565</x:v>
      </x:c>
      <x:c r="G17" s="8" t="s">
        <x:v>4566</x:v>
      </x:c>
      <x:c r="H17" s="6"/>
    </x:row>
    <x:row r="18" s="1" customFormat="1" ht="15" hidden="0" customHeight="1">
      <x:c r="A18" s="7" t="s">
        <x:v>4569</x:v>
      </x:c>
      <x:c r="B18" s="5" t="s">
        <x:v>4561</x:v>
      </x:c>
      <x:c r="C18" s="5" t="s">
        <x:v>4562</x:v>
      </x:c>
      <x:c r="D18" s="5" t="s">
        <x:v>4563</x:v>
      </x:c>
      <x:c r="E18" s="5" t="s">
        <x:v>4564</x:v>
      </x:c>
      <x:c r="F18" s="5" t="s">
        <x:v>4565</x:v>
      </x:c>
      <x:c r="G18" s="5" t="s">
        <x:v>4566</x:v>
      </x:c>
      <x:c r="H18" s="6"/>
    </x:row>
    <x:row r="19" s="1" customFormat="1" ht="15" hidden="0" customHeight="1">
      <x:c r="A19" s="7" t="s">
        <x:v>4570</x:v>
      </x:c>
      <x:c r="B19" s="8" t="s">
        <x:v>4571</x:v>
      </x:c>
      <x:c r="C19" s="8" t="s">
        <x:v>4572</x:v>
      </x:c>
      <x:c r="D19" s="8" t="s">
        <x:v>4563</x:v>
      </x:c>
      <x:c r="E19" s="8" t="s">
        <x:v>4564</x:v>
      </x:c>
      <x:c r="F19" s="8" t="s">
        <x:v>4565</x:v>
      </x:c>
      <x:c r="G19" s="8" t="s">
        <x:v>4566</x:v>
      </x:c>
      <x:c r="H19" s="6"/>
    </x:row>
    <x:row r="20" s="1" customFormat="1" ht="15" hidden="0" customHeight="1">
      <x:c r="A20" s="163" t="s">
        <x:v>4573</x:v>
      </x:c>
      <x:c r="B20" s="163"/>
      <x:c r="C20" s="163"/>
      <x:c r="D20" s="163"/>
      <x:c r="E20" s="163"/>
      <x:c r="F20" s="163"/>
      <x:c r="G20" s="163"/>
      <x:c r="H20" s="163"/>
    </x:row>
    <x:row r="21" ht="15" hidden="0">
      <x:c r="A21" s="163" t="s">
        <x:v>4574</x:v>
      </x:c>
      <x:c r="B21" s="163" t="s">
        <x:v>4575</x:v>
      </x:c>
      <x:c r="C21" s="163" t="s">
        <x:v>4576</x:v>
      </x:c>
      <x:c r="D21" s="163" t="s">
        <x:v>311</x:v>
      </x:c>
      <x:c r="E21" s="163" t="s">
        <x:v>4577</x:v>
      </x:c>
      <x:c r="F21" s="163" t="s">
        <x:v>4578</x:v>
      </x:c>
      <x:c r="G21" s="163" t="s">
        <x:v>4579</x:v>
      </x:c>
      <x:c r="H21" s="163" t="s">
        <x:v>4580</x:v>
      </x:c>
    </x:row>
    <x:row r="22" ht="23.850000381469727" hidden="0">
      <x:c r="A22" s="164" t="s">
        <x:v>1963</x:v>
      </x:c>
      <x:c r="B22" s="164" t="s">
        <x:v>4581</x:v>
      </x:c>
      <x:c r="C22" s="164" t="s">
        <x:v>4582</x:v>
      </x:c>
      <x:c r="D22" s="164" t="s">
        <x:v>4583</x:v>
      </x:c>
      <x:c r="E22" s="164" t="s">
        <x:v>4584</x:v>
      </x:c>
      <x:c r="F22" s="164" t="s">
        <x:v>4585</x:v>
      </x:c>
      <x:c r="G22" s="164" t="s">
        <x:v>1913</x:v>
      </x:c>
      <x:c r="H22" s="164" t="s">
        <x:v>497</x:v>
      </x:c>
    </x:row>
    <x:row r="23" ht="23.850000381469727" hidden="0">
      <x:c r="A23" s="164" t="s">
        <x:v>4567</x:v>
      </x:c>
      <x:c r="B23" s="164" t="s">
        <x:v>4586</x:v>
      </x:c>
      <x:c r="C23" s="164" t="s">
        <x:v>4571</x:v>
      </x:c>
      <x:c r="D23" s="164" t="s">
        <x:v>4587</x:v>
      </x:c>
      <x:c r="E23" s="164" t="s">
        <x:v>4588</x:v>
      </x:c>
      <x:c r="F23" s="164" t="s">
        <x:v>4589</x:v>
      </x:c>
      <x:c r="G23" s="164" t="s">
        <x:v>311</x:v>
      </x:c>
      <x:c r="H23" s="164" t="s">
        <x:v>3053</x:v>
      </x:c>
    </x:row>
    <x:row r="24" ht="23.850000381469727" hidden="0">
      <x:c r="A24" s="164" t="s">
        <x:v>4590</x:v>
      </x:c>
      <x:c r="B24" s="164" t="s">
        <x:v>4591</x:v>
      </x:c>
      <x:c r="C24" s="164" t="s">
        <x:v>4592</x:v>
      </x:c>
      <x:c r="D24" s="164" t="s">
        <x:v>4593</x:v>
      </x:c>
      <x:c r="E24" s="164" t="s">
        <x:v>4594</x:v>
      </x:c>
      <x:c r="F24" s="164" t="s">
        <x:v>4595</x:v>
      </x:c>
      <x:c r="G24" s="164" t="s">
        <x:v>311</x:v>
      </x:c>
      <x:c r="H24" s="164" t="s">
        <x:v>4596</x:v>
      </x:c>
    </x:row>
    <x:row r="25" ht="23.850000381469727" hidden="0">
      <x:c r="A25" s="164" t="s">
        <x:v>4597</x:v>
      </x:c>
      <x:c r="B25" s="164" t="s">
        <x:v>4598</x:v>
      </x:c>
      <x:c r="C25" s="164" t="s">
        <x:v>4599</x:v>
      </x:c>
      <x:c r="D25" s="164" t="s">
        <x:v>4600</x:v>
      </x:c>
      <x:c r="E25" s="164" t="s">
        <x:v>4601</x:v>
      </x:c>
      <x:c r="F25" s="164" t="s">
        <x:v>4602</x:v>
      </x:c>
      <x:c r="G25" s="164" t="s">
        <x:v>4603</x:v>
      </x:c>
      <x:c r="H25" s="164" t="s">
        <x:v>4604</x:v>
      </x:c>
    </x:row>
    <x:row r="26" ht="15" hidden="0">
      <x:c r="A26" s="164" t="s">
        <x:v>4605</x:v>
      </x:c>
      <x:c r="B26" s="164" t="s">
        <x:v>4606</x:v>
      </x:c>
      <x:c r="C26" s="164" t="s">
        <x:v>4607</x:v>
      </x:c>
      <x:c r="D26" s="164" t="s">
        <x:v>4608</x:v>
      </x:c>
      <x:c r="E26" s="164" t="s">
        <x:v>4609</x:v>
      </x:c>
      <x:c r="F26" s="164" t="s">
        <x:v>4610</x:v>
      </x:c>
      <x:c r="G26" s="164" t="s">
        <x:v>311</x:v>
      </x:c>
      <x:c r="H26" s="164" t="s">
        <x:v>497</x:v>
      </x:c>
    </x:row>
    <x:row r="27" ht="15" hidden="0">
      <x:c r="A27" s="164" t="s">
        <x:v>4611</x:v>
      </x:c>
      <x:c r="B27" s="164" t="s">
        <x:v>4612</x:v>
      </x:c>
      <x:c r="C27" s="164" t="s">
        <x:v>4571</x:v>
      </x:c>
      <x:c r="D27" s="164" t="s">
        <x:v>4587</x:v>
      </x:c>
      <x:c r="E27" s="164" t="s">
        <x:v>4613</x:v>
      </x:c>
      <x:c r="F27" s="164" t="s">
        <x:v>4614</x:v>
      </x:c>
      <x:c r="G27" s="164" t="s">
        <x:v>311</x:v>
      </x:c>
      <x:c r="H27" s="164" t="s">
        <x:v>4615</x:v>
      </x:c>
    </x:row>
    <x:row r="28" ht="23.850000381469727" hidden="0">
      <x:c r="A28" s="165" t="s">
        <x:v>4616</x:v>
      </x:c>
      <x:c r="B28" s="165" t="s">
        <x:v>4617</x:v>
      </x:c>
      <x:c r="C28" s="165" t="s">
        <x:v>4618</x:v>
      </x:c>
      <x:c r="D28" s="165" t="s">
        <x:v>4619</x:v>
      </x:c>
      <x:c r="E28" s="165" t="s">
        <x:v>4620</x:v>
      </x:c>
      <x:c r="F28" s="165" t="s">
        <x:v>4621</x:v>
      </x:c>
      <x:c r="G28" s="165" t="s">
        <x:v>311</x:v>
      </x:c>
      <x:c r="H28" s="165" t="s">
        <x:v>2756</x:v>
      </x:c>
    </x:row>
    <x:row r="29" ht="23.850000381469727" hidden="0">
      <x:c r="A29" s="165" t="s">
        <x:v>4622</x:v>
      </x:c>
      <x:c r="B29" s="165" t="s">
        <x:v>4623</x:v>
      </x:c>
      <x:c r="C29" s="165" t="s">
        <x:v>4624</x:v>
      </x:c>
      <x:c r="D29" s="165" t="s">
        <x:v>4625</x:v>
      </x:c>
      <x:c r="E29" s="165" t="s">
        <x:v>4626</x:v>
      </x:c>
      <x:c r="F29" s="165" t="s">
        <x:v>4627</x:v>
      </x:c>
      <x:c r="G29" s="165" t="s">
        <x:v>4628</x:v>
      </x:c>
      <x:c r="H29" s="165" t="s">
        <x:v>3102</x:v>
      </x:c>
    </x:row>
    <x:row r="30" ht="23.850000381469727" hidden="0">
      <x:c r="A30" s="166" t="s">
        <x:v>4629</x:v>
      </x:c>
      <x:c r="B30" s="166" t="s">
        <x:v>4630</x:v>
      </x:c>
      <x:c r="C30" s="166" t="s">
        <x:v>4518</x:v>
      </x:c>
      <x:c r="D30" s="166" t="s">
        <x:v>311</x:v>
      </x:c>
      <x:c r="E30" s="166" t="s">
        <x:v>4631</x:v>
      </x:c>
      <x:c r="F30" s="166" t="s">
        <x:v>4541</x:v>
      </x:c>
      <x:c r="G30" s="166" t="s">
        <x:v>311</x:v>
      </x:c>
      <x:c r="H30" s="166" t="s">
        <x:v>4632</x:v>
      </x:c>
    </x:row>
  </x:sheetData>
  <x:pageMargins left="0.7" right="0.7" top="0.75" bottom="0.75" header="0.3" footer="0.3"/>
</x:worksheet>
</file>

<file path=xl/worksheets/sheet73.xml><?xml version="1.0" encoding="utf-8"?>
<x:worksheet xmlns:x="http://schemas.openxmlformats.org/spreadsheetml/2006/main">
  <x:sheetViews>
    <x:sheetView showGridLines="1" workbookViewId="0"/>
  </x:sheetViews>
  <x:sheetFormatPr defaultColWidth="8.6796875" defaultRowHeight="15"/>
  <x:cols>
    <x:col min="1" max="2" width="36" style="1" hidden="0" customWidth="1"/>
  </x:cols>
  <x:sheetData>
    <x:row r="1" s="1" customFormat="1" ht="27.75" hidden="0" customHeight="1">
      <x:c r="A1" s="2" t="s">
        <x:v>4633</x:v>
      </x:c>
      <x:c r="B1" s="2" t="s">
        <x:v>194</x:v>
      </x:c>
    </x:row>
    <x:row r="2" s="1" customFormat="1" ht="15" hidden="0" customHeight="1">
      <x:c r="A2" s="7" t="s">
        <x:v>761</x:v>
      </x:c>
      <x:c r="B2" s="5" t="s">
        <x:v>4634</x:v>
      </x:c>
    </x:row>
    <x:row r="3" s="1" customFormat="1" ht="15" hidden="0" customHeight="1">
      <x:c r="A3" s="7" t="s">
        <x:v>4401</x:v>
      </x:c>
      <x:c r="B3" s="8" t="s">
        <x:v>196</x:v>
      </x:c>
    </x:row>
    <x:row r="4" s="1" customFormat="1" ht="34.5" hidden="0" customHeight="1">
      <x:c r="A4" s="7" t="s">
        <x:v>198</x:v>
      </x:c>
      <x:c r="B4" s="5" t="s">
        <x:v>4635</x:v>
      </x:c>
    </x:row>
    <x:row r="5" s="1" customFormat="1" ht="15" hidden="0" customHeight="1">
      <x:c r="A5" s="7" t="s">
        <x:v>4636</x:v>
      </x:c>
      <x:c r="B5" s="8" t="s">
        <x:v>4637</x:v>
      </x:c>
    </x:row>
    <x:row r="6" s="1" customFormat="1" ht="45.75" hidden="0" customHeight="1">
      <x:c r="A6" s="7" t="s">
        <x:v>4638</x:v>
      </x:c>
      <x:c r="B6" s="5" t="s">
        <x:v>4639</x:v>
      </x:c>
    </x:row>
    <x:row r="7" s="1" customFormat="1" ht="34.5" hidden="0" customHeight="1">
      <x:c r="A7" s="7" t="s">
        <x:v>211</x:v>
      </x:c>
      <x:c r="B7" s="8" t="s">
        <x:v>4640</x:v>
      </x:c>
    </x:row>
    <x:row r="8" s="1" customFormat="1" ht="23.25" hidden="0" customHeight="1">
      <x:c r="A8" s="7" t="s">
        <x:v>4433</x:v>
      </x:c>
      <x:c r="B8" s="5" t="s">
        <x:v>4641</x:v>
      </x:c>
    </x:row>
    <x:row r="9" s="1" customFormat="1" ht="34.5" hidden="0" customHeight="1">
      <x:c r="A9" s="7" t="s">
        <x:v>4642</x:v>
      </x:c>
      <x:c r="B9" s="8" t="s">
        <x:v>4643</x:v>
      </x:c>
    </x:row>
    <x:row r="10" s="1" customFormat="1" ht="34.5" hidden="0" customHeight="1">
      <x:c r="A10" s="7" t="s">
        <x:v>19</x:v>
      </x:c>
      <x:c r="B10" s="5" t="s">
        <x:v>4644</x:v>
      </x:c>
    </x:row>
    <x:row r="11" s="1" customFormat="1" ht="57" hidden="0" customHeight="1">
      <x:c r="A11" s="7" t="s">
        <x:v>4439</x:v>
      </x:c>
      <x:c r="B11" s="8" t="s">
        <x:v>4645</x:v>
      </x:c>
    </x:row>
    <x:row r="12" s="1" customFormat="1" ht="15" hidden="0" customHeight="1">
      <x:c r="A12" s="6"/>
      <x:c r="B12" s="6"/>
    </x:row>
    <x:row r="13" s="1" customFormat="1" ht="15" hidden="0" customHeight="1">
      <x:c r="A13" s="6"/>
      <x:c r="B13" s="6"/>
    </x:row>
    <x:row r="14" s="1" customFormat="1" ht="15" hidden="0" customHeight="1">
      <x:c r="A14" s="6"/>
      <x:c r="B14" s="6"/>
    </x:row>
    <x:row r="15" s="1" customFormat="1" ht="15" hidden="0" customHeight="1">
      <x:c r="A15" s="6"/>
      <x:c r="B15" s="6"/>
    </x:row>
  </x:sheetData>
  <x:pageMargins left="0.7" right="0.7" top="0.75" bottom="0.75" header="0.3" footer="0.3"/>
</x:worksheet>
</file>

<file path=xl/worksheets/sheet74.xml><?xml version="1.0" encoding="utf-8"?>
<x:worksheet xmlns:x="http://schemas.openxmlformats.org/spreadsheetml/2006/main">
  <x:sheetViews>
    <x:sheetView showGridLines="1" workbookViewId="0"/>
  </x:sheetViews>
  <x:sheetFormatPr defaultColWidth="8.6796875" defaultRowHeight="15"/>
  <x:cols>
    <x:col min="1" max="1" width="34" style="1" hidden="0" customWidth="1"/>
    <x:col min="2" max="2" width="22" style="1" hidden="0" customWidth="1"/>
    <x:col min="3" max="3" width="43" style="1" hidden="0" customWidth="1"/>
    <x:col min="4" max="4" width="38" style="1" hidden="0" customWidth="1"/>
    <x:col min="5" max="5" width="52" style="1" hidden="0" customWidth="1"/>
  </x:cols>
  <x:sheetData>
    <x:row r="1" s="1" customFormat="1" ht="28" hidden="0" customHeight="1">
      <x:c r="A1" s="167" t="s">
        <x:v>4646</x:v>
      </x:c>
      <x:c r="B1" s="167" t="s">
        <x:v>4647</x:v>
      </x:c>
      <x:c r="C1" s="167" t="s">
        <x:v>876</x:v>
      </x:c>
      <x:c r="D1" s="167" t="s">
        <x:v>4648</x:v>
      </x:c>
      <x:c r="E1" s="167" t="s">
        <x:v>4649</x:v>
      </x:c>
    </x:row>
    <x:row r="2" s="1" customFormat="1" ht="44" hidden="0" customHeight="1">
      <x:c r="A2" s="168" t="s">
        <x:v>4650</x:v>
      </x:c>
      <x:c r="B2" s="169" t="s">
        <x:v>164</x:v>
      </x:c>
      <x:c r="C2" s="169" t="s">
        <x:v>4651</x:v>
      </x:c>
      <x:c r="D2" s="169" t="s">
        <x:v>4652</x:v>
      </x:c>
      <x:c r="E2" s="170" t="s">
        <x:v>4653</x:v>
      </x:c>
    </x:row>
    <x:row r="3" s="1" customFormat="1" ht="44" hidden="0" customHeight="1">
      <x:c r="A3" s="171" t="s">
        <x:v>4654</x:v>
      </x:c>
      <x:c r="B3" s="8" t="s">
        <x:v>166</x:v>
      </x:c>
      <x:c r="C3" s="8" t="s">
        <x:v>4655</x:v>
      </x:c>
      <x:c r="D3" s="8" t="s">
        <x:v>4656</x:v>
      </x:c>
      <x:c r="E3" s="172" t="s">
        <x:v>4657</x:v>
      </x:c>
    </x:row>
    <x:row r="4" s="1" customFormat="1" ht="44" hidden="0" customHeight="1">
      <x:c r="A4" s="171" t="s">
        <x:v>4658</x:v>
      </x:c>
      <x:c r="B4" s="5" t="s">
        <x:v>168</x:v>
      </x:c>
      <x:c r="C4" s="5" t="s">
        <x:v>4659</x:v>
      </x:c>
      <x:c r="D4" s="5" t="s">
        <x:v>4660</x:v>
      </x:c>
      <x:c r="E4" s="173" t="s">
        <x:v>4661</x:v>
      </x:c>
    </x:row>
    <x:row r="5" s="1" customFormat="1" ht="44" hidden="0" customHeight="1">
      <x:c r="A5" s="171" t="s">
        <x:v>169</x:v>
      </x:c>
      <x:c r="B5" s="8" t="str">
        <x:v>v12.5</x:v>
      </x:c>
      <x:c r="C5" s="8" t="s">
        <x:v>4662</x:v>
      </x:c>
      <x:c r="D5" s="8" t="s">
        <x:v>4663</x:v>
      </x:c>
      <x:c r="E5" s="172" t="s">
        <x:v>4664</x:v>
      </x:c>
    </x:row>
    <x:row r="6" s="1" customFormat="1" ht="44" hidden="0" customHeight="1">
      <x:c r="A6" s="171" t="s">
        <x:v>170</x:v>
      </x:c>
      <x:c r="B6" s="5" t="str">
        <x:v>v2.4</x:v>
      </x:c>
      <x:c r="C6" s="5" t="s">
        <x:v>4665</x:v>
      </x:c>
      <x:c r="D6" s="5" t="s">
        <x:v>4666</x:v>
      </x:c>
      <x:c r="E6" s="173" t="s">
        <x:v>4667</x:v>
      </x:c>
    </x:row>
    <x:row r="7" s="1" customFormat="1" ht="44" hidden="0" customHeight="1">
      <x:c r="A7" s="171" t="s">
        <x:v>172</x:v>
      </x:c>
      <x:c r="B7" s="8" t="s">
        <x:v>173</x:v>
      </x:c>
      <x:c r="C7" s="8" t="s">
        <x:v>4668</x:v>
      </x:c>
      <x:c r="D7" s="8" t="s">
        <x:v>4669</x:v>
      </x:c>
      <x:c r="E7" s="172" t="s">
        <x:v>4670</x:v>
      </x:c>
    </x:row>
    <x:row r="8" s="1" customFormat="1" ht="44" hidden="0" customHeight="1">
      <x:c r="A8" s="171" t="s">
        <x:v>174</x:v>
      </x:c>
      <x:c r="B8" s="5" t="s">
        <x:v>175</x:v>
      </x:c>
      <x:c r="C8" s="5" t="s">
        <x:v>4671</x:v>
      </x:c>
      <x:c r="D8" s="5" t="s">
        <x:v>4672</x:v>
      </x:c>
      <x:c r="E8" s="173" t="s">
        <x:v>4673</x:v>
      </x:c>
    </x:row>
    <x:row r="9" s="1" customFormat="1" ht="44" hidden="0" customHeight="1">
      <x:c r="A9" s="171" t="s">
        <x:v>176</x:v>
      </x:c>
      <x:c r="B9" s="8" t="s">
        <x:v>177</x:v>
      </x:c>
      <x:c r="C9" s="8" t="s">
        <x:v>4674</x:v>
      </x:c>
      <x:c r="D9" s="8" t="s">
        <x:v>4675</x:v>
      </x:c>
      <x:c r="E9" s="172" t="s">
        <x:v>4676</x:v>
      </x:c>
    </x:row>
    <x:row r="10" s="1" customFormat="1" ht="44" hidden="0" customHeight="1">
      <x:c r="A10" s="171" t="s">
        <x:v>178</x:v>
      </x:c>
      <x:c r="B10" s="5" t="s">
        <x:v>173</x:v>
      </x:c>
      <x:c r="C10" s="5" t="s">
        <x:v>4677</x:v>
      </x:c>
      <x:c r="D10" s="5" t="s">
        <x:v>4678</x:v>
      </x:c>
      <x:c r="E10" s="173" t="s">
        <x:v>4679</x:v>
      </x:c>
    </x:row>
    <x:row r="11" s="1" customFormat="1" ht="44" hidden="0" customHeight="1">
      <x:c r="A11" s="171" t="s">
        <x:v>179</x:v>
      </x:c>
      <x:c r="B11" s="8" t="s">
        <x:v>180</x:v>
      </x:c>
      <x:c r="C11" s="8" t="s">
        <x:v>4680</x:v>
      </x:c>
      <x:c r="D11" s="8" t="s">
        <x:v>4681</x:v>
      </x:c>
      <x:c r="E11" s="172" t="s">
        <x:v>4682</x:v>
      </x:c>
    </x:row>
    <x:row r="12" s="1" customFormat="1" ht="44" hidden="0" customHeight="1">
      <x:c r="A12" s="171" t="s">
        <x:v>181</x:v>
      </x:c>
      <x:c r="B12" s="5" t="s">
        <x:v>164</x:v>
      </x:c>
      <x:c r="C12" s="5" t="s">
        <x:v>4683</x:v>
      </x:c>
      <x:c r="D12" s="5" t="s">
        <x:v>4681</x:v>
      </x:c>
      <x:c r="E12" s="173" t="s">
        <x:v>4684</x:v>
      </x:c>
    </x:row>
    <x:row r="13" ht="44" hidden="0" customHeight="1">
      <x:c r="A13" s="174" t="s">
        <x:v>182</x:v>
      </x:c>
      <x:c r="B13" s="52" t="s">
        <x:v>183</x:v>
      </x:c>
      <x:c r="C13" s="52" t="s">
        <x:v>4685</x:v>
      </x:c>
      <x:c r="D13" s="52" t="s">
        <x:v>4686</x:v>
      </x:c>
      <x:c r="E13" s="175" t="s">
        <x:v>4687</x:v>
      </x:c>
    </x:row>
    <x:row r="14" ht="44" hidden="0" customHeight="1">
      <x:c r="A14" s="174" t="s">
        <x:v>4688</x:v>
      </x:c>
      <x:c r="B14" s="52" t="s">
        <x:v>183</x:v>
      </x:c>
      <x:c r="C14" s="52" t="s">
        <x:v>4689</x:v>
      </x:c>
      <x:c r="D14" s="52" t="s">
        <x:v>4690</x:v>
      </x:c>
      <x:c r="E14" s="175" t="s">
        <x:v>4691</x:v>
      </x:c>
    </x:row>
    <x:row r="15" ht="44" hidden="0" customHeight="1">
      <x:c r="A15" s="174" t="s">
        <x:v>4692</x:v>
      </x:c>
      <x:c r="B15" s="52" t="s">
        <x:v>183</x:v>
      </x:c>
      <x:c r="C15" s="52" t="s">
        <x:v>4693</x:v>
      </x:c>
      <x:c r="D15" s="52" t="s">
        <x:v>4694</x:v>
      </x:c>
      <x:c r="E15" s="175" t="s">
        <x:v>4695</x:v>
      </x:c>
    </x:row>
    <x:row r="16" ht="44" hidden="0" customHeight="1">
      <x:c r="A16" s="176" t="s">
        <x:v>186</x:v>
      </x:c>
      <x:c r="B16" s="177" t="s">
        <x:v>43</x:v>
      </x:c>
      <x:c r="C16" s="177" t="s">
        <x:v>4696</x:v>
      </x:c>
      <x:c r="D16" s="177" t="s">
        <x:v>4697</x:v>
      </x:c>
      <x:c r="E16" s="178" t="s">
        <x:v>4698</x:v>
      </x:c>
    </x:row>
    <x:row r="17" ht="15" hidden="0">
      <x:c r="A17" s="64"/>
      <x:c r="B17" s="64"/>
      <x:c r="C17" s="64"/>
      <x:c r="D17" s="64"/>
      <x:c r="E17" s="64"/>
    </x:row>
    <x:row r="18" ht="66" hidden="0" customHeight="1">
      <x:c r="A18" s="64" t="s">
        <x:v>4699</x:v>
      </x:c>
      <x:c r="B18" s="64" t="s">
        <x:v>4700</x:v>
      </x:c>
      <x:c r="C18" s="64"/>
      <x:c r="D18" s="64"/>
      <x:c r="E18" s="64"/>
    </x:row>
    <x:row r="19" ht="82" hidden="0" customHeight="1">
      <x:c r="A19" s="64" t="s">
        <x:v>4701</x:v>
      </x:c>
      <x:c r="B19" s="64" t="s">
        <x:v>4702</x:v>
      </x:c>
      <x:c r="C19" s="64"/>
      <x:c r="D19" s="64"/>
      <x:c r="E19" s="64"/>
    </x:row>
    <x:row r="20" ht="48" hidden="0" customHeight="1">
      <x:c r="A20" s="64" t="s">
        <x:v>4703</x:v>
      </x:c>
      <x:c r="B20" s="64" t="s">
        <x:v>4704</x:v>
      </x:c>
      <x:c r="C20" s="64"/>
      <x:c r="D20" s="64"/>
      <x:c r="E20" s="64"/>
    </x:row>
  </x:sheetData>
  <x:pageMargins left="0.7" right="0.7" top="0.75" bottom="0.75" header="0.3" footer="0.3"/>
</x:worksheet>
</file>

<file path=xl/worksheets/sheet75.xml><?xml version="1.0" encoding="utf-8"?>
<x:worksheet xmlns:x="http://schemas.openxmlformats.org/spreadsheetml/2006/main">
  <x:sheetViews>
    <x:sheetView showGridLines="1" workbookViewId="0"/>
  </x:sheetViews>
  <x:sheetFormatPr defaultColWidth="8.6796875" defaultRowHeight="15"/>
  <x:cols>
    <x:col min="1" max="1" width="38" style="1" hidden="0" customWidth="1"/>
    <x:col min="2" max="2" width="42" style="1" hidden="0" customWidth="1"/>
    <x:col min="3" max="3" width="24" style="1" hidden="0" customWidth="1"/>
    <x:col min="4" max="4" width="60" style="1" hidden="0" customWidth="1"/>
  </x:cols>
  <x:sheetData>
    <x:row r="1" s="1" customFormat="1" ht="30" hidden="0" customHeight="1">
      <x:c r="A1" s="2" t="s">
        <x:v>4705</x:v>
      </x:c>
      <x:c r="B1" s="2" t="s">
        <x:v>4706</x:v>
      </x:c>
    </x:row>
    <x:row r="2" s="1" customFormat="1" ht="24" hidden="0" customHeight="1">
      <x:c r="A2" s="7" t="s">
        <x:v>151</x:v>
      </x:c>
      <x:c r="B2" s="5" t="s">
        <x:v>1571</x:v>
      </x:c>
    </x:row>
    <x:row r="3" s="1" customFormat="1" ht="24" hidden="0" customHeight="1">
      <x:c r="A3" s="7" t="s">
        <x:v>4707</x:v>
      </x:c>
      <x:c r="B3" s="8" t="s">
        <x:v>4708</x:v>
      </x:c>
    </x:row>
    <x:row r="4" s="1" customFormat="1" ht="42" hidden="0" customHeight="1">
      <x:c r="A4" s="7" t="s">
        <x:v>992</x:v>
      </x:c>
      <x:c r="B4" s="5" t="s">
        <x:v>4709</x:v>
      </x:c>
    </x:row>
    <x:row r="5" s="1" customFormat="1" ht="42" hidden="0" customHeight="1">
      <x:c r="A5" s="7" t="s">
        <x:v>88</x:v>
      </x:c>
      <x:c r="B5" s="8" t="s">
        <x:v>4710</x:v>
      </x:c>
    </x:row>
    <x:row r="6" s="1" customFormat="1" ht="24" hidden="0" customHeight="1"/>
    <x:row r="7" s="1" customFormat="1" ht="24" hidden="0" customHeight="1">
      <x:c r="A7" s="7" t="s">
        <x:v>346</x:v>
      </x:c>
      <x:c r="B7" s="179" t="s">
        <x:v>347</x:v>
      </x:c>
      <x:c r="C7" s="179" t="s">
        <x:v>349</x:v>
      </x:c>
      <x:c r="D7" s="179" t="s">
        <x:v>1203</x:v>
      </x:c>
    </x:row>
    <x:row r="8" s="1" customFormat="1" ht="24" hidden="0" customHeight="1">
      <x:c r="A8" s="7" t="s">
        <x:v>4711</x:v>
      </x:c>
      <x:c r="B8" s="5" t="s">
        <x:v>4712</x:v>
      </x:c>
      <x:c r="C8" s="5" t="s">
        <x:v>4713</x:v>
      </x:c>
      <x:c r="D8" s="5" t="s">
        <x:v>4714</x:v>
      </x:c>
    </x:row>
    <x:row r="9" s="1" customFormat="1" ht="24" hidden="0" customHeight="1">
      <x:c r="A9" s="7" t="s">
        <x:v>4715</x:v>
      </x:c>
      <x:c r="B9" s="8" t="s">
        <x:v>4716</x:v>
      </x:c>
      <x:c r="C9" s="8" t="s">
        <x:v>4717</x:v>
      </x:c>
      <x:c r="D9" s="8" t="s">
        <x:v>4718</x:v>
      </x:c>
    </x:row>
    <x:row r="10" s="1" customFormat="1" ht="24" hidden="0" customHeight="1">
      <x:c r="A10" s="7" t="s">
        <x:v>4719</x:v>
      </x:c>
      <x:c r="B10" s="5" t="s">
        <x:v>4720</x:v>
      </x:c>
      <x:c r="C10" s="5" t="s">
        <x:v>4717</x:v>
      </x:c>
      <x:c r="D10" s="5" t="s">
        <x:v>4721</x:v>
      </x:c>
    </x:row>
    <x:row r="11" s="1" customFormat="1" ht="24" hidden="0" customHeight="1">
      <x:c r="A11" s="7" t="s">
        <x:v>4722</x:v>
      </x:c>
      <x:c r="B11" s="8" t="s">
        <x:v>4723</x:v>
      </x:c>
      <x:c r="C11" s="8" t="s">
        <x:v>748</x:v>
      </x:c>
      <x:c r="D11" s="8" t="s">
        <x:v>4724</x:v>
      </x:c>
    </x:row>
    <x:row r="12" s="1" customFormat="1" ht="24" hidden="0" customHeight="1">
      <x:c r="A12" s="7" t="s">
        <x:v>4725</x:v>
      </x:c>
      <x:c r="B12" s="5" t="s">
        <x:v>4726</x:v>
      </x:c>
      <x:c r="C12" s="5" t="s">
        <x:v>748</x:v>
      </x:c>
      <x:c r="D12" s="5" t="s">
        <x:v>4727</x:v>
      </x:c>
    </x:row>
    <x:row r="13" s="1" customFormat="1" ht="24" hidden="0" customHeight="1">
      <x:c r="A13" s="7" t="s">
        <x:v>4728</x:v>
      </x:c>
      <x:c r="B13" s="8" t="s">
        <x:v>4729</x:v>
      </x:c>
      <x:c r="C13" s="8" t="s">
        <x:v>1206</x:v>
      </x:c>
      <x:c r="D13" s="8" t="s">
        <x:v>4730</x:v>
      </x:c>
    </x:row>
    <x:row r="14" s="1" customFormat="1" ht="24" hidden="0" customHeight="1">
      <x:c r="A14" s="7" t="s">
        <x:v>4731</x:v>
      </x:c>
      <x:c r="B14" s="5" t="s">
        <x:v>4732</x:v>
      </x:c>
      <x:c r="C14" s="5" t="s">
        <x:v>4733</x:v>
      </x:c>
      <x:c r="D14" s="5" t="s">
        <x:v>4734</x:v>
      </x:c>
    </x:row>
    <x:row r="15" s="1" customFormat="1" ht="24" hidden="0" customHeight="1">
      <x:c r="A15" s="7" t="s">
        <x:v>4735</x:v>
      </x:c>
      <x:c r="B15" s="8" t="s">
        <x:v>4736</x:v>
      </x:c>
      <x:c r="C15" s="8" t="s">
        <x:v>1206</x:v>
      </x:c>
      <x:c r="D15" s="8" t="s">
        <x:v>4737</x:v>
      </x:c>
    </x:row>
    <x:row r="16" s="1" customFormat="1" ht="24" hidden="0" customHeight="1">
      <x:c r="A16" s="7" t="s">
        <x:v>4738</x:v>
      </x:c>
      <x:c r="B16" s="5" t="s">
        <x:v>4739</x:v>
      </x:c>
      <x:c r="C16" s="5" t="s">
        <x:v>748</x:v>
      </x:c>
      <x:c r="D16" s="5" t="s">
        <x:v>4740</x:v>
      </x:c>
    </x:row>
    <x:row r="17" s="1" customFormat="1" ht="24" hidden="0" customHeight="1">
      <x:c r="A17" s="7" t="s">
        <x:v>4741</x:v>
      </x:c>
      <x:c r="B17" s="8" t="s">
        <x:v>4742</x:v>
      </x:c>
      <x:c r="C17" s="8" t="s">
        <x:v>351</x:v>
      </x:c>
      <x:c r="D17" s="8" t="s">
        <x:v>4743</x:v>
      </x:c>
    </x:row>
  </x:sheetData>
  <x:pageMargins left="0.7" right="0.7" top="0.75" bottom="0.75" header="0.3" footer="0.3"/>
</x:worksheet>
</file>

<file path=xl/worksheets/sheet76.xml><?xml version="1.0" encoding="utf-8"?>
<x:worksheet xmlns:x="http://schemas.openxmlformats.org/spreadsheetml/2006/main">
  <x:sheetViews>
    <x:sheetView showGridLines="1" workbookViewId="0"/>
  </x:sheetViews>
  <x:sheetFormatPr defaultColWidth="8.6796875" defaultRowHeight="15"/>
  <x:cols>
    <x:col min="1" max="1" width="28" hidden="0" customWidth="1"/>
    <x:col min="2" max="2" width="62" hidden="0" customWidth="1"/>
    <x:col min="3" max="3" width="34" hidden="0" customWidth="1"/>
  </x:cols>
  <x:sheetData>
    <x:row r="1" ht="50.400001525878906" hidden="0" customHeight="1">
      <x:c r="A1" s="180" t="s">
        <x:v>4744</x:v>
      </x:c>
      <x:c r="B1" s="180"/>
      <x:c r="C1" s="180"/>
    </x:row>
    <x:row r="2" ht="15" hidden="0" customHeight="1">
      <x:c r="A2" s="12" t="s">
        <x:v>151</x:v>
      </x:c>
      <x:c r="B2" s="12" t="s">
        <x:v>4745</x:v>
      </x:c>
      <x:c r="C2" s="12" t="s">
        <x:v>4746</x:v>
      </x:c>
    </x:row>
    <x:row r="3" ht="15" hidden="0" customHeight="1">
      <x:c r="A3" s="12" t="s">
        <x:v>1199</x:v>
      </x:c>
      <x:c r="B3" s="12" t="s">
        <x:v>4747</x:v>
      </x:c>
      <x:c r="C3" s="12" t="s">
        <x:v>4748</x:v>
      </x:c>
    </x:row>
    <x:row r="4" ht="15" hidden="0" customHeight="1">
      <x:c r="A4" s="12"/>
      <x:c r="B4" s="12"/>
      <x:c r="C4" s="12"/>
    </x:row>
    <x:row r="5" ht="15" hidden="0" customHeight="1">
      <x:c r="A5" s="11" t="s">
        <x:v>2779</x:v>
      </x:c>
      <x:c r="B5" s="11" t="s">
        <x:v>4749</x:v>
      </x:c>
      <x:c r="C5" s="11" t="s">
        <x:v>4750</x:v>
      </x:c>
    </x:row>
    <x:row r="6" ht="24" hidden="0" customHeight="1">
      <x:c r="A6" s="12" t="s">
        <x:v>4751</x:v>
      </x:c>
      <x:c r="B6" s="12" t="s">
        <x:v>4752</x:v>
      </x:c>
      <x:c r="C6" s="12" t="s">
        <x:v>4753</x:v>
      </x:c>
    </x:row>
    <x:row r="7" ht="36" hidden="0" customHeight="1">
      <x:c r="A7" s="12" t="s">
        <x:v>4754</x:v>
      </x:c>
      <x:c r="B7" s="12" t="s">
        <x:v>4755</x:v>
      </x:c>
      <x:c r="C7" s="12" t="s">
        <x:v>4756</x:v>
      </x:c>
    </x:row>
    <x:row r="8" ht="36" hidden="0" customHeight="1">
      <x:c r="A8" s="12" t="s">
        <x:v>4757</x:v>
      </x:c>
      <x:c r="B8" s="12" t="s">
        <x:v>4758</x:v>
      </x:c>
      <x:c r="C8" s="12" t="s">
        <x:v>4759</x:v>
      </x:c>
    </x:row>
    <x:row r="9" ht="24" hidden="0" customHeight="1">
      <x:c r="A9" s="12" t="s">
        <x:v>4029</x:v>
      </x:c>
      <x:c r="B9" s="12" t="s">
        <x:v>4760</x:v>
      </x:c>
      <x:c r="C9" s="12" t="s">
        <x:v>4761</x:v>
      </x:c>
    </x:row>
    <x:row r="10" ht="15" hidden="0" customHeight="1">
      <x:c r="A10" s="12" t="s">
        <x:v>4762</x:v>
      </x:c>
      <x:c r="B10" s="12" t="s">
        <x:v>4763</x:v>
      </x:c>
      <x:c r="C10" s="12" t="s">
        <x:v>4764</x:v>
      </x:c>
    </x:row>
    <x:row r="11" ht="24" hidden="0" customHeight="1">
      <x:c r="A11" s="12" t="s">
        <x:v>4765</x:v>
      </x:c>
      <x:c r="B11" s="12" t="s">
        <x:v>4766</x:v>
      </x:c>
      <x:c r="C11" s="12" t="s">
        <x:v>4767</x:v>
      </x:c>
    </x:row>
    <x:row r="12" ht="24" hidden="0" customHeight="1">
      <x:c r="A12" s="12" t="s">
        <x:v>4768</x:v>
      </x:c>
      <x:c r="B12" s="12" t="s">
        <x:v>4769</x:v>
      </x:c>
      <x:c r="C12" s="12" t="s">
        <x:v>4770</x:v>
      </x:c>
    </x:row>
    <x:row r="13" ht="15" hidden="0" customHeight="1">
      <x:c r="A13" s="12"/>
      <x:c r="B13" s="12"/>
      <x:c r="C13" s="12"/>
    </x:row>
    <x:row r="14" ht="108" hidden="0" customHeight="1">
      <x:c r="A14" s="12" t="s">
        <x:v>4771</x:v>
      </x:c>
      <x:c r="B14" s="12" t="s">
        <x:v>4772</x:v>
      </x:c>
      <x:c r="C14" s="12"/>
    </x:row>
  </x:sheetData>
  <x:mergeCells>
    <x:mergeCell ref="A1:C1"/>
    <x:mergeCell ref="A14:C14"/>
  </x:mergeCells>
  <x:pageMargins left="0.7" right="0.7" top="0.75" bottom="0.75" header="0.3" footer="0.3"/>
</x:worksheet>
</file>

<file path=xl/worksheets/sheet77.xml><?xml version="1.0" encoding="utf-8"?>
<x:worksheet xmlns:x="http://schemas.openxmlformats.org/spreadsheetml/2006/main">
  <x:sheetViews>
    <x:sheetView showGridLines="1" workbookViewId="0"/>
  </x:sheetViews>
  <x:sheetFormatPr defaultColWidth="8.6796875" defaultRowHeight="15"/>
  <x:cols>
    <x:col min="1" max="1" width="16" hidden="0" customWidth="1"/>
    <x:col min="2" max="2" width="12" hidden="0" customWidth="1"/>
    <x:col min="3" max="3" width="14" hidden="0" customWidth="1"/>
    <x:col min="4" max="4" width="24" hidden="0" customWidth="1"/>
    <x:col min="5" max="5" width="30" hidden="0" customWidth="1"/>
    <x:col min="6" max="6" width="38" hidden="0" customWidth="1"/>
    <x:col min="7" max="7" width="58" hidden="0" customWidth="1"/>
    <x:col min="8" max="8" width="32" hidden="0" customWidth="1"/>
    <x:col min="9" max="9" width="38" hidden="0" customWidth="1"/>
  </x:cols>
  <x:sheetData>
    <x:row r="1" ht="15" hidden="0">
      <x:c r="A1" s="75" t="s">
        <x:v>271</x:v>
      </x:c>
      <x:c r="B1" s="75" t="s">
        <x:v>1880</x:v>
      </x:c>
      <x:c r="C1" s="75" t="s">
        <x:v>859</x:v>
      </x:c>
      <x:c r="D1" s="75" t="s">
        <x:v>4773</x:v>
      </x:c>
      <x:c r="E1" s="75" t="s">
        <x:v>4774</x:v>
      </x:c>
      <x:c r="F1" s="75" t="s">
        <x:v>4775</x:v>
      </x:c>
      <x:c r="G1" s="75" t="s">
        <x:v>4776</x:v>
      </x:c>
      <x:c r="H1" s="75" t="s">
        <x:v>4777</x:v>
      </x:c>
      <x:c r="I1" s="75" t="s">
        <x:v>2063</x:v>
      </x:c>
      <x:c r="J1" t="s">
        <x:v>4778</x:v>
      </x:c>
      <x:c r="K1" t="s">
        <x:v>4779</x:v>
      </x:c>
      <x:c r="M1" t="s">
        <x:v>4780</x:v>
      </x:c>
      <x:c r="N1" t="s">
        <x:v>347</x:v>
      </x:c>
    </x:row>
    <x:row r="2" ht="35.04999923706055" hidden="0">
      <x:c r="A2" s="64" t="s">
        <x:v>275</x:v>
      </x:c>
      <x:c r="B2" s="64" t="s">
        <x:v>962</x:v>
      </x:c>
      <x:c r="C2" s="64" t="s">
        <x:v>963</x:v>
      </x:c>
      <x:c r="D2" s="64" t="s">
        <x:v>4781</x:v>
      </x:c>
      <x:c r="E2" s="64" t="s">
        <x:v>4782</x:v>
      </x:c>
      <x:c r="F2" s="64" t="s">
        <x:v>4783</x:v>
      </x:c>
      <x:c r="G2" s="64" t="s">
        <x:v>4784</x:v>
      </x:c>
      <x:c r="H2" s="64" t="s">
        <x:v>4785</x:v>
      </x:c>
      <x:c r="I2" s="64" t="s">
        <x:v>4786</x:v>
      </x:c>
      <x:c r="J2" t="str">
        <x:f aca="0">A2&amp;"|"&amp;B2&amp;"|"&amp;C2</x:f>
        <x:v>LIFE|U1|D2</x:v>
      </x:c>
      <x:c r="K2" t="n">
        <x:f aca="0">COUNTIF($J$2:$J$71,J2)</x:f>
        <x:v>1</x:v>
      </x:c>
      <x:c r="M2" t="s">
        <x:v>4787</x:v>
      </x:c>
      <x:c r="N2" t="n">
        <x:f aca="0">COUNTA(A2:A71)</x:f>
        <x:v>70</x:v>
      </x:c>
    </x:row>
    <x:row r="3" ht="35.04999923706055" hidden="0">
      <x:c r="A3" s="64" t="s">
        <x:v>275</x:v>
      </x:c>
      <x:c r="B3" s="64" t="s">
        <x:v>964</x:v>
      </x:c>
      <x:c r="C3" s="64" t="s">
        <x:v>963</x:v>
      </x:c>
      <x:c r="D3" s="64" t="s">
        <x:v>4781</x:v>
      </x:c>
      <x:c r="E3" s="64" t="s">
        <x:v>4782</x:v>
      </x:c>
      <x:c r="F3" s="64" t="s">
        <x:v>4783</x:v>
      </x:c>
      <x:c r="G3" s="64" t="s">
        <x:v>4784</x:v>
      </x:c>
      <x:c r="H3" s="64" t="s">
        <x:v>4785</x:v>
      </x:c>
      <x:c r="I3" s="64" t="s">
        <x:v>4786</x:v>
      </x:c>
      <x:c r="J3" t="str">
        <x:f aca="0">A3&amp;"|"&amp;B3&amp;"|"&amp;C3</x:f>
        <x:v>LIFE|U2|D2</x:v>
      </x:c>
      <x:c r="K3" t="n">
        <x:f aca="0">COUNTIF($J$2:$J$71,J3)</x:f>
        <x:v>1</x:v>
      </x:c>
      <x:c r="M3" t="s">
        <x:v>4788</x:v>
      </x:c>
      <x:c r="N3" t="n">
        <x:f aca="0">COUNTBLANK(E2:E71)</x:f>
        <x:v>0</x:v>
      </x:c>
    </x:row>
    <x:row r="4" ht="35.04999923706055" hidden="0">
      <x:c r="A4" s="64" t="s">
        <x:v>275</x:v>
      </x:c>
      <x:c r="B4" s="64" t="s">
        <x:v>965</x:v>
      </x:c>
      <x:c r="C4" s="64" t="s">
        <x:v>963</x:v>
      </x:c>
      <x:c r="D4" s="64" t="s">
        <x:v>4781</x:v>
      </x:c>
      <x:c r="E4" s="64" t="s">
        <x:v>4782</x:v>
      </x:c>
      <x:c r="F4" s="64" t="s">
        <x:v>4783</x:v>
      </x:c>
      <x:c r="G4" s="64" t="s">
        <x:v>4784</x:v>
      </x:c>
      <x:c r="H4" s="64" t="s">
        <x:v>4785</x:v>
      </x:c>
      <x:c r="I4" s="64" t="s">
        <x:v>4786</x:v>
      </x:c>
      <x:c r="J4" t="str">
        <x:f aca="0">A4&amp;"|"&amp;B4&amp;"|"&amp;C4</x:f>
        <x:v>LIFE|U3|D2</x:v>
      </x:c>
      <x:c r="K4" t="n">
        <x:f aca="0">COUNTIF($J$2:$J$71,J4)</x:f>
        <x:v>1</x:v>
      </x:c>
      <x:c r="M4" t="s">
        <x:v>4789</x:v>
      </x:c>
      <x:c r="N4" t="n">
        <x:f aca="0">COUNTIF(K2:K71,"&gt;1")</x:f>
        <x:v>0</x:v>
      </x:c>
    </x:row>
    <x:row r="5" ht="35.04999923706055" hidden="0">
      <x:c r="A5" s="64" t="s">
        <x:v>275</x:v>
      </x:c>
      <x:c r="B5" s="64" t="s">
        <x:v>966</x:v>
      </x:c>
      <x:c r="C5" s="64" t="s">
        <x:v>963</x:v>
      </x:c>
      <x:c r="D5" s="64" t="s">
        <x:v>4781</x:v>
      </x:c>
      <x:c r="E5" s="64" t="s">
        <x:v>4782</x:v>
      </x:c>
      <x:c r="F5" s="64" t="s">
        <x:v>4783</x:v>
      </x:c>
      <x:c r="G5" s="64" t="s">
        <x:v>4784</x:v>
      </x:c>
      <x:c r="H5" s="64" t="s">
        <x:v>4785</x:v>
      </x:c>
      <x:c r="I5" s="64" t="s">
        <x:v>4786</x:v>
      </x:c>
      <x:c r="J5" t="str">
        <x:f aca="0">A5&amp;"|"&amp;B5&amp;"|"&amp;C5</x:f>
        <x:v>LIFE|U4|D2</x:v>
      </x:c>
      <x:c r="K5" t="n">
        <x:f aca="0">COUNTIF($J$2:$J$71,J5)</x:f>
        <x:v>1</x:v>
      </x:c>
      <x:c r="M5" t="s">
        <x:v>4790</x:v>
      </x:c>
      <x:c r="N5" t="str">
        <x:f aca="0">IF(AND(N2=70,N3=0,N4=0),"PASS","SILENT_REMAINDER_INVALID")</x:f>
        <x:v>PASS</x:v>
      </x:c>
    </x:row>
    <x:row r="6" ht="35.04999923706055" hidden="0">
      <x:c r="A6" s="64" t="s">
        <x:v>275</x:v>
      </x:c>
      <x:c r="B6" s="64" t="s">
        <x:v>967</x:v>
      </x:c>
      <x:c r="C6" s="64" t="s">
        <x:v>963</x:v>
      </x:c>
      <x:c r="D6" s="64" t="s">
        <x:v>4781</x:v>
      </x:c>
      <x:c r="E6" s="64" t="s">
        <x:v>4782</x:v>
      </x:c>
      <x:c r="F6" s="64" t="s">
        <x:v>4783</x:v>
      </x:c>
      <x:c r="G6" s="64" t="s">
        <x:v>4784</x:v>
      </x:c>
      <x:c r="H6" s="64" t="s">
        <x:v>4785</x:v>
      </x:c>
      <x:c r="I6" s="64" t="s">
        <x:v>4786</x:v>
      </x:c>
      <x:c r="J6" t="str">
        <x:f aca="0">A6&amp;"|"&amp;B6&amp;"|"&amp;C6</x:f>
        <x:v>LIFE|U5|D2</x:v>
      </x:c>
      <x:c r="K6" t="n">
        <x:f aca="0">COUNTIF($J$2:$J$71,J6)</x:f>
        <x:v>1</x:v>
      </x:c>
    </x:row>
    <x:row r="7" ht="35.04999923706055" hidden="0">
      <x:c r="A7" s="64" t="s">
        <x:v>275</x:v>
      </x:c>
      <x:c r="B7" s="64" t="s">
        <x:v>968</x:v>
      </x:c>
      <x:c r="C7" s="64" t="s">
        <x:v>963</x:v>
      </x:c>
      <x:c r="D7" s="64" t="s">
        <x:v>4781</x:v>
      </x:c>
      <x:c r="E7" s="64" t="s">
        <x:v>4782</x:v>
      </x:c>
      <x:c r="F7" s="64" t="s">
        <x:v>4783</x:v>
      </x:c>
      <x:c r="G7" s="64" t="s">
        <x:v>4784</x:v>
      </x:c>
      <x:c r="H7" s="64" t="s">
        <x:v>4785</x:v>
      </x:c>
      <x:c r="I7" s="64" t="s">
        <x:v>4786</x:v>
      </x:c>
      <x:c r="J7" t="str">
        <x:f aca="0">A7&amp;"|"&amp;B7&amp;"|"&amp;C7</x:f>
        <x:v>LIFE|U6|D2</x:v>
      </x:c>
      <x:c r="K7" t="n">
        <x:f aca="0">COUNTIF($J$2:$J$71,J7)</x:f>
        <x:v>1</x:v>
      </x:c>
    </x:row>
    <x:row r="8" ht="35.04999923706055" hidden="0">
      <x:c r="A8" s="64" t="s">
        <x:v>275</x:v>
      </x:c>
      <x:c r="B8" s="64" t="s">
        <x:v>968</x:v>
      </x:c>
      <x:c r="C8" s="64" t="s">
        <x:v>969</x:v>
      </x:c>
      <x:c r="D8" s="64" t="s">
        <x:v>4781</x:v>
      </x:c>
      <x:c r="E8" s="64" t="s">
        <x:v>4782</x:v>
      </x:c>
      <x:c r="F8" s="64" t="s">
        <x:v>4783</x:v>
      </x:c>
      <x:c r="G8" s="64" t="s">
        <x:v>4784</x:v>
      </x:c>
      <x:c r="H8" s="64" t="s">
        <x:v>4785</x:v>
      </x:c>
      <x:c r="I8" s="64" t="s">
        <x:v>4786</x:v>
      </x:c>
      <x:c r="J8" t="str">
        <x:f aca="0">A8&amp;"|"&amp;B8&amp;"|"&amp;C8</x:f>
        <x:v>LIFE|U6|D7</x:v>
      </x:c>
      <x:c r="K8" t="n">
        <x:f aca="0">COUNTIF($J$2:$J$71,J8)</x:f>
        <x:v>1</x:v>
      </x:c>
    </x:row>
    <x:row r="9" ht="35.04999923706055" hidden="0">
      <x:c r="A9" s="64" t="s">
        <x:v>276</x:v>
      </x:c>
      <x:c r="B9" s="64" t="s">
        <x:v>962</x:v>
      </x:c>
      <x:c r="C9" s="64" t="s">
        <x:v>963</x:v>
      </x:c>
      <x:c r="D9" s="64" t="s">
        <x:v>4791</x:v>
      </x:c>
      <x:c r="E9" s="64" t="s">
        <x:v>4782</x:v>
      </x:c>
      <x:c r="F9" s="64" t="s">
        <x:v>4783</x:v>
      </x:c>
      <x:c r="G9" s="64" t="s">
        <x:v>4784</x:v>
      </x:c>
      <x:c r="H9" s="64" t="s">
        <x:v>4785</x:v>
      </x:c>
      <x:c r="I9" s="64" t="s">
        <x:v>4786</x:v>
      </x:c>
      <x:c r="J9" t="str">
        <x:f aca="0">A9&amp;"|"&amp;B9&amp;"|"&amp;C9</x:f>
        <x:v>BODY|U1|D2</x:v>
      </x:c>
      <x:c r="K9" t="n">
        <x:f aca="0">COUNTIF($J$2:$J$71,J9)</x:f>
        <x:v>1</x:v>
      </x:c>
    </x:row>
    <x:row r="10" ht="35.04999923706055" hidden="0">
      <x:c r="A10" s="64" t="s">
        <x:v>276</x:v>
      </x:c>
      <x:c r="B10" s="64" t="s">
        <x:v>964</x:v>
      </x:c>
      <x:c r="C10" s="64" t="s">
        <x:v>963</x:v>
      </x:c>
      <x:c r="D10" s="64" t="s">
        <x:v>4791</x:v>
      </x:c>
      <x:c r="E10" s="64" t="s">
        <x:v>4782</x:v>
      </x:c>
      <x:c r="F10" s="64" t="s">
        <x:v>4783</x:v>
      </x:c>
      <x:c r="G10" s="64" t="s">
        <x:v>4784</x:v>
      </x:c>
      <x:c r="H10" s="64" t="s">
        <x:v>4785</x:v>
      </x:c>
      <x:c r="I10" s="64" t="s">
        <x:v>4786</x:v>
      </x:c>
      <x:c r="J10" t="str">
        <x:f aca="0">A10&amp;"|"&amp;B10&amp;"|"&amp;C10</x:f>
        <x:v>BODY|U2|D2</x:v>
      </x:c>
      <x:c r="K10" t="n">
        <x:f aca="0">COUNTIF($J$2:$J$71,J10)</x:f>
        <x:v>1</x:v>
      </x:c>
    </x:row>
    <x:row r="11" ht="35.04999923706055" hidden="0">
      <x:c r="A11" s="64" t="s">
        <x:v>276</x:v>
      </x:c>
      <x:c r="B11" s="64" t="s">
        <x:v>965</x:v>
      </x:c>
      <x:c r="C11" s="64" t="s">
        <x:v>963</x:v>
      </x:c>
      <x:c r="D11" s="64" t="s">
        <x:v>4791</x:v>
      </x:c>
      <x:c r="E11" s="64" t="s">
        <x:v>4782</x:v>
      </x:c>
      <x:c r="F11" s="64" t="s">
        <x:v>4783</x:v>
      </x:c>
      <x:c r="G11" s="64" t="s">
        <x:v>4784</x:v>
      </x:c>
      <x:c r="H11" s="64" t="s">
        <x:v>4785</x:v>
      </x:c>
      <x:c r="I11" s="64" t="s">
        <x:v>4786</x:v>
      </x:c>
      <x:c r="J11" t="str">
        <x:f aca="0">A11&amp;"|"&amp;B11&amp;"|"&amp;C11</x:f>
        <x:v>BODY|U3|D2</x:v>
      </x:c>
      <x:c r="K11" t="n">
        <x:f aca="0">COUNTIF($J$2:$J$71,J11)</x:f>
        <x:v>1</x:v>
      </x:c>
    </x:row>
    <x:row r="12" ht="35.04999923706055" hidden="0">
      <x:c r="A12" s="64" t="s">
        <x:v>276</x:v>
      </x:c>
      <x:c r="B12" s="64" t="s">
        <x:v>966</x:v>
      </x:c>
      <x:c r="C12" s="64" t="s">
        <x:v>963</x:v>
      </x:c>
      <x:c r="D12" s="64" t="s">
        <x:v>4791</x:v>
      </x:c>
      <x:c r="E12" s="64" t="s">
        <x:v>4782</x:v>
      </x:c>
      <x:c r="F12" s="64" t="s">
        <x:v>4783</x:v>
      </x:c>
      <x:c r="G12" s="64" t="s">
        <x:v>4784</x:v>
      </x:c>
      <x:c r="H12" s="64" t="s">
        <x:v>4785</x:v>
      </x:c>
      <x:c r="I12" s="64" t="s">
        <x:v>4786</x:v>
      </x:c>
      <x:c r="J12" t="str">
        <x:f aca="0">A12&amp;"|"&amp;B12&amp;"|"&amp;C12</x:f>
        <x:v>BODY|U4|D2</x:v>
      </x:c>
      <x:c r="K12" t="n">
        <x:f aca="0">COUNTIF($J$2:$J$71,J12)</x:f>
        <x:v>1</x:v>
      </x:c>
    </x:row>
    <x:row r="13" ht="35.04999923706055" hidden="0">
      <x:c r="A13" s="64" t="s">
        <x:v>276</x:v>
      </x:c>
      <x:c r="B13" s="64" t="s">
        <x:v>967</x:v>
      </x:c>
      <x:c r="C13" s="64" t="s">
        <x:v>963</x:v>
      </x:c>
      <x:c r="D13" s="64" t="s">
        <x:v>4791</x:v>
      </x:c>
      <x:c r="E13" s="64" t="s">
        <x:v>4782</x:v>
      </x:c>
      <x:c r="F13" s="64" t="s">
        <x:v>4783</x:v>
      </x:c>
      <x:c r="G13" s="64" t="s">
        <x:v>4784</x:v>
      </x:c>
      <x:c r="H13" s="64" t="s">
        <x:v>4785</x:v>
      </x:c>
      <x:c r="I13" s="64" t="s">
        <x:v>4786</x:v>
      </x:c>
      <x:c r="J13" t="str">
        <x:f aca="0">A13&amp;"|"&amp;B13&amp;"|"&amp;C13</x:f>
        <x:v>BODY|U5|D2</x:v>
      </x:c>
      <x:c r="K13" t="n">
        <x:f aca="0">COUNTIF($J$2:$J$71,J13)</x:f>
        <x:v>1</x:v>
      </x:c>
    </x:row>
    <x:row r="14" ht="35.04999923706055" hidden="0">
      <x:c r="A14" s="64" t="s">
        <x:v>276</x:v>
      </x:c>
      <x:c r="B14" s="64" t="s">
        <x:v>968</x:v>
      </x:c>
      <x:c r="C14" s="64" t="s">
        <x:v>963</x:v>
      </x:c>
      <x:c r="D14" s="64" t="s">
        <x:v>4791</x:v>
      </x:c>
      <x:c r="E14" s="64" t="s">
        <x:v>4782</x:v>
      </x:c>
      <x:c r="F14" s="64" t="s">
        <x:v>4783</x:v>
      </x:c>
      <x:c r="G14" s="64" t="s">
        <x:v>4784</x:v>
      </x:c>
      <x:c r="H14" s="64" t="s">
        <x:v>4785</x:v>
      </x:c>
      <x:c r="I14" s="64" t="s">
        <x:v>4786</x:v>
      </x:c>
      <x:c r="J14" t="str">
        <x:f aca="0">A14&amp;"|"&amp;B14&amp;"|"&amp;C14</x:f>
        <x:v>BODY|U6|D2</x:v>
      </x:c>
      <x:c r="K14" t="n">
        <x:f aca="0">COUNTIF($J$2:$J$71,J14)</x:f>
        <x:v>1</x:v>
      </x:c>
    </x:row>
    <x:row r="15" ht="35.04999923706055" hidden="0">
      <x:c r="A15" s="64" t="s">
        <x:v>282</x:v>
      </x:c>
      <x:c r="B15" s="64" t="s">
        <x:v>968</x:v>
      </x:c>
      <x:c r="C15" s="64" t="s">
        <x:v>969</x:v>
      </x:c>
      <x:c r="D15" s="64" t="s">
        <x:v>4792</x:v>
      </x:c>
      <x:c r="E15" s="64" t="s">
        <x:v>4782</x:v>
      </x:c>
      <x:c r="F15" s="64" t="s">
        <x:v>4783</x:v>
      </x:c>
      <x:c r="G15" s="64" t="s">
        <x:v>4784</x:v>
      </x:c>
      <x:c r="H15" s="64" t="s">
        <x:v>4785</x:v>
      </x:c>
      <x:c r="I15" s="64" t="s">
        <x:v>4786</x:v>
      </x:c>
      <x:c r="J15" t="str">
        <x:f aca="0">A15&amp;"|"&amp;B15&amp;"|"&amp;C15</x:f>
        <x:v>ECOL|U6|D7</x:v>
      </x:c>
      <x:c r="K15" t="n">
        <x:f aca="0">COUNTIF($J$2:$J$71,J15)</x:f>
        <x:v>1</x:v>
      </x:c>
    </x:row>
    <x:row r="16" ht="35.04999923706055" hidden="0">
      <x:c r="A16" s="64" t="s">
        <x:v>282</x:v>
      </x:c>
      <x:c r="B16" s="64" t="s">
        <x:v>970</x:v>
      </x:c>
      <x:c r="C16" s="64" t="s">
        <x:v>969</x:v>
      </x:c>
      <x:c r="D16" s="64" t="s">
        <x:v>4792</x:v>
      </x:c>
      <x:c r="E16" s="64" t="s">
        <x:v>2741</x:v>
      </x:c>
      <x:c r="F16" s="64" t="s">
        <x:v>4793</x:v>
      </x:c>
      <x:c r="G16" s="64" t="s">
        <x:v>4794</x:v>
      </x:c>
      <x:c r="H16" s="64" t="s">
        <x:v>4785</x:v>
      </x:c>
      <x:c r="I16" s="64" t="s">
        <x:v>4786</x:v>
      </x:c>
      <x:c r="J16" t="str">
        <x:f aca="0">A16&amp;"|"&amp;B16&amp;"|"&amp;C16</x:f>
        <x:v>ECOL|U7|D7</x:v>
      </x:c>
      <x:c r="K16" t="n">
        <x:f aca="0">COUNTIF($J$2:$J$71,J16)</x:f>
        <x:v>1</x:v>
      </x:c>
    </x:row>
    <x:row r="17" ht="35.04999923706055" hidden="0">
      <x:c r="A17" s="64" t="s">
        <x:v>277</x:v>
      </x:c>
      <x:c r="B17" s="64" t="s">
        <x:v>962</x:v>
      </x:c>
      <x:c r="C17" s="64" t="s">
        <x:v>971</x:v>
      </x:c>
      <x:c r="D17" s="64" t="s">
        <x:v>4792</x:v>
      </x:c>
      <x:c r="E17" s="64" t="s">
        <x:v>2741</x:v>
      </x:c>
      <x:c r="F17" s="64" t="s">
        <x:v>4793</x:v>
      </x:c>
      <x:c r="G17" s="64" t="s">
        <x:v>4794</x:v>
      </x:c>
      <x:c r="H17" s="64" t="s">
        <x:v>4785</x:v>
      </x:c>
      <x:c r="I17" s="64" t="s">
        <x:v>4786</x:v>
      </x:c>
      <x:c r="J17" t="str">
        <x:f aca="0">A17&amp;"|"&amp;B17&amp;"|"&amp;C17</x:f>
        <x:v>LBTY|U1|D5</x:v>
      </x:c>
      <x:c r="K17" t="n">
        <x:f aca="0">COUNTIF($J$2:$J$71,J17)</x:f>
        <x:v>1</x:v>
      </x:c>
    </x:row>
    <x:row r="18" ht="35.04999923706055" hidden="0">
      <x:c r="A18" s="64" t="s">
        <x:v>277</x:v>
      </x:c>
      <x:c r="B18" s="64" t="s">
        <x:v>964</x:v>
      </x:c>
      <x:c r="C18" s="64" t="s">
        <x:v>971</x:v>
      </x:c>
      <x:c r="D18" s="64" t="s">
        <x:v>4792</x:v>
      </x:c>
      <x:c r="E18" s="64" t="s">
        <x:v>4782</x:v>
      </x:c>
      <x:c r="F18" s="64" t="s">
        <x:v>4783</x:v>
      </x:c>
      <x:c r="G18" s="64" t="s">
        <x:v>4784</x:v>
      </x:c>
      <x:c r="H18" s="64" t="s">
        <x:v>4785</x:v>
      </x:c>
      <x:c r="I18" s="64" t="s">
        <x:v>4786</x:v>
      </x:c>
      <x:c r="J18" t="str">
        <x:f aca="0">A18&amp;"|"&amp;B18&amp;"|"&amp;C18</x:f>
        <x:v>LBTY|U2|D5</x:v>
      </x:c>
      <x:c r="K18" t="n">
        <x:f aca="0">COUNTIF($J$2:$J$71,J18)</x:f>
        <x:v>1</x:v>
      </x:c>
    </x:row>
    <x:row r="19" ht="35.04999923706055" hidden="0">
      <x:c r="A19" s="64" t="s">
        <x:v>277</x:v>
      </x:c>
      <x:c r="B19" s="64" t="s">
        <x:v>965</x:v>
      </x:c>
      <x:c r="C19" s="64" t="s">
        <x:v>971</x:v>
      </x:c>
      <x:c r="D19" s="64" t="s">
        <x:v>4792</x:v>
      </x:c>
      <x:c r="E19" s="64" t="s">
        <x:v>4782</x:v>
      </x:c>
      <x:c r="F19" s="64" t="s">
        <x:v>4783</x:v>
      </x:c>
      <x:c r="G19" s="64" t="s">
        <x:v>4784</x:v>
      </x:c>
      <x:c r="H19" s="64" t="s">
        <x:v>4785</x:v>
      </x:c>
      <x:c r="I19" s="64" t="s">
        <x:v>4786</x:v>
      </x:c>
      <x:c r="J19" t="str">
        <x:f aca="0">A19&amp;"|"&amp;B19&amp;"|"&amp;C19</x:f>
        <x:v>LBTY|U3|D5</x:v>
      </x:c>
      <x:c r="K19" t="n">
        <x:f aca="0">COUNTIF($J$2:$J$71,J19)</x:f>
        <x:v>1</x:v>
      </x:c>
    </x:row>
    <x:row r="20" ht="35.04999923706055" hidden="0">
      <x:c r="A20" s="64" t="s">
        <x:v>277</x:v>
      </x:c>
      <x:c r="B20" s="64" t="s">
        <x:v>966</x:v>
      </x:c>
      <x:c r="C20" s="64" t="s">
        <x:v>971</x:v>
      </x:c>
      <x:c r="D20" s="64" t="s">
        <x:v>4792</x:v>
      </x:c>
      <x:c r="E20" s="64" t="s">
        <x:v>4782</x:v>
      </x:c>
      <x:c r="F20" s="64" t="s">
        <x:v>4783</x:v>
      </x:c>
      <x:c r="G20" s="64" t="s">
        <x:v>4784</x:v>
      </x:c>
      <x:c r="H20" s="64" t="s">
        <x:v>4785</x:v>
      </x:c>
      <x:c r="I20" s="64" t="s">
        <x:v>4786</x:v>
      </x:c>
      <x:c r="J20" t="str">
        <x:f aca="0">A20&amp;"|"&amp;B20&amp;"|"&amp;C20</x:f>
        <x:v>LBTY|U4|D5</x:v>
      </x:c>
      <x:c r="K20" t="n">
        <x:f aca="0">COUNTIF($J$2:$J$71,J20)</x:f>
        <x:v>1</x:v>
      </x:c>
    </x:row>
    <x:row r="21" ht="35.04999923706055" hidden="0">
      <x:c r="A21" s="64" t="s">
        <x:v>277</x:v>
      </x:c>
      <x:c r="B21" s="64" t="s">
        <x:v>967</x:v>
      </x:c>
      <x:c r="C21" s="64" t="s">
        <x:v>971</x:v>
      </x:c>
      <x:c r="D21" s="64" t="s">
        <x:v>4792</x:v>
      </x:c>
      <x:c r="E21" s="64" t="s">
        <x:v>4782</x:v>
      </x:c>
      <x:c r="F21" s="64" t="s">
        <x:v>4783</x:v>
      </x:c>
      <x:c r="G21" s="64" t="s">
        <x:v>4784</x:v>
      </x:c>
      <x:c r="H21" s="64" t="s">
        <x:v>4785</x:v>
      </x:c>
      <x:c r="I21" s="64" t="s">
        <x:v>4786</x:v>
      </x:c>
      <x:c r="J21" t="str">
        <x:f aca="0">A21&amp;"|"&amp;B21&amp;"|"&amp;C21</x:f>
        <x:v>LBTY|U5|D5</x:v>
      </x:c>
      <x:c r="K21" t="n">
        <x:f aca="0">COUNTIF($J$2:$J$71,J21)</x:f>
        <x:v>1</x:v>
      </x:c>
    </x:row>
    <x:row r="22" ht="35.04999923706055" hidden="0">
      <x:c r="A22" s="64" t="s">
        <x:v>277</x:v>
      </x:c>
      <x:c r="B22" s="64" t="s">
        <x:v>968</x:v>
      </x:c>
      <x:c r="C22" s="64" t="s">
        <x:v>971</x:v>
      </x:c>
      <x:c r="D22" s="64" t="s">
        <x:v>4792</x:v>
      </x:c>
      <x:c r="E22" s="64" t="s">
        <x:v>4782</x:v>
      </x:c>
      <x:c r="F22" s="64" t="s">
        <x:v>4783</x:v>
      </x:c>
      <x:c r="G22" s="64" t="s">
        <x:v>4784</x:v>
      </x:c>
      <x:c r="H22" s="64" t="s">
        <x:v>4785</x:v>
      </x:c>
      <x:c r="I22" s="64" t="s">
        <x:v>4786</x:v>
      </x:c>
      <x:c r="J22" t="str">
        <x:f aca="0">A22&amp;"|"&amp;B22&amp;"|"&amp;C22</x:f>
        <x:v>LBTY|U6|D5</x:v>
      </x:c>
      <x:c r="K22" t="n">
        <x:f aca="0">COUNTIF($J$2:$J$71,J22)</x:f>
        <x:v>1</x:v>
      </x:c>
    </x:row>
    <x:row r="23" ht="35.04999923706055" hidden="0">
      <x:c r="A23" s="64" t="s">
        <x:v>277</x:v>
      </x:c>
      <x:c r="B23" s="64" t="s">
        <x:v>965</x:v>
      </x:c>
      <x:c r="C23" s="64" t="s">
        <x:v>972</x:v>
      </x:c>
      <x:c r="D23" s="64" t="s">
        <x:v>4792</x:v>
      </x:c>
      <x:c r="E23" s="64" t="s">
        <x:v>2741</x:v>
      </x:c>
      <x:c r="F23" s="64" t="s">
        <x:v>4793</x:v>
      </x:c>
      <x:c r="G23" s="64" t="s">
        <x:v>4794</x:v>
      </x:c>
      <x:c r="H23" s="64" t="s">
        <x:v>4785</x:v>
      </x:c>
      <x:c r="I23" s="64" t="s">
        <x:v>4786</x:v>
      </x:c>
      <x:c r="J23" t="str">
        <x:f aca="0">A23&amp;"|"&amp;B23&amp;"|"&amp;C23</x:f>
        <x:v>LBTY|U3|D3</x:v>
      </x:c>
      <x:c r="K23" t="n">
        <x:f aca="0">COUNTIF($J$2:$J$71,J23)</x:f>
        <x:v>1</x:v>
      </x:c>
    </x:row>
    <x:row r="24" ht="35.04999923706055" hidden="0">
      <x:c r="A24" s="64" t="s">
        <x:v>277</x:v>
      </x:c>
      <x:c r="B24" s="64" t="s">
        <x:v>966</x:v>
      </x:c>
      <x:c r="C24" s="64" t="s">
        <x:v>972</x:v>
      </x:c>
      <x:c r="D24" s="64" t="s">
        <x:v>4792</x:v>
      </x:c>
      <x:c r="E24" s="64" t="s">
        <x:v>4782</x:v>
      </x:c>
      <x:c r="F24" s="64" t="s">
        <x:v>4783</x:v>
      </x:c>
      <x:c r="G24" s="64" t="s">
        <x:v>4784</x:v>
      </x:c>
      <x:c r="H24" s="64" t="s">
        <x:v>4785</x:v>
      </x:c>
      <x:c r="I24" s="64" t="s">
        <x:v>4786</x:v>
      </x:c>
      <x:c r="J24" t="str">
        <x:f aca="0">A24&amp;"|"&amp;B24&amp;"|"&amp;C24</x:f>
        <x:v>LBTY|U4|D3</x:v>
      </x:c>
      <x:c r="K24" t="n">
        <x:f aca="0">COUNTIF($J$2:$J$71,J24)</x:f>
        <x:v>1</x:v>
      </x:c>
    </x:row>
    <x:row r="25" ht="35.04999923706055" hidden="0">
      <x:c r="A25" s="64" t="s">
        <x:v>277</x:v>
      </x:c>
      <x:c r="B25" s="64" t="s">
        <x:v>967</x:v>
      </x:c>
      <x:c r="C25" s="64" t="s">
        <x:v>972</x:v>
      </x:c>
      <x:c r="D25" s="64" t="s">
        <x:v>4792</x:v>
      </x:c>
      <x:c r="E25" s="64" t="s">
        <x:v>4782</x:v>
      </x:c>
      <x:c r="F25" s="64" t="s">
        <x:v>4783</x:v>
      </x:c>
      <x:c r="G25" s="64" t="s">
        <x:v>4784</x:v>
      </x:c>
      <x:c r="H25" s="64" t="s">
        <x:v>4785</x:v>
      </x:c>
      <x:c r="I25" s="64" t="s">
        <x:v>4786</x:v>
      </x:c>
      <x:c r="J25" t="str">
        <x:f aca="0">A25&amp;"|"&amp;B25&amp;"|"&amp;C25</x:f>
        <x:v>LBTY|U5|D3</x:v>
      </x:c>
      <x:c r="K25" t="n">
        <x:f aca="0">COUNTIF($J$2:$J$71,J25)</x:f>
        <x:v>1</x:v>
      </x:c>
    </x:row>
    <x:row r="26" ht="35.04999923706055" hidden="0">
      <x:c r="A26" s="64" t="s">
        <x:v>277</x:v>
      </x:c>
      <x:c r="B26" s="64" t="s">
        <x:v>968</x:v>
      </x:c>
      <x:c r="C26" s="64" t="s">
        <x:v>972</x:v>
      </x:c>
      <x:c r="D26" s="64" t="s">
        <x:v>4792</x:v>
      </x:c>
      <x:c r="E26" s="64" t="s">
        <x:v>4782</x:v>
      </x:c>
      <x:c r="F26" s="64" t="s">
        <x:v>4783</x:v>
      </x:c>
      <x:c r="G26" s="64" t="s">
        <x:v>4784</x:v>
      </x:c>
      <x:c r="H26" s="64" t="s">
        <x:v>4785</x:v>
      </x:c>
      <x:c r="I26" s="64" t="s">
        <x:v>4786</x:v>
      </x:c>
      <x:c r="J26" t="str">
        <x:f aca="0">A26&amp;"|"&amp;B26&amp;"|"&amp;C26</x:f>
        <x:v>LBTY|U6|D3</x:v>
      </x:c>
      <x:c r="K26" t="n">
        <x:f aca="0">COUNTIF($J$2:$J$71,J26)</x:f>
        <x:v>1</x:v>
      </x:c>
    </x:row>
    <x:row r="27" ht="35.04999923706055" hidden="0">
      <x:c r="A27" s="64" t="s">
        <x:v>278</x:v>
      </x:c>
      <x:c r="B27" s="64" t="s">
        <x:v>962</x:v>
      </x:c>
      <x:c r="C27" s="64" t="s">
        <x:v>973</x:v>
      </x:c>
      <x:c r="D27" s="64" t="s">
        <x:v>4795</x:v>
      </x:c>
      <x:c r="E27" s="64" t="s">
        <x:v>4782</x:v>
      </x:c>
      <x:c r="F27" s="64" t="s">
        <x:v>4783</x:v>
      </x:c>
      <x:c r="G27" s="64" t="s">
        <x:v>4784</x:v>
      </x:c>
      <x:c r="H27" s="64" t="s">
        <x:v>4785</x:v>
      </x:c>
      <x:c r="I27" s="64" t="s">
        <x:v>4786</x:v>
      </x:c>
      <x:c r="J27" t="str">
        <x:f aca="0">A27&amp;"|"&amp;B27&amp;"|"&amp;C27</x:f>
        <x:v>NEED|U1|D1</x:v>
      </x:c>
      <x:c r="K27" t="n">
        <x:f aca="0">COUNTIF($J$2:$J$71,J27)</x:f>
        <x:v>1</x:v>
      </x:c>
    </x:row>
    <x:row r="28" ht="35.04999923706055" hidden="0">
      <x:c r="A28" s="64" t="s">
        <x:v>278</x:v>
      </x:c>
      <x:c r="B28" s="64" t="s">
        <x:v>962</x:v>
      </x:c>
      <x:c r="C28" s="64" t="s">
        <x:v>963</x:v>
      </x:c>
      <x:c r="D28" s="64" t="s">
        <x:v>4795</x:v>
      </x:c>
      <x:c r="E28" s="64" t="s">
        <x:v>4782</x:v>
      </x:c>
      <x:c r="F28" s="64" t="s">
        <x:v>4783</x:v>
      </x:c>
      <x:c r="G28" s="64" t="s">
        <x:v>4784</x:v>
      </x:c>
      <x:c r="H28" s="64" t="s">
        <x:v>4785</x:v>
      </x:c>
      <x:c r="I28" s="64" t="s">
        <x:v>4786</x:v>
      </x:c>
      <x:c r="J28" t="str">
        <x:f aca="0">A28&amp;"|"&amp;B28&amp;"|"&amp;C28</x:f>
        <x:v>NEED|U1|D2</x:v>
      </x:c>
      <x:c r="K28" t="n">
        <x:f aca="0">COUNTIF($J$2:$J$71,J28)</x:f>
        <x:v>1</x:v>
      </x:c>
    </x:row>
    <x:row r="29" ht="35.04999923706055" hidden="0">
      <x:c r="A29" s="64" t="s">
        <x:v>278</x:v>
      </x:c>
      <x:c r="B29" s="64" t="s">
        <x:v>964</x:v>
      </x:c>
      <x:c r="C29" s="64" t="s">
        <x:v>973</x:v>
      </x:c>
      <x:c r="D29" s="64" t="s">
        <x:v>4795</x:v>
      </x:c>
      <x:c r="E29" s="64" t="s">
        <x:v>2741</x:v>
      </x:c>
      <x:c r="F29" s="64" t="s">
        <x:v>4793</x:v>
      </x:c>
      <x:c r="G29" s="64" t="s">
        <x:v>4794</x:v>
      </x:c>
      <x:c r="H29" s="64" t="s">
        <x:v>4785</x:v>
      </x:c>
      <x:c r="I29" s="64" t="s">
        <x:v>4786</x:v>
      </x:c>
      <x:c r="J29" t="str">
        <x:f aca="0">A29&amp;"|"&amp;B29&amp;"|"&amp;C29</x:f>
        <x:v>NEED|U2|D1</x:v>
      </x:c>
      <x:c r="K29" t="n">
        <x:f aca="0">COUNTIF($J$2:$J$71,J29)</x:f>
        <x:v>1</x:v>
      </x:c>
    </x:row>
    <x:row r="30" ht="35.04999923706055" hidden="0">
      <x:c r="A30" s="64" t="s">
        <x:v>278</x:v>
      </x:c>
      <x:c r="B30" s="64" t="s">
        <x:v>964</x:v>
      </x:c>
      <x:c r="C30" s="64" t="s">
        <x:v>963</x:v>
      </x:c>
      <x:c r="D30" s="64" t="s">
        <x:v>4795</x:v>
      </x:c>
      <x:c r="E30" s="64" t="s">
        <x:v>4782</x:v>
      </x:c>
      <x:c r="F30" s="64" t="s">
        <x:v>4783</x:v>
      </x:c>
      <x:c r="G30" s="64" t="s">
        <x:v>4784</x:v>
      </x:c>
      <x:c r="H30" s="64" t="s">
        <x:v>4785</x:v>
      </x:c>
      <x:c r="I30" s="64" t="s">
        <x:v>4786</x:v>
      </x:c>
      <x:c r="J30" t="str">
        <x:f aca="0">A30&amp;"|"&amp;B30&amp;"|"&amp;C30</x:f>
        <x:v>NEED|U2|D2</x:v>
      </x:c>
      <x:c r="K30" t="n">
        <x:f aca="0">COUNTIF($J$2:$J$71,J30)</x:f>
        <x:v>1</x:v>
      </x:c>
    </x:row>
    <x:row r="31" ht="35.04999923706055" hidden="0">
      <x:c r="A31" s="64" t="s">
        <x:v>278</x:v>
      </x:c>
      <x:c r="B31" s="64" t="s">
        <x:v>965</x:v>
      </x:c>
      <x:c r="C31" s="64" t="s">
        <x:v>973</x:v>
      </x:c>
      <x:c r="D31" s="64" t="s">
        <x:v>4795</x:v>
      </x:c>
      <x:c r="E31" s="64" t="s">
        <x:v>2741</x:v>
      </x:c>
      <x:c r="F31" s="64" t="s">
        <x:v>4793</x:v>
      </x:c>
      <x:c r="G31" s="64" t="s">
        <x:v>4794</x:v>
      </x:c>
      <x:c r="H31" s="64" t="s">
        <x:v>4785</x:v>
      </x:c>
      <x:c r="I31" s="64" t="s">
        <x:v>4786</x:v>
      </x:c>
      <x:c r="J31" t="str">
        <x:f aca="0">A31&amp;"|"&amp;B31&amp;"|"&amp;C31</x:f>
        <x:v>NEED|U3|D1</x:v>
      </x:c>
      <x:c r="K31" t="n">
        <x:f aca="0">COUNTIF($J$2:$J$71,J31)</x:f>
        <x:v>1</x:v>
      </x:c>
    </x:row>
    <x:row r="32" ht="35.04999923706055" hidden="0">
      <x:c r="A32" s="64" t="s">
        <x:v>278</x:v>
      </x:c>
      <x:c r="B32" s="64" t="s">
        <x:v>965</x:v>
      </x:c>
      <x:c r="C32" s="64" t="s">
        <x:v>963</x:v>
      </x:c>
      <x:c r="D32" s="64" t="s">
        <x:v>4795</x:v>
      </x:c>
      <x:c r="E32" s="64" t="s">
        <x:v>4782</x:v>
      </x:c>
      <x:c r="F32" s="64" t="s">
        <x:v>4783</x:v>
      </x:c>
      <x:c r="G32" s="64" t="s">
        <x:v>4784</x:v>
      </x:c>
      <x:c r="H32" s="64" t="s">
        <x:v>4785</x:v>
      </x:c>
      <x:c r="I32" s="64" t="s">
        <x:v>4786</x:v>
      </x:c>
      <x:c r="J32" t="str">
        <x:f aca="0">A32&amp;"|"&amp;B32&amp;"|"&amp;C32</x:f>
        <x:v>NEED|U3|D2</x:v>
      </x:c>
      <x:c r="K32" t="n">
        <x:f aca="0">COUNTIF($J$2:$J$71,J32)</x:f>
        <x:v>1</x:v>
      </x:c>
    </x:row>
    <x:row r="33" ht="35.04999923706055" hidden="0">
      <x:c r="A33" s="64" t="s">
        <x:v>278</x:v>
      </x:c>
      <x:c r="B33" s="64" t="s">
        <x:v>966</x:v>
      </x:c>
      <x:c r="C33" s="64" t="s">
        <x:v>973</x:v>
      </x:c>
      <x:c r="D33" s="64" t="s">
        <x:v>4795</x:v>
      </x:c>
      <x:c r="E33" s="64" t="s">
        <x:v>2741</x:v>
      </x:c>
      <x:c r="F33" s="64" t="s">
        <x:v>4793</x:v>
      </x:c>
      <x:c r="G33" s="64" t="s">
        <x:v>4794</x:v>
      </x:c>
      <x:c r="H33" s="64" t="s">
        <x:v>4785</x:v>
      </x:c>
      <x:c r="I33" s="64" t="s">
        <x:v>4786</x:v>
      </x:c>
      <x:c r="J33" t="str">
        <x:f aca="0">A33&amp;"|"&amp;B33&amp;"|"&amp;C33</x:f>
        <x:v>NEED|U4|D1</x:v>
      </x:c>
      <x:c r="K33" t="n">
        <x:f aca="0">COUNTIF($J$2:$J$71,J33)</x:f>
        <x:v>1</x:v>
      </x:c>
    </x:row>
    <x:row r="34" ht="35.04999923706055" hidden="0">
      <x:c r="A34" s="64" t="s">
        <x:v>278</x:v>
      </x:c>
      <x:c r="B34" s="64" t="s">
        <x:v>966</x:v>
      </x:c>
      <x:c r="C34" s="64" t="s">
        <x:v>963</x:v>
      </x:c>
      <x:c r="D34" s="64" t="s">
        <x:v>4795</x:v>
      </x:c>
      <x:c r="E34" s="64" t="s">
        <x:v>4782</x:v>
      </x:c>
      <x:c r="F34" s="64" t="s">
        <x:v>4783</x:v>
      </x:c>
      <x:c r="G34" s="64" t="s">
        <x:v>4784</x:v>
      </x:c>
      <x:c r="H34" s="64" t="s">
        <x:v>4785</x:v>
      </x:c>
      <x:c r="I34" s="64" t="s">
        <x:v>4786</x:v>
      </x:c>
      <x:c r="J34" t="str">
        <x:f aca="0">A34&amp;"|"&amp;B34&amp;"|"&amp;C34</x:f>
        <x:v>NEED|U4|D2</x:v>
      </x:c>
      <x:c r="K34" t="n">
        <x:f aca="0">COUNTIF($J$2:$J$71,J34)</x:f>
        <x:v>1</x:v>
      </x:c>
    </x:row>
    <x:row r="35" ht="35.04999923706055" hidden="0">
      <x:c r="A35" s="64" t="s">
        <x:v>278</x:v>
      </x:c>
      <x:c r="B35" s="64" t="s">
        <x:v>967</x:v>
      </x:c>
      <x:c r="C35" s="64" t="s">
        <x:v>973</x:v>
      </x:c>
      <x:c r="D35" s="64" t="s">
        <x:v>4795</x:v>
      </x:c>
      <x:c r="E35" s="64" t="s">
        <x:v>4782</x:v>
      </x:c>
      <x:c r="F35" s="64" t="s">
        <x:v>4783</x:v>
      </x:c>
      <x:c r="G35" s="64" t="s">
        <x:v>4784</x:v>
      </x:c>
      <x:c r="H35" s="64" t="s">
        <x:v>4785</x:v>
      </x:c>
      <x:c r="I35" s="64" t="s">
        <x:v>4786</x:v>
      </x:c>
      <x:c r="J35" t="str">
        <x:f aca="0">A35&amp;"|"&amp;B35&amp;"|"&amp;C35</x:f>
        <x:v>NEED|U5|D1</x:v>
      </x:c>
      <x:c r="K35" t="n">
        <x:f aca="0">COUNTIF($J$2:$J$71,J35)</x:f>
        <x:v>1</x:v>
      </x:c>
    </x:row>
    <x:row r="36" ht="35.04999923706055" hidden="0">
      <x:c r="A36" s="64" t="s">
        <x:v>278</x:v>
      </x:c>
      <x:c r="B36" s="64" t="s">
        <x:v>967</x:v>
      </x:c>
      <x:c r="C36" s="64" t="s">
        <x:v>963</x:v>
      </x:c>
      <x:c r="D36" s="64" t="s">
        <x:v>4795</x:v>
      </x:c>
      <x:c r="E36" s="64" t="s">
        <x:v>4782</x:v>
      </x:c>
      <x:c r="F36" s="64" t="s">
        <x:v>4783</x:v>
      </x:c>
      <x:c r="G36" s="64" t="s">
        <x:v>4784</x:v>
      </x:c>
      <x:c r="H36" s="64" t="s">
        <x:v>4785</x:v>
      </x:c>
      <x:c r="I36" s="64" t="s">
        <x:v>4786</x:v>
      </x:c>
      <x:c r="J36" t="str">
        <x:f aca="0">A36&amp;"|"&amp;B36&amp;"|"&amp;C36</x:f>
        <x:v>NEED|U5|D2</x:v>
      </x:c>
      <x:c r="K36" t="n">
        <x:f aca="0">COUNTIF($J$2:$J$71,J36)</x:f>
        <x:v>1</x:v>
      </x:c>
    </x:row>
    <x:row r="37" ht="35.04999923706055" hidden="0">
      <x:c r="A37" s="64" t="s">
        <x:v>278</x:v>
      </x:c>
      <x:c r="B37" s="64" t="s">
        <x:v>968</x:v>
      </x:c>
      <x:c r="C37" s="64" t="s">
        <x:v>973</x:v>
      </x:c>
      <x:c r="D37" s="64" t="s">
        <x:v>4795</x:v>
      </x:c>
      <x:c r="E37" s="64" t="s">
        <x:v>4782</x:v>
      </x:c>
      <x:c r="F37" s="64" t="s">
        <x:v>4783</x:v>
      </x:c>
      <x:c r="G37" s="64" t="s">
        <x:v>4784</x:v>
      </x:c>
      <x:c r="H37" s="64" t="s">
        <x:v>4785</x:v>
      </x:c>
      <x:c r="I37" s="64" t="s">
        <x:v>4786</x:v>
      </x:c>
      <x:c r="J37" t="str">
        <x:f aca="0">A37&amp;"|"&amp;B37&amp;"|"&amp;C37</x:f>
        <x:v>NEED|U6|D1</x:v>
      </x:c>
      <x:c r="K37" t="n">
        <x:f aca="0">COUNTIF($J$2:$J$71,J37)</x:f>
        <x:v>1</x:v>
      </x:c>
    </x:row>
    <x:row r="38" ht="35.04999923706055" hidden="0">
      <x:c r="A38" s="64" t="s">
        <x:v>278</x:v>
      </x:c>
      <x:c r="B38" s="64" t="s">
        <x:v>968</x:v>
      </x:c>
      <x:c r="C38" s="64" t="s">
        <x:v>963</x:v>
      </x:c>
      <x:c r="D38" s="64" t="s">
        <x:v>4795</x:v>
      </x:c>
      <x:c r="E38" s="64" t="s">
        <x:v>4782</x:v>
      </x:c>
      <x:c r="F38" s="64" t="s">
        <x:v>4783</x:v>
      </x:c>
      <x:c r="G38" s="64" t="s">
        <x:v>4784</x:v>
      </x:c>
      <x:c r="H38" s="64" t="s">
        <x:v>4785</x:v>
      </x:c>
      <x:c r="I38" s="64" t="s">
        <x:v>4786</x:v>
      </x:c>
      <x:c r="J38" t="str">
        <x:f aca="0">A38&amp;"|"&amp;B38&amp;"|"&amp;C38</x:f>
        <x:v>NEED|U6|D2</x:v>
      </x:c>
      <x:c r="K38" t="n">
        <x:f aca="0">COUNTIF($J$2:$J$71,J38)</x:f>
        <x:v>1</x:v>
      </x:c>
    </x:row>
    <x:row r="39" ht="35.04999923706055" hidden="0">
      <x:c r="A39" s="64" t="s">
        <x:v>279</x:v>
      </x:c>
      <x:c r="B39" s="64" t="s">
        <x:v>962</x:v>
      </x:c>
      <x:c r="C39" s="64" t="s">
        <x:v>972</x:v>
      </x:c>
      <x:c r="D39" s="64" t="s">
        <x:v>4796</x:v>
      </x:c>
      <x:c r="E39" s="64" t="s">
        <x:v>4782</x:v>
      </x:c>
      <x:c r="F39" s="64" t="s">
        <x:v>4783</x:v>
      </x:c>
      <x:c r="G39" s="64" t="s">
        <x:v>4784</x:v>
      </x:c>
      <x:c r="H39" s="64" t="s">
        <x:v>4785</x:v>
      </x:c>
      <x:c r="I39" s="64" t="s">
        <x:v>4786</x:v>
      </x:c>
      <x:c r="J39" t="str">
        <x:f aca="0">A39&amp;"|"&amp;B39&amp;"|"&amp;C39</x:f>
        <x:v>DIGN|U1|D3</x:v>
      </x:c>
      <x:c r="K39" t="n">
        <x:f aca="0">COUNTIF($J$2:$J$71,J39)</x:f>
        <x:v>1</x:v>
      </x:c>
    </x:row>
    <x:row r="40" ht="35.04999923706055" hidden="0">
      <x:c r="A40" s="64" t="s">
        <x:v>279</x:v>
      </x:c>
      <x:c r="B40" s="64" t="s">
        <x:v>962</x:v>
      </x:c>
      <x:c r="C40" s="64" t="s">
        <x:v>971</x:v>
      </x:c>
      <x:c r="D40" s="64" t="s">
        <x:v>4796</x:v>
      </x:c>
      <x:c r="E40" s="64" t="s">
        <x:v>2741</x:v>
      </x:c>
      <x:c r="F40" s="64" t="s">
        <x:v>4793</x:v>
      </x:c>
      <x:c r="G40" s="64" t="s">
        <x:v>4794</x:v>
      </x:c>
      <x:c r="H40" s="64" t="s">
        <x:v>4785</x:v>
      </x:c>
      <x:c r="I40" s="64" t="s">
        <x:v>4786</x:v>
      </x:c>
      <x:c r="J40" t="str">
        <x:f aca="0">A40&amp;"|"&amp;B40&amp;"|"&amp;C40</x:f>
        <x:v>DIGN|U1|D5</x:v>
      </x:c>
      <x:c r="K40" t="n">
        <x:f aca="0">COUNTIF($J$2:$J$71,J40)</x:f>
        <x:v>1</x:v>
      </x:c>
    </x:row>
    <x:row r="41" ht="35.04999923706055" hidden="0">
      <x:c r="A41" s="64" t="s">
        <x:v>279</x:v>
      </x:c>
      <x:c r="B41" s="64" t="s">
        <x:v>964</x:v>
      </x:c>
      <x:c r="C41" s="64" t="s">
        <x:v>972</x:v>
      </x:c>
      <x:c r="D41" s="64" t="s">
        <x:v>4796</x:v>
      </x:c>
      <x:c r="E41" s="64" t="s">
        <x:v>4782</x:v>
      </x:c>
      <x:c r="F41" s="64" t="s">
        <x:v>4783</x:v>
      </x:c>
      <x:c r="G41" s="64" t="s">
        <x:v>4784</x:v>
      </x:c>
      <x:c r="H41" s="64" t="s">
        <x:v>4785</x:v>
      </x:c>
      <x:c r="I41" s="64" t="s">
        <x:v>4786</x:v>
      </x:c>
      <x:c r="J41" t="str">
        <x:f aca="0">A41&amp;"|"&amp;B41&amp;"|"&amp;C41</x:f>
        <x:v>DIGN|U2|D3</x:v>
      </x:c>
      <x:c r="K41" t="n">
        <x:f aca="0">COUNTIF($J$2:$J$71,J41)</x:f>
        <x:v>1</x:v>
      </x:c>
    </x:row>
    <x:row r="42" ht="35.04999923706055" hidden="0">
      <x:c r="A42" s="64" t="s">
        <x:v>279</x:v>
      </x:c>
      <x:c r="B42" s="64" t="s">
        <x:v>964</x:v>
      </x:c>
      <x:c r="C42" s="64" t="s">
        <x:v>971</x:v>
      </x:c>
      <x:c r="D42" s="64" t="s">
        <x:v>4796</x:v>
      </x:c>
      <x:c r="E42" s="64" t="s">
        <x:v>4782</x:v>
      </x:c>
      <x:c r="F42" s="64" t="s">
        <x:v>4783</x:v>
      </x:c>
      <x:c r="G42" s="64" t="s">
        <x:v>4784</x:v>
      </x:c>
      <x:c r="H42" s="64" t="s">
        <x:v>4785</x:v>
      </x:c>
      <x:c r="I42" s="64" t="s">
        <x:v>4786</x:v>
      </x:c>
      <x:c r="J42" t="str">
        <x:f aca="0">A42&amp;"|"&amp;B42&amp;"|"&amp;C42</x:f>
        <x:v>DIGN|U2|D5</x:v>
      </x:c>
      <x:c r="K42" t="n">
        <x:f aca="0">COUNTIF($J$2:$J$71,J42)</x:f>
        <x:v>1</x:v>
      </x:c>
    </x:row>
    <x:row r="43" ht="35.04999923706055" hidden="0">
      <x:c r="A43" s="64" t="s">
        <x:v>279</x:v>
      </x:c>
      <x:c r="B43" s="64" t="s">
        <x:v>965</x:v>
      </x:c>
      <x:c r="C43" s="64" t="s">
        <x:v>972</x:v>
      </x:c>
      <x:c r="D43" s="64" t="s">
        <x:v>4796</x:v>
      </x:c>
      <x:c r="E43" s="64" t="s">
        <x:v>2741</x:v>
      </x:c>
      <x:c r="F43" s="64" t="s">
        <x:v>4793</x:v>
      </x:c>
      <x:c r="G43" s="64" t="s">
        <x:v>4794</x:v>
      </x:c>
      <x:c r="H43" s="64" t="s">
        <x:v>4785</x:v>
      </x:c>
      <x:c r="I43" s="64" t="s">
        <x:v>4786</x:v>
      </x:c>
      <x:c r="J43" t="str">
        <x:f aca="0">A43&amp;"|"&amp;B43&amp;"|"&amp;C43</x:f>
        <x:v>DIGN|U3|D3</x:v>
      </x:c>
      <x:c r="K43" t="n">
        <x:f aca="0">COUNTIF($J$2:$J$71,J43)</x:f>
        <x:v>1</x:v>
      </x:c>
    </x:row>
    <x:row r="44" ht="35.04999923706055" hidden="0">
      <x:c r="A44" s="64" t="s">
        <x:v>279</x:v>
      </x:c>
      <x:c r="B44" s="64" t="s">
        <x:v>965</x:v>
      </x:c>
      <x:c r="C44" s="64" t="s">
        <x:v>971</x:v>
      </x:c>
      <x:c r="D44" s="64" t="s">
        <x:v>4796</x:v>
      </x:c>
      <x:c r="E44" s="64" t="s">
        <x:v>4782</x:v>
      </x:c>
      <x:c r="F44" s="64" t="s">
        <x:v>4783</x:v>
      </x:c>
      <x:c r="G44" s="64" t="s">
        <x:v>4784</x:v>
      </x:c>
      <x:c r="H44" s="64" t="s">
        <x:v>4785</x:v>
      </x:c>
      <x:c r="I44" s="64" t="s">
        <x:v>4786</x:v>
      </x:c>
      <x:c r="J44" t="str">
        <x:f aca="0">A44&amp;"|"&amp;B44&amp;"|"&amp;C44</x:f>
        <x:v>DIGN|U3|D5</x:v>
      </x:c>
      <x:c r="K44" t="n">
        <x:f aca="0">COUNTIF($J$2:$J$71,J44)</x:f>
        <x:v>1</x:v>
      </x:c>
    </x:row>
    <x:row r="45" ht="35.04999923706055" hidden="0">
      <x:c r="A45" s="64" t="s">
        <x:v>279</x:v>
      </x:c>
      <x:c r="B45" s="64" t="s">
        <x:v>966</x:v>
      </x:c>
      <x:c r="C45" s="64" t="s">
        <x:v>972</x:v>
      </x:c>
      <x:c r="D45" s="64" t="s">
        <x:v>4796</x:v>
      </x:c>
      <x:c r="E45" s="64" t="s">
        <x:v>4782</x:v>
      </x:c>
      <x:c r="F45" s="64" t="s">
        <x:v>4783</x:v>
      </x:c>
      <x:c r="G45" s="64" t="s">
        <x:v>4784</x:v>
      </x:c>
      <x:c r="H45" s="64" t="s">
        <x:v>4785</x:v>
      </x:c>
      <x:c r="I45" s="64" t="s">
        <x:v>4786</x:v>
      </x:c>
      <x:c r="J45" t="str">
        <x:f aca="0">A45&amp;"|"&amp;B45&amp;"|"&amp;C45</x:f>
        <x:v>DIGN|U4|D3</x:v>
      </x:c>
      <x:c r="K45" t="n">
        <x:f aca="0">COUNTIF($J$2:$J$71,J45)</x:f>
        <x:v>1</x:v>
      </x:c>
    </x:row>
    <x:row r="46" ht="35.04999923706055" hidden="0">
      <x:c r="A46" s="64" t="s">
        <x:v>279</x:v>
      </x:c>
      <x:c r="B46" s="64" t="s">
        <x:v>966</x:v>
      </x:c>
      <x:c r="C46" s="64" t="s">
        <x:v>971</x:v>
      </x:c>
      <x:c r="D46" s="64" t="s">
        <x:v>4796</x:v>
      </x:c>
      <x:c r="E46" s="64" t="s">
        <x:v>4782</x:v>
      </x:c>
      <x:c r="F46" s="64" t="s">
        <x:v>4783</x:v>
      </x:c>
      <x:c r="G46" s="64" t="s">
        <x:v>4784</x:v>
      </x:c>
      <x:c r="H46" s="64" t="s">
        <x:v>4785</x:v>
      </x:c>
      <x:c r="I46" s="64" t="s">
        <x:v>4786</x:v>
      </x:c>
      <x:c r="J46" t="str">
        <x:f aca="0">A46&amp;"|"&amp;B46&amp;"|"&amp;C46</x:f>
        <x:v>DIGN|U4|D5</x:v>
      </x:c>
      <x:c r="K46" t="n">
        <x:f aca="0">COUNTIF($J$2:$J$71,J46)</x:f>
        <x:v>1</x:v>
      </x:c>
    </x:row>
    <x:row r="47" ht="35.04999923706055" hidden="0">
      <x:c r="A47" s="64" t="s">
        <x:v>279</x:v>
      </x:c>
      <x:c r="B47" s="64" t="s">
        <x:v>967</x:v>
      </x:c>
      <x:c r="C47" s="64" t="s">
        <x:v>972</x:v>
      </x:c>
      <x:c r="D47" s="64" t="s">
        <x:v>4796</x:v>
      </x:c>
      <x:c r="E47" s="64" t="s">
        <x:v>4782</x:v>
      </x:c>
      <x:c r="F47" s="64" t="s">
        <x:v>4783</x:v>
      </x:c>
      <x:c r="G47" s="64" t="s">
        <x:v>4784</x:v>
      </x:c>
      <x:c r="H47" s="64" t="s">
        <x:v>4785</x:v>
      </x:c>
      <x:c r="I47" s="64" t="s">
        <x:v>4786</x:v>
      </x:c>
      <x:c r="J47" t="str">
        <x:f aca="0">A47&amp;"|"&amp;B47&amp;"|"&amp;C47</x:f>
        <x:v>DIGN|U5|D3</x:v>
      </x:c>
      <x:c r="K47" t="n">
        <x:f aca="0">COUNTIF($J$2:$J$71,J47)</x:f>
        <x:v>1</x:v>
      </x:c>
    </x:row>
    <x:row r="48" ht="35.04999923706055" hidden="0">
      <x:c r="A48" s="64" t="s">
        <x:v>279</x:v>
      </x:c>
      <x:c r="B48" s="64" t="s">
        <x:v>967</x:v>
      </x:c>
      <x:c r="C48" s="64" t="s">
        <x:v>971</x:v>
      </x:c>
      <x:c r="D48" s="64" t="s">
        <x:v>4796</x:v>
      </x:c>
      <x:c r="E48" s="64" t="s">
        <x:v>4782</x:v>
      </x:c>
      <x:c r="F48" s="64" t="s">
        <x:v>4783</x:v>
      </x:c>
      <x:c r="G48" s="64" t="s">
        <x:v>4784</x:v>
      </x:c>
      <x:c r="H48" s="64" t="s">
        <x:v>4785</x:v>
      </x:c>
      <x:c r="I48" s="64" t="s">
        <x:v>4786</x:v>
      </x:c>
      <x:c r="J48" t="str">
        <x:f aca="0">A48&amp;"|"&amp;B48&amp;"|"&amp;C48</x:f>
        <x:v>DIGN|U5|D5</x:v>
      </x:c>
      <x:c r="K48" t="n">
        <x:f aca="0">COUNTIF($J$2:$J$71,J48)</x:f>
        <x:v>1</x:v>
      </x:c>
    </x:row>
    <x:row r="49" ht="35.04999923706055" hidden="0">
      <x:c r="A49" s="64" t="s">
        <x:v>279</x:v>
      </x:c>
      <x:c r="B49" s="64" t="s">
        <x:v>968</x:v>
      </x:c>
      <x:c r="C49" s="64" t="s">
        <x:v>972</x:v>
      </x:c>
      <x:c r="D49" s="64" t="s">
        <x:v>4796</x:v>
      </x:c>
      <x:c r="E49" s="64" t="s">
        <x:v>4782</x:v>
      </x:c>
      <x:c r="F49" s="64" t="s">
        <x:v>4783</x:v>
      </x:c>
      <x:c r="G49" s="64" t="s">
        <x:v>4784</x:v>
      </x:c>
      <x:c r="H49" s="64" t="s">
        <x:v>4785</x:v>
      </x:c>
      <x:c r="I49" s="64" t="s">
        <x:v>4786</x:v>
      </x:c>
      <x:c r="J49" t="str">
        <x:f aca="0">A49&amp;"|"&amp;B49&amp;"|"&amp;C49</x:f>
        <x:v>DIGN|U6|D3</x:v>
      </x:c>
      <x:c r="K49" t="n">
        <x:f aca="0">COUNTIF($J$2:$J$71,J49)</x:f>
        <x:v>1</x:v>
      </x:c>
    </x:row>
    <x:row r="50" ht="35.04999923706055" hidden="0">
      <x:c r="A50" s="64" t="s">
        <x:v>279</x:v>
      </x:c>
      <x:c r="B50" s="64" t="s">
        <x:v>968</x:v>
      </x:c>
      <x:c r="C50" s="64" t="s">
        <x:v>971</x:v>
      </x:c>
      <x:c r="D50" s="64" t="s">
        <x:v>4796</x:v>
      </x:c>
      <x:c r="E50" s="64" t="s">
        <x:v>4782</x:v>
      </x:c>
      <x:c r="F50" s="64" t="s">
        <x:v>4783</x:v>
      </x:c>
      <x:c r="G50" s="64" t="s">
        <x:v>4784</x:v>
      </x:c>
      <x:c r="H50" s="64" t="s">
        <x:v>4785</x:v>
      </x:c>
      <x:c r="I50" s="64" t="s">
        <x:v>4786</x:v>
      </x:c>
      <x:c r="J50" t="str">
        <x:f aca="0">A50&amp;"|"&amp;B50&amp;"|"&amp;C50</x:f>
        <x:v>DIGN|U6|D5</x:v>
      </x:c>
      <x:c r="K50" t="n">
        <x:f aca="0">COUNTIF($J$2:$J$71,J50)</x:f>
        <x:v>1</x:v>
      </x:c>
    </x:row>
    <x:row r="51" ht="35.04999923706055" hidden="0">
      <x:c r="A51" s="64" t="s">
        <x:v>280</x:v>
      </x:c>
      <x:c r="B51" s="64" t="s">
        <x:v>966</x:v>
      </x:c>
      <x:c r="C51" s="64" t="s">
        <x:v>972</x:v>
      </x:c>
      <x:c r="D51" s="64" t="s">
        <x:v>4797</x:v>
      </x:c>
      <x:c r="E51" s="64" t="s">
        <x:v>4782</x:v>
      </x:c>
      <x:c r="F51" s="64" t="s">
        <x:v>4783</x:v>
      </x:c>
      <x:c r="G51" s="64" t="s">
        <x:v>4784</x:v>
      </x:c>
      <x:c r="H51" s="64" t="s">
        <x:v>4785</x:v>
      </x:c>
      <x:c r="I51" s="64" t="s">
        <x:v>4786</x:v>
      </x:c>
      <x:c r="J51" t="str">
        <x:f aca="0">A51&amp;"|"&amp;B51&amp;"|"&amp;C51</x:f>
        <x:v>PROC|U4|D3</x:v>
      </x:c>
      <x:c r="K51" t="n">
        <x:f aca="0">COUNTIF($J$2:$J$71,J51)</x:f>
        <x:v>1</x:v>
      </x:c>
    </x:row>
    <x:row r="52" ht="35.04999923706055" hidden="0">
      <x:c r="A52" s="64" t="s">
        <x:v>280</x:v>
      </x:c>
      <x:c r="B52" s="64" t="s">
        <x:v>966</x:v>
      </x:c>
      <x:c r="C52" s="64" t="s">
        <x:v>974</x:v>
      </x:c>
      <x:c r="D52" s="64" t="s">
        <x:v>4797</x:v>
      </x:c>
      <x:c r="E52" s="64" t="s">
        <x:v>4782</x:v>
      </x:c>
      <x:c r="F52" s="64" t="s">
        <x:v>4783</x:v>
      </x:c>
      <x:c r="G52" s="64" t="s">
        <x:v>4784</x:v>
      </x:c>
      <x:c r="H52" s="64" t="s">
        <x:v>4785</x:v>
      </x:c>
      <x:c r="I52" s="64" t="s">
        <x:v>4786</x:v>
      </x:c>
      <x:c r="J52" t="str">
        <x:f aca="0">A52&amp;"|"&amp;B52&amp;"|"&amp;C52</x:f>
        <x:v>PROC|U4|D4</x:v>
      </x:c>
      <x:c r="K52" t="n">
        <x:f aca="0">COUNTIF($J$2:$J$71,J52)</x:f>
        <x:v>1</x:v>
      </x:c>
    </x:row>
    <x:row r="53" ht="35.04999923706055" hidden="0">
      <x:c r="A53" s="64" t="s">
        <x:v>280</x:v>
      </x:c>
      <x:c r="B53" s="64" t="s">
        <x:v>966</x:v>
      </x:c>
      <x:c r="C53" s="64" t="s">
        <x:v>971</x:v>
      </x:c>
      <x:c r="D53" s="64" t="s">
        <x:v>4797</x:v>
      </x:c>
      <x:c r="E53" s="64" t="s">
        <x:v>4782</x:v>
      </x:c>
      <x:c r="F53" s="64" t="s">
        <x:v>4783</x:v>
      </x:c>
      <x:c r="G53" s="64" t="s">
        <x:v>4784</x:v>
      </x:c>
      <x:c r="H53" s="64" t="s">
        <x:v>4785</x:v>
      </x:c>
      <x:c r="I53" s="64" t="s">
        <x:v>4786</x:v>
      </x:c>
      <x:c r="J53" t="str">
        <x:f aca="0">A53&amp;"|"&amp;B53&amp;"|"&amp;C53</x:f>
        <x:v>PROC|U4|D5</x:v>
      </x:c>
      <x:c r="K53" t="n">
        <x:f aca="0">COUNTIF($J$2:$J$71,J53)</x:f>
        <x:v>1</x:v>
      </x:c>
    </x:row>
    <x:row r="54" ht="35.04999923706055" hidden="0">
      <x:c r="A54" s="64" t="s">
        <x:v>280</x:v>
      </x:c>
      <x:c r="B54" s="64" t="s">
        <x:v>967</x:v>
      </x:c>
      <x:c r="C54" s="64" t="s">
        <x:v>972</x:v>
      </x:c>
      <x:c r="D54" s="64" t="s">
        <x:v>4797</x:v>
      </x:c>
      <x:c r="E54" s="64" t="s">
        <x:v>4782</x:v>
      </x:c>
      <x:c r="F54" s="64" t="s">
        <x:v>4783</x:v>
      </x:c>
      <x:c r="G54" s="64" t="s">
        <x:v>4784</x:v>
      </x:c>
      <x:c r="H54" s="64" t="s">
        <x:v>4785</x:v>
      </x:c>
      <x:c r="I54" s="64" t="s">
        <x:v>4786</x:v>
      </x:c>
      <x:c r="J54" t="str">
        <x:f aca="0">A54&amp;"|"&amp;B54&amp;"|"&amp;C54</x:f>
        <x:v>PROC|U5|D3</x:v>
      </x:c>
      <x:c r="K54" t="n">
        <x:f aca="0">COUNTIF($J$2:$J$71,J54)</x:f>
        <x:v>1</x:v>
      </x:c>
    </x:row>
    <x:row r="55" ht="35.04999923706055" hidden="0">
      <x:c r="A55" s="64" t="s">
        <x:v>280</x:v>
      </x:c>
      <x:c r="B55" s="64" t="s">
        <x:v>967</x:v>
      </x:c>
      <x:c r="C55" s="64" t="s">
        <x:v>974</x:v>
      </x:c>
      <x:c r="D55" s="64" t="s">
        <x:v>4797</x:v>
      </x:c>
      <x:c r="E55" s="64" t="s">
        <x:v>4782</x:v>
      </x:c>
      <x:c r="F55" s="64" t="s">
        <x:v>4783</x:v>
      </x:c>
      <x:c r="G55" s="64" t="s">
        <x:v>4784</x:v>
      </x:c>
      <x:c r="H55" s="64" t="s">
        <x:v>4785</x:v>
      </x:c>
      <x:c r="I55" s="64" t="s">
        <x:v>4786</x:v>
      </x:c>
      <x:c r="J55" t="str">
        <x:f aca="0">A55&amp;"|"&amp;B55&amp;"|"&amp;C55</x:f>
        <x:v>PROC|U5|D4</x:v>
      </x:c>
      <x:c r="K55" t="n">
        <x:f aca="0">COUNTIF($J$2:$J$71,J55)</x:f>
        <x:v>1</x:v>
      </x:c>
    </x:row>
    <x:row r="56" ht="35.04999923706055" hidden="0">
      <x:c r="A56" s="64" t="s">
        <x:v>280</x:v>
      </x:c>
      <x:c r="B56" s="64" t="s">
        <x:v>967</x:v>
      </x:c>
      <x:c r="C56" s="64" t="s">
        <x:v>971</x:v>
      </x:c>
      <x:c r="D56" s="64" t="s">
        <x:v>4797</x:v>
      </x:c>
      <x:c r="E56" s="64" t="s">
        <x:v>4782</x:v>
      </x:c>
      <x:c r="F56" s="64" t="s">
        <x:v>4783</x:v>
      </x:c>
      <x:c r="G56" s="64" t="s">
        <x:v>4784</x:v>
      </x:c>
      <x:c r="H56" s="64" t="s">
        <x:v>4785</x:v>
      </x:c>
      <x:c r="I56" s="64" t="s">
        <x:v>4786</x:v>
      </x:c>
      <x:c r="J56" t="str">
        <x:f aca="0">A56&amp;"|"&amp;B56&amp;"|"&amp;C56</x:f>
        <x:v>PROC|U5|D5</x:v>
      </x:c>
      <x:c r="K56" t="n">
        <x:f aca="0">COUNTIF($J$2:$J$71,J56)</x:f>
        <x:v>1</x:v>
      </x:c>
    </x:row>
    <x:row r="57" ht="35.04999923706055" hidden="0">
      <x:c r="A57" s="64" t="s">
        <x:v>280</x:v>
      </x:c>
      <x:c r="B57" s="64" t="s">
        <x:v>968</x:v>
      </x:c>
      <x:c r="C57" s="64" t="s">
        <x:v>972</x:v>
      </x:c>
      <x:c r="D57" s="64" t="s">
        <x:v>4797</x:v>
      </x:c>
      <x:c r="E57" s="64" t="s">
        <x:v>4782</x:v>
      </x:c>
      <x:c r="F57" s="64" t="s">
        <x:v>4783</x:v>
      </x:c>
      <x:c r="G57" s="64" t="s">
        <x:v>4784</x:v>
      </x:c>
      <x:c r="H57" s="64" t="s">
        <x:v>4785</x:v>
      </x:c>
      <x:c r="I57" s="64" t="s">
        <x:v>4786</x:v>
      </x:c>
      <x:c r="J57" t="str">
        <x:f aca="0">A57&amp;"|"&amp;B57&amp;"|"&amp;C57</x:f>
        <x:v>PROC|U6|D3</x:v>
      </x:c>
      <x:c r="K57" t="n">
        <x:f aca="0">COUNTIF($J$2:$J$71,J57)</x:f>
        <x:v>1</x:v>
      </x:c>
    </x:row>
    <x:row r="58" ht="35.04999923706055" hidden="0">
      <x:c r="A58" s="64" t="s">
        <x:v>280</x:v>
      </x:c>
      <x:c r="B58" s="64" t="s">
        <x:v>968</x:v>
      </x:c>
      <x:c r="C58" s="64" t="s">
        <x:v>974</x:v>
      </x:c>
      <x:c r="D58" s="64" t="s">
        <x:v>4797</x:v>
      </x:c>
      <x:c r="E58" s="64" t="s">
        <x:v>4782</x:v>
      </x:c>
      <x:c r="F58" s="64" t="s">
        <x:v>4783</x:v>
      </x:c>
      <x:c r="G58" s="64" t="s">
        <x:v>4784</x:v>
      </x:c>
      <x:c r="H58" s="64" t="s">
        <x:v>4785</x:v>
      </x:c>
      <x:c r="I58" s="64" t="s">
        <x:v>4786</x:v>
      </x:c>
      <x:c r="J58" t="str">
        <x:f aca="0">A58&amp;"|"&amp;B58&amp;"|"&amp;C58</x:f>
        <x:v>PROC|U6|D4</x:v>
      </x:c>
      <x:c r="K58" t="n">
        <x:f aca="0">COUNTIF($J$2:$J$71,J58)</x:f>
        <x:v>1</x:v>
      </x:c>
    </x:row>
    <x:row r="59" ht="35.04999923706055" hidden="0">
      <x:c r="A59" s="64" t="s">
        <x:v>280</x:v>
      </x:c>
      <x:c r="B59" s="64" t="s">
        <x:v>968</x:v>
      </x:c>
      <x:c r="C59" s="64" t="s">
        <x:v>971</x:v>
      </x:c>
      <x:c r="D59" s="64" t="s">
        <x:v>4797</x:v>
      </x:c>
      <x:c r="E59" s="64" t="s">
        <x:v>4782</x:v>
      </x:c>
      <x:c r="F59" s="64" t="s">
        <x:v>4783</x:v>
      </x:c>
      <x:c r="G59" s="64" t="s">
        <x:v>4784</x:v>
      </x:c>
      <x:c r="H59" s="64" t="s">
        <x:v>4785</x:v>
      </x:c>
      <x:c r="I59" s="64" t="s">
        <x:v>4786</x:v>
      </x:c>
      <x:c r="J59" t="str">
        <x:f aca="0">A59&amp;"|"&amp;B59&amp;"|"&amp;C59</x:f>
        <x:v>PROC|U6|D5</x:v>
      </x:c>
      <x:c r="K59" t="n">
        <x:f aca="0">COUNTIF($J$2:$J$71,J59)</x:f>
        <x:v>1</x:v>
      </x:c>
    </x:row>
    <x:row r="60" ht="35.04999923706055" hidden="0">
      <x:c r="A60" s="64" t="s">
        <x:v>281</x:v>
      </x:c>
      <x:c r="B60" s="64" t="s">
        <x:v>962</x:v>
      </x:c>
      <x:c r="C60" s="64" t="s">
        <x:v>974</x:v>
      </x:c>
      <x:c r="D60" s="64" t="s">
        <x:v>4798</x:v>
      </x:c>
      <x:c r="E60" s="64" t="s">
        <x:v>4782</x:v>
      </x:c>
      <x:c r="F60" s="64" t="s">
        <x:v>4783</x:v>
      </x:c>
      <x:c r="G60" s="64" t="s">
        <x:v>4784</x:v>
      </x:c>
      <x:c r="H60" s="64" t="s">
        <x:v>4785</x:v>
      </x:c>
      <x:c r="I60" s="64" t="s">
        <x:v>4786</x:v>
      </x:c>
      <x:c r="J60" t="str">
        <x:f aca="0">A60&amp;"|"&amp;B60&amp;"|"&amp;C60</x:f>
        <x:v>INFO|U1|D4</x:v>
      </x:c>
      <x:c r="K60" t="n">
        <x:f aca="0">COUNTIF($J$2:$J$71,J60)</x:f>
        <x:v>1</x:v>
      </x:c>
    </x:row>
    <x:row r="61" ht="35.04999923706055" hidden="0">
      <x:c r="A61" s="64" t="s">
        <x:v>281</x:v>
      </x:c>
      <x:c r="B61" s="64" t="s">
        <x:v>962</x:v>
      </x:c>
      <x:c r="C61" s="64" t="s">
        <x:v>971</x:v>
      </x:c>
      <x:c r="D61" s="64" t="s">
        <x:v>4798</x:v>
      </x:c>
      <x:c r="E61" s="64" t="s">
        <x:v>2741</x:v>
      </x:c>
      <x:c r="F61" s="64" t="s">
        <x:v>4793</x:v>
      </x:c>
      <x:c r="G61" s="64" t="s">
        <x:v>4794</x:v>
      </x:c>
      <x:c r="H61" s="64" t="s">
        <x:v>4785</x:v>
      </x:c>
      <x:c r="I61" s="64" t="s">
        <x:v>4786</x:v>
      </x:c>
      <x:c r="J61" t="str">
        <x:f aca="0">A61&amp;"|"&amp;B61&amp;"|"&amp;C61</x:f>
        <x:v>INFO|U1|D5</x:v>
      </x:c>
      <x:c r="K61" t="n">
        <x:f aca="0">COUNTIF($J$2:$J$71,J61)</x:f>
        <x:v>1</x:v>
      </x:c>
    </x:row>
    <x:row r="62" ht="35.04999923706055" hidden="0">
      <x:c r="A62" s="64" t="s">
        <x:v>281</x:v>
      </x:c>
      <x:c r="B62" s="64" t="s">
        <x:v>964</x:v>
      </x:c>
      <x:c r="C62" s="64" t="s">
        <x:v>974</x:v>
      </x:c>
      <x:c r="D62" s="64" t="s">
        <x:v>4798</x:v>
      </x:c>
      <x:c r="E62" s="64" t="s">
        <x:v>4782</x:v>
      </x:c>
      <x:c r="F62" s="64" t="s">
        <x:v>4783</x:v>
      </x:c>
      <x:c r="G62" s="64" t="s">
        <x:v>4784</x:v>
      </x:c>
      <x:c r="H62" s="64" t="s">
        <x:v>4785</x:v>
      </x:c>
      <x:c r="I62" s="64" t="s">
        <x:v>4786</x:v>
      </x:c>
      <x:c r="J62" t="str">
        <x:f aca="0">A62&amp;"|"&amp;B62&amp;"|"&amp;C62</x:f>
        <x:v>INFO|U2|D4</x:v>
      </x:c>
      <x:c r="K62" t="n">
        <x:f aca="0">COUNTIF($J$2:$J$71,J62)</x:f>
        <x:v>1</x:v>
      </x:c>
    </x:row>
    <x:row r="63" ht="35.04999923706055" hidden="0">
      <x:c r="A63" s="64" t="s">
        <x:v>281</x:v>
      </x:c>
      <x:c r="B63" s="64" t="s">
        <x:v>964</x:v>
      </x:c>
      <x:c r="C63" s="64" t="s">
        <x:v>971</x:v>
      </x:c>
      <x:c r="D63" s="64" t="s">
        <x:v>4798</x:v>
      </x:c>
      <x:c r="E63" s="64" t="s">
        <x:v>4782</x:v>
      </x:c>
      <x:c r="F63" s="64" t="s">
        <x:v>4783</x:v>
      </x:c>
      <x:c r="G63" s="64" t="s">
        <x:v>4784</x:v>
      </x:c>
      <x:c r="H63" s="64" t="s">
        <x:v>4785</x:v>
      </x:c>
      <x:c r="I63" s="64" t="s">
        <x:v>4786</x:v>
      </x:c>
      <x:c r="J63" t="str">
        <x:f aca="0">A63&amp;"|"&amp;B63&amp;"|"&amp;C63</x:f>
        <x:v>INFO|U2|D5</x:v>
      </x:c>
      <x:c r="K63" t="n">
        <x:f aca="0">COUNTIF($J$2:$J$71,J63)</x:f>
        <x:v>1</x:v>
      </x:c>
    </x:row>
    <x:row r="64" ht="35.04999923706055" hidden="0">
      <x:c r="A64" s="64" t="s">
        <x:v>281</x:v>
      </x:c>
      <x:c r="B64" s="64" t="s">
        <x:v>965</x:v>
      </x:c>
      <x:c r="C64" s="64" t="s">
        <x:v>974</x:v>
      </x:c>
      <x:c r="D64" s="64" t="s">
        <x:v>4798</x:v>
      </x:c>
      <x:c r="E64" s="64" t="s">
        <x:v>4782</x:v>
      </x:c>
      <x:c r="F64" s="64" t="s">
        <x:v>4783</x:v>
      </x:c>
      <x:c r="G64" s="64" t="s">
        <x:v>4784</x:v>
      </x:c>
      <x:c r="H64" s="64" t="s">
        <x:v>4785</x:v>
      </x:c>
      <x:c r="I64" s="64" t="s">
        <x:v>4786</x:v>
      </x:c>
      <x:c r="J64" t="str">
        <x:f aca="0">A64&amp;"|"&amp;B64&amp;"|"&amp;C64</x:f>
        <x:v>INFO|U3|D4</x:v>
      </x:c>
      <x:c r="K64" t="n">
        <x:f aca="0">COUNTIF($J$2:$J$71,J64)</x:f>
        <x:v>1</x:v>
      </x:c>
    </x:row>
    <x:row r="65" ht="35.04999923706055" hidden="0">
      <x:c r="A65" s="64" t="s">
        <x:v>281</x:v>
      </x:c>
      <x:c r="B65" s="64" t="s">
        <x:v>965</x:v>
      </x:c>
      <x:c r="C65" s="64" t="s">
        <x:v>971</x:v>
      </x:c>
      <x:c r="D65" s="64" t="s">
        <x:v>4798</x:v>
      </x:c>
      <x:c r="E65" s="64" t="s">
        <x:v>4782</x:v>
      </x:c>
      <x:c r="F65" s="64" t="s">
        <x:v>4783</x:v>
      </x:c>
      <x:c r="G65" s="64" t="s">
        <x:v>4784</x:v>
      </x:c>
      <x:c r="H65" s="64" t="s">
        <x:v>4785</x:v>
      </x:c>
      <x:c r="I65" s="64" t="s">
        <x:v>4786</x:v>
      </x:c>
      <x:c r="J65" t="str">
        <x:f aca="0">A65&amp;"|"&amp;B65&amp;"|"&amp;C65</x:f>
        <x:v>INFO|U3|D5</x:v>
      </x:c>
      <x:c r="K65" t="n">
        <x:f aca="0">COUNTIF($J$2:$J$71,J65)</x:f>
        <x:v>1</x:v>
      </x:c>
    </x:row>
    <x:row r="66" ht="35.04999923706055" hidden="0">
      <x:c r="A66" s="64" t="s">
        <x:v>281</x:v>
      </x:c>
      <x:c r="B66" s="64" t="s">
        <x:v>966</x:v>
      </x:c>
      <x:c r="C66" s="64" t="s">
        <x:v>974</x:v>
      </x:c>
      <x:c r="D66" s="64" t="s">
        <x:v>4798</x:v>
      </x:c>
      <x:c r="E66" s="64" t="s">
        <x:v>4782</x:v>
      </x:c>
      <x:c r="F66" s="64" t="s">
        <x:v>4783</x:v>
      </x:c>
      <x:c r="G66" s="64" t="s">
        <x:v>4784</x:v>
      </x:c>
      <x:c r="H66" s="64" t="s">
        <x:v>4785</x:v>
      </x:c>
      <x:c r="I66" s="64" t="s">
        <x:v>4786</x:v>
      </x:c>
      <x:c r="J66" t="str">
        <x:f aca="0">A66&amp;"|"&amp;B66&amp;"|"&amp;C66</x:f>
        <x:v>INFO|U4|D4</x:v>
      </x:c>
      <x:c r="K66" t="n">
        <x:f aca="0">COUNTIF($J$2:$J$71,J66)</x:f>
        <x:v>1</x:v>
      </x:c>
    </x:row>
    <x:row r="67" ht="35.04999923706055" hidden="0">
      <x:c r="A67" s="64" t="s">
        <x:v>281</x:v>
      </x:c>
      <x:c r="B67" s="64" t="s">
        <x:v>966</x:v>
      </x:c>
      <x:c r="C67" s="64" t="s">
        <x:v>971</x:v>
      </x:c>
      <x:c r="D67" s="64" t="s">
        <x:v>4798</x:v>
      </x:c>
      <x:c r="E67" s="64" t="s">
        <x:v>4782</x:v>
      </x:c>
      <x:c r="F67" s="64" t="s">
        <x:v>4783</x:v>
      </x:c>
      <x:c r="G67" s="64" t="s">
        <x:v>4784</x:v>
      </x:c>
      <x:c r="H67" s="64" t="s">
        <x:v>4785</x:v>
      </x:c>
      <x:c r="I67" s="64" t="s">
        <x:v>4786</x:v>
      </x:c>
      <x:c r="J67" t="str">
        <x:f aca="0">A67&amp;"|"&amp;B67&amp;"|"&amp;C67</x:f>
        <x:v>INFO|U4|D5</x:v>
      </x:c>
      <x:c r="K67" t="n">
        <x:f aca="0">COUNTIF($J$2:$J$71,J67)</x:f>
        <x:v>1</x:v>
      </x:c>
    </x:row>
    <x:row r="68" ht="35.04999923706055" hidden="0">
      <x:c r="A68" s="64" t="s">
        <x:v>281</x:v>
      </x:c>
      <x:c r="B68" s="64" t="s">
        <x:v>967</x:v>
      </x:c>
      <x:c r="C68" s="64" t="s">
        <x:v>974</x:v>
      </x:c>
      <x:c r="D68" s="64" t="s">
        <x:v>4798</x:v>
      </x:c>
      <x:c r="E68" s="64" t="s">
        <x:v>4782</x:v>
      </x:c>
      <x:c r="F68" s="64" t="s">
        <x:v>4783</x:v>
      </x:c>
      <x:c r="G68" s="64" t="s">
        <x:v>4784</x:v>
      </x:c>
      <x:c r="H68" s="64" t="s">
        <x:v>4785</x:v>
      </x:c>
      <x:c r="I68" s="64" t="s">
        <x:v>4786</x:v>
      </x:c>
      <x:c r="J68" t="str">
        <x:f aca="0">A68&amp;"|"&amp;B68&amp;"|"&amp;C68</x:f>
        <x:v>INFO|U5|D4</x:v>
      </x:c>
      <x:c r="K68" t="n">
        <x:f aca="0">COUNTIF($J$2:$J$71,J68)</x:f>
        <x:v>1</x:v>
      </x:c>
    </x:row>
    <x:row r="69" ht="35.04999923706055" hidden="0">
      <x:c r="A69" s="64" t="s">
        <x:v>281</x:v>
      </x:c>
      <x:c r="B69" s="64" t="s">
        <x:v>967</x:v>
      </x:c>
      <x:c r="C69" s="64" t="s">
        <x:v>971</x:v>
      </x:c>
      <x:c r="D69" s="64" t="s">
        <x:v>4798</x:v>
      </x:c>
      <x:c r="E69" s="64" t="s">
        <x:v>4782</x:v>
      </x:c>
      <x:c r="F69" s="64" t="s">
        <x:v>4783</x:v>
      </x:c>
      <x:c r="G69" s="64" t="s">
        <x:v>4784</x:v>
      </x:c>
      <x:c r="H69" s="64" t="s">
        <x:v>4785</x:v>
      </x:c>
      <x:c r="I69" s="64" t="s">
        <x:v>4786</x:v>
      </x:c>
      <x:c r="J69" t="str">
        <x:f aca="0">A69&amp;"|"&amp;B69&amp;"|"&amp;C69</x:f>
        <x:v>INFO|U5|D5</x:v>
      </x:c>
      <x:c r="K69" t="n">
        <x:f aca="0">COUNTIF($J$2:$J$71,J69)</x:f>
        <x:v>1</x:v>
      </x:c>
    </x:row>
    <x:row r="70" ht="35.04999923706055" hidden="0">
      <x:c r="A70" s="64" t="s">
        <x:v>281</x:v>
      </x:c>
      <x:c r="B70" s="64" t="s">
        <x:v>968</x:v>
      </x:c>
      <x:c r="C70" s="64" t="s">
        <x:v>974</x:v>
      </x:c>
      <x:c r="D70" s="64" t="s">
        <x:v>4798</x:v>
      </x:c>
      <x:c r="E70" s="64" t="s">
        <x:v>4782</x:v>
      </x:c>
      <x:c r="F70" s="64" t="s">
        <x:v>4783</x:v>
      </x:c>
      <x:c r="G70" s="64" t="s">
        <x:v>4784</x:v>
      </x:c>
      <x:c r="H70" s="64" t="s">
        <x:v>4785</x:v>
      </x:c>
      <x:c r="I70" s="64" t="s">
        <x:v>4786</x:v>
      </x:c>
      <x:c r="J70" t="str">
        <x:f aca="0">A70&amp;"|"&amp;B70&amp;"|"&amp;C70</x:f>
        <x:v>INFO|U6|D4</x:v>
      </x:c>
      <x:c r="K70" t="n">
        <x:f aca="0">COUNTIF($J$2:$J$71,J70)</x:f>
        <x:v>1</x:v>
      </x:c>
    </x:row>
    <x:row r="71" ht="35.04999923706055" hidden="0">
      <x:c r="A71" s="64" t="s">
        <x:v>281</x:v>
      </x:c>
      <x:c r="B71" s="64" t="s">
        <x:v>968</x:v>
      </x:c>
      <x:c r="C71" s="64" t="s">
        <x:v>971</x:v>
      </x:c>
      <x:c r="D71" s="64" t="s">
        <x:v>4798</x:v>
      </x:c>
      <x:c r="E71" s="64" t="s">
        <x:v>4782</x:v>
      </x:c>
      <x:c r="F71" s="64" t="s">
        <x:v>4783</x:v>
      </x:c>
      <x:c r="G71" s="64" t="s">
        <x:v>4784</x:v>
      </x:c>
      <x:c r="H71" s="64" t="s">
        <x:v>4785</x:v>
      </x:c>
      <x:c r="I71" s="64" t="s">
        <x:v>4786</x:v>
      </x:c>
      <x:c r="J71" t="str">
        <x:f aca="0">A71&amp;"|"&amp;B71&amp;"|"&amp;C71</x:f>
        <x:v>INFO|U6|D5</x:v>
      </x:c>
      <x:c r="K71" t="n">
        <x:f aca="0">COUNTIF($J$2:$J$71,J71)</x:f>
        <x:v>1</x:v>
      </x:c>
    </x:row>
    <x:row r="72" ht="15" hidden="0">
      <x:c r="A72" s="64"/>
      <x:c r="B72" s="64"/>
      <x:c r="C72" s="64"/>
      <x:c r="D72" s="64"/>
      <x:c r="E72" s="64"/>
      <x:c r="F72" s="64"/>
      <x:c r="G72" s="64"/>
      <x:c r="H72" s="64"/>
      <x:c r="I72" s="64"/>
    </x:row>
    <x:row r="73" ht="15" hidden="0">
      <x:c r="A73" s="64"/>
      <x:c r="B73" s="64"/>
      <x:c r="C73" s="64"/>
      <x:c r="D73" s="64"/>
      <x:c r="E73" s="64"/>
      <x:c r="F73" s="64"/>
      <x:c r="G73" s="64"/>
      <x:c r="H73" s="64"/>
      <x:c r="I73" s="64"/>
    </x:row>
    <x:row r="74" ht="15" hidden="0">
      <x:c r="A74" s="64"/>
      <x:c r="B74" s="64"/>
      <x:c r="C74" s="64"/>
      <x:c r="D74" s="64"/>
      <x:c r="E74" s="64"/>
      <x:c r="F74" s="64"/>
      <x:c r="G74" s="64"/>
      <x:c r="H74" s="64"/>
      <x:c r="I74" s="64"/>
    </x:row>
  </x:sheetData>
  <x:pageMargins left="0.7" right="0.7" top="0.75" bottom="0.75" header="0.3" footer="0.3"/>
</x:worksheet>
</file>

<file path=xl/worksheets/sheet78.xml><?xml version="1.0" encoding="utf-8"?>
<x:worksheet xmlns:x="http://schemas.openxmlformats.org/spreadsheetml/2006/main">
  <x:sheetViews>
    <x:sheetView showGridLines="1" workbookViewId="0"/>
  </x:sheetViews>
  <x:sheetFormatPr defaultColWidth="8.6796875" defaultRowHeight="15"/>
  <x:cols>
    <x:col min="1" max="1" width="18" hidden="0" customWidth="1"/>
    <x:col min="2" max="2" width="28" hidden="0" customWidth="1"/>
    <x:col min="3" max="3" width="38" hidden="0" customWidth="1"/>
    <x:col min="4" max="4" width="28" hidden="0" customWidth="1"/>
    <x:col min="5" max="5" width="34" hidden="0" customWidth="1"/>
    <x:col min="6" max="6" width="30" hidden="0" customWidth="1"/>
  </x:cols>
  <x:sheetData>
    <x:row r="1" ht="36" hidden="0" customHeight="1">
      <x:c r="A1" s="62" t="s">
        <x:v>4799</x:v>
      </x:c>
      <x:c r="B1" s="62"/>
      <x:c r="C1" s="62"/>
      <x:c r="D1" s="62"/>
      <x:c r="E1" s="62"/>
      <x:c r="F1" s="62"/>
    </x:row>
    <x:row r="2" ht="60" hidden="0" customHeight="1">
      <x:c r="A2" s="181" t="s">
        <x:v>349</x:v>
      </x:c>
      <x:c r="B2" s="181" t="s">
        <x:v>4800</x:v>
      </x:c>
      <x:c r="C2" s="181"/>
      <x:c r="D2" s="181"/>
      <x:c r="E2" s="181"/>
      <x:c r="F2" s="181"/>
    </x:row>
    <x:row r="3" ht="48" hidden="0" customHeight="1">
      <x:c r="A3" s="181" t="s">
        <x:v>4801</x:v>
      </x:c>
      <x:c r="B3" s="181" t="s">
        <x:v>4802</x:v>
      </x:c>
      <x:c r="C3" s="181"/>
      <x:c r="D3" s="181"/>
      <x:c r="E3" s="181"/>
      <x:c r="F3" s="181"/>
    </x:row>
    <x:row r="4" ht="72" hidden="0" customHeight="1">
      <x:c r="A4" s="181" t="s">
        <x:v>4803</x:v>
      </x:c>
      <x:c r="B4" s="181" t="s">
        <x:v>4804</x:v>
      </x:c>
      <x:c r="C4" s="181"/>
      <x:c r="D4" s="181"/>
      <x:c r="E4" s="181"/>
      <x:c r="F4" s="181"/>
    </x:row>
    <x:row r="5" ht="15" hidden="0" customHeight="1">
      <x:c r="A5" s="12"/>
      <x:c r="B5" s="12"/>
      <x:c r="C5" s="12"/>
      <x:c r="D5" s="12"/>
      <x:c r="E5" s="12"/>
      <x:c r="F5" s="12"/>
    </x:row>
    <x:row r="6" ht="15" hidden="0" customHeight="1">
      <x:c r="A6" s="182" t="s">
        <x:v>1022</x:v>
      </x:c>
      <x:c r="B6" s="182" t="s">
        <x:v>4805</x:v>
      </x:c>
      <x:c r="C6" s="182" t="s">
        <x:v>4806</x:v>
      </x:c>
      <x:c r="D6" s="182" t="s">
        <x:v>4807</x:v>
      </x:c>
      <x:c r="E6" s="182" t="s">
        <x:v>3916</x:v>
      </x:c>
      <x:c r="F6" s="182" t="s">
        <x:v>4808</x:v>
      </x:c>
    </x:row>
    <x:row r="7" ht="48" hidden="0" customHeight="1">
      <x:c r="A7" s="12" t="s">
        <x:v>4809</x:v>
      </x:c>
      <x:c r="B7" s="12" t="s">
        <x:v>4810</x:v>
      </x:c>
      <x:c r="C7" s="12" t="s">
        <x:v>4811</x:v>
      </x:c>
      <x:c r="D7" s="12" t="s">
        <x:v>4812</x:v>
      </x:c>
      <x:c r="E7" s="12" t="s">
        <x:v>4813</x:v>
      </x:c>
      <x:c r="F7" s="12" t="s">
        <x:v>4814</x:v>
      </x:c>
    </x:row>
    <x:row r="8" ht="24" hidden="0" customHeight="1">
      <x:c r="A8" s="12" t="s">
        <x:v>4815</x:v>
      </x:c>
      <x:c r="B8" s="12" t="s">
        <x:v>4816</x:v>
      </x:c>
      <x:c r="C8" s="12" t="s">
        <x:v>4817</x:v>
      </x:c>
      <x:c r="D8" s="12" t="s">
        <x:v>4818</x:v>
      </x:c>
      <x:c r="E8" s="12" t="s">
        <x:v>4819</x:v>
      </x:c>
      <x:c r="F8" s="12" t="s">
        <x:v>4820</x:v>
      </x:c>
    </x:row>
    <x:row r="9" ht="36" hidden="0" customHeight="1">
      <x:c r="A9" s="12" t="s">
        <x:v>4821</x:v>
      </x:c>
      <x:c r="B9" s="12" t="s">
        <x:v>4822</x:v>
      </x:c>
      <x:c r="C9" s="12" t="s">
        <x:v>4823</x:v>
      </x:c>
      <x:c r="D9" s="12" t="s">
        <x:v>4818</x:v>
      </x:c>
      <x:c r="E9" s="12" t="s">
        <x:v>4824</x:v>
      </x:c>
      <x:c r="F9" s="12" t="s">
        <x:v>4825</x:v>
      </x:c>
    </x:row>
    <x:row r="10" ht="24" hidden="0" customHeight="1">
      <x:c r="A10" s="12" t="s">
        <x:v>4826</x:v>
      </x:c>
      <x:c r="B10" s="12" t="s">
        <x:v>4827</x:v>
      </x:c>
      <x:c r="C10" s="12" t="s">
        <x:v>4828</x:v>
      </x:c>
      <x:c r="D10" s="12" t="s">
        <x:v>4818</x:v>
      </x:c>
      <x:c r="E10" s="12" t="s">
        <x:v>4829</x:v>
      </x:c>
      <x:c r="F10" s="12" t="s">
        <x:v>4830</x:v>
      </x:c>
    </x:row>
    <x:row r="11" ht="24" hidden="0" customHeight="1">
      <x:c r="A11" s="12" t="s">
        <x:v>4831</x:v>
      </x:c>
      <x:c r="B11" s="12" t="s">
        <x:v>4832</x:v>
      </x:c>
      <x:c r="C11" s="12" t="s">
        <x:v>4833</x:v>
      </x:c>
      <x:c r="D11" s="12" t="s">
        <x:v>4818</x:v>
      </x:c>
      <x:c r="E11" s="12" t="s">
        <x:v>4834</x:v>
      </x:c>
      <x:c r="F11" s="12" t="s">
        <x:v>4835</x:v>
      </x:c>
    </x:row>
    <x:row r="12" ht="24" hidden="0" customHeight="1">
      <x:c r="A12" s="12" t="s">
        <x:v>4836</x:v>
      </x:c>
      <x:c r="B12" s="12" t="s">
        <x:v>4837</x:v>
      </x:c>
      <x:c r="C12" s="12" t="s">
        <x:v>4838</x:v>
      </x:c>
      <x:c r="D12" s="12" t="s">
        <x:v>4818</x:v>
      </x:c>
      <x:c r="E12" s="12" t="s">
        <x:v>4839</x:v>
      </x:c>
      <x:c r="F12" s="12" t="s">
        <x:v>4840</x:v>
      </x:c>
    </x:row>
    <x:row r="13" ht="24" hidden="0" customHeight="1">
      <x:c r="A13" s="12" t="s">
        <x:v>4841</x:v>
      </x:c>
      <x:c r="B13" s="12" t="s">
        <x:v>4842</x:v>
      </x:c>
      <x:c r="C13" s="12" t="s">
        <x:v>4843</x:v>
      </x:c>
      <x:c r="D13" s="12" t="s">
        <x:v>4818</x:v>
      </x:c>
      <x:c r="E13" s="12" t="s">
        <x:v>4844</x:v>
      </x:c>
      <x:c r="F13" s="12" t="s">
        <x:v>4845</x:v>
      </x:c>
    </x:row>
    <x:row r="14" ht="24" hidden="0" customHeight="1">
      <x:c r="A14" s="12" t="s">
        <x:v>4846</x:v>
      </x:c>
      <x:c r="B14" s="12" t="s">
        <x:v>4847</x:v>
      </x:c>
      <x:c r="C14" s="12" t="s">
        <x:v>4848</x:v>
      </x:c>
      <x:c r="D14" s="12" t="s">
        <x:v>4818</x:v>
      </x:c>
      <x:c r="E14" s="12" t="s">
        <x:v>4849</x:v>
      </x:c>
      <x:c r="F14" s="12" t="s">
        <x:v>4850</x:v>
      </x:c>
    </x:row>
    <x:row r="15" ht="36" hidden="0" customHeight="1">
      <x:c r="A15" s="12" t="s">
        <x:v>4851</x:v>
      </x:c>
      <x:c r="B15" s="12" t="s">
        <x:v>4852</x:v>
      </x:c>
      <x:c r="C15" s="12" t="s">
        <x:v>4853</x:v>
      </x:c>
      <x:c r="D15" s="12" t="s">
        <x:v>4818</x:v>
      </x:c>
      <x:c r="E15" s="12" t="s">
        <x:v>4854</x:v>
      </x:c>
      <x:c r="F15" s="12" t="s">
        <x:v>4855</x:v>
      </x:c>
    </x:row>
    <x:row r="16" ht="24" hidden="0" customHeight="1">
      <x:c r="A16" s="12" t="s">
        <x:v>4856</x:v>
      </x:c>
      <x:c r="B16" s="12" t="s">
        <x:v>4857</x:v>
      </x:c>
      <x:c r="C16" s="12" t="s">
        <x:v>4858</x:v>
      </x:c>
      <x:c r="D16" s="12" t="s">
        <x:v>4818</x:v>
      </x:c>
      <x:c r="E16" s="12" t="s">
        <x:v>4859</x:v>
      </x:c>
      <x:c r="F16" s="12" t="s">
        <x:v>4860</x:v>
      </x:c>
    </x:row>
    <x:row r="17" ht="15" hidden="0" customHeight="1">
      <x:c r="A17" s="12"/>
      <x:c r="B17" s="12"/>
      <x:c r="C17" s="12"/>
      <x:c r="D17" s="12"/>
      <x:c r="E17" s="12"/>
      <x:c r="F17" s="12"/>
    </x:row>
    <x:row r="18" ht="96" hidden="0" customHeight="1">
      <x:c r="A18" s="181" t="s">
        <x:v>4861</x:v>
      </x:c>
      <x:c r="B18" s="181" t="s">
        <x:v>4862</x:v>
      </x:c>
      <x:c r="C18" s="181"/>
      <x:c r="D18" s="181"/>
      <x:c r="E18" s="181"/>
      <x:c r="F18" s="181"/>
    </x:row>
    <x:row r="19" ht="60" hidden="0" customHeight="1">
      <x:c r="A19" s="181" t="s">
        <x:v>4863</x:v>
      </x:c>
      <x:c r="B19" s="181" t="s">
        <x:v>4864</x:v>
      </x:c>
      <x:c r="C19" s="181"/>
      <x:c r="D19" s="181"/>
      <x:c r="E19" s="181"/>
      <x:c r="F19" s="181"/>
    </x:row>
    <x:row r="20" ht="84" hidden="0" customHeight="1">
      <x:c r="A20" s="181" t="s">
        <x:v>4865</x:v>
      </x:c>
      <x:c r="B20" s="181" t="s">
        <x:v>4866</x:v>
      </x:c>
      <x:c r="C20" s="181"/>
      <x:c r="D20" s="181"/>
      <x:c r="E20" s="181"/>
      <x:c r="F20" s="181"/>
    </x:row>
    <x:row r="21" ht="60" hidden="0" customHeight="1">
      <x:c r="A21" s="181" t="s">
        <x:v>4867</x:v>
      </x:c>
      <x:c r="B21" s="181" t="s">
        <x:v>4868</x:v>
      </x:c>
      <x:c r="C21" s="181"/>
      <x:c r="D21" s="181"/>
      <x:c r="E21" s="181"/>
      <x:c r="F21" s="181"/>
    </x:row>
    <x:row r="22" ht="36" hidden="0" customHeight="1">
      <x:c r="A22" s="181" t="s">
        <x:v>4869</x:v>
      </x:c>
      <x:c r="B22" s="181" t="s">
        <x:v>4870</x:v>
      </x:c>
      <x:c r="C22" s="181"/>
      <x:c r="D22" s="181"/>
      <x:c r="E22" s="181"/>
      <x:c r="F22" s="181"/>
    </x:row>
    <x:row r="23" ht="15" hidden="0" customHeight="1">
      <x:c r="A23" s="12"/>
      <x:c r="B23" s="12"/>
      <x:c r="C23" s="12"/>
      <x:c r="D23" s="12"/>
      <x:c r="E23" s="12"/>
      <x:c r="F23" s="12"/>
    </x:row>
    <x:row r="24" ht="84" hidden="0" customHeight="1">
      <x:c r="A24" s="12" t="s">
        <x:v>4871</x:v>
      </x:c>
      <x:c r="B24" s="12" t="s">
        <x:v>4872</x:v>
      </x:c>
      <x:c r="C24" s="12"/>
      <x:c r="D24" s="12"/>
      <x:c r="E24" s="12"/>
      <x:c r="F24" s="12"/>
    </x:row>
    <x:row r="25" ht="72" hidden="0" customHeight="1">
      <x:c r="A25" s="12" t="s">
        <x:v>4873</x:v>
      </x:c>
      <x:c r="B25" s="12" t="s">
        <x:v>4874</x:v>
      </x:c>
      <x:c r="C25" s="12"/>
      <x:c r="D25" s="12"/>
      <x:c r="E25" s="12"/>
      <x:c r="F25" s="12"/>
    </x:row>
    <x:row r="26" ht="24" hidden="0" customHeight="1">
      <x:c r="A26" s="12" t="s">
        <x:v>4875</x:v>
      </x:c>
      <x:c r="B26" s="12" t="s">
        <x:v>4876</x:v>
      </x:c>
      <x:c r="C26" s="12"/>
      <x:c r="D26" s="12"/>
      <x:c r="E26" s="12"/>
      <x:c r="F26" s="12"/>
    </x:row>
  </x:sheetData>
  <x:mergeCells>
    <x:mergeCell ref="A1:F1"/>
  </x:mergeCells>
  <x:pageMargins left="0.7" right="0.7" top="0.75" bottom="0.75" header="0.3" footer="0.3"/>
</x:worksheet>
</file>

<file path=xl/worksheets/sheet79.xml><?xml version="1.0" encoding="utf-8"?>
<x:worksheet xmlns:x="http://schemas.openxmlformats.org/spreadsheetml/2006/main">
  <x:sheetViews>
    <x:sheetView showGridLines="1" workbookViewId="0"/>
  </x:sheetViews>
  <x:sheetFormatPr defaultColWidth="8.6796875" defaultRowHeight="15"/>
  <x:cols>
    <x:col min="1" max="1" width="24" hidden="0" customWidth="1"/>
    <x:col min="2" max="3" width="34" hidden="0" customWidth="1"/>
    <x:col min="4" max="4" width="24" hidden="0" customWidth="1"/>
    <x:col min="5" max="5" width="12" hidden="0" customWidth="1"/>
    <x:col min="6" max="6" width="34" hidden="0" customWidth="1"/>
  </x:cols>
  <x:sheetData>
    <x:row r="1" ht="36" hidden="0" customHeight="1">
      <x:c r="A1" s="62" t="s">
        <x:v>4877</x:v>
      </x:c>
      <x:c r="B1" s="62"/>
      <x:c r="C1" s="62"/>
      <x:c r="D1" s="62"/>
      <x:c r="E1" s="62"/>
      <x:c r="F1" s="62"/>
    </x:row>
    <x:row r="2" ht="48" hidden="0" customHeight="1">
      <x:c r="A2" s="12" t="s">
        <x:v>876</x:v>
      </x:c>
      <x:c r="B2" s="12" t="s">
        <x:v>4878</x:v>
      </x:c>
      <x:c r="C2" s="12"/>
      <x:c r="D2" s="12"/>
      <x:c r="E2" s="12"/>
      <x:c r="F2" s="12"/>
    </x:row>
    <x:row r="3" ht="24" hidden="0" customHeight="1">
      <x:c r="A3" s="12" t="s">
        <x:v>4879</x:v>
      </x:c>
      <x:c r="B3" s="12" t="s">
        <x:v>4880</x:v>
      </x:c>
      <x:c r="C3" s="12"/>
      <x:c r="D3" s="12"/>
      <x:c r="E3" s="12"/>
      <x:c r="F3" s="12"/>
    </x:row>
    <x:row r="4" ht="24" hidden="0" customHeight="1">
      <x:c r="A4" s="12" t="s">
        <x:v>4881</x:v>
      </x:c>
      <x:c r="B4" s="12" t="str">
        <x:v>schemas/mathgov_run_record_v4.schema.json</x:v>
      </x:c>
      <x:c r="C4" s="12"/>
      <x:c r="D4" s="12"/>
      <x:c r="E4" s="12"/>
      <x:c r="F4" s="12"/>
    </x:row>
    <x:row r="5" ht="15" hidden="0" customHeight="1"/>
    <x:row r="6" ht="24" hidden="0" customHeight="1">
      <x:c r="A6" s="62" t="s">
        <x:v>4882</x:v>
      </x:c>
      <x:c r="B6" s="62" t="s">
        <x:v>4883</x:v>
      </x:c>
      <x:c r="C6" s="62" t="s">
        <x:v>4884</x:v>
      </x:c>
      <x:c r="D6" s="62" t="s">
        <x:v>4885</x:v>
      </x:c>
      <x:c r="E6" s="62" t="s">
        <x:v>4886</x:v>
      </x:c>
      <x:c r="F6" s="62" t="s">
        <x:v>4887</x:v>
      </x:c>
    </x:row>
    <x:row r="7" ht="24" hidden="0" customHeight="1">
      <x:c r="A7" s="181" t="s">
        <x:v>4888</x:v>
      </x:c>
      <x:c r="B7" s="181" t="s">
        <x:v>4889</x:v>
      </x:c>
      <x:c r="C7" s="181" t="s">
        <x:v>4890</x:v>
      </x:c>
      <x:c r="D7" s="181" t="s">
        <x:v>4891</x:v>
      </x:c>
      <x:c r="E7" s="181" t="s">
        <x:v>4892</x:v>
      </x:c>
      <x:c r="F7" s="181" t="s">
        <x:v>4893</x:v>
      </x:c>
    </x:row>
    <x:row r="8" ht="36" hidden="0" customHeight="1">
      <x:c r="A8" s="12" t="s">
        <x:v>4894</x:v>
      </x:c>
      <x:c r="B8" s="12" t="s">
        <x:v>4895</x:v>
      </x:c>
      <x:c r="C8" s="12" t="s">
        <x:v>4896</x:v>
      </x:c>
      <x:c r="D8" s="12" t="s">
        <x:v>4897</x:v>
      </x:c>
      <x:c r="E8" s="12" t="s">
        <x:v>4898</x:v>
      </x:c>
      <x:c r="F8" s="12" t="s">
        <x:v>4899</x:v>
      </x:c>
    </x:row>
    <x:row r="9" ht="36" hidden="0" customHeight="1">
      <x:c r="A9" s="181" t="s">
        <x:v>4900</x:v>
      </x:c>
      <x:c r="B9" s="181" t="s">
        <x:v>4901</x:v>
      </x:c>
      <x:c r="C9" s="181" t="s">
        <x:v>4902</x:v>
      </x:c>
      <x:c r="D9" s="181" t="s">
        <x:v>4903</x:v>
      </x:c>
      <x:c r="E9" s="181" t="s">
        <x:v>4904</x:v>
      </x:c>
      <x:c r="F9" s="181" t="s">
        <x:v>4905</x:v>
      </x:c>
    </x:row>
    <x:row r="10" ht="15" hidden="0" customHeight="1"/>
    <x:row r="11" ht="15" hidden="0" customHeight="1">
      <x:c r="A11" s="62" t="s">
        <x:v>4906</x:v>
      </x:c>
      <x:c r="B11" s="62" t="s">
        <x:v>4907</x:v>
      </x:c>
      <x:c r="C11" s="62" t="s">
        <x:v>456</x:v>
      </x:c>
      <x:c r="D11" s="62" t="s">
        <x:v>2680</x:v>
      </x:c>
      <x:c r="E11" s="62" t="s">
        <x:v>349</x:v>
      </x:c>
      <x:c r="F11" s="62" t="s">
        <x:v>1424</x:v>
      </x:c>
    </x:row>
    <x:row r="12" ht="15" hidden="0" customHeight="1">
      <x:c r="A12" s="12" t="s">
        <x:v>4908</x:v>
      </x:c>
      <x:c r="B12" s="12" t="s">
        <x:v>4909</x:v>
      </x:c>
      <x:c r="C12" s="12" t="s">
        <x:v>4910</x:v>
      </x:c>
      <x:c r="D12" s="12" t="s">
        <x:v>4910</x:v>
      </x:c>
      <x:c r="E12" s="12" t="s">
        <x:v>351</x:v>
      </x:c>
      <x:c r="F12" s="12" t="s">
        <x:v>4911</x:v>
      </x:c>
    </x:row>
    <x:row r="13" ht="15" hidden="0" customHeight="1">
      <x:c r="A13" s="181" t="s">
        <x:v>4912</x:v>
      </x:c>
      <x:c r="B13" s="181" t="s">
        <x:v>4913</x:v>
      </x:c>
      <x:c r="C13" s="181" t="s">
        <x:v>4914</x:v>
      </x:c>
      <x:c r="D13" s="181" t="s">
        <x:v>1441</x:v>
      </x:c>
      <x:c r="E13" s="181" t="s">
        <x:v>2301</x:v>
      </x:c>
      <x:c r="F13" s="181" t="s">
        <x:v>4915</x:v>
      </x:c>
    </x:row>
    <x:row r="14" ht="24" hidden="0" customHeight="1">
      <x:c r="A14" s="12" t="s">
        <x:v>4916</x:v>
      </x:c>
      <x:c r="B14" s="12" t="s">
        <x:v>4917</x:v>
      </x:c>
      <x:c r="C14" s="12" t="s">
        <x:v>4918</x:v>
      </x:c>
      <x:c r="D14" s="12" t="s">
        <x:v>4919</x:v>
      </x:c>
      <x:c r="E14" s="12" t="s">
        <x:v>351</x:v>
      </x:c>
      <x:c r="F14" s="12" t="s">
        <x:v>4920</x:v>
      </x:c>
    </x:row>
    <x:row r="15" ht="15" hidden="0" customHeight="1">
      <x:c r="A15" s="181" t="s">
        <x:v>4921</x:v>
      </x:c>
      <x:c r="B15" s="181" t="s">
        <x:v>4922</x:v>
      </x:c>
      <x:c r="C15" s="181" t="s">
        <x:v>4923</x:v>
      </x:c>
      <x:c r="D15" s="181" t="s">
        <x:v>4919</x:v>
      </x:c>
      <x:c r="E15" s="181" t="s">
        <x:v>351</x:v>
      </x:c>
      <x:c r="F15" s="181" t="s">
        <x:v>4924</x:v>
      </x:c>
    </x:row>
    <x:row r="16" ht="15" hidden="0" customHeight="1">
      <x:c r="A16" s="12" t="s">
        <x:v>4925</x:v>
      </x:c>
      <x:c r="B16" s="12" t="s">
        <x:v>4926</x:v>
      </x:c>
      <x:c r="C16" s="12" t="s">
        <x:v>4927</x:v>
      </x:c>
      <x:c r="D16" s="12" t="s">
        <x:v>4919</x:v>
      </x:c>
      <x:c r="E16" s="12" t="s">
        <x:v>351</x:v>
      </x:c>
      <x:c r="F16" s="12" t="s">
        <x:v>4928</x:v>
      </x:c>
    </x:row>
    <x:row r="17" ht="24" hidden="0" customHeight="1">
      <x:c r="A17" s="181" t="s">
        <x:v>4929</x:v>
      </x:c>
      <x:c r="B17" s="181" t="s">
        <x:v>4930</x:v>
      </x:c>
      <x:c r="C17" s="181" t="s">
        <x:v>4931</x:v>
      </x:c>
      <x:c r="D17" s="181" t="s">
        <x:v>4919</x:v>
      </x:c>
      <x:c r="E17" s="181" t="s">
        <x:v>351</x:v>
      </x:c>
      <x:c r="F17" s="181" t="s">
        <x:v>4932</x:v>
      </x:c>
    </x:row>
    <x:row r="18" ht="15" hidden="0" customHeight="1">
      <x:c r="A18" s="12" t="s">
        <x:v>4933</x:v>
      </x:c>
      <x:c r="B18" s="12" t="str">
        <x:v>Dashboard and audit calculation surfaces</x:v>
      </x:c>
      <x:c r="C18" s="12" t="s">
        <x:v>4934</x:v>
      </x:c>
      <x:c r="D18" s="12" t="str">
        <x:v>Build-verified static values</x:v>
      </x:c>
      <x:c r="E18" s="12" t="s">
        <x:v>351</x:v>
      </x:c>
      <x:c r="F18" s="12" t="s">
        <x:v>4935</x:v>
      </x:c>
    </x:row>
    <x:row r="19" ht="15" hidden="0" customHeight="1">
      <x:c r="A19" s="181" t="s">
        <x:v>4936</x:v>
      </x:c>
      <x:c r="B19" s="181" t="s">
        <x:v>4937</x:v>
      </x:c>
      <x:c r="C19" s="181" t="s">
        <x:v>4938</x:v>
      </x:c>
      <x:c r="D19" s="181" t="str">
        <x:v>Build-verified static values</x:v>
      </x:c>
      <x:c r="E19" s="181" t="s">
        <x:v>351</x:v>
      </x:c>
      <x:c r="F19" s="181" t="s">
        <x:v>4939</x:v>
      </x:c>
    </x:row>
    <x:row r="20" ht="24" hidden="0" customHeight="1">
      <x:c r="A20" s="12" t="s">
        <x:v>4940</x:v>
      </x:c>
      <x:c r="B20" s="12" t="s">
        <x:v>4941</x:v>
      </x:c>
      <x:c r="C20" s="12" t="s">
        <x:v>4942</x:v>
      </x:c>
      <x:c r="D20" s="12" t="s">
        <x:v>4919</x:v>
      </x:c>
      <x:c r="E20" s="12" t="s">
        <x:v>351</x:v>
      </x:c>
      <x:c r="F20" s="12" t="s">
        <x:v>4943</x:v>
      </x:c>
    </x:row>
    <x:row r="21" ht="15" hidden="0" customHeight="1">
      <x:c r="A21" s="181" t="s">
        <x:v>4944</x:v>
      </x:c>
      <x:c r="B21" s="181" t="s">
        <x:v>4945</x:v>
      </x:c>
      <x:c r="C21" s="181" t="s">
        <x:v>4946</x:v>
      </x:c>
      <x:c r="D21" s="181" t="s">
        <x:v>4919</x:v>
      </x:c>
      <x:c r="E21" s="181" t="s">
        <x:v>351</x:v>
      </x:c>
      <x:c r="F21" s="181" t="s">
        <x:v>4947</x:v>
      </x:c>
    </x:row>
    <x:row r="22" ht="24" hidden="0" customHeight="1">
      <x:c r="A22" s="12" t="s">
        <x:v>4948</x:v>
      </x:c>
      <x:c r="B22" s="12" t="s">
        <x:v>4949</x:v>
      </x:c>
      <x:c r="C22" s="12" t="s">
        <x:v>4950</x:v>
      </x:c>
      <x:c r="D22" s="12" t="s">
        <x:v>4919</x:v>
      </x:c>
      <x:c r="E22" s="12" t="s">
        <x:v>351</x:v>
      </x:c>
      <x:c r="F22" s="12" t="s">
        <x:v>4951</x:v>
      </x:c>
    </x:row>
    <x:row r="23" ht="24" hidden="0" customHeight="1">
      <x:c r="A23" s="181" t="s">
        <x:v>4952</x:v>
      </x:c>
      <x:c r="B23" s="181" t="s">
        <x:v>4953</x:v>
      </x:c>
      <x:c r="C23" s="181" t="s">
        <x:v>4954</x:v>
      </x:c>
      <x:c r="D23" s="181" t="s">
        <x:v>4919</x:v>
      </x:c>
      <x:c r="E23" s="181" t="s">
        <x:v>351</x:v>
      </x:c>
      <x:c r="F23" s="181" t="s">
        <x:v>4955</x:v>
      </x:c>
    </x:row>
    <x:row r="24" ht="15" hidden="0" customHeight="1"/>
    <x:row r="25" ht="15" hidden="0" customHeight="1">
      <x:c r="A25" s="62" t="str">
        <x:v>Release check</x:v>
      </x:c>
      <x:c r="B25" s="62" t="str">
        <x:v>Declared / expected</x:v>
      </x:c>
      <x:c r="C25" s="62" t="s">
        <x:v>456</x:v>
      </x:c>
      <x:c r="D25" s="62" t="s">
        <x:v>2680</x:v>
      </x:c>
      <x:c r="E25" s="62" t="s">
        <x:v>349</x:v>
      </x:c>
      <x:c r="F25" s="62" t="s">
        <x:v>1736</x:v>
      </x:c>
    </x:row>
    <x:row r="26" ht="15" hidden="0" customHeight="1">
      <x:c r="A26" s="12" t="s">
        <x:v>4956</x:v>
      </x:c>
      <x:c r="B26" s="12" t="s">
        <x:v>55</x:v>
      </x:c>
      <x:c r="C26" s="12" t="s">
        <x:v>55</x:v>
      </x:c>
      <x:c r="D26" s="12" t="s">
        <x:v>55</x:v>
      </x:c>
      <x:c r="E26" s="12" t="str">
        <x:v>PASS</x:v>
      </x:c>
      <x:c r="F26" s="12" t="s">
        <x:v>4957</x:v>
      </x:c>
    </x:row>
    <x:row r="27" ht="15" hidden="0" customHeight="1">
      <x:c r="A27" s="181" t="s">
        <x:v>4958</x:v>
      </x:c>
      <x:c r="B27" s="181" t="s">
        <x:v>210</x:v>
      </x:c>
      <x:c r="C27" s="181" t="s">
        <x:v>210</x:v>
      </x:c>
      <x:c r="D27" s="181" t="s">
        <x:v>210</x:v>
      </x:c>
      <x:c r="E27" s="181" t="str">
        <x:v>PASS</x:v>
      </x:c>
      <x:c r="F27" s="181" t="s">
        <x:v>4959</x:v>
      </x:c>
    </x:row>
    <x:row r="28" ht="24" hidden="0" customHeight="1">
      <x:c r="A28" s="12" t="s">
        <x:v>4960</x:v>
      </x:c>
      <x:c r="B28" s="12" t="n">
        <x:v>8</x:v>
      </x:c>
      <x:c r="C28" s="12" t="s">
        <x:v>4961</x:v>
      </x:c>
      <x:c r="D28" s="12" t="s">
        <x:v>4961</x:v>
      </x:c>
      <x:c r="E28" s="12" t="s">
        <x:v>351</x:v>
      </x:c>
      <x:c r="F28" s="12" t="s">
        <x:v>4962</x:v>
      </x:c>
    </x:row>
    <x:row r="29" ht="24" hidden="0" customHeight="1">
      <x:c r="A29" s="181" t="s">
        <x:v>4963</x:v>
      </x:c>
      <x:c r="B29" s="181" t="s">
        <x:v>4964</x:v>
      </x:c>
      <x:c r="C29" s="181" t="s">
        <x:v>4965</x:v>
      </x:c>
      <x:c r="D29" s="181" t="s">
        <x:v>4966</x:v>
      </x:c>
      <x:c r="E29" s="181" t="s">
        <x:v>2301</x:v>
      </x:c>
      <x:c r="F29" s="181" t="s">
        <x:v>4967</x:v>
      </x:c>
    </x:row>
    <x:row r="30" ht="15" hidden="0" customHeight="1"/>
    <x:row r="31" ht="60" hidden="0" customHeight="1">
      <x:c r="A31" s="183" t="s">
        <x:v>4968</x:v>
      </x:c>
      <x:c r="B31" s="183" t="s">
        <x:v>4969</x:v>
      </x:c>
      <x:c r="C31" s="183"/>
      <x:c r="D31" s="183"/>
      <x:c r="E31" s="183"/>
      <x:c r="F31" s="183"/>
    </x:row>
    <x:row r="32" ht="23.850000381469727" hidden="0">
      <x:c r="A32" s="14" t="s">
        <x:v>4970</x:v>
      </x:c>
      <x:c r="B32" s="14" t="s">
        <x:v>4971</x:v>
      </x:c>
      <x:c r="C32" s="14" t="s">
        <x:v>4972</x:v>
      </x:c>
      <x:c r="D32" s="14" t="s">
        <x:v>4919</x:v>
      </x:c>
      <x:c r="E32" s="14" t="s">
        <x:v>4973</x:v>
      </x:c>
      <x:c r="F32" s="14" t="s">
        <x:v>4974</x:v>
      </x:c>
    </x:row>
    <x:row r="33" ht="35.04999923706055" hidden="0">
      <x:c r="A33" s="14" t="s">
        <x:v>4975</x:v>
      </x:c>
      <x:c r="B33" s="14" t="s">
        <x:v>3102</x:v>
      </x:c>
      <x:c r="C33" s="14" t="s">
        <x:v>4976</x:v>
      </x:c>
      <x:c r="D33" s="14" t="s">
        <x:v>4977</x:v>
      </x:c>
      <x:c r="E33" s="14" t="s">
        <x:v>351</x:v>
      </x:c>
      <x:c r="F33" s="14" t="s">
        <x:v>4978</x:v>
      </x:c>
    </x:row>
  </x:sheetData>
  <x:mergeCells>
    <x:mergeCell ref="A1:F1"/>
    <x:mergeCell ref="B2:F2"/>
    <x:mergeCell ref="B3:F3"/>
    <x:mergeCell ref="B4:F4"/>
    <x:mergeCell ref="B31:F31"/>
  </x:mergeCells>
  <x:pageMargins left="0.7" right="0.7" top="0.75" bottom="0.75" header="0.3" footer="0.3"/>
</x:worksheet>
</file>

<file path=xl/worksheets/sheet80.xml><?xml version="1.0" encoding="utf-8"?>
<x:worksheet xmlns:x="http://schemas.openxmlformats.org/spreadsheetml/2006/main">
  <x:sheetViews>
    <x:sheetView showGridLines="1" workbookViewId="0"/>
  </x:sheetViews>
  <x:sheetFormatPr defaultColWidth="8.6796875" defaultRowHeight="15"/>
  <x:cols>
    <x:col min="1" max="1" width="4.130000114440918" hidden="0" customWidth="1"/>
    <x:col min="2" max="2" width="30" hidden="0" customWidth="1"/>
    <x:col min="3" max="3" width="42" hidden="0" customWidth="1"/>
    <x:col min="4" max="4" width="18.75" hidden="0" customWidth="1"/>
    <x:col min="5" max="5" width="15.880000114440918" hidden="0" customWidth="1"/>
    <x:col min="6" max="6" width="28" hidden="0" customWidth="1"/>
  </x:cols>
  <x:sheetData>
    <x:row r="1" ht="15" hidden="0">
      <x:c r="A1" s="184" t="s">
        <x:v>4979</x:v>
      </x:c>
      <x:c r="B1" s="184" t="s">
        <x:v>4980</x:v>
      </x:c>
      <x:c r="C1" s="184" t="s">
        <x:v>1</x:v>
      </x:c>
      <x:c r="D1" s="184" t="s">
        <x:v>290</x:v>
      </x:c>
      <x:c r="E1" s="184" t="s">
        <x:v>4981</x:v>
      </x:c>
      <x:c r="F1" s="184" t="s">
        <x:v>4982</x:v>
      </x:c>
    </x:row>
    <x:row r="2" ht="15" hidden="0">
      <x:c r="A2" s="64" t="n">
        <x:v>1</x:v>
      </x:c>
      <x:c r="B2" s="64" t="s">
        <x:v>4983</x:v>
      </x:c>
      <x:c r="C2" s="64" t="s">
        <x:v>4984</x:v>
      </x:c>
      <x:c r="D2" s="64" t="s">
        <x:v>4985</x:v>
      </x:c>
      <x:c r="E2" s="64" t="s">
        <x:v>4986</x:v>
      </x:c>
      <x:c r="F2" s="64" t="s">
        <x:v>4987</x:v>
      </x:c>
    </x:row>
    <x:row r="3" ht="15" hidden="0">
      <x:c r="A3" s="64" t="n">
        <x:v>2</x:v>
      </x:c>
      <x:c r="B3" s="64" t="s">
        <x:v>4988</x:v>
      </x:c>
      <x:c r="C3" s="64" t="s">
        <x:v>4989</x:v>
      </x:c>
      <x:c r="D3" s="64" t="s">
        <x:v>4985</x:v>
      </x:c>
      <x:c r="E3" s="64" t="s">
        <x:v>4990</x:v>
      </x:c>
      <x:c r="F3" s="64" t="s">
        <x:v>4991</x:v>
      </x:c>
    </x:row>
    <x:row r="4" ht="23.850000381469727" hidden="0">
      <x:c r="A4" s="64" t="n">
        <x:v>3</x:v>
      </x:c>
      <x:c r="B4" s="64" t="s">
        <x:v>4992</x:v>
      </x:c>
      <x:c r="C4" s="64" t="s">
        <x:v>4993</x:v>
      </x:c>
      <x:c r="D4" s="64" t="s">
        <x:v>4994</x:v>
      </x:c>
      <x:c r="E4" s="64" t="s">
        <x:v>4995</x:v>
      </x:c>
      <x:c r="F4" s="64" t="s">
        <x:v>4996</x:v>
      </x:c>
    </x:row>
    <x:row r="5" ht="15" hidden="0">
      <x:c r="A5" s="64" t="n">
        <x:v>4</x:v>
      </x:c>
      <x:c r="B5" s="64" t="s">
        <x:v>4997</x:v>
      </x:c>
      <x:c r="C5" s="64" t="s">
        <x:v>4998</x:v>
      </x:c>
      <x:c r="D5" s="64" t="s">
        <x:v>4985</x:v>
      </x:c>
      <x:c r="E5" s="64" t="s">
        <x:v>4999</x:v>
      </x:c>
      <x:c r="F5" s="64" t="s">
        <x:v>5000</x:v>
      </x:c>
    </x:row>
    <x:row r="6" ht="23.850000381469727" hidden="0">
      <x:c r="A6" s="64" t="n">
        <x:v>5</x:v>
      </x:c>
      <x:c r="B6" s="64" t="s">
        <x:v>5001</x:v>
      </x:c>
      <x:c r="C6" s="64" t="s">
        <x:v>5002</x:v>
      </x:c>
      <x:c r="D6" s="64" t="s">
        <x:v>5003</x:v>
      </x:c>
      <x:c r="E6" s="64" t="s">
        <x:v>4999</x:v>
      </x:c>
      <x:c r="F6" s="64" t="s">
        <x:v>5004</x:v>
      </x:c>
    </x:row>
    <x:row r="7" ht="23.850000381469727" hidden="0">
      <x:c r="A7" s="64" t="n">
        <x:v>6</x:v>
      </x:c>
      <x:c r="B7" s="64" t="s">
        <x:v>4930</x:v>
      </x:c>
      <x:c r="C7" s="64" t="s">
        <x:v>5005</x:v>
      </x:c>
      <x:c r="D7" s="64" t="s">
        <x:v>4985</x:v>
      </x:c>
      <x:c r="E7" s="64" t="s">
        <x:v>4999</x:v>
      </x:c>
      <x:c r="F7" s="64" t="s">
        <x:v>5006</x:v>
      </x:c>
    </x:row>
    <x:row r="8" ht="23.850000381469727" hidden="0">
      <x:c r="A8" s="64" t="n">
        <x:v>7</x:v>
      </x:c>
      <x:c r="B8" s="64" t="s">
        <x:v>5007</x:v>
      </x:c>
      <x:c r="C8" s="64" t="s">
        <x:v>5008</x:v>
      </x:c>
      <x:c r="D8" s="64" t="s">
        <x:v>2264</x:v>
      </x:c>
      <x:c r="E8" s="64" t="s">
        <x:v>4995</x:v>
      </x:c>
      <x:c r="F8" s="64" t="s">
        <x:v>5009</x:v>
      </x:c>
    </x:row>
    <x:row r="9" ht="15" hidden="0">
      <x:c r="A9" s="64" t="n">
        <x:v>8</x:v>
      </x:c>
      <x:c r="B9" s="64" t="s">
        <x:v>5010</x:v>
      </x:c>
      <x:c r="C9" s="64" t="s">
        <x:v>5011</x:v>
      </x:c>
      <x:c r="D9" s="64" t="s">
        <x:v>5012</x:v>
      </x:c>
      <x:c r="E9" s="64" t="s">
        <x:v>4999</x:v>
      </x:c>
      <x:c r="F9" s="64" t="s">
        <x:v>5013</x:v>
      </x:c>
    </x:row>
    <x:row r="10" ht="23.850000381469727" hidden="0">
      <x:c r="A10" s="64" t="n">
        <x:v>9</x:v>
      </x:c>
      <x:c r="B10" s="64" t="s">
        <x:v>5014</x:v>
      </x:c>
      <x:c r="C10" s="64" t="s">
        <x:v>5015</x:v>
      </x:c>
      <x:c r="D10" s="64" t="s">
        <x:v>2264</x:v>
      </x:c>
      <x:c r="E10" s="64" t="s">
        <x:v>4995</x:v>
      </x:c>
      <x:c r="F10" s="64" t="s">
        <x:v>5016</x:v>
      </x:c>
    </x:row>
    <x:row r="11" ht="35.04999923706055" hidden="0">
      <x:c r="A11" s="64" t="n">
        <x:v>10</x:v>
      </x:c>
      <x:c r="B11" s="64" t="s">
        <x:v>5017</x:v>
      </x:c>
      <x:c r="C11" s="64" t="s">
        <x:v>5018</x:v>
      </x:c>
      <x:c r="D11" s="64" t="s">
        <x:v>2264</x:v>
      </x:c>
      <x:c r="E11" s="64" t="s">
        <x:v>4995</x:v>
      </x:c>
      <x:c r="F11" s="64" t="s">
        <x:v>5019</x:v>
      </x:c>
    </x:row>
    <x:row r="12" ht="23.850000381469727" hidden="0">
      <x:c r="A12" s="64" t="n">
        <x:v>11</x:v>
      </x:c>
      <x:c r="B12" s="64" t="s">
        <x:v>5020</x:v>
      </x:c>
      <x:c r="C12" s="64" t="s">
        <x:v>5021</x:v>
      </x:c>
      <x:c r="D12" s="64" t="s">
        <x:v>4985</x:v>
      </x:c>
      <x:c r="E12" s="64" t="s">
        <x:v>5022</x:v>
      </x:c>
      <x:c r="F12" s="64" t="s">
        <x:v>5023</x:v>
      </x:c>
    </x:row>
  </x:sheetData>
  <x:pageMargins left="0.7" right="0.7" top="0.75" bottom="0.75" header="0.3" footer="0.3"/>
</x:worksheet>
</file>

<file path=xl/worksheets/sheet81.xml><?xml version="1.0" encoding="utf-8"?>
<x:worksheet xmlns:x="http://schemas.openxmlformats.org/spreadsheetml/2006/main">
  <x:sheetViews>
    <x:sheetView showGridLines="1" workbookViewId="0"/>
  </x:sheetViews>
  <x:sheetFormatPr defaultColWidth="8.6796875" defaultRowHeight="15"/>
  <x:cols>
    <x:col min="1" max="1" width="36" hidden="0" customWidth="1"/>
    <x:col min="2" max="2" width="56.130001068115234" hidden="0" customWidth="1"/>
    <x:col min="3" max="3" width="22.6299991607666" hidden="0" customWidth="1"/>
    <x:col min="4" max="4" width="16.75" hidden="0" customWidth="1"/>
    <x:col min="5" max="6" width="32" hidden="0" customWidth="1"/>
  </x:cols>
  <x:sheetData>
    <x:row r="1" ht="17.350000381469727" hidden="0">
      <x:c r="A1" s="185" t="s">
        <x:v>5024</x:v>
      </x:c>
      <x:c r="B1" s="185"/>
      <x:c r="C1" s="185"/>
      <x:c r="D1" s="185"/>
      <x:c r="E1" s="185"/>
      <x:c r="F1" s="185"/>
    </x:row>
    <x:row r="2" ht="23.850000381469727" hidden="0">
      <x:c r="A2" s="186" t="s">
        <x:v>346</x:v>
      </x:c>
      <x:c r="B2" s="186" t="s">
        <x:v>5025</x:v>
      </x:c>
      <x:c r="C2" s="186" t="s">
        <x:v>349</x:v>
      </x:c>
      <x:c r="D2" s="186" t="s">
        <x:v>5026</x:v>
      </x:c>
      <x:c r="E2" s="186" t="s">
        <x:v>5027</x:v>
      </x:c>
      <x:c r="F2" s="186" t="s">
        <x:v>5028</x:v>
      </x:c>
    </x:row>
    <x:row r="3" ht="23.850000381469727" hidden="0">
      <x:c r="A3" s="64" t="s">
        <x:v>5029</x:v>
      </x:c>
      <x:c r="B3" s="64" t="s">
        <x:v>5030</x:v>
      </x:c>
      <x:c r="C3" s="64" t="s">
        <x:v>3691</x:v>
      </x:c>
      <x:c r="D3" s="64"/>
      <x:c r="E3" s="64"/>
      <x:c r="F3" s="64" t="s">
        <x:v>5031</x:v>
      </x:c>
    </x:row>
    <x:row r="4" ht="15" hidden="0">
      <x:c r="A4" s="64" t="s">
        <x:v>5032</x:v>
      </x:c>
      <x:c r="B4" s="64" t="s">
        <x:v>5033</x:v>
      </x:c>
      <x:c r="C4" s="64" t="s">
        <x:v>3618</x:v>
      </x:c>
      <x:c r="D4" s="64" t="s">
        <x:v>5034</x:v>
      </x:c>
      <x:c r="E4" s="64"/>
      <x:c r="F4" s="64"/>
    </x:row>
    <x:row r="5" ht="15" hidden="0">
      <x:c r="A5" s="64" t="s">
        <x:v>5035</x:v>
      </x:c>
      <x:c r="B5" s="64" t="s">
        <x:v>5036</x:v>
      </x:c>
      <x:c r="C5" s="64" t="s">
        <x:v>2301</x:v>
      </x:c>
      <x:c r="D5" s="64"/>
      <x:c r="E5" s="64"/>
      <x:c r="F5" s="64" t="s">
        <x:v>5037</x:v>
      </x:c>
    </x:row>
    <x:row r="6" ht="23.850000381469727" hidden="0">
      <x:c r="A6" s="64" t="s">
        <x:v>5038</x:v>
      </x:c>
      <x:c r="B6" s="64" t="s">
        <x:v>5039</x:v>
      </x:c>
      <x:c r="C6" s="64" t="s">
        <x:v>2301</x:v>
      </x:c>
      <x:c r="D6" s="64" t="s">
        <x:v>5040</x:v>
      </x:c>
      <x:c r="E6" s="64"/>
      <x:c r="F6" s="64" t="s">
        <x:v>652</x:v>
      </x:c>
    </x:row>
    <x:row r="7" ht="15" hidden="0">
      <x:c r="A7" s="64" t="s">
        <x:v>5041</x:v>
      </x:c>
      <x:c r="B7" s="64" t="s">
        <x:v>5042</x:v>
      </x:c>
      <x:c r="C7" s="64" t="s">
        <x:v>2301</x:v>
      </x:c>
      <x:c r="D7" s="64"/>
      <x:c r="E7" s="64"/>
      <x:c r="F7" s="64" t="s">
        <x:v>5043</x:v>
      </x:c>
    </x:row>
    <x:row r="8" ht="15" hidden="0">
      <x:c r="A8" s="64" t="s">
        <x:v>5044</x:v>
      </x:c>
      <x:c r="B8" s="64" t="s">
        <x:v>5045</x:v>
      </x:c>
      <x:c r="C8" s="64" t="s">
        <x:v>2301</x:v>
      </x:c>
      <x:c r="D8" s="64"/>
      <x:c r="E8" s="64"/>
      <x:c r="F8" s="64" t="s">
        <x:v>5046</x:v>
      </x:c>
    </x:row>
    <x:row r="9" ht="15" hidden="0">
      <x:c r="A9" s="64" t="s">
        <x:v>5047</x:v>
      </x:c>
      <x:c r="B9" s="64" t="s">
        <x:v>5048</x:v>
      </x:c>
      <x:c r="C9" s="64" t="s">
        <x:v>2301</x:v>
      </x:c>
      <x:c r="D9" s="64"/>
      <x:c r="E9" s="64"/>
      <x:c r="F9" s="64" t="s">
        <x:v>5049</x:v>
      </x:c>
    </x:row>
    <x:row r="10" ht="23.850000381469727" hidden="0">
      <x:c r="A10" s="64" t="s">
        <x:v>5050</x:v>
      </x:c>
      <x:c r="B10" s="64" t="s">
        <x:v>5051</x:v>
      </x:c>
      <x:c r="C10" s="64" t="s">
        <x:v>5052</x:v>
      </x:c>
      <x:c r="D10" s="64"/>
      <x:c r="E10" s="64"/>
      <x:c r="F10" s="64" t="s">
        <x:v>652</x:v>
      </x:c>
    </x:row>
  </x:sheetData>
  <x:mergeCells>
    <x:mergeCell ref="A1:F1"/>
  </x:mergeCells>
  <x:pageMargins left="0.7" right="0.7" top="0.75" bottom="0.75" header="0.3" footer="0.3"/>
</x:worksheet>
</file>

<file path=xl/worksheets/sheet82.xml><?xml version="1.0" encoding="utf-8"?>
<x:worksheet xmlns:x="http://schemas.openxmlformats.org/spreadsheetml/2006/main">
  <x:sheetViews>
    <x:sheetView showGridLines="1" workbookViewId="0"/>
  </x:sheetViews>
  <x:sheetFormatPr defaultColWidth="8.6796875" defaultRowHeight="15"/>
  <x:cols>
    <x:col min="1" max="1" width="36" hidden="0" customWidth="1"/>
    <x:col min="2" max="2" width="14.75" hidden="0" customWidth="1"/>
    <x:col min="3" max="3" width="8" hidden="0" customWidth="1"/>
    <x:col min="4" max="4" width="12.130000114440918" hidden="0" customWidth="1"/>
    <x:col min="5" max="6" width="32" hidden="0" customWidth="1"/>
  </x:cols>
  <x:sheetData>
    <x:row r="1" ht="17.350000381469727" hidden="0">
      <x:c r="A1" s="185" t="s">
        <x:v>5053</x:v>
      </x:c>
      <x:c r="B1" s="185"/>
      <x:c r="C1" s="185"/>
      <x:c r="D1" s="185"/>
      <x:c r="E1" s="185"/>
      <x:c r="F1" s="185"/>
    </x:row>
    <x:row r="2" ht="23.850000381469727" hidden="0">
      <x:c r="A2" s="186" t="s">
        <x:v>5054</x:v>
      </x:c>
      <x:c r="B2" s="186" t="s">
        <x:v>5055</x:v>
      </x:c>
      <x:c r="C2" s="186" t="s">
        <x:v>456</x:v>
      </x:c>
      <x:c r="D2" s="186" t="s">
        <x:v>5056</x:v>
      </x:c>
      <x:c r="E2" s="186" t="s">
        <x:v>5057</x:v>
      </x:c>
      <x:c r="F2" s="186" t="s">
        <x:v>5058</x:v>
      </x:c>
    </x:row>
    <x:row r="3" ht="15" hidden="0">
      <x:c r="A3" s="64" t="s">
        <x:v>5059</x:v>
      </x:c>
      <x:c r="B3" s="64"/>
      <x:c r="C3" s="64"/>
      <x:c r="D3" s="64"/>
      <x:c r="E3" s="64"/>
      <x:c r="F3" s="64"/>
    </x:row>
    <x:row r="4" ht="15" hidden="0">
      <x:c r="A4" s="64" t="s">
        <x:v>933</x:v>
      </x:c>
      <x:c r="B4" s="64"/>
      <x:c r="C4" s="64"/>
      <x:c r="D4" s="64"/>
      <x:c r="E4" s="64"/>
      <x:c r="F4" s="64"/>
    </x:row>
    <x:row r="5" ht="15" hidden="0">
      <x:c r="A5" s="64" t="s">
        <x:v>5060</x:v>
      </x:c>
      <x:c r="B5" s="64"/>
      <x:c r="C5" s="64"/>
      <x:c r="D5" s="64"/>
      <x:c r="E5" s="64"/>
      <x:c r="F5" s="64"/>
    </x:row>
    <x:row r="6" ht="15" hidden="0">
      <x:c r="A6" s="64" t="s">
        <x:v>5061</x:v>
      </x:c>
      <x:c r="B6" s="64"/>
      <x:c r="C6" s="64"/>
      <x:c r="D6" s="64"/>
      <x:c r="E6" s="64"/>
      <x:c r="F6" s="64"/>
    </x:row>
    <x:row r="7" ht="15" hidden="0">
      <x:c r="A7" s="64" t="s">
        <x:v>5062</x:v>
      </x:c>
      <x:c r="B7" s="64"/>
      <x:c r="C7" s="64"/>
      <x:c r="D7" s="64"/>
      <x:c r="E7" s="64"/>
      <x:c r="F7" s="64"/>
    </x:row>
    <x:row r="8" ht="15" hidden="0">
      <x:c r="A8" s="64" t="s">
        <x:v>5063</x:v>
      </x:c>
      <x:c r="B8" s="64"/>
      <x:c r="C8" s="64"/>
      <x:c r="D8" s="64"/>
      <x:c r="E8" s="64"/>
      <x:c r="F8" s="64"/>
    </x:row>
    <x:row r="9" ht="23.850000381469727" hidden="0">
      <x:c r="A9" s="64" t="s">
        <x:v>5064</x:v>
      </x:c>
      <x:c r="B9" s="64"/>
      <x:c r="C9" s="64"/>
      <x:c r="D9" s="64"/>
      <x:c r="E9" s="64"/>
      <x:c r="F9" s="64" t="s">
        <x:v>5065</x:v>
      </x:c>
    </x:row>
    <x:row r="10" ht="23.850000381469727" hidden="0">
      <x:c r="A10" s="64" t="s">
        <x:v>5066</x:v>
      </x:c>
      <x:c r="B10" s="64"/>
      <x:c r="C10" s="64"/>
      <x:c r="D10" s="64"/>
      <x:c r="E10" s="64"/>
      <x:c r="F10" s="64" t="s">
        <x:v>5067</x:v>
      </x:c>
    </x:row>
    <x:row r="11" ht="15" hidden="0">
      <x:c r="A11" s="64" t="s">
        <x:v>5068</x:v>
      </x:c>
      <x:c r="B11" s="64"/>
      <x:c r="C11" s="64"/>
      <x:c r="D11" s="64"/>
      <x:c r="E11" s="64"/>
      <x:c r="F11" s="64" t="s">
        <x:v>5069</x:v>
      </x:c>
    </x:row>
    <x:row r="12" ht="15" hidden="0">
      <x:c r="A12" s="64" t="s">
        <x:v>5070</x:v>
      </x:c>
      <x:c r="B12" s="64"/>
      <x:c r="C12" s="64"/>
      <x:c r="D12" s="64"/>
      <x:c r="E12" s="64"/>
      <x:c r="F12" s="64" t="s">
        <x:v>5071</x:v>
      </x:c>
    </x:row>
    <x:row r="13" ht="35.04999923706055" hidden="0">
      <x:c r="A13" s="64" t="s">
        <x:v>1988</x:v>
      </x:c>
      <x:c r="B13" s="64"/>
      <x:c r="C13" s="64"/>
      <x:c r="D13" s="64"/>
      <x:c r="E13" s="64"/>
      <x:c r="F13" s="64" t="s">
        <x:v>5072</x:v>
      </x:c>
    </x:row>
  </x:sheetData>
  <x:mergeCells>
    <x:mergeCell ref="A1:F1"/>
  </x:mergeCells>
  <x:pageMargins left="0.7" right="0.7" top="0.75" bottom="0.75" header="0.3" footer="0.3"/>
</x:worksheet>
</file>

<file path=xl/worksheets/sheet83.xml><?xml version="1.0" encoding="utf-8"?>
<x:worksheet xmlns:x="http://schemas.openxmlformats.org/spreadsheetml/2006/main">
  <x:sheetViews>
    <x:sheetView showGridLines="1" workbookViewId="0"/>
  </x:sheetViews>
  <x:sheetFormatPr defaultColWidth="8.6796875" defaultRowHeight="15"/>
  <x:cols>
    <x:col min="1" max="1" width="28" hidden="0" customWidth="1"/>
    <x:col min="2" max="4" width="30" hidden="0" customWidth="1"/>
  </x:cols>
  <x:sheetData>
    <x:row r="1" ht="17.350000381469727" hidden="0">
      <x:c r="A1" s="185" t="s">
        <x:v>5073</x:v>
      </x:c>
      <x:c r="B1" s="185"/>
      <x:c r="C1" s="185"/>
      <x:c r="D1" s="185"/>
    </x:row>
    <x:row r="2" ht="15" hidden="0">
      <x:c r="A2" s="186" t="s">
        <x:v>876</x:v>
      </x:c>
      <x:c r="B2" s="186" t="s">
        <x:v>5074</x:v>
      </x:c>
      <x:c r="C2" s="186" t="s">
        <x:v>5075</x:v>
      </x:c>
      <x:c r="D2" s="186" t="s">
        <x:v>5076</x:v>
      </x:c>
    </x:row>
    <x:row r="3" ht="15" hidden="0">
      <x:c r="A3" s="64" t="s">
        <x:v>2121</x:v>
      </x:c>
      <x:c r="B3" s="64"/>
      <x:c r="C3" s="64"/>
      <x:c r="D3" s="64"/>
    </x:row>
    <x:row r="4" ht="15" hidden="0">
      <x:c r="A4" s="64" t="s">
        <x:v>5077</x:v>
      </x:c>
      <x:c r="B4" s="64"/>
      <x:c r="C4" s="64"/>
      <x:c r="D4" s="64"/>
    </x:row>
    <x:row r="5" ht="15" hidden="0">
      <x:c r="A5" s="64" t="s">
        <x:v>5078</x:v>
      </x:c>
      <x:c r="B5" s="64"/>
      <x:c r="C5" s="64"/>
      <x:c r="D5" s="64"/>
    </x:row>
    <x:row r="6" ht="15" hidden="0">
      <x:c r="A6" s="64" t="s">
        <x:v>5079</x:v>
      </x:c>
      <x:c r="B6" s="64"/>
      <x:c r="C6" s="64"/>
      <x:c r="D6" s="64"/>
    </x:row>
    <x:row r="7" ht="15" hidden="0">
      <x:c r="A7" s="64" t="s">
        <x:v>1551</x:v>
      </x:c>
      <x:c r="B7" s="64"/>
      <x:c r="C7" s="64"/>
      <x:c r="D7" s="64"/>
    </x:row>
    <x:row r="8" ht="15" hidden="0">
      <x:c r="A8" s="64" t="s">
        <x:v>5080</x:v>
      </x:c>
      <x:c r="B8" s="64"/>
      <x:c r="C8" s="64"/>
      <x:c r="D8" s="64"/>
    </x:row>
    <x:row r="9" ht="15" hidden="0">
      <x:c r="A9" s="64" t="s">
        <x:v>5081</x:v>
      </x:c>
      <x:c r="B9" s="64"/>
      <x:c r="C9" s="64"/>
      <x:c r="D9" s="64"/>
    </x:row>
    <x:row r="10" ht="15" hidden="0">
      <x:c r="A10" s="64" t="s">
        <x:v>5082</x:v>
      </x:c>
      <x:c r="B10" s="64"/>
      <x:c r="C10" s="64"/>
      <x:c r="D10" s="64"/>
    </x:row>
    <x:row r="11" ht="15" hidden="0">
      <x:c r="A11" s="64" t="s">
        <x:v>5083</x:v>
      </x:c>
      <x:c r="B11" s="64"/>
      <x:c r="C11" s="64"/>
      <x:c r="D11" s="64"/>
    </x:row>
    <x:row r="12" ht="15" hidden="0">
      <x:c r="A12" s="64" t="s">
        <x:v>5084</x:v>
      </x:c>
      <x:c r="B12" s="64"/>
      <x:c r="C12" s="64"/>
      <x:c r="D12" s="64"/>
    </x:row>
    <x:row r="13" ht="15" hidden="0">
      <x:c r="A13" s="64"/>
      <x:c r="B13" s="64"/>
      <x:c r="C13" s="64"/>
      <x:c r="D13" s="64"/>
    </x:row>
    <x:row r="14" ht="15" hidden="0">
      <x:c r="A14" s="64" t="s">
        <x:v>5085</x:v>
      </x:c>
      <x:c r="B14" s="64" t="s">
        <x:v>5086</x:v>
      </x:c>
      <x:c r="C14" s="64" t="s">
        <x:v>5087</x:v>
      </x:c>
      <x:c r="D14" s="64"/>
    </x:row>
    <x:row r="15" ht="23.850000381469727" hidden="0">
      <x:c r="A15" s="64" t="s">
        <x:v>5088</x:v>
      </x:c>
      <x:c r="B15" s="64" t="s">
        <x:v>5089</x:v>
      </x:c>
      <x:c r="C15" s="64"/>
      <x:c r="D15" s="64"/>
    </x:row>
    <x:row r="16" ht="15" hidden="0">
      <x:c r="A16" s="64" t="s">
        <x:v>2063</x:v>
      </x:c>
      <x:c r="B16" s="64"/>
      <x:c r="C16" s="64"/>
      <x:c r="D16" s="64"/>
    </x:row>
    <x:row r="18" ht="23.850000381469727" hidden="0">
      <x:c r="A18" s="187" t="s">
        <x:v>5090</x:v>
      </x:c>
      <x:c r="B18" s="187"/>
      <x:c r="C18" s="187"/>
      <x:c r="D18" s="187"/>
    </x:row>
    <x:row r="19" ht="57.45000076293945" hidden="0">
      <x:c r="A19" s="188" t="s">
        <x:v>5091</x:v>
      </x:c>
      <x:c r="B19" s="188" t="s">
        <x:v>2756</x:v>
      </x:c>
      <x:c r="C19" s="188" t="s">
        <x:v>5092</x:v>
      </x:c>
      <x:c r="D19" s="188" t="s">
        <x:v>5093</x:v>
      </x:c>
    </x:row>
    <x:row r="20" ht="46.25" hidden="0">
      <x:c r="A20" s="188" t="s">
        <x:v>5094</x:v>
      </x:c>
      <x:c r="B20" s="188" t="s">
        <x:v>3102</x:v>
      </x:c>
      <x:c r="C20" s="188" t="s">
        <x:v>3103</x:v>
      </x:c>
      <x:c r="D20" s="188" t="s">
        <x:v>5095</x:v>
      </x:c>
    </x:row>
    <x:row r="21" ht="57.45000076293945" hidden="0">
      <x:c r="A21" s="188" t="s">
        <x:v>3105</x:v>
      </x:c>
      <x:c r="B21" s="188" t="s">
        <x:v>4985</x:v>
      </x:c>
      <x:c r="C21" s="188" t="s">
        <x:v>5096</x:v>
      </x:c>
      <x:c r="D21" s="188" t="s">
        <x:v>5097</x:v>
      </x:c>
    </x:row>
    <x:row r="22" ht="57.45000076293945" hidden="0">
      <x:c r="A22" s="188" t="s">
        <x:v>5098</x:v>
      </x:c>
      <x:c r="B22" s="188" t="s">
        <x:v>4985</x:v>
      </x:c>
      <x:c r="C22" s="188" t="s">
        <x:v>5099</x:v>
      </x:c>
      <x:c r="D22" s="188" t="s">
        <x:v>5100</x:v>
      </x:c>
    </x:row>
    <x:row r="23" ht="46.25" hidden="0">
      <x:c r="A23" s="188" t="s">
        <x:v>5101</x:v>
      </x:c>
      <x:c r="B23" s="188" t="s">
        <x:v>5102</x:v>
      </x:c>
      <x:c r="C23" s="188" t="s">
        <x:v>5103</x:v>
      </x:c>
      <x:c r="D23" s="188" t="s">
        <x:v>5104</x:v>
      </x:c>
    </x:row>
    <x:row r="24" ht="35.04999923706055" hidden="0">
      <x:c r="A24" s="188" t="s">
        <x:v>5105</x:v>
      </x:c>
      <x:c r="B24" s="188" t="s">
        <x:v>2672</x:v>
      </x:c>
      <x:c r="C24" s="188" t="s">
        <x:v>5106</x:v>
      </x:c>
      <x:c r="D24" s="188" t="s">
        <x:v>5107</x:v>
      </x:c>
    </x:row>
  </x:sheetData>
  <x:mergeCells>
    <x:mergeCell ref="A1:D1"/>
  </x:mergeCells>
  <x:pageMargins left="0.7" right="0.7" top="0.75" bottom="0.75" header="0.3" footer="0.3"/>
</x:worksheet>
</file>

<file path=xl/worksheets/sheet84.xml><?xml version="1.0" encoding="utf-8"?>
<x:worksheet xmlns:x="http://schemas.openxmlformats.org/spreadsheetml/2006/main">
  <x:sheetViews>
    <x:sheetView showGridLines="1" workbookViewId="0"/>
  </x:sheetViews>
  <x:sheetFormatPr defaultColWidth="8.6796875" defaultRowHeight="15"/>
  <x:cols>
    <x:col min="1" max="1" width="34" hidden="0" customWidth="1"/>
    <x:col min="2" max="2" width="22" hidden="0" customWidth="1"/>
    <x:col min="3" max="6" width="34" hidden="0" customWidth="1"/>
  </x:cols>
  <x:sheetData>
    <x:row r="1" ht="15" hidden="0">
      <x:c r="A1" s="189" t="s">
        <x:v>4980</x:v>
      </x:c>
      <x:c r="B1" s="189" t="s">
        <x:v>4981</x:v>
      </x:c>
      <x:c r="C1" s="189" t="s">
        <x:v>5108</x:v>
      </x:c>
      <x:c r="D1" s="189" t="s">
        <x:v>5109</x:v>
      </x:c>
      <x:c r="E1" s="189" t="s">
        <x:v>5110</x:v>
      </x:c>
      <x:c r="F1" s="189" t="s">
        <x:v>88</x:v>
      </x:c>
    </x:row>
    <x:row r="2" ht="23.850000381469727" hidden="0">
      <x:c r="A2" s="64" t="s">
        <x:v>5111</x:v>
      </x:c>
      <x:c r="B2" s="64" t="s">
        <x:v>4990</x:v>
      </x:c>
      <x:c r="C2" s="64" t="s">
        <x:v>5112</x:v>
      </x:c>
      <x:c r="D2" s="64" t="s">
        <x:v>5113</x:v>
      </x:c>
      <x:c r="E2" s="64" t="s">
        <x:v>5114</x:v>
      </x:c>
      <x:c r="F2" s="64" t="s">
        <x:v>5115</x:v>
      </x:c>
    </x:row>
    <x:row r="3" ht="23.850000381469727" hidden="0">
      <x:c r="A3" s="64" t="str">
        <x:v>NCRC / TRC / CSV / RLS / Dashboard / PCC calculation surfaces</x:v>
      </x:c>
      <x:c r="B3" s="64" t="str">
        <x:v>BUILD-FROZEN / CALCULATION</x:v>
      </x:c>
      <x:c r="C3" s="64" t="s">
        <x:v>5116</x:v>
      </x:c>
      <x:c r="D3" s="64" t="str">
        <x:v>Release verifier checks load-bearing release-build values, formula-bearing surfaces, and error state</x:v>
      </x:c>
      <x:c r="E3" s="64" t="s">
        <x:v>5117</x:v>
      </x:c>
      <x:c r="F3" s="64" t="s">
        <x:v>5118</x:v>
      </x:c>
    </x:row>
    <x:row r="4" ht="23.850000381469727" hidden="0">
      <x:c r="A4" s="64" t="s">
        <x:v>5119</x:v>
      </x:c>
      <x:c r="B4" s="64" t="s">
        <x:v>5120</x:v>
      </x:c>
      <x:c r="C4" s="64" t="s">
        <x:v>5121</x:v>
      </x:c>
      <x:c r="D4" s="64" t="s">
        <x:v>5122</x:v>
      </x:c>
      <x:c r="E4" s="64" t="s">
        <x:v>5123</x:v>
      </x:c>
      <x:c r="F4" s="64" t="s">
        <x:v>5124</x:v>
      </x:c>
    </x:row>
    <x:row r="5" ht="23.850000381469727" hidden="0">
      <x:c r="A5" s="64" t="s">
        <x:v>5125</x:v>
      </x:c>
      <x:c r="B5" s="64" t="s">
        <x:v>5126</x:v>
      </x:c>
      <x:c r="C5" s="64" t="s">
        <x:v>5127</x:v>
      </x:c>
      <x:c r="D5" s="64" t="s">
        <x:v>5128</x:v>
      </x:c>
      <x:c r="E5" s="64" t="s">
        <x:v>5129</x:v>
      </x:c>
      <x:c r="F5" s="64" t="s">
        <x:v>5130</x:v>
      </x:c>
    </x:row>
    <x:row r="6" ht="15" hidden="0">
      <x:c r="A6" s="64" t="s">
        <x:v>5131</x:v>
      </x:c>
      <x:c r="B6" s="64" t="s">
        <x:v>5132</x:v>
      </x:c>
      <x:c r="C6" s="64" t="s">
        <x:v>5133</x:v>
      </x:c>
      <x:c r="D6" s="64" t="s">
        <x:v>5134</x:v>
      </x:c>
      <x:c r="E6" s="64" t="s">
        <x:v>5135</x:v>
      </x:c>
      <x:c r="F6" s="64" t="s">
        <x:v>5136</x:v>
      </x:c>
    </x:row>
  </x:sheetData>
  <x:pageMargins left="0.7" right="0.7" top="0.75" bottom="0.75" header="0.3" footer="0.3"/>
</x:worksheet>
</file>

<file path=xl/worksheets/sheet85.xml><?xml version="1.0" encoding="utf-8"?>
<x:worksheet xmlns:x="http://schemas.openxmlformats.org/spreadsheetml/2006/main">
  <x:sheetViews>
    <x:sheetView showGridLines="1" workbookViewId="0"/>
  </x:sheetViews>
  <x:sheetFormatPr defaultColWidth="8.6796875" defaultRowHeight="15"/>
  <x:cols>
    <x:col min="1" max="1" width="24" hidden="0" customWidth="1"/>
    <x:col min="2" max="2" width="36" hidden="0" customWidth="1"/>
    <x:col min="3" max="3" width="22" hidden="0" customWidth="1"/>
    <x:col min="4" max="4" width="28" hidden="0" customWidth="1"/>
    <x:col min="5" max="5" width="30" hidden="0" customWidth="1"/>
    <x:col min="6" max="6" width="18" hidden="0" customWidth="1"/>
    <x:col min="7" max="7" width="20" hidden="0" customWidth="1"/>
    <x:col min="8" max="8" width="40" hidden="0" customWidth="1"/>
  </x:cols>
  <x:sheetData>
    <x:row r="1" ht="17.350000381469727" hidden="0" customHeight="1">
      <x:c r="A1" s="404" t="s">
        <x:v>5137</x:v>
      </x:c>
      <x:c r="B1" s="404"/>
      <x:c r="C1" s="404"/>
      <x:c r="D1" s="404"/>
      <x:c r="E1" s="404"/>
      <x:c r="F1" s="404"/>
      <x:c r="G1" s="404"/>
      <x:c r="H1" s="404"/>
    </x:row>
    <x:row r="2" ht="46.25" hidden="0">
      <x:c r="A2" s="397" t="s">
        <x:v>1</x:v>
      </x:c>
      <x:c r="B2" s="397" t="s">
        <x:v>5138</x:v>
      </x:c>
      <x:c r="C2" s="397"/>
      <x:c r="D2" s="397"/>
      <x:c r="E2" s="397"/>
      <x:c r="F2" s="397"/>
      <x:c r="G2" s="397"/>
      <x:c r="H2" s="397"/>
    </x:row>
    <x:row r="3" ht="15" hidden="0">
      <x:c r="A3" s="397"/>
      <x:c r="B3" s="397"/>
      <x:c r="C3" s="397"/>
      <x:c r="D3" s="397"/>
      <x:c r="E3" s="397"/>
      <x:c r="F3" s="397"/>
      <x:c r="G3" s="397"/>
      <x:c r="H3" s="397"/>
    </x:row>
    <x:row r="4" ht="15" hidden="0">
      <x:c r="A4" s="405" t="s">
        <x:v>346</x:v>
      </x:c>
      <x:c r="B4" s="405" t="s">
        <x:v>1845</x:v>
      </x:c>
      <x:c r="C4" s="405" t="s">
        <x:v>349</x:v>
      </x:c>
      <x:c r="D4" s="405" t="s">
        <x:v>5139</x:v>
      </x:c>
      <x:c r="E4" s="405" t="s">
        <x:v>5140</x:v>
      </x:c>
      <x:c r="F4" s="405" t="s">
        <x:v>5141</x:v>
      </x:c>
      <x:c r="G4" s="405" t="s">
        <x:v>3615</x:v>
      </x:c>
      <x:c r="H4" s="405" t="s">
        <x:v>1203</x:v>
      </x:c>
    </x:row>
    <x:row r="5" ht="15" hidden="0">
      <x:c r="A5" s="397" t="s">
        <x:v>5142</x:v>
      </x:c>
      <x:c r="B5" s="397" t="s">
        <x:v>3304</x:v>
      </x:c>
      <x:c r="C5" s="397" t="s">
        <x:v>3618</x:v>
      </x:c>
      <x:c r="D5" s="397" t="s">
        <x:v>2123</x:v>
      </x:c>
      <x:c r="E5" s="397" t="s">
        <x:v>5143</x:v>
      </x:c>
      <x:c r="F5" s="397" t="s">
        <x:v>5144</x:v>
      </x:c>
      <x:c r="G5" s="397" t="s">
        <x:v>3653</x:v>
      </x:c>
      <x:c r="H5" s="397" t="s">
        <x:v>5145</x:v>
      </x:c>
    </x:row>
    <x:row r="6" ht="15" hidden="0">
      <x:c r="A6" s="406" t="s">
        <x:v>5146</x:v>
      </x:c>
      <x:c r="B6" s="406" t="s">
        <x:v>5147</x:v>
      </x:c>
      <x:c r="C6" s="406" t="s">
        <x:v>3618</x:v>
      </x:c>
      <x:c r="D6" s="406" t="s">
        <x:v>5148</x:v>
      </x:c>
      <x:c r="E6" s="406" t="s">
        <x:v>5149</x:v>
      </x:c>
      <x:c r="F6" s="406" t="s">
        <x:v>5150</x:v>
      </x:c>
      <x:c r="G6" s="406" t="s">
        <x:v>5151</x:v>
      </x:c>
      <x:c r="H6" s="406" t="s">
        <x:v>5152</x:v>
      </x:c>
    </x:row>
    <x:row r="7" ht="23.850000381469727" hidden="0">
      <x:c r="A7" s="397" t="s">
        <x:v>5153</x:v>
      </x:c>
      <x:c r="B7" s="397" t="s">
        <x:v>5154</x:v>
      </x:c>
      <x:c r="C7" s="397" t="s">
        <x:v>2765</x:v>
      </x:c>
      <x:c r="D7" s="397" t="s">
        <x:v>5155</x:v>
      </x:c>
      <x:c r="E7" s="397" t="s">
        <x:v>5156</x:v>
      </x:c>
      <x:c r="F7" s="397" t="s">
        <x:v>5157</x:v>
      </x:c>
      <x:c r="G7" s="397" t="s">
        <x:v>3370</x:v>
      </x:c>
      <x:c r="H7" s="397" t="s">
        <x:v>5158</x:v>
      </x:c>
    </x:row>
    <x:row r="8" ht="23.850000381469727" hidden="0">
      <x:c r="A8" s="406" t="s">
        <x:v>5159</x:v>
      </x:c>
      <x:c r="B8" s="406" t="s">
        <x:v>5160</x:v>
      </x:c>
      <x:c r="C8" s="406" t="s">
        <x:v>3618</x:v>
      </x:c>
      <x:c r="D8" s="406" t="s">
        <x:v>634</x:v>
      </x:c>
      <x:c r="E8" s="406" t="s">
        <x:v>5161</x:v>
      </x:c>
      <x:c r="F8" s="406" t="s">
        <x:v>5162</x:v>
      </x:c>
      <x:c r="G8" s="406" t="s">
        <x:v>3624</x:v>
      </x:c>
      <x:c r="H8" s="406" t="s">
        <x:v>5163</x:v>
      </x:c>
    </x:row>
    <x:row r="9" ht="23.850000381469727" hidden="0">
      <x:c r="A9" s="397" t="s">
        <x:v>5164</x:v>
      </x:c>
      <x:c r="B9" s="397" t="s">
        <x:v>5165</x:v>
      </x:c>
      <x:c r="C9" s="397" t="s">
        <x:v>3618</x:v>
      </x:c>
      <x:c r="D9" s="397" t="s">
        <x:v>3294</x:v>
      </x:c>
      <x:c r="E9" s="397" t="s">
        <x:v>5166</x:v>
      </x:c>
      <x:c r="F9" s="397" t="s">
        <x:v>5167</x:v>
      </x:c>
      <x:c r="G9" s="397" t="s">
        <x:v>3680</x:v>
      </x:c>
      <x:c r="H9" s="397" t="s">
        <x:v>5168</x:v>
      </x:c>
    </x:row>
    <x:row r="10" ht="23.850000381469727" hidden="0">
      <x:c r="A10" s="406" t="s">
        <x:v>5169</x:v>
      </x:c>
      <x:c r="B10" s="406" t="s">
        <x:v>5170</x:v>
      </x:c>
      <x:c r="C10" s="406" t="s">
        <x:v>3618</x:v>
      </x:c>
      <x:c r="D10" s="406" t="s">
        <x:v>652</x:v>
      </x:c>
      <x:c r="E10" s="406" t="s">
        <x:v>5171</x:v>
      </x:c>
      <x:c r="F10" s="406" t="s">
        <x:v>5172</x:v>
      </x:c>
      <x:c r="G10" s="406" t="s">
        <x:v>1931</x:v>
      </x:c>
      <x:c r="H10" s="406" t="s">
        <x:v>5173</x:v>
      </x:c>
    </x:row>
    <x:row r="11" ht="62" hidden="0" customHeight="1">
      <x:c r="A11" s="397" t="s">
        <x:v>5174</x:v>
      </x:c>
      <x:c r="B11" s="397" t="str">
        <x:v>Non-decisive framework result; Option A is selected through a separate accountable authority record. Execution authorization remains separate.</x:v>
      </x:c>
      <x:c r="C11" s="397" t="s">
        <x:v>5175</x:v>
      </x:c>
      <x:c r="D11" s="397" t="s">
        <x:v>3625</x:v>
      </x:c>
      <x:c r="E11" s="397" t="s">
        <x:v>5176</x:v>
      </x:c>
      <x:c r="F11" s="397" t="s">
        <x:v>5177</x:v>
      </x:c>
      <x:c r="G11" s="397" t="s">
        <x:v>5178</x:v>
      </x:c>
      <x:c r="H11" s="397" t="s">
        <x:v>5179</x:v>
      </x:c>
    </x:row>
    <x:row r="12" ht="23.850000381469727" hidden="0">
      <x:c r="A12" s="406" t="s">
        <x:v>5180</x:v>
      </x:c>
      <x:c r="B12" s="406" t="s">
        <x:v>1950</x:v>
      </x:c>
      <x:c r="C12" s="406" t="s">
        <x:v>734</x:v>
      </x:c>
      <x:c r="D12" s="406" t="s">
        <x:v>5181</x:v>
      </x:c>
      <x:c r="E12" s="406" t="s">
        <x:v>5182</x:v>
      </x:c>
      <x:c r="F12" s="406" t="s">
        <x:v>5183</x:v>
      </x:c>
      <x:c r="G12" s="406" t="s">
        <x:v>1944</x:v>
      </x:c>
      <x:c r="H12" s="406" t="s">
        <x:v>5184</x:v>
      </x:c>
    </x:row>
    <x:row r="13" ht="15" hidden="0">
      <x:c r="A13" s="397"/>
      <x:c r="B13" s="397"/>
      <x:c r="C13" s="397"/>
      <x:c r="D13" s="397"/>
      <x:c r="E13" s="397"/>
      <x:c r="F13" s="397"/>
      <x:c r="G13" s="397"/>
      <x:c r="H13" s="397"/>
    </x:row>
    <x:row r="14" ht="23.850000381469727" hidden="0">
      <x:c r="A14" s="407" t="s">
        <x:v>5185</x:v>
      </x:c>
      <x:c r="B14" s="407" t="s">
        <x:v>1736</x:v>
      </x:c>
      <x:c r="C14" s="407" t="s">
        <x:v>2061</x:v>
      </x:c>
      <x:c r="D14" s="407" t="s">
        <x:v>1475</x:v>
      </x:c>
      <x:c r="E14" s="407" t="s">
        <x:v>5186</x:v>
      </x:c>
      <x:c r="F14" s="407" t="s">
        <x:v>5187</x:v>
      </x:c>
      <x:c r="G14" s="407" t="s">
        <x:v>1918</x:v>
      </x:c>
      <x:c r="H14" s="407" t="s">
        <x:v>1203</x:v>
      </x:c>
    </x:row>
    <x:row r="15" ht="23.850000381469727" hidden="0">
      <x:c r="A15" s="397" t="s">
        <x:v>5188</x:v>
      </x:c>
      <x:c r="B15" s="397" t="s">
        <x:v>5189</x:v>
      </x:c>
      <x:c r="C15" s="397" t="s">
        <x:v>748</x:v>
      </x:c>
      <x:c r="D15" s="397" t="s">
        <x:v>5190</x:v>
      </x:c>
      <x:c r="E15" s="397" t="s">
        <x:v>5191</x:v>
      </x:c>
      <x:c r="F15" s="397" t="s">
        <x:v>5192</x:v>
      </x:c>
      <x:c r="G15" s="397" t="s">
        <x:v>5193</x:v>
      </x:c>
      <x:c r="H15" s="397" t="s">
        <x:v>5194</x:v>
      </x:c>
    </x:row>
    <x:row r="16" ht="23.850000381469727" hidden="0">
      <x:c r="A16" s="406" t="s">
        <x:v>5195</x:v>
      </x:c>
      <x:c r="B16" s="406" t="s">
        <x:v>5196</x:v>
      </x:c>
      <x:c r="C16" s="406" t="s">
        <x:v>5197</x:v>
      </x:c>
      <x:c r="D16" s="406" t="s">
        <x:v>5198</x:v>
      </x:c>
      <x:c r="E16" s="406" t="s">
        <x:v>5199</x:v>
      </x:c>
      <x:c r="F16" s="406" t="s">
        <x:v>5200</x:v>
      </x:c>
      <x:c r="G16" s="406" t="s">
        <x:v>5193</x:v>
      </x:c>
      <x:c r="H16" s="406" t="s">
        <x:v>5201</x:v>
      </x:c>
    </x:row>
    <x:row r="17" ht="23.850000381469727" hidden="0">
      <x:c r="A17" s="397" t="s">
        <x:v>3384</x:v>
      </x:c>
      <x:c r="B17" s="397" t="s">
        <x:v>5202</x:v>
      </x:c>
      <x:c r="C17" s="397" t="s">
        <x:v>5203</x:v>
      </x:c>
      <x:c r="D17" s="397" t="s">
        <x:v>634</x:v>
      </x:c>
      <x:c r="E17" s="397" t="s">
        <x:v>5204</x:v>
      </x:c>
      <x:c r="F17" s="397" t="s">
        <x:v>5205</x:v>
      </x:c>
      <x:c r="G17" s="397" t="s">
        <x:v>3624</x:v>
      </x:c>
      <x:c r="H17" s="397" t="s">
        <x:v>5206</x:v>
      </x:c>
    </x:row>
    <x:row r="18" ht="23.850000381469727" hidden="0">
      <x:c r="A18" s="406" t="s">
        <x:v>5207</x:v>
      </x:c>
      <x:c r="B18" s="406" t="s">
        <x:v>5208</x:v>
      </x:c>
      <x:c r="C18" s="406" t="s">
        <x:v>5209</x:v>
      </x:c>
      <x:c r="D18" s="406" t="s">
        <x:v>652</x:v>
      </x:c>
      <x:c r="E18" s="406" t="s">
        <x:v>5210</x:v>
      </x:c>
      <x:c r="F18" s="406" t="s">
        <x:v>5211</x:v>
      </x:c>
      <x:c r="G18" s="406" t="s">
        <x:v>5178</x:v>
      </x:c>
      <x:c r="H18" s="406" t="s">
        <x:v>5212</x:v>
      </x:c>
    </x:row>
    <x:row r="19" ht="62" hidden="0" customHeight="1">
      <x:c r="A19" s="397" t="s">
        <x:v>5213</x:v>
      </x:c>
      <x:c r="B19" s="397" t="s">
        <x:v>5214</x:v>
      </x:c>
      <x:c r="C19" s="397" t="s">
        <x:v>5215</x:v>
      </x:c>
      <x:c r="D19" s="397" t="s">
        <x:v>481</x:v>
      </x:c>
      <x:c r="E19" s="397" t="s">
        <x:v>5216</x:v>
      </x:c>
      <x:c r="F19" s="397" t="s">
        <x:v>5217</x:v>
      </x:c>
      <x:c r="G19" s="397" t="s">
        <x:v>1931</x:v>
      </x:c>
      <x:c r="H19" s="397" t="str">
        <x:v>Option A is authority-selected after a non-decisive framework verdict; point-score ordering is not a unique cascade selection.</x:v>
      </x:c>
    </x:row>
    <x:row r="20" ht="23.850000381469727" hidden="0">
      <x:c r="A20" s="406" t="s">
        <x:v>5218</x:v>
      </x:c>
      <x:c r="B20" s="406" t="s">
        <x:v>5219</x:v>
      </x:c>
      <x:c r="C20" s="406" t="s">
        <x:v>1040</x:v>
      </x:c>
      <x:c r="D20" s="406" t="s">
        <x:v>5220</x:v>
      </x:c>
      <x:c r="E20" s="406" t="s">
        <x:v>5221</x:v>
      </x:c>
      <x:c r="F20" s="406" t="s">
        <x:v>5222</x:v>
      </x:c>
      <x:c r="G20" s="406" t="s">
        <x:v>5178</x:v>
      </x:c>
      <x:c r="H20" s="406" t="s">
        <x:v>5223</x:v>
      </x:c>
    </x:row>
    <x:row r="21" ht="23.850000381469727" hidden="0">
      <x:c r="A21" s="397" t="s">
        <x:v>5224</x:v>
      </x:c>
      <x:c r="B21" s="397" t="s">
        <x:v>5225</x:v>
      </x:c>
      <x:c r="C21" s="397" t="s">
        <x:v>5226</x:v>
      </x:c>
      <x:c r="D21" s="397" t="s">
        <x:v>3631</x:v>
      </x:c>
      <x:c r="E21" s="397" t="s">
        <x:v>5227</x:v>
      </x:c>
      <x:c r="F21" s="397" t="s">
        <x:v>5228</x:v>
      </x:c>
      <x:c r="G21" s="397" t="s">
        <x:v>3624</x:v>
      </x:c>
      <x:c r="H21" s="397" t="s">
        <x:v>5229</x:v>
      </x:c>
    </x:row>
    <x:row r="22" ht="23.850000381469727" hidden="0">
      <x:c r="A22" s="406" t="s">
        <x:v>5230</x:v>
      </x:c>
      <x:c r="B22" s="406" t="s">
        <x:v>5231</x:v>
      </x:c>
      <x:c r="C22" s="406" t="s">
        <x:v>2081</x:v>
      </x:c>
      <x:c r="D22" s="406" t="s">
        <x:v>5232</x:v>
      </x:c>
      <x:c r="E22" s="406" t="s">
        <x:v>5233</x:v>
      </x:c>
      <x:c r="F22" s="406" t="s">
        <x:v>3707</x:v>
      </x:c>
      <x:c r="G22" s="406" t="s">
        <x:v>3386</x:v>
      </x:c>
      <x:c r="H22" s="406" t="s">
        <x:v>5234</x:v>
      </x:c>
    </x:row>
    <x:row r="23" ht="15" hidden="0">
      <x:c r="A23" s="397"/>
      <x:c r="B23" s="397"/>
      <x:c r="C23" s="397"/>
      <x:c r="D23" s="397"/>
      <x:c r="E23" s="397"/>
      <x:c r="F23" s="397"/>
      <x:c r="G23" s="397"/>
      <x:c r="H23" s="397"/>
    </x:row>
    <x:row r="24" ht="23.850000381469727" hidden="0">
      <x:c r="A24" s="407" t="s">
        <x:v>5235</x:v>
      </x:c>
      <x:c r="B24" s="407" t="s">
        <x:v>5236</x:v>
      </x:c>
      <x:c r="C24" s="407" t="s">
        <x:v>349</x:v>
      </x:c>
      <x:c r="D24" s="407" t="s">
        <x:v>1475</x:v>
      </x:c>
      <x:c r="E24" s="407" t="s">
        <x:v>5237</x:v>
      </x:c>
      <x:c r="F24" s="407" t="s">
        <x:v>5141</x:v>
      </x:c>
      <x:c r="G24" s="407" t="s">
        <x:v>1918</x:v>
      </x:c>
      <x:c r="H24" s="407" t="s">
        <x:v>1203</x:v>
      </x:c>
    </x:row>
    <x:row r="25" ht="23.850000381469727" hidden="0">
      <x:c r="A25" s="397" t="s">
        <x:v>5238</x:v>
      </x:c>
      <x:c r="B25" s="397" t="s">
        <x:v>5239</x:v>
      </x:c>
      <x:c r="C25" s="397" t="s">
        <x:v>3618</x:v>
      </x:c>
      <x:c r="D25" s="397" t="s">
        <x:v>598</x:v>
      </x:c>
      <x:c r="E25" s="397" t="s">
        <x:v>5240</x:v>
      </x:c>
      <x:c r="F25" s="397" t="s">
        <x:v>5241</x:v>
      </x:c>
      <x:c r="G25" s="397" t="s">
        <x:v>1944</x:v>
      </x:c>
      <x:c r="H25" s="397" t="s">
        <x:v>5242</x:v>
      </x:c>
    </x:row>
    <x:row r="26" ht="58" hidden="0" customHeight="1">
      <x:c r="A26" s="406" t="s">
        <x:v>5243</x:v>
      </x:c>
      <x:c r="B26" s="406" t="str">
        <x:v>Authorize and implement authority-selected Option A only within the declared authority and control envelope.</x:v>
      </x:c>
      <x:c r="C26" s="406" t="s">
        <x:v>3618</x:v>
      </x:c>
      <x:c r="D26" s="406" t="s">
        <x:v>598</x:v>
      </x:c>
      <x:c r="E26" s="406" t="s">
        <x:v>5244</x:v>
      </x:c>
      <x:c r="F26" s="406" t="s">
        <x:v>5167</x:v>
      </x:c>
      <x:c r="G26" s="406" t="s">
        <x:v>1931</x:v>
      </x:c>
      <x:c r="H26" s="406" t="s">
        <x:v>5245</x:v>
      </x:c>
    </x:row>
    <x:row r="27" ht="23.850000381469727" hidden="0">
      <x:c r="A27" s="397" t="s">
        <x:v>5246</x:v>
      </x:c>
      <x:c r="B27" s="397" t="s">
        <x:v>5247</x:v>
      </x:c>
      <x:c r="C27" s="397" t="s">
        <x:v>5248</x:v>
      </x:c>
      <x:c r="D27" s="397" t="s">
        <x:v>616</x:v>
      </x:c>
      <x:c r="E27" s="397" t="s">
        <x:v>5249</x:v>
      </x:c>
      <x:c r="F27" s="397" t="s">
        <x:v>13</x:v>
      </x:c>
      <x:c r="G27" s="397" t="s">
        <x:v>3386</x:v>
      </x:c>
      <x:c r="H27" s="397" t="s">
        <x:v>5250</x:v>
      </x:c>
    </x:row>
    <x:row r="28" ht="15" hidden="0">
      <x:c r="A28" s="406"/>
      <x:c r="B28" s="406"/>
      <x:c r="C28" s="406"/>
      <x:c r="D28" s="406"/>
      <x:c r="E28" s="406"/>
      <x:c r="F28" s="406"/>
      <x:c r="G28" s="406"/>
      <x:c r="H28" s="406"/>
    </x:row>
    <x:row r="29" ht="23.850000381469727" hidden="0">
      <x:c r="A29" s="405" t="s">
        <x:v>5251</x:v>
      </x:c>
      <x:c r="B29" s="405" t="s">
        <x:v>2061</x:v>
      </x:c>
      <x:c r="C29" s="405" t="s">
        <x:v>3614</x:v>
      </x:c>
      <x:c r="D29" s="405" t="s">
        <x:v>5141</x:v>
      </x:c>
      <x:c r="E29" s="405" t="s">
        <x:v>5252</x:v>
      </x:c>
      <x:c r="F29" s="405" t="s">
        <x:v>1918</x:v>
      </x:c>
      <x:c r="G29" s="405" t="s">
        <x:v>5253</x:v>
      </x:c>
      <x:c r="H29" s="405" t="s">
        <x:v>1203</x:v>
      </x:c>
    </x:row>
    <x:row r="30" ht="23.850000381469727" hidden="0">
      <x:c r="A30" s="406" t="s">
        <x:v>5254</x:v>
      </x:c>
      <x:c r="B30" s="406" t="s">
        <x:v>3686</x:v>
      </x:c>
      <x:c r="C30" s="406" t="s">
        <x:v>5255</x:v>
      </x:c>
      <x:c r="D30" s="406" t="s">
        <x:v>5144</x:v>
      </x:c>
      <x:c r="E30" s="406" t="s">
        <x:v>5256</x:v>
      </x:c>
      <x:c r="F30" s="406" t="s">
        <x:v>3370</x:v>
      </x:c>
      <x:c r="G30" s="406" t="s">
        <x:v>5257</x:v>
      </x:c>
      <x:c r="H30" s="406"/>
    </x:row>
    <x:row r="31" ht="23.850000381469727" hidden="0">
      <x:c r="A31" s="397" t="s">
        <x:v>5258</x:v>
      </x:c>
      <x:c r="B31" s="397" t="s">
        <x:v>3686</x:v>
      </x:c>
      <x:c r="C31" s="397" t="s">
        <x:v>5259</x:v>
      </x:c>
      <x:c r="D31" s="397" t="s">
        <x:v>5162</x:v>
      </x:c>
      <x:c r="E31" s="397" t="s">
        <x:v>5260</x:v>
      </x:c>
      <x:c r="F31" s="397" t="s">
        <x:v>3624</x:v>
      </x:c>
      <x:c r="G31" s="397" t="s">
        <x:v>5261</x:v>
      </x:c>
      <x:c r="H31" s="397"/>
    </x:row>
    <x:row r="32" ht="23.850000381469727" hidden="0">
      <x:c r="A32" s="406" t="s">
        <x:v>5262</x:v>
      </x:c>
      <x:c r="B32" s="406" t="s">
        <x:v>5263</x:v>
      </x:c>
      <x:c r="C32" s="406" t="s">
        <x:v>5264</x:v>
      </x:c>
      <x:c r="D32" s="406" t="s">
        <x:v>13</x:v>
      </x:c>
      <x:c r="E32" s="406" t="s">
        <x:v>3677</x:v>
      </x:c>
      <x:c r="F32" s="406" t="s">
        <x:v>3680</x:v>
      </x:c>
      <x:c r="G32" s="406" t="s">
        <x:v>5265</x:v>
      </x:c>
      <x:c r="H32" s="406"/>
    </x:row>
    <x:row r="33" ht="23.850000381469727" hidden="0">
      <x:c r="A33" s="397" t="s">
        <x:v>5266</x:v>
      </x:c>
      <x:c r="B33" s="397" t="s">
        <x:v>3686</x:v>
      </x:c>
      <x:c r="C33" s="397" t="s">
        <x:v>5267</x:v>
      </x:c>
      <x:c r="D33" s="397" t="s">
        <x:v>5268</x:v>
      </x:c>
      <x:c r="E33" s="397" t="s">
        <x:v>5269</x:v>
      </x:c>
      <x:c r="F33" s="397" t="s">
        <x:v>3653</x:v>
      </x:c>
      <x:c r="G33" s="397" t="s">
        <x:v>5270</x:v>
      </x:c>
      <x:c r="H33" s="397"/>
    </x:row>
    <x:row r="34" ht="23.850000381469727" hidden="0">
      <x:c r="A34" s="406" t="s">
        <x:v>5271</x:v>
      </x:c>
      <x:c r="B34" s="406" t="s">
        <x:v>3686</x:v>
      </x:c>
      <x:c r="C34" s="406" t="s">
        <x:v>5272</x:v>
      </x:c>
      <x:c r="D34" s="406" t="s">
        <x:v>5273</x:v>
      </x:c>
      <x:c r="E34" s="406" t="s">
        <x:v>5274</x:v>
      </x:c>
      <x:c r="F34" s="406" t="s">
        <x:v>3669</x:v>
      </x:c>
      <x:c r="G34" s="406" t="s">
        <x:v>5270</x:v>
      </x:c>
      <x:c r="H34" s="406"/>
    </x:row>
    <x:row r="35" ht="23.850000381469727" hidden="0">
      <x:c r="A35" s="397" t="s">
        <x:v>5275</x:v>
      </x:c>
      <x:c r="B35" s="397" t="s">
        <x:v>3686</x:v>
      </x:c>
      <x:c r="C35" s="397" t="s">
        <x:v>5276</x:v>
      </x:c>
      <x:c r="D35" s="397" t="s">
        <x:v>5157</x:v>
      </x:c>
      <x:c r="E35" s="397" t="s">
        <x:v>5277</x:v>
      </x:c>
      <x:c r="F35" s="397" t="s">
        <x:v>1944</x:v>
      </x:c>
      <x:c r="G35" s="397" t="s">
        <x:v>5278</x:v>
      </x:c>
      <x:c r="H35" s="397"/>
    </x:row>
    <x:row r="36" ht="23.850000381469727" hidden="0">
      <x:c r="A36" s="406" t="s">
        <x:v>5279</x:v>
      </x:c>
      <x:c r="B36" s="406" t="s">
        <x:v>3686</x:v>
      </x:c>
      <x:c r="C36" s="406" t="s">
        <x:v>5280</x:v>
      </x:c>
      <x:c r="D36" s="406" t="s">
        <x:v>5157</x:v>
      </x:c>
      <x:c r="E36" s="406" t="s">
        <x:v>5281</x:v>
      </x:c>
      <x:c r="F36" s="406" t="s">
        <x:v>5282</x:v>
      </x:c>
      <x:c r="G36" s="406" t="s">
        <x:v>5265</x:v>
      </x:c>
      <x:c r="H36" s="406"/>
    </x:row>
    <x:row r="37" ht="15" hidden="0">
      <x:c r="A37" s="397"/>
      <x:c r="B37" s="397"/>
      <x:c r="C37" s="397"/>
      <x:c r="D37" s="397"/>
      <x:c r="E37" s="397"/>
      <x:c r="F37" s="397"/>
      <x:c r="G37" s="397"/>
      <x:c r="H37" s="397"/>
    </x:row>
    <x:row r="38" ht="23.850000381469727" hidden="0">
      <x:c r="A38" s="407" t="s">
        <x:v>5283</x:v>
      </x:c>
      <x:c r="B38" s="407" t="s">
        <x:v>1845</x:v>
      </x:c>
      <x:c r="C38" s="407" t="s">
        <x:v>349</x:v>
      </x:c>
      <x:c r="D38" s="407" t="s">
        <x:v>5284</x:v>
      </x:c>
      <x:c r="E38" s="407" t="s">
        <x:v>5285</x:v>
      </x:c>
      <x:c r="F38" s="407" t="s">
        <x:v>5286</x:v>
      </x:c>
      <x:c r="G38" s="407" t="s">
        <x:v>1918</x:v>
      </x:c>
      <x:c r="H38" s="407" t="s">
        <x:v>1203</x:v>
      </x:c>
    </x:row>
    <x:row r="39" ht="23.850000381469727" hidden="0">
      <x:c r="A39" s="397" t="s">
        <x:v>5287</x:v>
      </x:c>
      <x:c r="B39" s="397" t="s">
        <x:v>5288</x:v>
      </x:c>
      <x:c r="C39" s="397" t="s">
        <x:v>5289</x:v>
      </x:c>
      <x:c r="D39" s="397" t="s">
        <x:v>5290</x:v>
      </x:c>
      <x:c r="E39" s="397" t="s">
        <x:v>5291</x:v>
      </x:c>
      <x:c r="F39" s="397" t="s">
        <x:v>5292</x:v>
      </x:c>
      <x:c r="G39" s="397" t="s">
        <x:v>2083</x:v>
      </x:c>
      <x:c r="H39" s="397" t="s">
        <x:v>5293</x:v>
      </x:c>
    </x:row>
    <x:row r="40" ht="35.04999923706055" hidden="0">
      <x:c r="A40" s="406" t="s">
        <x:v>5294</x:v>
      </x:c>
      <x:c r="B40" s="406" t="s">
        <x:v>5295</x:v>
      </x:c>
      <x:c r="C40" s="406" t="s">
        <x:v>3618</x:v>
      </x:c>
      <x:c r="D40" s="406" t="s">
        <x:v>5296</x:v>
      </x:c>
      <x:c r="E40" s="406" t="s">
        <x:v>5297</x:v>
      </x:c>
      <x:c r="F40" s="406" t="s">
        <x:v>5298</x:v>
      </x:c>
      <x:c r="G40" s="406" t="s">
        <x:v>1944</x:v>
      </x:c>
      <x:c r="H40" s="406" t="s">
        <x:v>5299</x:v>
      </x:c>
    </x:row>
    <x:row r="41" ht="35.04999923706055" hidden="0">
      <x:c r="A41" s="397" t="s">
        <x:v>5300</x:v>
      </x:c>
      <x:c r="B41" s="397" t="s">
        <x:v>5301</x:v>
      </x:c>
      <x:c r="C41" s="397" t="s">
        <x:v>5302</x:v>
      </x:c>
      <x:c r="D41" s="397" t="s">
        <x:v>4527</x:v>
      </x:c>
      <x:c r="E41" s="397" t="s">
        <x:v>4527</x:v>
      </x:c>
      <x:c r="F41" s="397" t="s">
        <x:v>5303</x:v>
      </x:c>
      <x:c r="G41" s="397" t="s">
        <x:v>1944</x:v>
      </x:c>
      <x:c r="H41" s="397" t="s">
        <x:v>5304</x:v>
      </x:c>
    </x:row>
    <x:row r="42" ht="15" hidden="0">
      <x:c r="A42" s="406"/>
      <x:c r="B42" s="406"/>
      <x:c r="C42" s="406"/>
      <x:c r="D42" s="406"/>
      <x:c r="E42" s="406"/>
      <x:c r="F42" s="406"/>
      <x:c r="G42" s="406"/>
      <x:c r="H42" s="406"/>
    </x:row>
    <x:row r="43" ht="23.850000381469727" hidden="0">
      <x:c r="A43" s="405" t="s">
        <x:v>5305</x:v>
      </x:c>
      <x:c r="B43" s="405" t="s">
        <x:v>1845</x:v>
      </x:c>
      <x:c r="C43" s="405" t="s">
        <x:v>349</x:v>
      </x:c>
      <x:c r="D43" s="405" t="s">
        <x:v>5306</x:v>
      </x:c>
      <x:c r="E43" s="405" t="s">
        <x:v>5307</x:v>
      </x:c>
      <x:c r="F43" s="405" t="s">
        <x:v>5308</x:v>
      </x:c>
      <x:c r="G43" s="405" t="s">
        <x:v>1918</x:v>
      </x:c>
      <x:c r="H43" s="405" t="s">
        <x:v>1203</x:v>
      </x:c>
    </x:row>
    <x:row r="44" ht="23.850000381469727" hidden="0">
      <x:c r="A44" s="406" t="s">
        <x:v>5309</x:v>
      </x:c>
      <x:c r="B44" s="406" t="s">
        <x:v>5310</x:v>
      </x:c>
      <x:c r="C44" s="406" t="s">
        <x:v>1850</x:v>
      </x:c>
      <x:c r="D44" s="406" t="s">
        <x:v>5311</x:v>
      </x:c>
      <x:c r="E44" s="406" t="s">
        <x:v>5312</x:v>
      </x:c>
      <x:c r="F44" s="406" t="s">
        <x:v>5313</x:v>
      </x:c>
      <x:c r="G44" s="406" t="s">
        <x:v>1944</x:v>
      </x:c>
      <x:c r="H44" s="406" t="s">
        <x:v>5314</x:v>
      </x:c>
    </x:row>
    <x:row r="45" ht="35.04999923706055" hidden="0">
      <x:c r="A45" s="397" t="s">
        <x:v>5315</x:v>
      </x:c>
      <x:c r="B45" s="397" t="s">
        <x:v>5316</x:v>
      </x:c>
      <x:c r="C45" s="397" t="s">
        <x:v>2672</x:v>
      </x:c>
      <x:c r="D45" s="397" t="s">
        <x:v>5317</x:v>
      </x:c>
      <x:c r="E45" s="397" t="s">
        <x:v>5318</x:v>
      </x:c>
      <x:c r="F45" s="397" t="s">
        <x:v>5319</x:v>
      </x:c>
      <x:c r="G45" s="397" t="s">
        <x:v>1944</x:v>
      </x:c>
      <x:c r="H45" s="397" t="s">
        <x:v>5320</x:v>
      </x:c>
    </x:row>
  </x:sheetData>
  <x:mergeCells>
    <x:mergeCell ref="A1:H1"/>
  </x:mergeCells>
  <x:pageMargins left="0.7" right="0.7" top="0.75" bottom="0.75" header="0.3" footer="0.3"/>
</x:worksheet>
</file>

<file path=xl/worksheets/sheet86.xml><?xml version="1.0" encoding="utf-8"?>
<x:worksheet xmlns:x="http://schemas.openxmlformats.org/spreadsheetml/2006/main">
  <x:sheetViews>
    <x:sheetView showGridLines="1" workbookViewId="0"/>
  </x:sheetViews>
  <x:sheetFormatPr defaultColWidth="8.6796875" defaultRowHeight="15"/>
  <x:cols>
    <x:col min="1" max="1" width="24" hidden="0" customWidth="1"/>
    <x:col min="2" max="2" width="48" hidden="0" customWidth="1"/>
    <x:col min="3" max="3" width="24" hidden="0" customWidth="1"/>
    <x:col min="4" max="4" width="34" hidden="0" customWidth="1"/>
    <x:col min="5" max="5" width="44" hidden="0" customWidth="1"/>
    <x:col min="6" max="7" width="24" hidden="0" customWidth="1"/>
    <x:col min="8" max="8" width="42" hidden="0" customWidth="1"/>
    <x:col min="9" max="16" width="24" hidden="0" customWidth="1"/>
    <x:col min="17" max="18" width="44" hidden="0" customWidth="1"/>
    <x:col min="19" max="21" width="24" hidden="0" customWidth="1"/>
  </x:cols>
  <x:sheetData>
    <x:row r="1" ht="15" hidden="0" customHeight="1">
      <x:c r="A1" s="13" t="s">
        <x:v>5321</x:v>
      </x:c>
      <x:c r="B1" s="13"/>
      <x:c r="C1" s="13"/>
      <x:c r="D1" s="13"/>
      <x:c r="E1" s="13"/>
      <x:c r="F1" s="13"/>
      <x:c r="G1" s="13"/>
      <x:c r="H1" s="13"/>
      <x:c r="I1" s="13"/>
      <x:c r="J1" s="13"/>
      <x:c r="K1" s="13"/>
      <x:c r="L1" s="13"/>
      <x:c r="M1" s="13"/>
      <x:c r="N1" s="13"/>
      <x:c r="O1" s="13"/>
      <x:c r="P1" s="13"/>
      <x:c r="Q1" s="13"/>
      <x:c r="R1" s="13"/>
      <x:c r="S1" s="13"/>
      <x:c r="T1" s="13"/>
      <x:c r="U1" s="13"/>
    </x:row>
    <x:row r="2" ht="23.850000381469727" hidden="0">
      <x:c r="A2" s="166" t="s">
        <x:v>5322</x:v>
      </x:c>
      <x:c r="B2" s="166" t="s">
        <x:v>5323</x:v>
      </x:c>
      <x:c r="C2" s="166" t="s">
        <x:v>5178</x:v>
      </x:c>
      <x:c r="D2" s="166" t="s">
        <x:v>5324</x:v>
      </x:c>
      <x:c r="E2" s="166" t="s">
        <x:v>5325</x:v>
      </x:c>
      <x:c r="F2" s="166" t="s">
        <x:v>5326</x:v>
      </x:c>
      <x:c r="G2" s="166" t="s">
        <x:v>120</x:v>
      </x:c>
      <x:c r="H2" s="166" t="s">
        <x:v>3614</x:v>
      </x:c>
      <x:c r="I2" s="166" t="s">
        <x:v>5327</x:v>
      </x:c>
      <x:c r="J2" s="166" t="s">
        <x:v>5328</x:v>
      </x:c>
      <x:c r="K2" s="166" t="s">
        <x:v>5329</x:v>
      </x:c>
      <x:c r="L2" s="166" t="s">
        <x:v>5330</x:v>
      </x:c>
      <x:c r="M2" s="166" t="s">
        <x:v>5331</x:v>
      </x:c>
      <x:c r="N2" s="166" t="s">
        <x:v>5332</x:v>
      </x:c>
      <x:c r="O2" s="166" t="s">
        <x:v>5333</x:v>
      </x:c>
      <x:c r="P2" s="166" t="s">
        <x:v>5334</x:v>
      </x:c>
      <x:c r="Q2" s="166" t="s">
        <x:v>5335</x:v>
      </x:c>
      <x:c r="R2" s="166" t="s">
        <x:v>5336</x:v>
      </x:c>
      <x:c r="S2" s="166" t="s">
        <x:v>5084</x:v>
      </x:c>
      <x:c r="T2" s="166" t="s">
        <x:v>5337</x:v>
      </x:c>
      <x:c r="U2" s="166" t="s">
        <x:v>5338</x:v>
      </x:c>
    </x:row>
    <x:row r="3" ht="57.45000076293945" hidden="0">
      <x:c r="A3" s="188" t="s">
        <x:v>5339</x:v>
      </x:c>
      <x:c r="B3" s="188" t="s">
        <x:v>5340</x:v>
      </x:c>
      <x:c r="C3" s="188" t="s">
        <x:v>5341</x:v>
      </x:c>
      <x:c r="D3" s="188" t="s">
        <x:v>5342</x:v>
      </x:c>
      <x:c r="E3" s="188" t="s">
        <x:v>5343</x:v>
      </x:c>
      <x:c r="F3" s="188" t="s">
        <x:v>5344</x:v>
      </x:c>
      <x:c r="G3" s="188" t="s">
        <x:v>5345</x:v>
      </x:c>
      <x:c r="H3" s="188" t="s">
        <x:v>5346</x:v>
      </x:c>
      <x:c r="I3" s="188" t="s">
        <x:v>5347</x:v>
      </x:c>
      <x:c r="J3" s="188" t="s">
        <x:v>5348</x:v>
      </x:c>
      <x:c r="K3" s="188" t="s">
        <x:v>5349</x:v>
      </x:c>
      <x:c r="L3" s="188" t="s">
        <x:v>5350</x:v>
      </x:c>
      <x:c r="M3" s="188" t="s">
        <x:v>5351</x:v>
      </x:c>
      <x:c r="N3" s="188" t="s">
        <x:v>5352</x:v>
      </x:c>
      <x:c r="O3" s="188" t="s">
        <x:v>5353</x:v>
      </x:c>
      <x:c r="P3" s="188" t="s">
        <x:v>5354</x:v>
      </x:c>
      <x:c r="Q3" s="188" t="s">
        <x:v>5355</x:v>
      </x:c>
      <x:c r="R3" s="188" t="s">
        <x:v>5356</x:v>
      </x:c>
      <x:c r="S3" s="188" t="s">
        <x:v>5357</x:v>
      </x:c>
      <x:c r="T3" s="188" t="s">
        <x:v>5358</x:v>
      </x:c>
      <x:c r="U3" s="188" t="s">
        <x:v>2672</x:v>
      </x:c>
    </x:row>
    <x:row r="4" ht="35.04999923706055" hidden="0">
      <x:c r="A4" s="193" t="s">
        <x:v>5359</x:v>
      </x:c>
      <x:c r="B4" s="193" t="s">
        <x:v>5360</x:v>
      </x:c>
      <x:c r="C4" s="193" t="s">
        <x:v>5361</x:v>
      </x:c>
      <x:c r="D4" s="193" t="s">
        <x:v>5362</x:v>
      </x:c>
      <x:c r="E4" s="193" t="s">
        <x:v>5363</x:v>
      </x:c>
      <x:c r="F4" s="193" t="s">
        <x:v>5364</x:v>
      </x:c>
      <x:c r="G4" s="193" t="s">
        <x:v>5365</x:v>
      </x:c>
      <x:c r="H4" s="193" t="s">
        <x:v>5366</x:v>
      </x:c>
      <x:c r="I4" s="193" t="s">
        <x:v>5367</x:v>
      </x:c>
      <x:c r="J4" s="193" t="s">
        <x:v>5368</x:v>
      </x:c>
      <x:c r="K4" s="193" t="s">
        <x:v>5369</x:v>
      </x:c>
      <x:c r="L4" s="193" t="s">
        <x:v>5370</x:v>
      </x:c>
      <x:c r="M4" s="193" t="s">
        <x:v>5371</x:v>
      </x:c>
      <x:c r="N4" s="193" t="s">
        <x:v>5372</x:v>
      </x:c>
      <x:c r="O4" s="193" t="s">
        <x:v>5373</x:v>
      </x:c>
      <x:c r="P4" s="193" t="s">
        <x:v>5374</x:v>
      </x:c>
      <x:c r="Q4" s="193" t="s">
        <x:v>5375</x:v>
      </x:c>
      <x:c r="R4" s="193" t="s">
        <x:v>5376</x:v>
      </x:c>
      <x:c r="S4" s="193" t="s">
        <x:v>5377</x:v>
      </x:c>
      <x:c r="T4" s="193" t="s">
        <x:v>5378</x:v>
      </x:c>
      <x:c r="U4" s="193" t="s">
        <x:v>5379</x:v>
      </x:c>
    </x:row>
  </x:sheetData>
  <x:mergeCells>
    <x:mergeCell ref="A1:U1"/>
  </x:mergeCells>
  <x:dataValidations count="2">
    <x:dataValidation type="list" errorStyle="stop" operator="between" allowBlank="0" showDropDown="0" showInputMessage="0" showErrorMessage="0" sqref="T3:T200">
      <x:formula1>"NOT_TESTED,EVIDENCE_PENDING,EFFECTIVE_WITHIN_SCOPE,INEFFECTIVE_REDESIGN,NOT_APPLICABLE"</x:formula1>
      <x:formula2>0</x:formula2>
    </x:dataValidation>
    <x:dataValidation type="list" errorStyle="stop" operator="between" allowBlank="0" showDropDown="0" showInputMessage="0" showErrorMessage="0" sqref="U3:U200">
      <x:formula1>"ACTIVE,SATISFIED,EXPIRED,SUSPENDED,ESCALATED"</x:formula1>
      <x:formula2>0</x:formula2>
    </x:dataValidation>
  </x:dataValidations>
  <x:pageMargins left="0.7" right="0.7" top="0.75" bottom="0.75" header="0.3" footer="0.3"/>
</x:worksheet>
</file>

<file path=xl/worksheets/sheet87.xml><?xml version="1.0" encoding="utf-8"?>
<x:worksheet xmlns:x="http://schemas.openxmlformats.org/spreadsheetml/2006/main">
  <x:sheetViews>
    <x:sheetView showGridLines="1" workbookViewId="0"/>
  </x:sheetViews>
  <x:sheetFormatPr defaultColWidth="8.6796875" defaultRowHeight="15"/>
  <x:cols>
    <x:col min="1" max="1" width="34" hidden="0" customWidth="1"/>
    <x:col min="2" max="2" width="42" hidden="0" customWidth="1"/>
    <x:col min="3" max="3" width="54" hidden="0" customWidth="1"/>
    <x:col min="4" max="4" width="50" hidden="0" customWidth="1"/>
  </x:cols>
  <x:sheetData>
    <x:row r="1" ht="15" hidden="0" customHeight="1">
      <x:c r="A1" s="13" t="s">
        <x:v>5380</x:v>
      </x:c>
      <x:c r="B1" s="13"/>
      <x:c r="C1" s="13"/>
      <x:c r="D1" s="13"/>
    </x:row>
    <x:row r="2" ht="15" hidden="0">
      <x:c r="A2" s="166" t="s">
        <x:v>346</x:v>
      </x:c>
      <x:c r="B2" s="166" t="s">
        <x:v>5381</x:v>
      </x:c>
      <x:c r="C2" s="166" t="s">
        <x:v>5382</x:v>
      </x:c>
      <x:c r="D2" s="166" t="s">
        <x:v>5383</x:v>
      </x:c>
    </x:row>
    <x:row r="3" ht="23.850000381469727" hidden="0">
      <x:c r="A3" s="188" t="s">
        <x:v>349</x:v>
      </x:c>
      <x:c r="B3" s="188" t="s">
        <x:v>2765</x:v>
      </x:c>
      <x:c r="C3" s="188" t="s">
        <x:v>5384</x:v>
      </x:c>
      <x:c r="D3" s="188" t="s">
        <x:v>5385</x:v>
      </x:c>
    </x:row>
    <x:row r="4" ht="23.850000381469727" hidden="0">
      <x:c r="A4" s="188" t="s">
        <x:v>5386</x:v>
      </x:c>
      <x:c r="B4" s="188" t="s">
        <x:v>5387</x:v>
      </x:c>
      <x:c r="C4" s="188" t="s">
        <x:v>5388</x:v>
      </x:c>
      <x:c r="D4" s="188" t="s">
        <x:v>5389</x:v>
      </x:c>
    </x:row>
    <x:row r="5" ht="23.850000381469727" hidden="0">
      <x:c r="A5" s="188" t="s">
        <x:v>5390</x:v>
      </x:c>
      <x:c r="B5" s="188" t="s">
        <x:v>5391</x:v>
      </x:c>
      <x:c r="C5" s="188" t="s">
        <x:v>5392</x:v>
      </x:c>
      <x:c r="D5" s="188" t="s">
        <x:v>5393</x:v>
      </x:c>
    </x:row>
    <x:row r="6" ht="35.04999923706055" hidden="0">
      <x:c r="A6" s="188" t="s">
        <x:v>5394</x:v>
      </x:c>
      <x:c r="B6" s="188" t="s">
        <x:v>5391</x:v>
      </x:c>
      <x:c r="C6" s="188" t="s">
        <x:v>5395</x:v>
      </x:c>
      <x:c r="D6" s="188" t="s">
        <x:v>5396</x:v>
      </x:c>
    </x:row>
    <x:row r="7" ht="23.850000381469727" hidden="0">
      <x:c r="A7" s="188" t="s">
        <x:v>5397</x:v>
      </x:c>
      <x:c r="B7" s="188" t="s">
        <x:v>5391</x:v>
      </x:c>
      <x:c r="C7" s="188" t="s">
        <x:v>5398</x:v>
      </x:c>
      <x:c r="D7" s="188" t="s">
        <x:v>5399</x:v>
      </x:c>
    </x:row>
    <x:row r="8" ht="23.850000381469727" hidden="0">
      <x:c r="A8" s="188" t="s">
        <x:v>5400</x:v>
      </x:c>
      <x:c r="B8" s="188" t="s">
        <x:v>5391</x:v>
      </x:c>
      <x:c r="C8" s="188" t="s">
        <x:v>5401</x:v>
      </x:c>
      <x:c r="D8" s="188" t="s">
        <x:v>5402</x:v>
      </x:c>
    </x:row>
    <x:row r="9" ht="23.850000381469727" hidden="0">
      <x:c r="A9" s="188" t="s">
        <x:v>5403</x:v>
      </x:c>
      <x:c r="B9" s="188" t="s">
        <x:v>5391</x:v>
      </x:c>
      <x:c r="C9" s="188" t="s">
        <x:v>5404</x:v>
      </x:c>
      <x:c r="D9" s="188" t="s">
        <x:v>5405</x:v>
      </x:c>
    </x:row>
    <x:row r="10" ht="15" hidden="0">
      <x:c r="A10" s="188" t="s">
        <x:v>5406</x:v>
      </x:c>
      <x:c r="B10" s="188" t="s">
        <x:v>5391</x:v>
      </x:c>
      <x:c r="C10" s="188" t="s">
        <x:v>5407</x:v>
      </x:c>
      <x:c r="D10" s="188" t="s">
        <x:v>5408</x:v>
      </x:c>
    </x:row>
    <x:row r="11" ht="23.850000381469727" hidden="0">
      <x:c r="A11" s="188" t="s">
        <x:v>5409</x:v>
      </x:c>
      <x:c r="B11" s="188" t="s">
        <x:v>5410</x:v>
      </x:c>
      <x:c r="C11" s="188" t="s">
        <x:v>5411</x:v>
      </x:c>
      <x:c r="D11" s="188" t="s">
        <x:v>5412</x:v>
      </x:c>
    </x:row>
    <x:row r="12" ht="23.850000381469727" hidden="0">
      <x:c r="A12" s="188" t="s">
        <x:v>5413</x:v>
      </x:c>
      <x:c r="B12" s="188" t="s">
        <x:v>5414</x:v>
      </x:c>
      <x:c r="C12" s="188" t="s">
        <x:v>5415</x:v>
      </x:c>
      <x:c r="D12" s="188" t="s">
        <x:v>5416</x:v>
      </x:c>
    </x:row>
    <x:row r="13" ht="35.04999923706055" hidden="0">
      <x:c r="A13" s="188" t="s">
        <x:v>1833</x:v>
      </x:c>
      <x:c r="B13" s="188" t="s">
        <x:v>5417</x:v>
      </x:c>
      <x:c r="C13" s="188" t="s">
        <x:v>5418</x:v>
      </x:c>
      <x:c r="D13" s="188" t="s">
        <x:v>5419</x:v>
      </x:c>
    </x:row>
  </x:sheetData>
  <x:mergeCells>
    <x:mergeCell ref="A1:D1"/>
  </x:mergeCells>
  <x:dataValidations count="1">
    <x:dataValidation type="list" errorStyle="stop" operator="between" allowBlank="0" showDropDown="0" showInputMessage="0" showErrorMessage="0" sqref="B3">
      <x:formula1>"NOT_MATERIAL,OBSERVED_BOUNDED,DEPENDENCY_REQUIRES_CONTROLS,REDESIGN_OR_ESCALATE"</x:formula1>
      <x:formula2>0</x:formula2>
    </x:dataValidation>
  </x:dataValidations>
  <x:pageMargins left="0.7" right="0.7" top="0.75" bottom="0.75" header="0.3" footer="0.3"/>
</x:worksheet>
</file>